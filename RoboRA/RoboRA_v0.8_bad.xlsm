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0.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3.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tables/table14.xml" ContentType="application/vnd.openxmlformats-officedocument.spreadsheetml.table+xml"/>
  <Override PartName="/xl/queryTables/queryTable9.xml" ContentType="application/vnd.openxmlformats-officedocument.spreadsheetml.queryTable+xml"/>
  <Override PartName="/xl/drawings/drawing1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firstSheet="3" activeTab="11"/>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Prefs" sheetId="16" r:id="rId11"/>
    <sheet name="HiddenSettings" sheetId="9" r:id="rId12"/>
  </sheets>
  <functionGroups builtInGroupCount="18"/>
  <definedNames>
    <definedName name="AwdTemplate">RoboRA!$B$16</definedName>
    <definedName name="codes_prop_stts">HiddenSettings!$E$7:$E$11</definedName>
    <definedName name="DeclTemplate">RoboRA!$D$16</definedName>
    <definedName name="delaytime">Prefs!$C$54</definedName>
    <definedName name="dir_div_abbr">Advanced!$E$12</definedName>
    <definedName name="dirRAoutput">Prefs!$D$66</definedName>
    <definedName name="dirRAoutput2">RoboRA!$D$5</definedName>
    <definedName name="dirRAoutput3">Advanced!$C$3</definedName>
    <definedName name="dirRAtemplate">Prefs!$D$25</definedName>
    <definedName name="dirRoboRA">Prefs!$D$37</definedName>
    <definedName name="dirSharedRAtemplate">Prefs!$D$19</definedName>
    <definedName name="fiscalyear" localSheetId="3">Budgets!$L$2</definedName>
    <definedName name="from_date">Advanced!$E$7</definedName>
    <definedName name="Mac_connect_string" localSheetId="11">HiddenSettings!$B$5</definedName>
    <definedName name="menu_prop_stts">HiddenSettings!$D$7:$D$11</definedName>
    <definedName name="natr_rqst_abbr">Advanced!$E$14</definedName>
    <definedName name="obj_clas_code">Advanced!$E$15</definedName>
    <definedName name="org_code">Advanced!$E$11</definedName>
    <definedName name="overwrite_option">Prefs!$I$2</definedName>
    <definedName name="panl_id">Advanced!$E$8</definedName>
    <definedName name="PC_connect_string" localSheetId="11">HiddenSettings!$B$4</definedName>
    <definedName name="pgm_annc_id">Advanced!$E$10</definedName>
    <definedName name="pgm_ele_code">Advanced!$E$13</definedName>
    <definedName name="pm_ibm_logn_id">Advanced!$E$9</definedName>
    <definedName name="prop_atr_code">Advanced!$E$17</definedName>
    <definedName name="prop_stts_code" localSheetId="5">Advanced!$E$18</definedName>
    <definedName name="prop_titl_txt">Advanced!$E$16</definedName>
    <definedName name="Query_from_RPTSERVER" localSheetId="3" hidden="1">Budgets!$A$3:$AC$4</definedName>
    <definedName name="Query_from_RPTSERVER" localSheetId="2" hidden="1">ckAwd!$A$1:$BD$2</definedName>
    <definedName name="Query_from_RPTSERVER" localSheetId="1" hidden="1">ckCoding!$A$1:$BA$2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RAData!$A$1:$EG$2</definedName>
    <definedName name="Query_from_RPTSERVER_1" localSheetId="7" hidden="1">PRCs!$D$2:$E$3</definedName>
    <definedName name="query_params" localSheetId="5">Advanced!$E$7:$F$17</definedName>
    <definedName name="query_params" localSheetId="11">HiddenSettings!$A$8:$B$18</definedName>
    <definedName name="RA_allRAdata" localSheetId="11">HiddenSettings!$C$34</definedName>
    <definedName name="RA_allRAdata2" localSheetId="11">HiddenSettings!$C$35</definedName>
    <definedName name="RA_awdCheck" localSheetId="11">HiddenSettings!$C$42</definedName>
    <definedName name="RA_budg" localSheetId="11">HiddenSettings!$C$29</definedName>
    <definedName name="RA_budgBlocks" localSheetId="11">HiddenSettings!$C$43</definedName>
    <definedName name="RA_ckConfRevrInst" localSheetId="11">HiddenSettings!$C$27</definedName>
    <definedName name="RA_confl" localSheetId="11">HiddenSettings!$C$32</definedName>
    <definedName name="RA_leads" localSheetId="11">HiddenSettings!$C$25</definedName>
    <definedName name="RA_no_PRC" localSheetId="11">HiddenSettings!$C$38</definedName>
    <definedName name="RA_panl" localSheetId="11">HiddenSettings!$C$33</definedName>
    <definedName name="RA_PECglossary" localSheetId="11">HiddenSettings!$C$26</definedName>
    <definedName name="RA_pidRAt" localSheetId="11">HiddenSettings!$C$23</definedName>
    <definedName name="RA_pidRAtSelect" localSheetId="11">HiddenSettings!$C$24</definedName>
    <definedName name="RA_PRCglossary" localSheetId="11">HiddenSettings!$C$37</definedName>
    <definedName name="RA_projText" localSheetId="11">HiddenSettings!$C$40</definedName>
    <definedName name="RA_prop" localSheetId="11">HiddenSettings!$C$30</definedName>
    <definedName name="RA_propCheck" localSheetId="11">HiddenSettings!$C$39</definedName>
    <definedName name="RA_propPRCs" localSheetId="11">HiddenSettings!$C$28</definedName>
    <definedName name="RA_revs" localSheetId="11">HiddenSettings!$C$31</definedName>
    <definedName name="RA_splits" localSheetId="11">HiddenSettings!$C$41</definedName>
    <definedName name="revtable" localSheetId="11">HiddenSettings!$C$36</definedName>
    <definedName name="RoboRAFolder">HiddenSettings!$B$6</definedName>
    <definedName name="rpt_pwd" comment="reportserver password" localSheetId="11">HiddenSettings!$B$3</definedName>
    <definedName name="select_prop_stts">HiddenSettings!$E$6</definedName>
    <definedName name="signer1">Prefs!$C$42</definedName>
    <definedName name="signer2">Prefs!$C$43</definedName>
    <definedName name="StdDeclTemplate">RoboRA!$F$16</definedName>
    <definedName name="StdNDPDeclTemplate" localSheetId="0">RoboRA!$H$16</definedName>
    <definedName name="test_table_permissions">Prefs!$D$11</definedName>
    <definedName name="to_date">Advanced!$F$7</definedName>
    <definedName name="user_id" comment="reportserver user_id" localSheetId="11">HiddenSettings!$B$2</definedName>
    <definedName name="WelcomeMac">Prefs!$A$72:$A$90</definedName>
  </definedNames>
  <calcPr calcId="171027"/>
  <pivotCaches>
    <pivotCache cacheId="4" r:id="rId13"/>
    <pivotCache cacheId="5" r:id="rId14"/>
  </pivotCaches>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6" l="1"/>
  <c r="L2" i="13" l="1"/>
  <c r="I68" i="16"/>
  <c r="E18" i="1"/>
</calcChain>
</file>

<file path=xl/comments1.xml><?xml version="1.0" encoding="utf-8"?>
<comments xmlns="http://schemas.openxmlformats.org/spreadsheetml/2006/main">
  <authors>
    <author>Jack Snoeyink</author>
  </authors>
  <commentList>
    <comment ref="F17" authorId="0" shapeId="0">
      <text>
        <r>
          <rPr>
            <sz val="9"/>
            <color indexed="81"/>
            <rFont val="Tahoma"/>
            <family val="2"/>
          </rPr>
          <t xml:space="preserve">Std templates are automatically put into eJacket. </t>
        </r>
      </text>
    </comment>
    <comment ref="H17"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BB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Jack Snoeyink</author>
    <author>Snoeyink, Jack S.</author>
  </authors>
  <commentList>
    <comment ref="I1" authorId="0" shapeId="0">
      <text>
        <r>
          <rPr>
            <sz val="9"/>
            <color indexed="81"/>
            <rFont val="Tahoma"/>
            <family val="2"/>
          </rPr>
          <t>Filter to find those that need context statements.
r</t>
        </r>
      </text>
    </comment>
    <comment ref="J1" authorId="0" shapeId="0">
      <text>
        <r>
          <rPr>
            <sz val="9"/>
            <color indexed="81"/>
            <rFont val="Tahoma"/>
            <family val="2"/>
          </rPr>
          <t>Managing program director (7-letter ibm login id, not the 8-letter lan id)</t>
        </r>
      </text>
    </comment>
    <comment ref="K1" authorId="0" shapeId="0">
      <text>
        <r>
          <rPr>
            <sz val="9"/>
            <color indexed="81"/>
            <rFont val="Tahoma"/>
            <family val="2"/>
          </rPr>
          <t>Date of last RA.</t>
        </r>
      </text>
    </comment>
    <comment ref="M1" authorId="1" shapeId="0">
      <text>
        <r>
          <rPr>
            <sz val="9"/>
            <color indexed="81"/>
            <rFont val="Tahoma"/>
            <family val="2"/>
          </rPr>
          <t xml:space="preserve">Recommendation.Rank for sorting.  99=null.  Important that dummy, -1, comes first for mail merge formatting.  Filter &gt;0 to avoid showing it. </t>
        </r>
      </text>
    </comment>
    <comment ref="N1" authorId="0" shapeId="0">
      <text>
        <r>
          <rPr>
            <sz val="9"/>
            <color indexed="81"/>
            <rFont val="Tahoma"/>
            <family val="2"/>
          </rPr>
          <t>Panel Recommendations for up to 3 panels, ordered by panel end date.</t>
        </r>
      </text>
    </comment>
    <comment ref="Q1" authorId="0" shapeId="0">
      <text>
        <r>
          <rPr>
            <sz val="9"/>
            <color indexed="81"/>
            <rFont val="Tahoma"/>
            <family val="2"/>
          </rPr>
          <t xml:space="preserve">Choose an RA template from those available. 
Refresh in Prefs#2 if you make more RA templates. </t>
        </r>
      </text>
    </comment>
    <comment ref="R1" authorId="0" shapeId="0">
      <text>
        <r>
          <rPr>
            <sz val="9"/>
            <color indexed="81"/>
            <rFont val="Tahoma"/>
            <family val="2"/>
          </rPr>
          <t xml:space="preserve">By default the name for the RA draft concatenates the template name, the prop_id, and the pi_last_name, but you can change that formula if you like.  Date+time is added at the end.
</t>
        </r>
      </text>
    </comment>
    <comment ref="S1" authorId="0" shapeId="0">
      <text>
        <r>
          <rPr>
            <sz val="9"/>
            <color indexed="81"/>
            <rFont val="Tahoma"/>
            <family val="2"/>
          </rPr>
          <t>Any note here will be included just after the data block and before the RA text.  Good place to explain Es for Declines or F,P for Awards, as the PAM requires.</t>
        </r>
      </text>
    </comment>
    <comment ref="T1" authorId="0" shapeId="0">
      <text>
        <r>
          <rPr>
            <sz val="9"/>
            <color indexed="81"/>
            <rFont val="Tahoma"/>
            <family val="2"/>
          </rPr>
          <t>Postscript after the signature is a good place for a DGA note if you don't want to modify the template.</t>
        </r>
      </text>
    </comment>
    <comment ref="U1" authorId="0" shapeId="0">
      <text>
        <r>
          <rPr>
            <sz val="9"/>
            <color indexed="81"/>
            <rFont val="Tahoma"/>
            <family val="2"/>
          </rPr>
          <t>You can edit the RA signer here.</t>
        </r>
      </text>
    </comment>
    <comment ref="V1" authorId="0" shapeId="0">
      <text>
        <r>
          <rPr>
            <sz val="9"/>
            <color indexed="81"/>
            <rFont val="Tahoma"/>
            <family val="2"/>
          </rPr>
          <t>Edit the second line of the signature block here, or in Prefs #4.</t>
        </r>
      </text>
    </comment>
    <comment ref="W1" authorId="0" shapeId="0">
      <text>
        <r>
          <rPr>
            <sz val="9"/>
            <color indexed="81"/>
            <rFont val="Tahoma"/>
            <family val="2"/>
          </rPr>
          <t>Fiscal year calculation. You can replace, but by default, anything after Aug is next FY, using formula ="FY" &amp; (YEAR(NOW()) + (MONTH(NOW())&gt;8)-2000)</t>
        </r>
      </text>
    </comment>
    <comment ref="Y1" authorId="0" shapeId="0">
      <text>
        <r>
          <rPr>
            <sz val="9"/>
            <color indexed="81"/>
            <rFont val="Tahoma"/>
            <family val="2"/>
          </rPr>
          <t>mailto link: Compose email to lead PI on project.</t>
        </r>
      </text>
    </comment>
    <comment ref="Z1" authorId="0" shapeId="0">
      <text>
        <r>
          <rPr>
            <sz val="9"/>
            <color indexed="81"/>
            <rFont val="Tahoma"/>
            <family val="2"/>
          </rPr>
          <t>mailto link: Compose email to lead &amp; non-lead PIs on project.</t>
        </r>
      </text>
    </comment>
    <comment ref="AC1" authorId="0" shapeId="0">
      <text>
        <r>
          <rPr>
            <sz val="9"/>
            <color indexed="81"/>
            <rFont val="Tahoma"/>
            <family val="2"/>
          </rPr>
          <t xml:space="preserve">Number of reviews received.
</t>
        </r>
      </text>
    </comment>
    <comment ref="AD1" authorId="0" shapeId="0">
      <text>
        <r>
          <rPr>
            <sz val="9"/>
            <color indexed="81"/>
            <rFont val="Tahoma"/>
            <family val="2"/>
          </rPr>
          <t>Number of reviews unmarked (neither released nor marked unreleasable.)</t>
        </r>
      </text>
    </comment>
    <comment ref="AE1" authorId="0" shapeId="0">
      <text>
        <r>
          <rPr>
            <sz val="9"/>
            <color indexed="81"/>
            <rFont val="Tahoma"/>
            <family val="2"/>
          </rPr>
          <t>Number of reviews marked unreleasable.</t>
        </r>
      </text>
    </comment>
    <comment ref="AH1" authorId="0" shapeId="0">
      <text>
        <r>
          <rPr>
            <sz val="9"/>
            <color indexed="81"/>
            <rFont val="Tahoma"/>
            <family val="2"/>
          </rPr>
          <t xml:space="preserve">Average of all reviews on a scale of 9=E,1=P:
E=9, E/V=8, V=7, V/G=6, G=5, G/F=4, F=3,F/P=2,P=1
</t>
        </r>
      </text>
    </comment>
    <comment ref="AJ1" authorId="0" shapeId="0">
      <text>
        <r>
          <rPr>
            <sz val="9"/>
            <color indexed="81"/>
            <rFont val="Tahoma"/>
            <family val="2"/>
          </rPr>
          <t xml:space="preserve">At most 15 are shown here, best to worst.
</t>
        </r>
      </text>
    </comment>
    <comment ref="AK1" authorId="0" shapeId="0">
      <text>
        <r>
          <rPr>
            <sz val="9"/>
            <color indexed="81"/>
            <rFont val="Tahoma"/>
            <family val="2"/>
          </rPr>
          <t xml:space="preserve">The default formula, =LEFT([@allReviews],1)="E", is true if the project has an E or E/V review.  You can instead use =LEFT([@allReviews],2)="E," to avoid flagging projects where E/V is the best review.
</t>
        </r>
      </text>
    </comment>
    <comment ref="AL1" authorId="0" shapeId="0">
      <text>
        <r>
          <rPr>
            <sz val="9"/>
            <color indexed="81"/>
            <rFont val="Tahoma"/>
            <family val="2"/>
          </rPr>
          <t>Date of last review received.</t>
        </r>
      </text>
    </comment>
    <comment ref="AM1" authorId="0" shapeId="0">
      <text>
        <r>
          <rPr>
            <sz val="9"/>
            <color indexed="81"/>
            <rFont val="Tahoma"/>
            <family val="2"/>
          </rPr>
          <t>original request</t>
        </r>
      </text>
    </comment>
    <comment ref="AN1" authorId="0" shapeId="0">
      <text>
        <r>
          <rPr>
            <sz val="9"/>
            <color indexed="81"/>
            <rFont val="Tahoma"/>
            <family val="2"/>
          </rPr>
          <t>Total from last revised budget</t>
        </r>
      </text>
    </comment>
    <comment ref="BB1" authorId="0" shapeId="0">
      <text>
        <r>
          <rPr>
            <sz val="9"/>
            <color indexed="81"/>
            <rFont val="Tahoma"/>
            <family val="2"/>
          </rPr>
          <t xml:space="preserve">recommendations and rankings from Fastlane Interactive Panel System (IPS).  
</t>
        </r>
      </text>
    </comment>
  </commentList>
</comments>
</file>

<file path=xl/comments6.xml><?xml version="1.0" encoding="utf-8"?>
<comments xmlns="http://schemas.openxmlformats.org/spreadsheetml/2006/main">
  <authors>
    <author>Jack Snoeyink</author>
  </authors>
  <commentList>
    <comment ref="C6" authorId="0" shapeId="0">
      <text>
        <r>
          <rPr>
            <b/>
            <sz val="10"/>
            <color indexed="9"/>
            <rFont val="Corbel"/>
            <family val="2"/>
          </rPr>
          <t>The chosen proposals are the AND of all entered restrictions.</t>
        </r>
      </text>
    </comment>
    <comment ref="E6"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7"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8"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9" authorId="0" shapeId="0">
      <text>
        <r>
          <rPr>
            <b/>
            <sz val="10"/>
            <color indexed="9"/>
            <rFont val="Corbel"/>
            <family val="2"/>
          </rPr>
          <t>Another common query: all the RAs a PD must write
7-letter ibm login id, not the 8-letter lan id.</t>
        </r>
      </text>
    </comment>
    <comment ref="C10"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1" authorId="0" shapeId="0">
      <text>
        <r>
          <rPr>
            <b/>
            <sz val="10"/>
            <color indexed="9"/>
            <rFont val="Corbel"/>
            <family val="2"/>
          </rPr>
          <t>8-digit org code, but you can use wildcards to restrict to directorate (05% for CISE) or divisions (050[125]0000 is CCF, IIS, &amp; CNS)</t>
        </r>
      </text>
    </comment>
    <comment ref="C12" authorId="0" shapeId="0">
      <text>
        <r>
          <rPr>
            <b/>
            <sz val="10"/>
            <color indexed="9"/>
            <rFont val="Corbel"/>
            <family val="2"/>
          </rPr>
          <t>Can restrict proposals by division abbreviation instead of numeric org code.</t>
        </r>
      </text>
    </comment>
    <comment ref="C13" authorId="0" shapeId="0">
      <text>
        <r>
          <rPr>
            <b/>
            <sz val="10"/>
            <color indexed="9"/>
            <rFont val="Corbel"/>
            <family val="2"/>
          </rPr>
          <t>4-digit program element code.</t>
        </r>
      </text>
    </comment>
    <comment ref="C14"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15" authorId="0" shapeId="0">
      <text>
        <r>
          <rPr>
            <b/>
            <sz val="10"/>
            <color indexed="9"/>
            <rFont val="Corbel"/>
            <family val="2"/>
          </rPr>
          <t>4-digit object class.  Common possibilities
 4101 - Personnel Mobility
 4110 - Research Grants
 4118 - SBIR Grant
 4144 - Equipment Grant
 4160 - Conference</t>
        </r>
      </text>
    </comment>
    <comment ref="C16" authorId="0" shapeId="0">
      <text>
        <r>
          <rPr>
            <b/>
            <sz val="10"/>
            <color indexed="9"/>
            <rFont val="Corbel"/>
            <family val="2"/>
          </rPr>
          <t>%Medium%  or %GOALI% can be used to restrict proposals to those that follow title conventions; ~%GOALI% to exclude.</t>
        </r>
      </text>
    </comment>
    <comment ref="C17" authorId="0" shapeId="0">
      <text>
        <r>
          <rPr>
            <b/>
            <sz val="10"/>
            <color indexed="9"/>
            <rFont val="Corbel"/>
            <family val="2"/>
          </rPr>
          <t>4-digit PRCs. The PRC table doesn't have an index, so this query slow; use a narrow date range</t>
        </r>
      </text>
    </comment>
    <comment ref="C18"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DROP TABLE #myPidRAt_x000d__x000a_SET NOCOUNT ON _x000d__x000a_CREATE TABLE #myPidRAt (lead_prop_id char(7) null, prop_id char(7), pi_id char(9), inst_id char(10), PO char(7), RAtemplate varchar(63))_x000d__x000a_INSERT INTO #myPidRAt SELECT DISTINCT prop.lead_prop_id, prop.prop_id, prop.pi_id, prop.inst_id, prop.pm_ibm_logn_id as PO, _x000d__x000a_ '' as RAtemplate FROM csd.prop prop WHERE prop_stts_code like '0[01289]' AND prop_id IN ('1757858','1757916','1757964','1757929','1757908','1757945')_x000d_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b.frgn_trav_tot, a.abst_narr_txt, prop_stts_txt, prop.prop_titl_txt,_x000d__x000a_prop.rqst_eff_date,prop.rqst_mnth_cnt,_x000d__x000a_b.RN as brevn,p.D AS rqst_tot, b.T as budg_tot, _x000d__x000a_(SELECT budg_tot_dol FROM #myBudg e WHERE e.prop_id = p.prop_id AND budg_seq_yr = 1) as y1_tot,_x000d__x000a_nullif((SELECT budg_tot_dol FROM #myBudg e WHERE e.prop_id = p.prop_id AND budg_seq_yr = 2),0) as y2_tot,_x000d__x000a_nullif((SELECT budg_tot_dol FROM #myBudg e WHERE e.prop_id = p.prop_id AND budg_seq_yr = 3),0) as y3_tot,_x000d__x000a_nullif((SELECT budg_tot_dol FROM #myBudg e WHERE e.prop_id = p.prop_id AND budg_seq_yr = 4),0) as y4_tot,_x000d__x000a_nullif((SELECT budg_tot_dol FROM #myBudg e WHERE e.prop_id = p.prop_id AND budg_seq_yr = 5),0) as y5_tot,_x000d__x000a_nullif((SELECT budg_tot_dol FROM #myBudg e WHERE e.prop_id = p.prop_id AND budg_seq_yr = 6),0) as y6_tot,_x000d__x000a_b.sub_ctr_tot, b.pdoc_tot,b.part_tot_dol, b.grad_tot_cnt, _x000d__x000a_b.sr_tot_cnt, b.sr_sumr_mnths, b.sr_acad_mnths, b.sr_cal_mnths, 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RAt, #myProp, #myLead, #myRA, #myPRCs, #myPRCdata DROP TABLE #myBudg, #myPropBudg, #myPropInfo DROP TABLE #myCtry, #myCovrInfo"/>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DROP TABLE #myPidRAt_x000d__x000a_SET NOCOUNT ON _x000d__x000a_CREATE TABLE #myPidRAt (lead_prop_id char(7) null, prop_id char(7), pi_id char(9), inst_id char(10), PO char(7), RAtemplate varchar(63))_x000d__x000a_INSERT INTO #myPidRAt SELECT DISTINCT prop.lead_prop_id, prop.prop_id, prop.pi_id, prop.inst_id, prop.pm_ibm_logn_id as PO, _x000d__x000a_ '' as RAtemplate FROM csd.prop prop WHERE prop_stts_code like '0[01289]' AND prop_id IN ('1757858','1757916','1757964','1757929','1757908','1757945')_x000d_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Needs: RA_lead(#myProp), RA_propPRCs(#myPRCs), RA_budg(#mBudg)_x000d__x000a_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RAt, #myProp, #myLead, #myRA, #myPRCs, #myPRCdata DROP TABLE #myBudg"/>
  </connection>
  <connection id="3" name="Coding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p.D AS rqst_tot, NfmlPIs,NhispPIs,NhndcpPIs,NnonWhtAsnPIs,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RevSumm rs ON rs.lead = p.prop_id_x000d__x000a_LEFT JOIN #myRevMarks rv ON rv.lead = p.prop_id_x000d__x000a_LEFT JOIN #myProjPanlSumm pl ON pl.lead = p.prop_id_x000d__x000a_ORDER BY p.lead, p.ILN, p.prop_id_x000d__x000a__x000d__x000a_DROP TABLE #myPidRAt, #myProp, #myLead, #myRA, #myPRCs, #myPRCdata DROP TABLE #myRevs, #myRevPanl, #myRevMarks, #myRevSumm _x000d__x000a_DROP TABLE #myBudg, #myPropBudg, #myPropInfo DROP TABLE #myPPConfl, #myPanl, #myProjPanl, #myProjPanlSumm"/>
  </connection>
  <connection id="4" name="Conflict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idRAt, #myProp, #myLead, #myRA"/>
  </connection>
  <connection id="5" name="PECGlossary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FLflpdb.flp.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RAt, #myProp, #myLead, #myRA"/>
  </connection>
  <connection id="6" name="PRCGlossary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NON-PUBLIC TABLE: csd.pgm_ref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RAt, #myProp, #myLead, #myRA DROP TABLE #myPRCs, #myPRCdata"/>
  </connection>
  <connection id="7" name="ProjTextQuery" type="1" refreshedVersion="6"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RAt, #myProp, #myLead, #myRA DROP TABLE #myRevInfo, #mySumm"/>
  </connection>
  <connection id="8" name="RAMailMerge"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9-nullif(avg_score,0))/2000 AS RecRkMin, pn0.RA as rec0, pn1.RA as rec1, pn2.RA as rec2, _x000d__x000a_pid.RAtemplate, org.dir_div_abbr as Div, p.lead, Nrev,Nunmkd,minScore,avg_score,maxScore,allReviews,rs.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myPidRAt pid ON pid.prop_id = p.lead_x000d__x000a_JOIN csd.prop prop ON prop.prop_id = p.lead_x000d__x000a_JOIN FLflpdb.flp.org org ON org.org_code = prop.org_code_x000d__x000a_LEFT JOIN FLflpdb.flp.org o2 ON o2.org_code =left(prop.org_code,2)+'000000' _x000d__x000a_LEFT JOIN FLflpdb.flp.pgm_ele pe ON pe.pgm_ele_code = prop.pgm_ele_code_x000d__x000a_LEFT JOIN csd.pgm_annc pa ON pa.pgm_annc_id = prop.pgm_annc_id_x000d__x000a_--JOIN FLflpdb.flp.obj_clas_par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 --,'Object Class full name'_x000d__x000a_,'DIR','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_x000d__x000a_DROP TABLE #myPidRAt, #myProp, #myLead, #myRA, #myPRCs, #myPRCdata, #myBudg, #myPropBudg, #myPropInfo, #myRevs, #myRevPanl, #myRevMarks, #myRevSumm _x000d__x000a_DROP TABLE #myPPConfl, #myPanl, #myProjPanl, #myProjPanlSumm DROP TABLE #myDmog"/>
  </connection>
  <connection id="9" name="SplitsQuery" type="1" refreshedVersion="6" background="1" saveData="1">
    <dbPr connection="dsn=RPTSERVER;database=rptdb;server=RPTSQL.nsf.gov;port=5000;UID=ccfuser;" command="--DROP TABLE #myPidRAt_x000d__x000a_SET NOCOUNT ON _x000d__x000a_CREATE TABLE #myPidRAt (lead_prop_id char(7) null, prop_id char(7), pi_id char(9), inst_id char(10), PO char(7), RAtemplate varchar(63))_x000d__x000a_INSERT INTO #myPidRAt SELECT DISTINCT prop.lead_prop_id, prop.prop_id, prop.pi_id, prop.inst_id, prop.pm_ibm_logn_id as PO, _x000d__x000a_ '' as RAtemplate FROM csd.prop prop WHERE prop_stts_code like '0[01289]' AND prop_id IN ('1757858','1757916','1757964','1757929','1757908','1757945')_x000d_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RAt, #myProp, #myLead, #myRA, #myPRCs, #myPRCdata DROP TABLE #myBudg, #myPropBudg, #myPropInfo DROP TABLE #myBSprc"/>
  </connection>
</connections>
</file>

<file path=xl/sharedStrings.xml><?xml version="1.0" encoding="utf-8"?>
<sst xmlns="http://schemas.openxmlformats.org/spreadsheetml/2006/main" count="666" uniqueCount="535">
  <si>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</si>
  <si>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</si>
  <si>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</si>
  <si>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</si>
  <si>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</si>
  <si>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</si>
  <si>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</si>
  <si>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</si>
  <si>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</si>
  <si>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</si>
  <si>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</si>
  <si>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</si>
  <si>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</si>
  <si>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</si>
  <si>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</si>
  <si>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</si>
  <si>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</si>
  <si>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</si>
  <si>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</si>
  <si>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</si>
  <si>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</si>
  <si>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</si>
  <si>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</si>
  <si>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</si>
  <si>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</si>
  <si>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</si>
  <si>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</si>
  <si>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</si>
  <si>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</si>
  <si>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</si>
  <si>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</si>
  <si>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</si>
  <si>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</si>
  <si>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</si>
  <si>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</si>
  <si>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</si>
  <si>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</si>
  <si>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</si>
  <si>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</si>
  <si>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</si>
  <si>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</si>
  <si>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</si>
  <si>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</si>
  <si>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</si>
  <si>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</si>
  <si>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</si>
  <si>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</si>
  <si>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</si>
  <si>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</si>
  <si>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</si>
  <si>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</si>
  <si>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</si>
  <si>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</si>
  <si>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</si>
  <si>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</si>
  <si>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</si>
  <si>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</si>
  <si>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</si>
  <si>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</si>
  <si>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</si>
  <si>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</si>
  <si>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</si>
  <si>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</si>
  <si>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</si>
  <si>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</si>
  <si>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</si>
  <si>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</si>
  <si>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</si>
  <si>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</si>
  <si>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</si>
  <si>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</si>
  <si>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</si>
  <si>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</si>
  <si>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</si>
  <si>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</si>
  <si>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</si>
  <si>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</si>
  <si>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</si>
  <si>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</si>
  <si>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</si>
  <si>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</si>
  <si>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</si>
  <si>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</si>
  <si>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</si>
  <si>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</si>
  <si>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</si>
  <si>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</si>
  <si>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</si>
  <si>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</si>
  <si>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</si>
  <si>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</si>
  <si>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</si>
  <si>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</si>
  <si>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</si>
  <si>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</si>
  <si>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</si>
  <si>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</si>
  <si>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</si>
  <si>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</si>
  <si>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</si>
  <si>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</si>
  <si>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</si>
  <si>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</si>
  <si>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</si>
  <si>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</si>
  <si>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</si>
  <si>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</si>
  <si>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</si>
  <si>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</si>
  <si>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</si>
  <si>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</si>
  <si>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</si>
  <si>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</si>
  <si>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</si>
  <si>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</si>
  <si>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</si>
  <si>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</si>
  <si>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</si>
  <si>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</si>
  <si>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</si>
  <si>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</si>
  <si>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</si>
  <si>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</si>
  <si>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</si>
  <si>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</si>
  <si>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</si>
  <si>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</si>
  <si>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</si>
  <si>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</si>
  <si>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</si>
  <si>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</si>
  <si>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</si>
  <si>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</si>
  <si>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</si>
  <si>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</si>
  <si>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</si>
  <si>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</si>
  <si>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</si>
  <si>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</si>
  <si>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</si>
  <si>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</si>
  <si>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</si>
  <si>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</si>
  <si>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</si>
  <si>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</si>
  <si>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</si>
  <si>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</si>
  <si>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</si>
  <si>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</si>
  <si>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</si>
  <si>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</si>
  <si>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</si>
  <si>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</si>
  <si>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</si>
  <si>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</si>
  <si>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</si>
  <si>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</si>
  <si>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</si>
  <si>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</si>
  <si>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</si>
  <si>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</si>
  <si>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</si>
  <si>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</si>
  <si>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</si>
  <si>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</si>
  <si>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</si>
  <si>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</si>
  <si>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</si>
  <si>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</si>
  <si>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</si>
  <si>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</si>
  <si>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</si>
  <si>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</si>
  <si>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</si>
  <si>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</si>
  <si>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</si>
  <si>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</si>
  <si>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</si>
  <si>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</si>
  <si>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Standard Declines: autoloaded to eJacket</t>
  </si>
  <si>
    <t>international?</t>
  </si>
  <si>
    <t>Revs &amp; Panl release</t>
  </si>
  <si>
    <t>Human &amp; Vertibrate</t>
  </si>
  <si>
    <t>demographics</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</si>
  <si>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</si>
  <si>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</si>
  <si>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</si>
  <si>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</si>
  <si>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</si>
  <si>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</si>
  <si>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</si>
  <si>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</si>
  <si>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</si>
  <si>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</si>
  <si>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</si>
  <si>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</si>
  <si>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</si>
  <si>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</si>
  <si>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</si>
  <si>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</si>
  <si>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</si>
  <si>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</si>
  <si>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</si>
  <si>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</si>
  <si>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</si>
  <si>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</si>
  <si>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</si>
  <si>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</si>
  <si>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</si>
  <si>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</si>
  <si>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</si>
  <si>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</si>
  <si>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</si>
  <si>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</si>
  <si>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</si>
  <si>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</si>
  <si>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</si>
  <si>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</si>
  <si>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</si>
  <si>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</si>
  <si>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</si>
  <si>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</si>
  <si>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</si>
  <si>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</si>
  <si>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</si>
  <si>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</si>
  <si>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</si>
  <si>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</si>
  <si>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</si>
  <si>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</si>
  <si>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</si>
  <si>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</si>
  <si>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</si>
  <si>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</si>
  <si>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</si>
  <si>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</si>
  <si>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</si>
  <si>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</si>
  <si>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</si>
  <si>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</si>
  <si>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</si>
  <si>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</si>
  <si>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</si>
  <si>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</si>
  <si>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</si>
  <si>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</si>
  <si>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</si>
  <si>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</si>
  <si>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</si>
  <si>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</si>
  <si>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</si>
  <si>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</si>
  <si>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</si>
  <si>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</si>
  <si>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</si>
  <si>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</si>
  <si>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</si>
  <si>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</si>
  <si>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</si>
  <si>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</si>
  <si>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</si>
  <si>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</si>
  <si>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</si>
  <si>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</si>
  <si>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</si>
  <si>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</si>
  <si>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</si>
  <si>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</si>
  <si>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</si>
  <si>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</si>
  <si>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</si>
  <si>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</si>
  <si>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</si>
  <si>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</si>
  <si>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</si>
  <si>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</si>
  <si>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</si>
  <si>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</si>
  <si>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</si>
  <si>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</si>
  <si>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</si>
  <si>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</si>
  <si>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</si>
  <si>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</si>
  <si>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</si>
  <si>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</si>
  <si>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</si>
  <si>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</si>
  <si>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</si>
  <si>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</si>
  <si>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</si>
  <si>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</si>
  <si>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</si>
  <si>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</si>
  <si>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</si>
  <si>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</si>
  <si>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</si>
  <si>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</si>
  <si>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</si>
  <si>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</si>
  <si>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</si>
  <si>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</si>
  <si>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Nconfl</t>
  </si>
  <si>
    <t>hum_asur</t>
  </si>
  <si>
    <t>HUM_EXPT</t>
  </si>
  <si>
    <t>vrtb_asur</t>
  </si>
  <si>
    <t>pObj</t>
  </si>
  <si>
    <t>bObj</t>
  </si>
  <si>
    <t>@ pi</t>
  </si>
  <si>
    <t>Column Labels</t>
  </si>
  <si>
    <t>Grand Total</t>
  </si>
  <si>
    <t>Sum of budg_splt_tot_dol</t>
  </si>
  <si>
    <t>Row Labels</t>
  </si>
  <si>
    <t>wmd</t>
  </si>
  <si>
    <t>epscor</t>
  </si>
  <si>
    <t>dmog</t>
  </si>
  <si>
    <t>titl_ck</t>
  </si>
  <si>
    <t>RAsigner2</t>
  </si>
  <si>
    <t>ej</t>
  </si>
  <si>
    <t>@pi</t>
  </si>
  <si>
    <t>@allPIs</t>
  </si>
  <si>
    <t>ckAwd</t>
  </si>
  <si>
    <t>ckCoding</t>
  </si>
  <si>
    <t>Coding for lead &amp; non-lead</t>
  </si>
  <si>
    <t>RAData</t>
  </si>
  <si>
    <t>Abstr?marks</t>
  </si>
  <si>
    <t>Where to find:</t>
  </si>
  <si>
    <t>Customize RA draft signer</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</si>
  <si>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</si>
  <si>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</si>
  <si>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</si>
  <si>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</si>
  <si>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</si>
  <si>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</si>
  <si>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</si>
  <si>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</si>
  <si>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</si>
  <si>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</si>
  <si>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</si>
  <si>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</si>
  <si>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</si>
  <si>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</si>
  <si>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</si>
  <si>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Obj</t>
  </si>
  <si>
    <t>RAps_note</t>
  </si>
  <si>
    <t>divergentReviews</t>
  </si>
  <si>
    <t>Revised budget totals by year</t>
  </si>
  <si>
    <t>PEC Glossary; program element codes on proposals</t>
  </si>
  <si>
    <t>PEC_Description</t>
  </si>
  <si>
    <t>Glossaries of PRC/PECs used</t>
  </si>
  <si>
    <t>RA_PECglossary</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</si>
  <si>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</si>
  <si>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</si>
  <si>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</si>
  <si>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</si>
  <si>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</si>
  <si>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</si>
  <si>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</si>
  <si>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</si>
  <si>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</si>
  <si>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</si>
  <si>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</si>
  <si>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</si>
  <si>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</si>
  <si>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</si>
  <si>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</si>
  <si>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</si>
  <si>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</si>
  <si>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</si>
  <si>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</si>
  <si>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</si>
  <si>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</si>
  <si>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</si>
  <si>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</si>
  <si>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</si>
  <si>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</si>
  <si>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</si>
  <si>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</si>
  <si>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</si>
  <si>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 xml:space="preserve">Here is what to do:  </t>
  </si>
  <si>
    <t>restrict prop status:</t>
  </si>
  <si>
    <t>Check affiliations for these reviewers with listed conflicts</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</si>
  <si>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</si>
  <si>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</si>
  <si>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</si>
  <si>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</si>
  <si>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</si>
  <si>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RA_allRAdata2</t>
  </si>
  <si>
    <t>revr_id</t>
  </si>
  <si>
    <t>inst_shrt_name</t>
  </si>
  <si>
    <t>Panelist</t>
  </si>
  <si>
    <t>conflrev0</t>
  </si>
  <si>
    <t>conflrev1</t>
  </si>
  <si>
    <t>conflrev2</t>
  </si>
  <si>
    <t>usu. R: or local:</t>
  </si>
  <si>
    <t>paste values:</t>
  </si>
  <si>
    <t>Conflict</t>
  </si>
  <si>
    <t>If Std Declines have Es</t>
  </si>
  <si>
    <t>Reviewers with some conflict</t>
  </si>
  <si>
    <r>
      <rPr>
        <b/>
        <sz val="11"/>
        <rFont val="Calibri"/>
        <family val="2"/>
        <scheme val="minor"/>
      </rPr>
      <t>RoboRA</t>
    </r>
    <r>
      <rPr>
        <sz val="11"/>
        <rFont val="Calibri"/>
        <family val="2"/>
        <scheme val="minor"/>
      </rPr>
      <t xml:space="preserve"> fills RA drafts from reportserver &amp; shows coding and project review documents.</t>
    </r>
  </si>
  <si>
    <t>Std NC-LC RAt.docx</t>
  </si>
  <si>
    <t>Std Decline RAt.docx</t>
  </si>
  <si>
    <t>0. Select output folder for filled-in RA drafts.</t>
  </si>
  <si>
    <r>
      <t xml:space="preserve">Welcome to </t>
    </r>
    <r>
      <rPr>
        <b/>
        <sz val="18"/>
        <color theme="1"/>
        <rFont val="Palatino Linotype"/>
        <family val="1"/>
      </rPr>
      <t>RoboRA!</t>
    </r>
  </si>
  <si>
    <t xml:space="preserve">you can return to this "Prefs" tab if you change your mind later. </t>
  </si>
  <si>
    <t xml:space="preserve">--Needs: RA_lead(#myProp) _x000D_
SELECT p.pgm_ele_code AS PEC, pec.pgm_ele_name AS PEC_Description_x000D_
FROM (SELECT DISTINCT pgm_ele_code FROM #myProp pid _x000D_
JOIN csd.prop p ON p.prop_id = pid.prop_id) p_x000D_
JOIN FLflpdb.flp.pgm_ele pec ON pec.pgm_ele_code = p.pgm_ele_code_x000D_
ORDER BY PEC_x000D_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</si>
  <si>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+_x000D_
    MAX( CASE pa.seq WHEN 7 THEN ' ' + pa.prop_atr_code ELSE '' END ) +_x000D_
    MAX( CASE pa.seq WHEN 8 THEN ' ' + pa.prop_atr_code ELSE '' END ) +_x000D_
    MAX( CASE pa.seq WHEN 9 THEN ' ' + pa.prop_atr_code ELSE '' END ) +_x000D_
    MAX( CASE pa.seq WHEN 10 THEN ' ' + pa.prop_atr_code ELSE '' END )) AS R_x000D_
INTO #myPRCs_x000D_
FROM #myPRCdata pa _x000D_
GROUP BY prop_id_x000D_
DROP TABLE #myPRCStart_x000D_
CREATE INDEX myPRCs_ix ON #myPRCs(prop_id)_x000D_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</si>
  <si>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END)),1,1,'')) AS V, _x000D_
MAX(r.rev_rtrn_date) AS last_rev_date_x000D_
INTO #myRevPanl FROM #myRevs r WHERE confl = 0_x000D_
GROUP BY lead, panl_id_x000D_
CREATE INDEX myRevPanl_ix ON #myRevPanl(lead, panl_id)_x000D_
</t>
  </si>
  <si>
    <t xml:space="preserve">--NON-PUBLIC TABLE: csd.pgm_ref_x000D_
--Needs: RA_lead, RA_propPRCs(#myPRCdata)_x000D_
SELECT p.prop_atr_code AS PRC, prc.pgm_ref_txt AS PRC_Description_x000D_
FROM (SELECT DISTINCT prop_atr_code FROM #myPRCdata) p_x000D_
JOIN csd.pgm_ref prc ON prc.pgm_ref_code = p.prop_atr_code_x000D_
ORDER BY PRC_x000D_
</t>
  </si>
  <si>
    <t>RA_no_PRC</t>
  </si>
  <si>
    <t xml:space="preserve">--Needs: RA_lead, RA_propPRCs(#myPRCdata)_x000D_
SELECT p.prop_atr_code AS PRC, 'table rptdb.csd.pgm_ref missing at install' AS PRC_Description_x000D_
FROM (SELECT DISTINCT prop_atr_code FROM #myPRCdata) p_x000D_
ORDER BY PRC_x000D_
</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</si>
  <si>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</si>
  <si>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div/pgm</t>
  </si>
  <si>
    <t>default RAtemplate folder</t>
  </si>
  <si>
    <t>CISE</t>
  </si>
  <si>
    <t>ENG CBET</t>
  </si>
  <si>
    <t>any</t>
  </si>
  <si>
    <t>\\collaboration.inside.nsf.gov@SSL\DavWWWRoot\eng\meritreview\SiteAssets\ENG Tools Websites and Best Practices\RoboRA\RAtemplates\</t>
  </si>
  <si>
    <t>\\collaboration.inside.nsf.gov@SSL\DavWWWRoot\eng\meritreview\SiteAssets\ENG Tools Websites and Best Practices\RoboRA\CISE RAtemplates\</t>
  </si>
  <si>
    <t>\\collaboration.inside.nsf.gov@SSL\DavWWWRoot\eng\meritreview\SiteAssets\ENG Tools Websites and Best Practices\RoboRA\CBET RAtemplates\</t>
  </si>
  <si>
    <t xml:space="preserve">           &lt;-- Have reportserver password ready; check "Remember Me" to save it.</t>
  </si>
  <si>
    <t>2. Specify folders for RA templates: base (required) and customized (optional)</t>
  </si>
  <si>
    <t xml:space="preserve">The folder of base RA templates may come from your div/pgm/solicitation. </t>
  </si>
  <si>
    <t>b. Click Change and locate a folder shared with you, or</t>
  </si>
  <si>
    <t>c. Use the general RAtemplate folder ("any") already selected below.</t>
  </si>
  <si>
    <t xml:space="preserve">Either:  </t>
  </si>
  <si>
    <t>for Mac:</t>
  </si>
  <si>
    <t>for PC:</t>
  </si>
  <si>
    <t>for both</t>
  </si>
  <si>
    <t>Base templates will be copied for you to edit.</t>
  </si>
  <si>
    <t>If you want to customize the base RA templates, select a personal RA templates folder</t>
  </si>
  <si>
    <t>2. Names beginning with Std are autoloaded to eJacket; with Awd are awards.</t>
  </si>
  <si>
    <t>Note: You may add additional templates with two naming conventions:</t>
  </si>
  <si>
    <t>1. Template file names must end in RAt.docx  (capitalization matters)</t>
  </si>
  <si>
    <t xml:space="preserve">http://www.epscorideacoalition.org/legislative-action/nsf-epscor-fy-2017 </t>
  </si>
  <si>
    <t>MO graduated FY'18</t>
  </si>
  <si>
    <t>IA,TN,UT graduated FY'17</t>
  </si>
  <si>
    <t xml:space="preserve">You can ignore this now, because it is on both the RoboRA &amp; Advanced interface tabs, </t>
  </si>
  <si>
    <t>Choose/create a folder on VDI R: drive, which is your Mac's personal drive.</t>
  </si>
  <si>
    <t xml:space="preserve">but if you know where you want the output folder, you can choose or create it:  </t>
  </si>
  <si>
    <t>I suggest trying the Word RA drafts, since they can upload themselves,</t>
  </si>
  <si>
    <t>but if you prefer to complete RAs in the eJacket browser, check this box.</t>
  </si>
  <si>
    <t>Choose R:\RAtemplates and you can edit on your Mac's personal drive.</t>
  </si>
  <si>
    <t xml:space="preserve">R: for backup, or a local drive or USB stick for off-line, shared drive for others... </t>
  </si>
  <si>
    <t>Start in RoboRA if you have prop_ids for Awd, Decline, Std Decline, etc.</t>
  </si>
  <si>
    <t>Start in Advanced to select props by panels, PDs, programs, solicitations, etc.</t>
  </si>
  <si>
    <t>If eJacket can't keep up, increase delay number.</t>
  </si>
  <si>
    <r>
      <t>delay</t>
    </r>
    <r>
      <rPr>
        <sz val="10"/>
        <color theme="5" tint="-0.499984740745262"/>
        <rFont val="Calibri"/>
        <family val="2"/>
        <scheme val="minor"/>
      </rPr>
      <t xml:space="preserve"> (Might need to increase on a slow VDI/Citrix connection.)</t>
    </r>
  </si>
  <si>
    <r>
      <t xml:space="preserve">4. Who is signing these RA drafts? </t>
    </r>
    <r>
      <rPr>
        <sz val="11"/>
        <color theme="5" tint="-0.499984740745262"/>
        <rFont val="Palatino Linotype"/>
        <family val="1"/>
      </rPr>
      <t>(Probably leave as PD = managing pgm. dir.)</t>
    </r>
  </si>
  <si>
    <r>
      <t xml:space="preserve">5. Autoloading to eJacket: </t>
    </r>
    <r>
      <rPr>
        <sz val="11"/>
        <color theme="5" tint="-0.499984740745262"/>
        <rFont val="Palatino Linotype"/>
        <family val="1"/>
      </rPr>
      <t>(RAs like Std***RAt.docx are uploaded directly)</t>
    </r>
  </si>
  <si>
    <t xml:space="preserve">Please set your preferences the first time you start RoboRA; </t>
  </si>
  <si>
    <t>SET QUERY PARAMETERS</t>
  </si>
  <si>
    <t>RA_budg</t>
  </si>
  <si>
    <t xml:space="preserve">-- Needs: RA_lead(#myProp)_x000D_
--DROP TABLE #myBudg_x000D_
SELECT p.lead, p.prop_id, eb.revn_num, eb.budg_seq_yr, eb.budg_tot_dol,_x000D_
sub_ctr_dol, frgn_trav_dol, pdoc_grnt_dol, part_dol, grad_pers_tot_cnt,_x000D_
sr_pers_cnt,sr_summ_mnth_cnt,sr_acad_mnth_cnt, sr_cal_mnth_cnt_x000D_
INTO #myBudg FROM #myProp p_x000D_
JOIN csd.eps_blip eb ON eb.prop_id = p.prop_id _x000D_
    AND NOT EXISTS (SELECT eb1.revn_num FROM csd.eps_blip eb1 WHERE eb.prop_id = eb1.prop_id AND eb.revn_num &lt; eb1.revn_num)_x000D_
ORDER BY prop_id, budg_seq_yr_x000D_
CREATE INDEX myBudg_idx ON #myBudg(prop_id, budg_seq_yr)_x000D_
</t>
  </si>
  <si>
    <t xml:space="preserve">-- Needs: RA_lead(#myProp), RA_propPRCs(#myPRCs), RA_budg(#myBudg)_x000D_
--DROP TABLE #myPropBudg, #myPropInfo_x000D_
SELECT p.prop_id, eb.revn_num as RN, SUM(eb.budg_tot_dol) as T,_x000D_
 nullif(SUM(sub_ctr_dol),0) AS sub_ctr_tot, nullif(SUM(frgn_trav_dol),0) AS frgn_trav_tot, nullif(SUM(pdoc_grnt_dol),0) AS pdoc_tot,nullif(SUM(part_dol),0)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#myBudg eb ON p.prop_id = eb.prop_id 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</si>
  <si>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b.frgn_trav_tot, a.abst_narr_txt, prop_stts_txt, prop.prop_titl_txt,_x000D_
prop.rqst_eff_date,prop.rqst_mnth_cnt,_x000D_
b.RN as brevn,p.D AS rqst_tot, b.T as budg_tot, _x000D_
(SELECT budg_tot_dol FROM #myBudg e WHERE e.prop_id = p.prop_id AND budg_seq_yr = 1) as y1_tot,_x000D_
nullif((SELECT budg_tot_dol FROM #myBudg e WHERE e.prop_id = p.prop_id AND budg_seq_yr = 2),0) as y2_tot,_x000D_
nullif((SELECT budg_tot_dol FROM #myBudg e WHERE e.prop_id = p.prop_id AND budg_seq_yr = 3),0) as y3_tot,_x000D_
nullif((SELECT budg_tot_dol FROM #myBudg e WHERE e.prop_id = p.prop_id AND budg_seq_yr = 4),0) as y4_tot,_x000D_
nullif((SELECT budg_tot_dol FROM #myBudg e WHERE e.prop_id = p.prop_id AND budg_seq_yr = 5),0) as y5_tot,_x000D_
nullif((SELECT budg_tot_dol FROM #myBudg e WHERE e.prop_id = p.prop_id AND budg_seq_yr = 6),0) as y6_tot,_x000D_
b.sub_ctr_tot, b.pdoc_tot,b.part_tot_dol, b.grad_tot_cnt, _x000D_
b.sr_tot_cnt, b.sr_sumr_mnths, b.sr_acad_mnths, b.sr_cal_mnths, 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</si>
  <si>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RA_lead(#myProp), RA_propPRCs(#myPRCs), RA_budg(#mBudg)_x000D_
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</si>
  <si>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RoboRA Advanced</t>
  </si>
  <si>
    <t>6. Optional: specify folder to save filled-in RA drafts and project review documents.</t>
  </si>
  <si>
    <r>
      <t xml:space="preserve">3. Where to install your personal copy of RoboRA </t>
    </r>
    <r>
      <rPr>
        <sz val="11"/>
        <color theme="5" tint="-0.499984740745262"/>
        <rFont val="Palatino Linotype"/>
        <family val="1"/>
      </rPr>
      <t>(or just Save As...)</t>
    </r>
  </si>
  <si>
    <r>
      <t>and</t>
    </r>
    <r>
      <rPr>
        <b/>
        <sz val="11"/>
        <color rgb="FF002060"/>
        <rFont val="Calibri"/>
        <family val="2"/>
        <scheme val="minor"/>
      </rPr>
      <t xml:space="preserve"> not</t>
    </r>
    <r>
      <rPr>
        <sz val="11"/>
        <color rgb="FF002060"/>
        <rFont val="Calibri"/>
        <family val="2"/>
        <scheme val="minor"/>
      </rPr>
      <t xml:space="preserve"> on Sharepoint or OneDrive, which are accessed by http:</t>
    </r>
  </si>
  <si>
    <t>(MS support)</t>
  </si>
  <si>
    <t>Choose what to do if there is already text in the eJacket RA:</t>
  </si>
  <si>
    <r>
      <t xml:space="preserve">Welcome to </t>
    </r>
    <r>
      <rPr>
        <b/>
        <sz val="18"/>
        <color theme="1"/>
        <rFont val="Palatino Linotype"/>
        <family val="1"/>
      </rPr>
      <t>RoboRA on a Mac</t>
    </r>
  </si>
  <si>
    <t>http://remote.nsf.gov</t>
  </si>
  <si>
    <t xml:space="preserve"> R:, local, or shared drives all OK. (Templates are used when connected.)</t>
  </si>
  <si>
    <t>a. If yours is listed in the table above-right, click there, or</t>
  </si>
  <si>
    <r>
      <t xml:space="preserve">Here are the steps: </t>
    </r>
    <r>
      <rPr>
        <sz val="11"/>
        <color theme="5" tint="-0.499984740745262"/>
        <rFont val="Palatino Linotype"/>
        <family val="1"/>
      </rPr>
      <t>(As of Dec'17, there are PIV card oddities as they switch from RSA tokens...)</t>
    </r>
  </si>
  <si>
    <t>1. Click here:</t>
  </si>
  <si>
    <r>
      <t>You are seeing this because you are on a Mac and this RoboRA has no data yet</t>
    </r>
    <r>
      <rPr>
        <sz val="11"/>
        <color theme="5" tint="-0.499984740745262"/>
        <rFont val="Palatino Linotype"/>
        <family val="1"/>
      </rPr>
      <t xml:space="preserve"> (or you scrolled down farther than necessary.)</t>
    </r>
  </si>
  <si>
    <t xml:space="preserve">  so I'd like to port the PD-3PO family of tools in Jan '18.</t>
  </si>
  <si>
    <t xml:space="preserve">  if you have it, &amp; time to be a Mac tester, contact Jack Snoeyink.)</t>
  </si>
  <si>
    <t>Macs can use VDI/Citrix to run a Win 7 or Win 10 desktop to retrieve data and create RA drafts.</t>
  </si>
  <si>
    <t xml:space="preserve">At NSF, only PCs come with a native report server (rptsql.nsf.gov) connection; </t>
  </si>
  <si>
    <t>(Actually, NSF has approved OpenLink for rptsql queries on Mac;</t>
  </si>
  <si>
    <t>Drafts and data can then be used on the Mac; you need VDI/Citrix only to query.</t>
  </si>
  <si>
    <t>y1_tot</t>
  </si>
  <si>
    <t>y2_tot</t>
  </si>
  <si>
    <t>y3_tot</t>
  </si>
  <si>
    <t>y4_tot</t>
  </si>
  <si>
    <t>y5_tot</t>
  </si>
  <si>
    <t>y6_tot</t>
  </si>
  <si>
    <t xml:space="preserve">3. Choose the Virtual Desktop Interface (VDI), to launch Citrix.  The first time it will ask you to install the Citrix receiver. </t>
  </si>
  <si>
    <t xml:space="preserve">6. Start Excel from the PC Virtual Desktop, File&gt;Open, and paste the location you copied in step 5.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</si>
  <si>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p.D AS rqst_tot, NfmlPIs,NhispPIs,NhndcpPIs,NnonWhtAsnPIs,_x000D_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#myRevSumm rs ON rs.lead = p.prop_id_x000D_
LEFT JOIN #myRevMarks rv ON rv.lead = p.prop_id_x000D_
LEFT JOIN #myProjPanlSumm pl ON pl.lead = p.prop_id_x000D_
ORDER BY p.lead, p.ILN, p.prop_id_x000D_
</t>
  </si>
  <si>
    <r>
      <t xml:space="preserve">2. Ensure your PIV card is </t>
    </r>
    <r>
      <rPr>
        <b/>
        <sz val="11"/>
        <color theme="1"/>
        <rFont val="Palatino Linotype"/>
        <family val="1"/>
      </rPr>
      <t>not</t>
    </r>
    <r>
      <rPr>
        <sz val="11"/>
        <color theme="1"/>
        <rFont val="Palatino Linotype"/>
        <family val="1"/>
      </rPr>
      <t xml:space="preserve"> in its reader, lest Citrix get confused and just spin.</t>
    </r>
  </si>
  <si>
    <t>4. Click Desktop in the top bar, and launch either the Win 7 or Win 10 desktop, as you prefer.</t>
  </si>
  <si>
    <t xml:space="preserve">5. While you wait for a PC Virtual Desktop, read step 6 on the Mac and click the button below to close. </t>
  </si>
  <si>
    <t>(Reopen after the PC has filled RoboRA with data.)</t>
  </si>
  <si>
    <t>RA_pidRAt</t>
  </si>
  <si>
    <t xml:space="preserve">--DROP TABLE #myPidRAt_x000D_
SET NOCOUNT ON _x000D_
CREATE TABLE #myPidRAt (lead_prop_id char(7) null, prop_id char(7), pi_id char(9), inst_id char(10), PO char(7), RAtemplate varchar(63))_x000D_
</t>
  </si>
  <si>
    <t>RA_pidRAtSelect</t>
  </si>
  <si>
    <t xml:space="preserve">-- Needs: #myPidRAt_x000D_
-- DROP TABLE #myProp, #myLead, #myRA_x000D_
CREATE INDEX myPid_idx ON #myPidRAt(prop_id)_x000D_
INSERT INTO #myPidRAt SELECT DISTINCT p.lead_prop_id, p.prop_id, p.pi_id, p.inst_id, p.pm_ibm_logn_id as PO, pid.RAtemplate _x000D_
FROM #myPidRAt pid_x000D_
JOIN csd.prop p ON p.lead_prop_id = pid.lead_prop_id_x000D_
WHERE pid.lead_prop_id is not NULL  _x000D_
    AND NOT EXISTS (SELECT * FROM #myPidRAt px WHERE px.prop_id = p.prop_id AND px.RAtemplate = pid.RAtemplate)_x000D_
--get props_x000D_
--  prop.lead_prop_id, prop.pi_id, prop.inst_id, prop.pm_ibm_logn_id as PO, _x000D_
SELECT CASE WHEN p.lead_prop_id IS NULL THEN 'I' WHEN p.lead_prop_id &lt;&gt; p.prop_id THEN 'N' ELSE 'L' END AS ILN, _x000D_
  isnull(p.lead_prop_id,p.prop_id) AS lead, p.prop_id, p.pi_id, pi_last_name as L, pi_frst_name as F, _x000D_
  inst_shrt_name as I, inst.st_code, pi_emai_addr AS M, p.PO_x000D_
INTO #myProp FROM (SELECT DISTINCT lead_prop_id, prop_id, pi_id, inst_id, PO FROM #myPidRAt) p_x000D_
LEFT JOIN csd.pi_vw pi ON pi.pi_id = p.pi_id AND pi.prim_addr_flag='Y'_x000D_
LEFT JOIN csd.inst inst ON inst.inst_id = p.inst_id_x000D_
ORDER BY lead, ILN, p.prop_id_x000D_
CREATE INDEX myProp_idx ON #myProp(prop_id)_x000D_
--get leads_x000D_
SELECT p.ILN, p.PO, p.lead, p.L_x000D_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</si>
  <si>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fisc_yr</t>
  </si>
  <si>
    <t>ckAwd or Budgets</t>
  </si>
  <si>
    <t>Prefs or RAData</t>
  </si>
  <si>
    <t>above, Advanced, or Prefs</t>
  </si>
  <si>
    <t>Prefs</t>
  </si>
  <si>
    <r>
      <t xml:space="preserve">       in table at left and click </t>
    </r>
    <r>
      <rPr>
        <b/>
        <sz val="11"/>
        <color theme="5" tint="-0.499984740745262"/>
        <rFont val="Calibri"/>
        <family val="2"/>
        <scheme val="minor"/>
      </rPr>
      <t>Query.</t>
    </r>
  </si>
  <si>
    <r>
      <t xml:space="preserve">3. Click gather </t>
    </r>
    <r>
      <rPr>
        <b/>
        <sz val="11"/>
        <color theme="5" tint="-0.499984740745262"/>
        <rFont val="Calibri"/>
        <family val="2"/>
        <scheme val="minor"/>
      </rPr>
      <t>Review Docs</t>
    </r>
    <r>
      <rPr>
        <sz val="11"/>
        <color theme="5" tint="-0.499984740745262"/>
        <rFont val="Calibri"/>
        <family val="2"/>
        <scheme val="minor"/>
      </rPr>
      <t xml:space="preserve"> as PDF.</t>
    </r>
  </si>
  <si>
    <r>
      <t xml:space="preserve">       &amp; click Make Indicated </t>
    </r>
    <r>
      <rPr>
        <b/>
        <sz val="11"/>
        <color theme="5" tint="-0.499984740745262"/>
        <rFont val="Calibri"/>
        <family val="2"/>
        <scheme val="minor"/>
      </rPr>
      <t>RA Drafts</t>
    </r>
    <r>
      <rPr>
        <sz val="11"/>
        <color theme="5" tint="-0.499984740745262"/>
        <rFont val="Calibri"/>
        <family val="2"/>
        <scheme val="minor"/>
      </rPr>
      <t xml:space="preserve"> there.</t>
    </r>
  </si>
  <si>
    <t>Required: reportServer connection (PC on NSF network, Citrix Win Desktop, or Mac+openlink; divuser &amp; password.)</t>
  </si>
  <si>
    <r>
      <t xml:space="preserve">Make RA template selections </t>
    </r>
    <r>
      <rPr>
        <sz val="10"/>
        <rFont val="Calibri"/>
        <family val="2"/>
        <scheme val="minor"/>
      </rPr>
      <t>(above each table; see PREFS to update)</t>
    </r>
  </si>
  <si>
    <r>
      <t xml:space="preserve">Click in table to paste prop_id values </t>
    </r>
    <r>
      <rPr>
        <sz val="10"/>
        <rFont val="Calibri"/>
        <family val="2"/>
        <scheme val="minor"/>
      </rPr>
      <t>(Copy from Spend Plan, eJ MyWork,...)</t>
    </r>
  </si>
  <si>
    <t>Then</t>
  </si>
  <si>
    <t>Awd template</t>
  </si>
  <si>
    <t>Decline template</t>
  </si>
  <si>
    <t>Query the report server and check coding,</t>
  </si>
  <si>
    <t>Gather review docs if desired, and</t>
  </si>
  <si>
    <t>Make drafts on RAData tab.</t>
  </si>
  <si>
    <r>
      <t xml:space="preserve">Std are autoloaded to eJ. Complete drafts in Word (PC or Mac) &amp; </t>
    </r>
    <r>
      <rPr>
        <i/>
        <sz val="11"/>
        <color theme="5" tint="-0.499984740745262"/>
        <rFont val="Calibri"/>
        <family val="2"/>
        <scheme val="minor"/>
      </rPr>
      <t>CleanCopy</t>
    </r>
    <r>
      <rPr>
        <sz val="11"/>
        <color theme="5" tint="-0.499984740745262"/>
        <rFont val="Calibri"/>
        <family val="2"/>
        <scheme val="minor"/>
      </rPr>
      <t xml:space="preserve"> to eJacket.  </t>
    </r>
  </si>
  <si>
    <r>
      <rPr>
        <sz val="11"/>
        <color rgb="FF002060"/>
        <rFont val="Calibri"/>
        <family val="2"/>
        <scheme val="minor"/>
      </rPr>
      <t>Where to save filled-in RA drafts:</t>
    </r>
    <r>
      <rPr>
        <sz val="11"/>
        <color theme="1"/>
        <rFont val="Calibri"/>
        <family val="2"/>
        <scheme val="minor"/>
      </rPr>
      <t xml:space="preserve"> </t>
    </r>
    <r>
      <rPr>
        <sz val="11"/>
        <color theme="5" tint="-0.499984740745262"/>
        <rFont val="Calibri"/>
        <family val="2"/>
        <scheme val="minor"/>
      </rPr>
      <t>(other settings on PREFS)</t>
    </r>
  </si>
  <si>
    <r>
      <t xml:space="preserve">1. Test report server access and data table permissions: </t>
    </r>
    <r>
      <rPr>
        <sz val="11"/>
        <color theme="5" tint="-0.499984740745262"/>
        <rFont val="Palatino Linotype"/>
        <family val="1"/>
      </rPr>
      <t>(Do once.)</t>
    </r>
  </si>
  <si>
    <t>ENG CMMI</t>
  </si>
  <si>
    <t>\\collaboration.inside.nsf.gov@SSL\DavWWWRoot\eng\meritreview\SiteAssets\ENG Tools Websites and Best Practices\RoboRA\CMMI RAtemplates\</t>
  </si>
  <si>
    <t>Note: RA templates &amp; output can be anywhere; only the spreadsheet must be on a drive.</t>
  </si>
  <si>
    <r>
      <rPr>
        <b/>
        <sz val="11"/>
        <color rgb="FF002060"/>
        <rFont val="Calibri"/>
        <family val="2"/>
        <scheme val="minor"/>
      </rPr>
      <t>Important:</t>
    </r>
    <r>
      <rPr>
        <sz val="11"/>
        <color rgb="FF002060"/>
        <rFont val="Calibri"/>
        <family val="2"/>
        <scheme val="minor"/>
      </rPr>
      <t xml:space="preserve"> use R: or local drive.  As a mailmerge DataSource, RoboRA </t>
    </r>
    <r>
      <rPr>
        <b/>
        <sz val="11"/>
        <color rgb="FF002060"/>
        <rFont val="Calibri"/>
        <family val="2"/>
        <scheme val="minor"/>
      </rPr>
      <t>must</t>
    </r>
    <r>
      <rPr>
        <sz val="11"/>
        <color rgb="FF002060"/>
        <rFont val="Calibri"/>
        <family val="2"/>
        <scheme val="minor"/>
      </rPr>
      <t xml:space="preserve"> be on a drive</t>
    </r>
  </si>
  <si>
    <t>&lt;-- Click Refresh if you've made new templates that do not appear at right.</t>
  </si>
  <si>
    <t>Signature block:  PD=pgm dir name from eJ, blank=draft uploader, or the Name T. Use</t>
  </si>
  <si>
    <t>Note: The name/title for each RA draft can also be changed on the RAData tab.</t>
  </si>
  <si>
    <r>
      <rPr>
        <sz val="11"/>
        <rFont val="Calibri"/>
        <family val="2"/>
        <scheme val="minor"/>
      </rPr>
      <t>Choose folder to save filled-in RA drafts</t>
    </r>
    <r>
      <rPr>
        <sz val="11"/>
        <color theme="1"/>
        <rFont val="Calibri"/>
        <family val="2"/>
        <scheme val="minor"/>
      </rPr>
      <t/>
    </r>
  </si>
  <si>
    <t>hasE</t>
  </si>
  <si>
    <t>RAdraft_filename</t>
  </si>
  <si>
    <t xml:space="preserve">           &lt;-- click only if you want to customize the base RA templates</t>
  </si>
  <si>
    <t xml:space="preserve">            &lt;-- click to select where to save your copy of RoboRA</t>
  </si>
  <si>
    <t xml:space="preserve">SELECT DISTINCT prop.lead_prop_id, prop.prop_id, prop.pi_id, prop.inst_id, prop.pm_ibm_logn_id as PO, _x000D_
</t>
  </si>
  <si>
    <t>RAtemplate</t>
  </si>
  <si>
    <t>Email all PIs or just lead PI</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</si>
  <si>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isnull(RecRkMin,99)+(9-nullif(avg_score,0))/2000 AS RecRkMin, pn0.RA as rec0, pn1.RA as rec1, pn2.RA as rec2, _x000D_
pid.RAtemplate, org.dir_div_abbr as Div, p.lead, Nrev,Nunmkd,minScore,avg_score,maxScore,allReviews,rs.last_rev_date,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#myPidRAt pid ON pid.prop_id = p.lead_x000D_
JOIN csd.prop prop ON prop.prop_id = p.lead_x000D_
JOIN FLflpdb.flp.org org ON org.org_code = prop.org_code_x000D_
LEFT JOIN FLflpdb.flp.org o2 ON o2.org_code =left(prop.org_code,2)+'000000' _x000D_
LEFT JOIN FLflpdb.flp.pgm_ele pe ON pe.pgm_ele_code = prop.pgm_ele_code_x000D_
LEFT JOIN csd.pgm_annc pa ON pa.pgm_annc_id = prop.pgm_annc_id_x000D_
--JOIN FLflpdb.flp.obj_clas_pars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</si>
  <si>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 --,'Object Class full name'_x000D_
,'DIR','Directorate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</si>
  <si>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             &lt;-- click to select folder to save RA drafts &amp; review docs</t>
  </si>
  <si>
    <t xml:space="preserve">                    &lt;-- click to select folder to save RA drafts &amp; review docs</t>
  </si>
  <si>
    <t xml:space="preserve">             &lt;-- click to select folder for RA drafts &amp; review docs</t>
  </si>
  <si>
    <t>ccfuser</t>
  </si>
  <si>
    <t>Permissions tested OK, 08-Jan-18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</si>
</sst>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5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
      <sz val="11"/>
      <color theme="1"/>
      <name val="Palatino Linotype"/>
      <family val="1"/>
    </font>
    <font>
      <sz val="18"/>
      <color theme="1"/>
      <name val="Palatino Linotype"/>
      <family val="1"/>
    </font>
    <font>
      <b/>
      <sz val="18"/>
      <color theme="1"/>
      <name val="Palatino Linotype"/>
      <family val="1"/>
    </font>
    <font>
      <b/>
      <sz val="11"/>
      <color theme="1"/>
      <name val="Calibri"/>
      <family val="2"/>
      <scheme val="minor"/>
    </font>
    <font>
      <u/>
      <sz val="9"/>
      <color theme="10"/>
      <name val="Calibri"/>
      <family val="2"/>
      <scheme val="minor"/>
    </font>
    <font>
      <sz val="11"/>
      <color rgb="FF002060"/>
      <name val="Calibri"/>
      <family val="2"/>
      <scheme val="minor"/>
    </font>
    <font>
      <sz val="11"/>
      <color rgb="FF002060"/>
      <name val="Palatino Linotype"/>
      <family val="1"/>
    </font>
    <font>
      <b/>
      <u/>
      <sz val="11"/>
      <color theme="10"/>
      <name val="Calibri"/>
      <family val="2"/>
      <scheme val="minor"/>
    </font>
    <font>
      <sz val="11"/>
      <color theme="5" tint="-0.499984740745262"/>
      <name val="Palatino Linotype"/>
      <family val="1"/>
    </font>
    <font>
      <sz val="14"/>
      <color theme="1"/>
      <name val="Calibri"/>
      <family val="2"/>
      <scheme val="minor"/>
    </font>
    <font>
      <i/>
      <sz val="14"/>
      <color theme="1"/>
      <name val="Calibri"/>
      <family val="2"/>
      <scheme val="minor"/>
    </font>
    <font>
      <sz val="20"/>
      <color theme="1"/>
      <name val="Calibri"/>
      <family val="2"/>
      <scheme val="minor"/>
    </font>
    <font>
      <b/>
      <sz val="11"/>
      <color rgb="FF002060"/>
      <name val="Calibri"/>
      <family val="2"/>
      <scheme val="minor"/>
    </font>
    <font>
      <b/>
      <sz val="11"/>
      <color theme="1"/>
      <name val="Palatino Linotype"/>
      <family val="1"/>
    </font>
  </fonts>
  <fills count="7">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
      <patternFill patternType="solid">
        <fgColor theme="0" tint="-4.9989318521683403E-2"/>
        <bgColor indexed="64"/>
      </patternFill>
    </fill>
    <fill>
      <patternFill patternType="solid">
        <fgColor theme="0"/>
        <bgColor indexed="64"/>
      </patternFill>
    </fill>
  </fills>
  <borders count="24">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224">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0" fontId="1" fillId="0" borderId="0" xfId="0" applyFont="1" applyAlignment="1">
      <alignment horizontal="right"/>
    </xf>
    <xf numFmtId="0" fontId="14" fillId="0" borderId="0" xfId="0"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0" fontId="23" fillId="0" borderId="0" xfId="0" applyNumberFormat="1" applyFont="1" applyFill="1" applyAlignment="1" applyProtection="1">
      <alignment horizontal="left" vertical="center"/>
    </xf>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 fillId="0" borderId="0" xfId="0" applyFont="1" applyFill="1" applyAlignment="1">
      <alignment horizontal="left"/>
    </xf>
    <xf numFmtId="0" fontId="6" fillId="0" borderId="0" xfId="0" applyFont="1"/>
    <xf numFmtId="0" fontId="33" fillId="0" borderId="0" xfId="0" applyFont="1"/>
    <xf numFmtId="0" fontId="6" fillId="0" borderId="0" xfId="0" applyFont="1" applyAlignment="1">
      <alignment wrapText="1"/>
    </xf>
    <xf numFmtId="0" fontId="0" fillId="0" borderId="0" xfId="0" applyFill="1" applyAlignment="1">
      <alignment vertical="top"/>
    </xf>
    <xf numFmtId="0" fontId="36" fillId="0" borderId="0" xfId="0" applyFont="1"/>
    <xf numFmtId="0" fontId="37" fillId="0" borderId="0" xfId="0" applyFont="1"/>
    <xf numFmtId="0" fontId="40" fillId="0" borderId="0" xfId="1" applyFont="1"/>
    <xf numFmtId="0" fontId="45" fillId="0" borderId="0" xfId="0" applyFont="1" applyProtection="1">
      <protection locked="0"/>
    </xf>
    <xf numFmtId="49" fontId="45" fillId="0" borderId="0" xfId="0" quotePrefix="1" applyNumberFormat="1" applyFont="1" applyProtection="1">
      <protection locked="0"/>
    </xf>
    <xf numFmtId="49" fontId="45" fillId="0" borderId="0" xfId="0" applyNumberFormat="1" applyFont="1" applyProtection="1">
      <protection locked="0"/>
    </xf>
    <xf numFmtId="0" fontId="46" fillId="0" borderId="0" xfId="0" applyFont="1" applyProtection="1">
      <protection locked="0"/>
    </xf>
    <xf numFmtId="0" fontId="0" fillId="0" borderId="17" xfId="0" applyBorder="1"/>
    <xf numFmtId="0" fontId="0" fillId="0" borderId="18" xfId="0" applyBorder="1"/>
    <xf numFmtId="0" fontId="0" fillId="0" borderId="20" xfId="0" applyBorder="1"/>
    <xf numFmtId="0" fontId="0" fillId="0" borderId="22" xfId="0" applyBorder="1"/>
    <xf numFmtId="0" fontId="0" fillId="0" borderId="23" xfId="0" applyBorder="1"/>
    <xf numFmtId="0" fontId="0" fillId="0" borderId="0" xfId="0" applyFill="1" applyBorder="1"/>
    <xf numFmtId="0" fontId="0" fillId="5" borderId="0" xfId="0" applyFill="1" applyBorder="1"/>
    <xf numFmtId="0" fontId="0" fillId="5" borderId="19" xfId="0" applyFill="1" applyBorder="1"/>
    <xf numFmtId="0" fontId="36" fillId="5" borderId="0" xfId="0" applyFont="1" applyFill="1" applyBorder="1"/>
    <xf numFmtId="0" fontId="0" fillId="5" borderId="20" xfId="0" applyFill="1" applyBorder="1"/>
    <xf numFmtId="0" fontId="41" fillId="5" borderId="0" xfId="0" applyFont="1" applyFill="1" applyBorder="1"/>
    <xf numFmtId="0" fontId="1" fillId="5" borderId="0" xfId="0" applyFont="1" applyFill="1" applyBorder="1"/>
    <xf numFmtId="0" fontId="0" fillId="5" borderId="21" xfId="0" applyFill="1" applyBorder="1"/>
    <xf numFmtId="0" fontId="0" fillId="5" borderId="22" xfId="0" applyFill="1" applyBorder="1"/>
    <xf numFmtId="0" fontId="0" fillId="5" borderId="16" xfId="0" applyFill="1" applyBorder="1"/>
    <xf numFmtId="0" fontId="36" fillId="5" borderId="17" xfId="0" applyFont="1" applyFill="1" applyBorder="1"/>
    <xf numFmtId="0" fontId="0" fillId="5" borderId="17" xfId="0" applyFill="1" applyBorder="1"/>
    <xf numFmtId="0" fontId="36" fillId="5" borderId="22" xfId="0" applyFont="1" applyFill="1" applyBorder="1"/>
    <xf numFmtId="0" fontId="1" fillId="5" borderId="22" xfId="0" applyFont="1" applyFill="1" applyBorder="1"/>
    <xf numFmtId="0" fontId="0" fillId="5" borderId="17" xfId="0" applyNumberFormat="1" applyFill="1" applyBorder="1"/>
    <xf numFmtId="0" fontId="0" fillId="5" borderId="18" xfId="0" applyFill="1" applyBorder="1"/>
    <xf numFmtId="0" fontId="0" fillId="5" borderId="20" xfId="0" applyFill="1" applyBorder="1" applyAlignment="1">
      <alignment vertical="top"/>
    </xf>
    <xf numFmtId="0" fontId="16" fillId="5" borderId="0" xfId="0" applyFont="1" applyFill="1" applyBorder="1"/>
    <xf numFmtId="0" fontId="35" fillId="5" borderId="0" xfId="0" applyFont="1" applyFill="1" applyBorder="1"/>
    <xf numFmtId="0" fontId="0" fillId="6" borderId="19" xfId="0" applyFill="1" applyBorder="1"/>
    <xf numFmtId="0" fontId="36" fillId="6" borderId="0" xfId="0" applyFont="1" applyFill="1" applyBorder="1"/>
    <xf numFmtId="0" fontId="0" fillId="6" borderId="0" xfId="0" applyFill="1" applyBorder="1"/>
    <xf numFmtId="0" fontId="0" fillId="6" borderId="20" xfId="0" applyFill="1" applyBorder="1"/>
    <xf numFmtId="0" fontId="41" fillId="6" borderId="0" xfId="0" applyFont="1" applyFill="1" applyBorder="1" applyAlignment="1">
      <alignment horizontal="left" vertical="center"/>
    </xf>
    <xf numFmtId="0" fontId="41" fillId="6" borderId="0" xfId="0" applyFont="1" applyFill="1" applyBorder="1"/>
    <xf numFmtId="0" fontId="41" fillId="6" borderId="0" xfId="0" applyFont="1" applyFill="1" applyBorder="1" applyAlignment="1"/>
    <xf numFmtId="0" fontId="41" fillId="6" borderId="0" xfId="0" applyFont="1" applyFill="1" applyBorder="1" applyAlignment="1">
      <alignment horizontal="right" vertical="center"/>
    </xf>
    <xf numFmtId="0" fontId="42" fillId="6" borderId="0" xfId="0" applyFont="1" applyFill="1" applyBorder="1"/>
    <xf numFmtId="0" fontId="1" fillId="6" borderId="0" xfId="0" quotePrefix="1" applyFont="1" applyFill="1" applyBorder="1" applyAlignment="1">
      <alignment horizontal="left" vertical="center"/>
    </xf>
    <xf numFmtId="0" fontId="1" fillId="6" borderId="0" xfId="0" applyFont="1" applyFill="1" applyBorder="1" applyAlignment="1">
      <alignment horizontal="right" vertical="center"/>
    </xf>
    <xf numFmtId="0" fontId="39" fillId="6" borderId="13" xfId="1" quotePrefix="1" applyFont="1" applyFill="1" applyBorder="1"/>
    <xf numFmtId="0" fontId="4" fillId="6" borderId="14" xfId="1" applyFill="1" applyBorder="1"/>
    <xf numFmtId="0" fontId="4" fillId="6" borderId="15" xfId="1" applyFill="1" applyBorder="1"/>
    <xf numFmtId="0" fontId="4" fillId="6" borderId="0" xfId="1" applyFill="1" applyBorder="1"/>
    <xf numFmtId="0" fontId="41" fillId="6" borderId="0" xfId="1" quotePrefix="1" applyFont="1" applyFill="1" applyBorder="1"/>
    <xf numFmtId="0" fontId="41" fillId="6" borderId="0" xfId="0" applyFont="1" applyFill="1" applyBorder="1" applyAlignment="1">
      <alignment horizontal="right"/>
    </xf>
    <xf numFmtId="0" fontId="0" fillId="6" borderId="0" xfId="0" applyNumberFormat="1" applyFill="1" applyBorder="1"/>
    <xf numFmtId="0" fontId="1" fillId="6" borderId="0" xfId="0" applyFont="1" applyFill="1" applyBorder="1"/>
    <xf numFmtId="0" fontId="0" fillId="6" borderId="16" xfId="0" applyFill="1" applyBorder="1"/>
    <xf numFmtId="0" fontId="36" fillId="6" borderId="17" xfId="0" applyFont="1" applyFill="1" applyBorder="1"/>
    <xf numFmtId="0" fontId="0" fillId="6" borderId="17" xfId="0" applyFill="1" applyBorder="1"/>
    <xf numFmtId="0" fontId="0" fillId="6" borderId="18" xfId="0" applyFill="1" applyBorder="1"/>
    <xf numFmtId="0" fontId="25" fillId="6" borderId="0" xfId="0" applyFont="1" applyFill="1" applyBorder="1" applyAlignment="1">
      <alignment horizontal="right"/>
    </xf>
    <xf numFmtId="49" fontId="39" fillId="6" borderId="0" xfId="0" applyNumberFormat="1" applyFont="1" applyFill="1" applyBorder="1"/>
    <xf numFmtId="0" fontId="0" fillId="6" borderId="21" xfId="0" applyFill="1" applyBorder="1"/>
    <xf numFmtId="0" fontId="41" fillId="6" borderId="22" xfId="0" applyFont="1" applyFill="1" applyBorder="1"/>
    <xf numFmtId="0" fontId="0" fillId="6" borderId="22" xfId="0" applyFill="1" applyBorder="1"/>
    <xf numFmtId="0" fontId="0" fillId="6" borderId="23" xfId="0" applyFill="1" applyBorder="1"/>
    <xf numFmtId="0" fontId="0" fillId="5" borderId="0" xfId="0" applyFill="1" applyBorder="1" applyProtection="1"/>
    <xf numFmtId="0" fontId="0" fillId="0" borderId="0" xfId="0" applyFill="1" applyBorder="1" applyProtection="1"/>
    <xf numFmtId="0" fontId="0" fillId="0" borderId="0" xfId="0" applyFill="1" applyBorder="1" applyAlignment="1">
      <alignment vertical="top"/>
    </xf>
    <xf numFmtId="0" fontId="0" fillId="5" borderId="17" xfId="0" applyFill="1" applyBorder="1" applyProtection="1"/>
    <xf numFmtId="0" fontId="0" fillId="5" borderId="22" xfId="0" applyFill="1" applyBorder="1" applyProtection="1"/>
    <xf numFmtId="0" fontId="0" fillId="0" borderId="16" xfId="0" applyFill="1" applyBorder="1"/>
    <xf numFmtId="0" fontId="0" fillId="0" borderId="19" xfId="0" applyFill="1" applyBorder="1" applyProtection="1"/>
    <xf numFmtId="0" fontId="0" fillId="0" borderId="0" xfId="0" applyBorder="1" applyAlignment="1">
      <alignment horizontal="center"/>
    </xf>
    <xf numFmtId="49" fontId="0" fillId="0" borderId="0" xfId="0" applyNumberFormat="1" applyBorder="1" applyAlignment="1">
      <alignment horizontal="right"/>
    </xf>
    <xf numFmtId="0" fontId="0" fillId="0" borderId="19" xfId="0" applyFill="1" applyBorder="1"/>
    <xf numFmtId="0" fontId="0" fillId="0" borderId="0" xfId="0" applyBorder="1" applyAlignment="1">
      <alignment horizontal="left"/>
    </xf>
    <xf numFmtId="0" fontId="0" fillId="0" borderId="21" xfId="0" applyFill="1" applyBorder="1"/>
    <xf numFmtId="0" fontId="47" fillId="0" borderId="0" xfId="0" applyFont="1" applyFill="1" applyAlignment="1">
      <alignment vertical="top"/>
    </xf>
    <xf numFmtId="0" fontId="36" fillId="0" borderId="0" xfId="0" applyFont="1" applyFill="1" applyBorder="1"/>
    <xf numFmtId="0" fontId="41" fillId="0" borderId="0" xfId="0" applyFont="1" applyFill="1" applyBorder="1" applyAlignment="1">
      <alignment horizontal="left" vertical="center"/>
    </xf>
    <xf numFmtId="0" fontId="41" fillId="0" borderId="0" xfId="0" applyFont="1" applyFill="1" applyBorder="1"/>
    <xf numFmtId="0" fontId="1" fillId="0" borderId="0" xfId="0" applyFont="1" applyFill="1" applyBorder="1" applyAlignment="1">
      <alignment horizontal="right" vertical="center"/>
    </xf>
    <xf numFmtId="0" fontId="1" fillId="0" borderId="0" xfId="0" applyFont="1" applyFill="1" applyBorder="1"/>
    <xf numFmtId="0" fontId="13" fillId="0" borderId="0" xfId="0" quotePrefix="1" applyFont="1" applyFill="1" applyBorder="1" applyAlignment="1">
      <alignment vertical="center"/>
    </xf>
    <xf numFmtId="0" fontId="43" fillId="0" borderId="13" xfId="1" applyFont="1" applyFill="1" applyBorder="1" applyAlignment="1">
      <alignment horizontal="left"/>
    </xf>
    <xf numFmtId="0" fontId="4" fillId="0" borderId="15" xfId="1" applyFill="1" applyBorder="1" applyAlignment="1">
      <alignment horizontal="left" vertical="center"/>
    </xf>
    <xf numFmtId="0" fontId="0" fillId="0" borderId="20" xfId="0" applyFill="1" applyBorder="1"/>
    <xf numFmtId="0" fontId="0" fillId="5" borderId="0" xfId="0" applyFill="1" applyBorder="1" applyAlignment="1">
      <alignment horizontal="left" vertical="center"/>
    </xf>
    <xf numFmtId="0" fontId="0" fillId="5" borderId="0" xfId="0" applyFill="1" applyBorder="1" applyAlignment="1"/>
    <xf numFmtId="0" fontId="0" fillId="5" borderId="0" xfId="0" applyFill="1" applyBorder="1" applyAlignment="1">
      <alignment vertical="top"/>
    </xf>
    <xf numFmtId="0" fontId="1" fillId="5" borderId="0" xfId="0" quotePrefix="1" applyFont="1" applyFill="1" applyBorder="1" applyAlignment="1">
      <alignment horizontal="left" vertical="center"/>
    </xf>
    <xf numFmtId="0" fontId="0" fillId="5" borderId="13" xfId="1" quotePrefix="1" applyFont="1" applyFill="1" applyBorder="1"/>
    <xf numFmtId="0" fontId="4" fillId="5" borderId="14" xfId="1" applyFill="1" applyBorder="1"/>
    <xf numFmtId="0" fontId="4" fillId="5" borderId="15" xfId="1" applyFill="1" applyBorder="1"/>
    <xf numFmtId="0" fontId="4" fillId="5" borderId="0" xfId="1" applyFill="1" applyBorder="1"/>
    <xf numFmtId="0" fontId="44" fillId="0" borderId="0" xfId="0" applyFont="1"/>
    <xf numFmtId="164" fontId="0" fillId="0" borderId="1" xfId="0" applyNumberFormat="1" applyBorder="1"/>
    <xf numFmtId="166" fontId="0" fillId="0" borderId="1" xfId="2" applyNumberFormat="1" applyFont="1" applyBorder="1"/>
    <xf numFmtId="0" fontId="0" fillId="0" borderId="14" xfId="0" applyBorder="1"/>
    <xf numFmtId="0" fontId="0" fillId="0" borderId="14" xfId="0" applyBorder="1" applyAlignment="1">
      <alignment wrapText="1"/>
    </xf>
    <xf numFmtId="0" fontId="0" fillId="0" borderId="15" xfId="0" applyBorder="1"/>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xf numFmtId="0" fontId="1" fillId="0" borderId="0" xfId="0" quotePrefix="1" applyFont="1" applyAlignment="1">
      <alignment horizontal="left"/>
    </xf>
    <xf numFmtId="0" fontId="22" fillId="3" borderId="0" xfId="0" applyFont="1" applyFill="1" applyAlignment="1">
      <alignment horizontal="center" vertical="center"/>
    </xf>
    <xf numFmtId="0" fontId="39" fillId="6" borderId="13" xfId="1" quotePrefix="1" applyFont="1" applyFill="1" applyBorder="1" applyAlignment="1">
      <alignment horizontal="right"/>
    </xf>
    <xf numFmtId="0" fontId="39" fillId="6" borderId="14" xfId="1" quotePrefix="1" applyFont="1" applyFill="1" applyBorder="1" applyAlignment="1">
      <alignment horizontal="right"/>
    </xf>
    <xf numFmtId="0" fontId="39" fillId="6" borderId="15" xfId="1" quotePrefix="1" applyFont="1" applyFill="1" applyBorder="1" applyAlignment="1">
      <alignment horizontal="right"/>
    </xf>
  </cellXfs>
  <cellStyles count="6">
    <cellStyle name="Currency" xfId="2" builtinId="4"/>
    <cellStyle name="Hyperlink" xfId="1" builtinId="8"/>
    <cellStyle name="Normal" xfId="0" builtinId="0"/>
    <cellStyle name="Percent" xfId="5" builtinId="5"/>
    <cellStyle name="Subtotal" xfId="4"/>
    <cellStyle name="Subtotal Label" xfId="3"/>
  </cellStyles>
  <dxfs count="286">
    <dxf>
      <fill>
        <patternFill>
          <bgColor rgb="FFFEEFE2"/>
        </patternFill>
      </fill>
    </dxf>
    <dxf>
      <fill>
        <patternFill>
          <fgColor indexed="64"/>
          <bgColor rgb="FFEBF5CD"/>
        </patternFill>
      </fill>
    </dxf>
    <dxf>
      <border>
        <top style="thin">
          <color auto="1"/>
        </top>
      </border>
    </dxf>
    <dxf>
      <fill>
        <patternFill>
          <fgColor indexed="64"/>
          <bgColor rgb="FFFBC3AF" tint="0.54997405926694543"/>
        </patternFill>
      </fill>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F8DCDD"/>
        </patternFill>
      </fill>
    </dxf>
    <dxf>
      <fill>
        <patternFill>
          <fgColor indexed="64"/>
          <bgColor rgb="FFEBF5CD"/>
        </patternFill>
      </fill>
    </dxf>
    <dxf>
      <fill>
        <patternFill>
          <fgColor indexed="64"/>
          <bgColor rgb="FFFBFDCF"/>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9DFE0"/>
        </patternFill>
      </fill>
    </dxf>
    <dxf>
      <fill>
        <patternFill>
          <fgColor indexed="64"/>
          <bgColor rgb="FFDDECF7"/>
        </patternFill>
      </fill>
    </dxf>
    <dxf>
      <numFmt numFmtId="30" formatCode="@"/>
      <alignment horizontal="righ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alignment horizontal="center" vertical="bottom" textRotation="0" wrapText="0" indent="0" justifyLastLine="0" shrinkToFit="0" readingOrder="0"/>
    </dxf>
    <dxf>
      <alignment horizontal="center"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168" formatCode="mm/dd/yy\ hh:mm"/>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border diagonalUp="0" diagonalDown="0">
        <left style="thin">
          <color auto="1"/>
        </left>
        <right/>
        <top/>
        <bottom/>
        <vertical/>
        <horizontal/>
      </border>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4" formatCode="&quot;$&quot;#,##0"/>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5"/>
      <tableStyleElement type="headerRow" dxfId="284"/>
      <tableStyleElement type="totalRow" dxfId="283"/>
      <tableStyleElement type="firstRowStripe" dxfId="282"/>
    </tableStyle>
    <tableStyle name="OmitTableStyle" pivot="0" count="6">
      <tableStyleElement type="wholeTable" dxfId="281"/>
      <tableStyleElement type="headerRow" dxfId="280"/>
      <tableStyleElement type="totalRow" dxfId="279"/>
      <tableStyleElement type="firstColumn" dxfId="278"/>
      <tableStyleElement type="lastColumn" dxfId="277"/>
      <tableStyleElement type="firstRowStripe" dxfId="276"/>
    </tableStyle>
    <tableStyle name="Table Style 1" pivot="0" count="1">
      <tableStyleElement type="wholeTable" dxfId="275"/>
    </tableStyle>
    <tableStyle name="TableFall" pivot="0" count="4">
      <tableStyleElement type="wholeTable" dxfId="274"/>
      <tableStyleElement type="headerRow" dxfId="273"/>
      <tableStyleElement type="totalRow" dxfId="272"/>
      <tableStyleElement type="firstRowStripe" dxfId="271"/>
    </tableStyle>
    <tableStyle name="TableStyleMedium3 2" pivot="0" count="7">
      <tableStyleElement type="wholeTable" dxfId="270"/>
      <tableStyleElement type="headerRow" dxfId="269"/>
      <tableStyleElement type="totalRow" dxfId="268"/>
      <tableStyleElement type="firstColumn" dxfId="267"/>
      <tableStyleElement type="lastColumn" dxfId="266"/>
      <tableStyleElement type="firstRowStripe" dxfId="265"/>
      <tableStyleElement type="firstColumnStripe" dxfId="264"/>
    </tableStyle>
    <tableStyle name="TableStyleMedium7 2" pivot="0" count="7">
      <tableStyleElement type="wholeTable" dxfId="263"/>
      <tableStyleElement type="headerRow" dxfId="262"/>
      <tableStyleElement type="totalRow" dxfId="261"/>
      <tableStyleElement type="firstColumn" dxfId="260"/>
      <tableStyleElement type="lastColumn" dxfId="259"/>
      <tableStyleElement type="firstRowStripe" dxfId="258"/>
      <tableStyleElement type="firstColumnStripe" dxfId="257"/>
    </tableStyle>
  </tableStyles>
  <colors>
    <mruColors>
      <color rgb="FFFEECDE"/>
      <color rgb="FFFFF2CA"/>
      <color rgb="FFFBC3AF"/>
      <color rgb="FFFBCEAF"/>
      <color rgb="FFE1FCC8"/>
      <color rgb="FFE0FBB3"/>
      <color rgb="FFEBF9ED"/>
      <color rgb="FFFFF3D1"/>
      <color rgb="FFFFF9E7"/>
      <color rgb="FFFFF9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Drop" dropLines="5" dropStyle="combo" dx="35" fmlaLink="HiddenSettings!$E$6" fmlaRange="HiddenSettings!$D$7:$D$1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5" dropStyle="combo" dx="35" fmlaLink="HiddenSettings!$E$6" fmlaRange="HiddenSettings!$D$7:$D$1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REF!" lockText="1"/>
</file>

<file path=xl/ctrlProps/ctrlProp10.xml><?xml version="1.0" encoding="utf-8"?>
<formControlPr xmlns="http://schemas.microsoft.com/office/spreadsheetml/2009/9/main" objectType="Radio" firstButton="1" fmlaLink="I2" lockText="1"/>
</file>

<file path=xl/ctrlProps/ctrlProp11.xml><?xml version="1.0" encoding="utf-8"?>
<formControlPr xmlns="http://schemas.microsoft.com/office/spreadsheetml/2009/9/main" objectType="Radio" checked="Checked"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image" Target="../media/image2.jpeg"/><Relationship Id="rId7" Type="http://schemas.openxmlformats.org/officeDocument/2006/relationships/image" Target="../media/image4.jpg"/><Relationship Id="rId2" Type="http://schemas.openxmlformats.org/officeDocument/2006/relationships/image" Target="../media/image1.jpeg"/><Relationship Id="rId1" Type="http://schemas.openxmlformats.org/officeDocument/2006/relationships/hyperlink" Target="https://collaboration.inside.nsf.gov/eng/meritreview/ENG%20Tools%20Websites%20and%20Best%20Practices/RoboRA.aspx#MyAnchor3" TargetMode="External"/><Relationship Id="rId6" Type="http://schemas.openxmlformats.org/officeDocument/2006/relationships/hyperlink" Target="#Advanced!A1"/><Relationship Id="rId11" Type="http://schemas.openxmlformats.org/officeDocument/2006/relationships/image" Target="../media/image7.jpeg"/><Relationship Id="rId5" Type="http://schemas.openxmlformats.org/officeDocument/2006/relationships/image" Target="../media/image3.jpeg"/><Relationship Id="rId10" Type="http://schemas.openxmlformats.org/officeDocument/2006/relationships/image" Target="../media/image6.jpeg"/><Relationship Id="rId4" Type="http://schemas.openxmlformats.org/officeDocument/2006/relationships/hyperlink" Target="#Prefs!A1"/><Relationship Id="rId9"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hyperlink" Target="https://collaboration.inside.nsf.gov/eng/meritreview/ENG%20Tools%20Websites%20and%20Best%20Practices/RoboRA.aspx#MyAnchor4" TargetMode="External"/><Relationship Id="rId7" Type="http://schemas.openxmlformats.org/officeDocument/2006/relationships/image" Target="../media/image10.jpeg"/><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9.jpeg"/><Relationship Id="rId11" Type="http://schemas.openxmlformats.org/officeDocument/2006/relationships/image" Target="../media/image12.jpeg"/><Relationship Id="rId5" Type="http://schemas.openxmlformats.org/officeDocument/2006/relationships/image" Target="../media/image8.jpeg"/><Relationship Id="rId10" Type="http://schemas.openxmlformats.org/officeDocument/2006/relationships/hyperlink" Target="#Prefs!A1"/><Relationship Id="rId4" Type="http://schemas.openxmlformats.org/officeDocument/2006/relationships/image" Target="../media/image1.jpeg"/><Relationship Id="rId9" Type="http://schemas.openxmlformats.org/officeDocument/2006/relationships/image" Target="../media/image11.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_rels/drawing11.xml.rels><?xml version="1.0" encoding="UTF-8" standalone="yes"?>
<Relationships xmlns="http://schemas.openxmlformats.org/package/2006/relationships"><Relationship Id="rId3" Type="http://schemas.openxmlformats.org/officeDocument/2006/relationships/hyperlink" Target="https://collaboration.inside.nsf.gov/eng/meritreview/ENG%20Tools%20Websites%20and%20Best%20Practices/RoboRA.aspx" TargetMode="External"/><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13.png"/><Relationship Id="rId5" Type="http://schemas.openxmlformats.org/officeDocument/2006/relationships/hyperlink" Target="#Advanced!A1"/><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10</xdr:col>
      <xdr:colOff>686706</xdr:colOff>
      <xdr:row>0</xdr:row>
      <xdr:rowOff>54429</xdr:rowOff>
    </xdr:from>
    <xdr:to>
      <xdr:col>10</xdr:col>
      <xdr:colOff>1359202</xdr:colOff>
      <xdr:row>2</xdr:row>
      <xdr:rowOff>195680</xdr:rowOff>
    </xdr:to>
    <xdr:pic>
      <xdr:nvPicPr>
        <xdr:cNvPr id="22" name="Picture 21">
          <a:hlinkClick xmlns:r="http://schemas.openxmlformats.org/officeDocument/2006/relationships" r:id="rId1" tooltip="RoboRA Help on Sharepoint"/>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73081" y="54429"/>
          <a:ext cx="672496" cy="598451"/>
        </a:xfrm>
        <a:prstGeom prst="rect">
          <a:avLst/>
        </a:prstGeom>
      </xdr:spPr>
    </xdr:pic>
    <xdr:clientData/>
  </xdr:twoCellAnchor>
  <xdr:twoCellAnchor editAs="absolute">
    <xdr:from>
      <xdr:col>10</xdr:col>
      <xdr:colOff>704124</xdr:colOff>
      <xdr:row>5</xdr:row>
      <xdr:rowOff>56053</xdr:rowOff>
    </xdr:from>
    <xdr:to>
      <xdr:col>10</xdr:col>
      <xdr:colOff>1341785</xdr:colOff>
      <xdr:row>7</xdr:row>
      <xdr:rowOff>174377</xdr:rowOff>
    </xdr:to>
    <xdr:pic macro="[0]!ClearData">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90499" y="1199053"/>
          <a:ext cx="637661" cy="632674"/>
        </a:xfrm>
        <a:prstGeom prst="rect">
          <a:avLst/>
        </a:prstGeom>
      </xdr:spPr>
    </xdr:pic>
    <xdr:clientData/>
  </xdr:twoCellAnchor>
  <xdr:twoCellAnchor editAs="absolute">
    <xdr:from>
      <xdr:col>10</xdr:col>
      <xdr:colOff>720126</xdr:colOff>
      <xdr:row>2</xdr:row>
      <xdr:rowOff>181464</xdr:rowOff>
    </xdr:from>
    <xdr:to>
      <xdr:col>10</xdr:col>
      <xdr:colOff>1325783</xdr:colOff>
      <xdr:row>5</xdr:row>
      <xdr:rowOff>70269</xdr:rowOff>
    </xdr:to>
    <xdr:pic>
      <xdr:nvPicPr>
        <xdr:cNvPr id="24" name="Picture 23">
          <a:hlinkClick xmlns:r="http://schemas.openxmlformats.org/officeDocument/2006/relationships" r:id="rId4" tooltip="Jump to Prefs tab"/>
          <a:extLst>
            <a:ext uri="{FF2B5EF4-FFF2-40B4-BE49-F238E27FC236}">
              <a16:creationId xmlns:a16="http://schemas.microsoft.com/office/drawing/2014/main" id="{00000000-0008-0000-0000-000018000000}"/>
            </a:ext>
          </a:extLst>
        </xdr:cNvPr>
        <xdr:cNvPicPr>
          <a:picLocks/>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006501" y="638664"/>
          <a:ext cx="605657" cy="574605"/>
        </a:xfrm>
        <a:prstGeom prst="rect">
          <a:avLst/>
        </a:prstGeom>
      </xdr:spPr>
    </xdr:pic>
    <xdr:clientData/>
  </xdr:twoCellAnchor>
  <xdr:twoCellAnchor editAs="absolute">
    <xdr:from>
      <xdr:col>10</xdr:col>
      <xdr:colOff>1248205</xdr:colOff>
      <xdr:row>0</xdr:row>
      <xdr:rowOff>0</xdr:rowOff>
    </xdr:from>
    <xdr:to>
      <xdr:col>12</xdr:col>
      <xdr:colOff>85842</xdr:colOff>
      <xdr:row>7</xdr:row>
      <xdr:rowOff>140819</xdr:rowOff>
    </xdr:to>
    <xdr:grpSp>
      <xdr:nvGrpSpPr>
        <xdr:cNvPr id="6" name="Group 5">
          <a:hlinkClick xmlns:r="http://schemas.openxmlformats.org/officeDocument/2006/relationships" r:id="rId6"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6843462" y="0"/>
          <a:ext cx="2402709" cy="1800890"/>
          <a:chOff x="3107785" y="0"/>
          <a:chExt cx="276454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07785" y="0"/>
            <a:ext cx="2764544" cy="946301"/>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7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3</xdr:col>
          <xdr:colOff>10886</xdr:colOff>
          <xdr:row>6</xdr:row>
          <xdr:rowOff>48986</xdr:rowOff>
        </xdr:from>
        <xdr:to>
          <xdr:col>6</xdr:col>
          <xdr:colOff>250371</xdr:colOff>
          <xdr:row>6</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277586</xdr:colOff>
          <xdr:row>12</xdr:row>
          <xdr:rowOff>27214</xdr:rowOff>
        </xdr:from>
        <xdr:to>
          <xdr:col>3</xdr:col>
          <xdr:colOff>315686</xdr:colOff>
          <xdr:row>13</xdr:row>
          <xdr:rowOff>21771</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544286</xdr:colOff>
          <xdr:row>4</xdr:row>
          <xdr:rowOff>10886</xdr:rowOff>
        </xdr:from>
        <xdr:to>
          <xdr:col>2</xdr:col>
          <xdr:colOff>364671</xdr:colOff>
          <xdr:row>4</xdr:row>
          <xdr:rowOff>217714</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7</xdr:col>
      <xdr:colOff>415024</xdr:colOff>
      <xdr:row>9</xdr:row>
      <xdr:rowOff>225859</xdr:rowOff>
    </xdr:from>
    <xdr:to>
      <xdr:col>8</xdr:col>
      <xdr:colOff>462376</xdr:colOff>
      <xdr:row>13</xdr:row>
      <xdr:rowOff>53393</xdr:rowOff>
    </xdr:to>
    <xdr:pic>
      <xdr:nvPicPr>
        <xdr:cNvPr id="5" name="Picture 4">
          <a:hlinkClick xmlns:r="http://schemas.openxmlformats.org/officeDocument/2006/relationships" r:id="rId8" tooltip="Jump to RAData to check for Std Declines with E &amp; signatures. Click &quot;Make Indicated RA Drafts&quot; there."/>
          <a:extLst>
            <a:ext uri="{FF2B5EF4-FFF2-40B4-BE49-F238E27FC236}">
              <a16:creationId xmlns:a16="http://schemas.microsoft.com/office/drawing/2014/main" id="{00000000-0008-0000-0000-000005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039855" y="2414224"/>
          <a:ext cx="827868" cy="798271"/>
        </a:xfrm>
        <a:prstGeom prst="rect">
          <a:avLst/>
        </a:prstGeom>
      </xdr:spPr>
    </xdr:pic>
    <xdr:clientData/>
  </xdr:twoCellAnchor>
  <xdr:twoCellAnchor editAs="absolute">
    <xdr:from>
      <xdr:col>5</xdr:col>
      <xdr:colOff>473990</xdr:colOff>
      <xdr:row>9</xdr:row>
      <xdr:rowOff>225859</xdr:rowOff>
    </xdr:from>
    <xdr:to>
      <xdr:col>7</xdr:col>
      <xdr:colOff>140343</xdr:colOff>
      <xdr:row>13</xdr:row>
      <xdr:rowOff>53393</xdr:rowOff>
    </xdr:to>
    <xdr:pic macro="[0]!makeProjText">
      <xdr:nvPicPr>
        <xdr:cNvPr id="8" name="Picture 7">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37303" y="2414224"/>
          <a:ext cx="827871" cy="798271"/>
        </a:xfrm>
        <a:prstGeom prst="rect">
          <a:avLst/>
        </a:prstGeom>
      </xdr:spPr>
    </xdr:pic>
    <xdr:clientData/>
  </xdr:twoCellAnchor>
  <xdr:twoCellAnchor editAs="absolute">
    <xdr:from>
      <xdr:col>3</xdr:col>
      <xdr:colOff>539003</xdr:colOff>
      <xdr:row>9</xdr:row>
      <xdr:rowOff>225859</xdr:rowOff>
    </xdr:from>
    <xdr:to>
      <xdr:col>5</xdr:col>
      <xdr:colOff>205357</xdr:colOff>
      <xdr:row>13</xdr:row>
      <xdr:rowOff>53393</xdr:rowOff>
    </xdr:to>
    <xdr:pic macro="[0]!PullDataFromTables">
      <xdr:nvPicPr>
        <xdr:cNvPr id="10" name="Picture 9">
          <a:extLst>
            <a:ext uri="{FF2B5EF4-FFF2-40B4-BE49-F238E27FC236}">
              <a16:creationId xmlns:a16="http://schemas.microsoft.com/office/drawing/2014/main" id="{00000000-0008-0000-0000-00000A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840800" y="2414224"/>
          <a:ext cx="827870" cy="798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20</xdr:col>
      <xdr:colOff>442</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0</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268070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human/vertebrate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twoCellAnchor editAs="absolute">
    <xdr:from>
      <xdr:col>33</xdr:col>
      <xdr:colOff>0</xdr:colOff>
      <xdr:row>0</xdr:row>
      <xdr:rowOff>38876</xdr:rowOff>
    </xdr:from>
    <xdr:to>
      <xdr:col>46</xdr:col>
      <xdr:colOff>155510</xdr:colOff>
      <xdr:row>0</xdr:row>
      <xdr:rowOff>216603</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9011122" y="38876"/>
          <a:ext cx="8669694" cy="1777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rgbClr val="002060"/>
              </a:solidFill>
            </a:rPr>
            <a:t>Latest</a:t>
          </a:r>
          <a:r>
            <a:rPr lang="en-US" sz="1100" b="0" baseline="0">
              <a:solidFill>
                <a:srgbClr val="002060"/>
              </a:solidFill>
            </a:rPr>
            <a:t> budget: total and by year.  (also &lt;--frgn trav &amp; --&gt; sub contract, pdoc, participant support (often REU), plus some month counts)</a:t>
          </a:r>
          <a:endParaRPr lang="en-US" sz="1100" b="0">
            <a:solidFill>
              <a:srgbClr val="00206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18</xdr:col>
      <xdr:colOff>407356</xdr:colOff>
      <xdr:row>0</xdr:row>
      <xdr:rowOff>97398</xdr:rowOff>
    </xdr:from>
    <xdr:to>
      <xdr:col>19</xdr:col>
      <xdr:colOff>229173</xdr:colOff>
      <xdr:row>0</xdr:row>
      <xdr:rowOff>277012</xdr:rowOff>
    </xdr:to>
    <xdr:sp macro="" textlink="">
      <xdr:nvSpPr>
        <xdr:cNvPr id="5" name="Arrow: Chevron 4">
          <a:hlinkClick xmlns:r="http://schemas.openxmlformats.org/officeDocument/2006/relationships" r:id="rId1" tooltip="Return to RoboRA tab"/>
          <a:extLst>
            <a:ext uri="{FF2B5EF4-FFF2-40B4-BE49-F238E27FC236}">
              <a16:creationId xmlns:a16="http://schemas.microsoft.com/office/drawing/2014/main" id="{00000000-0008-0000-0400-000005000000}"/>
            </a:ext>
          </a:extLst>
        </xdr:cNvPr>
        <xdr:cNvSpPr/>
      </xdr:nvSpPr>
      <xdr:spPr>
        <a:xfrm flipH="1">
          <a:off x="11430574" y="97398"/>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16</xdr:col>
          <xdr:colOff>979714</xdr:colOff>
          <xdr:row>0</xdr:row>
          <xdr:rowOff>65314</xdr:rowOff>
        </xdr:from>
        <xdr:to>
          <xdr:col>18</xdr:col>
          <xdr:colOff>27214</xdr:colOff>
          <xdr:row>0</xdr:row>
          <xdr:rowOff>326571</xdr:rowOff>
        </xdr:to>
        <xdr:sp macro="" textlink="">
          <xdr:nvSpPr>
            <xdr:cNvPr id="10289" name="Button 49" hidden="1">
              <a:extLst>
                <a:ext uri="{63B3BB69-23CF-44E3-9099-C40C66FF867C}">
                  <a14:compatExt spid="_x0000_s10289"/>
                </a:ext>
                <a:ext uri="{FF2B5EF4-FFF2-40B4-BE49-F238E27FC236}">
                  <a16:creationId xmlns:a16="http://schemas.microsoft.com/office/drawing/2014/main" id="{00000000-0008-0000-0400-000031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Repull ckAwd+Budget for Awds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7</xdr:col>
      <xdr:colOff>321561</xdr:colOff>
      <xdr:row>0</xdr:row>
      <xdr:rowOff>30240</xdr:rowOff>
    </xdr:from>
    <xdr:to>
      <xdr:col>9</xdr:col>
      <xdr:colOff>1779060</xdr:colOff>
      <xdr:row>7</xdr:row>
      <xdr:rowOff>21772</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5247347" y="30240"/>
          <a:ext cx="2143299" cy="1662489"/>
          <a:chOff x="3257550" y="0"/>
          <a:chExt cx="2500655"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absolute">
    <xdr:from>
      <xdr:col>6</xdr:col>
      <xdr:colOff>82733</xdr:colOff>
      <xdr:row>0</xdr:row>
      <xdr:rowOff>633</xdr:rowOff>
    </xdr:from>
    <xdr:to>
      <xdr:col>7</xdr:col>
      <xdr:colOff>289562</xdr:colOff>
      <xdr:row>1</xdr:row>
      <xdr:rowOff>166074</xdr:rowOff>
    </xdr:to>
    <xdr:pic>
      <xdr:nvPicPr>
        <xdr:cNvPr id="15" name="Picture 14">
          <a:hlinkClick xmlns:r="http://schemas.openxmlformats.org/officeDocument/2006/relationships" r:id="rId3" tooltip="RoboRA Help on Sharepoint"/>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45876" y="633"/>
          <a:ext cx="672496" cy="600870"/>
        </a:xfrm>
        <a:prstGeom prst="rect">
          <a:avLst/>
        </a:prstGeom>
      </xdr:spPr>
    </xdr:pic>
    <xdr:clientData/>
  </xdr:twoCellAnchor>
  <xdr:twoCellAnchor editAs="absolute">
    <xdr:from>
      <xdr:col>6</xdr:col>
      <xdr:colOff>100151</xdr:colOff>
      <xdr:row>4</xdr:row>
      <xdr:rowOff>123210</xdr:rowOff>
    </xdr:from>
    <xdr:to>
      <xdr:col>7</xdr:col>
      <xdr:colOff>272145</xdr:colOff>
      <xdr:row>7</xdr:row>
      <xdr:rowOff>120581</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63294" y="1157353"/>
          <a:ext cx="637661" cy="626324"/>
        </a:xfrm>
        <a:prstGeom prst="rect">
          <a:avLst/>
        </a:prstGeom>
      </xdr:spPr>
    </xdr:pic>
    <xdr:clientData/>
  </xdr:twoCellAnchor>
  <xdr:twoCellAnchor editAs="oneCell">
    <xdr:from>
      <xdr:col>2</xdr:col>
      <xdr:colOff>1014890</xdr:colOff>
      <xdr:row>18</xdr:row>
      <xdr:rowOff>150426</xdr:rowOff>
    </xdr:from>
    <xdr:to>
      <xdr:col>4</xdr:col>
      <xdr:colOff>470604</xdr:colOff>
      <xdr:row>22</xdr:row>
      <xdr:rowOff>4270</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85747"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212271</xdr:colOff>
          <xdr:row>17</xdr:row>
          <xdr:rowOff>0</xdr:rowOff>
        </xdr:from>
        <xdr:to>
          <xdr:col>6</xdr:col>
          <xdr:colOff>250371</xdr:colOff>
          <xdr:row>18</xdr:row>
          <xdr:rowOff>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549446</xdr:colOff>
      <xdr:row>18</xdr:row>
      <xdr:rowOff>150426</xdr:rowOff>
    </xdr:from>
    <xdr:to>
      <xdr:col>5</xdr:col>
      <xdr:colOff>353503</xdr:colOff>
      <xdr:row>22</xdr:row>
      <xdr:rowOff>4270</xdr:rowOff>
    </xdr:to>
    <xdr:pic macro="[0]!makeProjText">
      <xdr:nvPicPr>
        <xdr:cNvPr id="3" name="Picture 2">
          <a:extLst>
            <a:ext uri="{FF2B5EF4-FFF2-40B4-BE49-F238E27FC236}">
              <a16:creationId xmlns:a16="http://schemas.microsoft.com/office/drawing/2014/main" id="{00000000-0008-0000-0500-000003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77779" y="4389807"/>
          <a:ext cx="916820" cy="869844"/>
        </a:xfrm>
        <a:prstGeom prst="rect">
          <a:avLst/>
        </a:prstGeom>
      </xdr:spPr>
    </xdr:pic>
    <xdr:clientData/>
  </xdr:twoCellAnchor>
  <xdr:twoCellAnchor editAs="oneCell">
    <xdr:from>
      <xdr:col>5</xdr:col>
      <xdr:colOff>432345</xdr:colOff>
      <xdr:row>18</xdr:row>
      <xdr:rowOff>150426</xdr:rowOff>
    </xdr:from>
    <xdr:to>
      <xdr:col>6</xdr:col>
      <xdr:colOff>323488</xdr:colOff>
      <xdr:row>22</xdr:row>
      <xdr:rowOff>4270</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873441"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10886</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500-00002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6</xdr:col>
      <xdr:colOff>124669</xdr:colOff>
      <xdr:row>1</xdr:row>
      <xdr:rowOff>151703</xdr:rowOff>
    </xdr:from>
    <xdr:to>
      <xdr:col>7</xdr:col>
      <xdr:colOff>247626</xdr:colOff>
      <xdr:row>4</xdr:row>
      <xdr:rowOff>137582</xdr:rowOff>
    </xdr:to>
    <xdr:pic>
      <xdr:nvPicPr>
        <xdr:cNvPr id="12" name="Picture 11">
          <a:hlinkClick xmlns:r="http://schemas.openxmlformats.org/officeDocument/2006/relationships" r:id="rId10" tooltip="Jump to Prefs tab"/>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87812" y="587132"/>
          <a:ext cx="588624" cy="5845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7</xdr:col>
      <xdr:colOff>22655</xdr:colOff>
      <xdr:row>0</xdr:row>
      <xdr:rowOff>0</xdr:rowOff>
    </xdr:from>
    <xdr:to>
      <xdr:col>9</xdr:col>
      <xdr:colOff>1321942</xdr:colOff>
      <xdr:row>7</xdr:row>
      <xdr:rowOff>115570</xdr:rowOff>
    </xdr:to>
    <xdr:grpSp>
      <xdr:nvGrpSpPr>
        <xdr:cNvPr id="5" name="Group 4">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A00-000005000000}"/>
            </a:ext>
          </a:extLst>
        </xdr:cNvPr>
        <xdr:cNvGrpSpPr>
          <a:grpSpLocks noChangeAspect="1"/>
        </xdr:cNvGrpSpPr>
      </xdr:nvGrpSpPr>
      <xdr:grpSpPr>
        <a:xfrm>
          <a:off x="5830184" y="0"/>
          <a:ext cx="2181029" cy="1699441"/>
          <a:chOff x="3257550" y="0"/>
          <a:chExt cx="2500655" cy="2054967"/>
        </a:xfrm>
      </xdr:grpSpPr>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7" name="Rectangle 6">
            <a:extLst>
              <a:ext uri="{FF2B5EF4-FFF2-40B4-BE49-F238E27FC236}">
                <a16:creationId xmlns:a16="http://schemas.microsoft.com/office/drawing/2014/main" id="{00000000-0008-0000-0A00-000007000000}"/>
              </a:ext>
            </a:extLst>
          </xdr:cNvPr>
          <xdr:cNvSpPr/>
        </xdr:nvSpPr>
        <xdr:spPr>
          <a:xfrm>
            <a:off x="3762252" y="0"/>
            <a:ext cx="1995953" cy="148230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Install</a:t>
            </a:r>
          </a:p>
        </xdr:txBody>
      </xdr:sp>
    </xdr:grpSp>
    <xdr:clientData/>
  </xdr:twoCellAnchor>
  <mc:AlternateContent xmlns:mc="http://schemas.openxmlformats.org/markup-compatibility/2006">
    <mc:Choice xmlns:a14="http://schemas.microsoft.com/office/drawing/2010/main" Requires="a14">
      <xdr:twoCellAnchor editAs="oneCell">
        <xdr:from>
          <xdr:col>2</xdr:col>
          <xdr:colOff>201386</xdr:colOff>
          <xdr:row>57</xdr:row>
          <xdr:rowOff>0</xdr:rowOff>
        </xdr:from>
        <xdr:to>
          <xdr:col>3</xdr:col>
          <xdr:colOff>1649186</xdr:colOff>
          <xdr:row>58</xdr:row>
          <xdr:rowOff>87086</xdr:rowOff>
        </xdr:to>
        <xdr:sp macro="" textlink="">
          <xdr:nvSpPr>
            <xdr:cNvPr id="46081" name="cbAutoloadAll" hidden="1">
              <a:extLst>
                <a:ext uri="{63B3BB69-23CF-44E3-9099-C40C66FF867C}">
                  <a14:compatExt spid="_x0000_s46081"/>
                </a:ext>
                <a:ext uri="{FF2B5EF4-FFF2-40B4-BE49-F238E27FC236}">
                  <a16:creationId xmlns:a16="http://schemas.microsoft.com/office/drawing/2014/main" id="{00000000-0008-0000-0A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48</xdr:row>
          <xdr:rowOff>21771</xdr:rowOff>
        </xdr:from>
        <xdr:to>
          <xdr:col>4</xdr:col>
          <xdr:colOff>212271</xdr:colOff>
          <xdr:row>49</xdr:row>
          <xdr:rowOff>21771</xdr:rowOff>
        </xdr:to>
        <xdr:sp macro="" textlink="">
          <xdr:nvSpPr>
            <xdr:cNvPr id="46082" name="obtnNeverOverwrite" descr="Never overwrite existing RA text in eJacket" hidden="1">
              <a:extLst>
                <a:ext uri="{63B3BB69-23CF-44E3-9099-C40C66FF867C}">
                  <a14:compatExt spid="_x0000_s46082"/>
                </a:ext>
                <a:ext uri="{FF2B5EF4-FFF2-40B4-BE49-F238E27FC236}">
                  <a16:creationId xmlns:a16="http://schemas.microsoft.com/office/drawing/2014/main" id="{00000000-0008-0000-0A00-00000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49</xdr:row>
          <xdr:rowOff>48986</xdr:rowOff>
        </xdr:from>
        <xdr:to>
          <xdr:col>4</xdr:col>
          <xdr:colOff>288471</xdr:colOff>
          <xdr:row>50</xdr:row>
          <xdr:rowOff>21771</xdr:rowOff>
        </xdr:to>
        <xdr:sp macro="" textlink="">
          <xdr:nvSpPr>
            <xdr:cNvPr id="46083" name="obtnAskOverwrite" hidden="1">
              <a:extLst>
                <a:ext uri="{63B3BB69-23CF-44E3-9099-C40C66FF867C}">
                  <a14:compatExt spid="_x0000_s46083"/>
                </a:ext>
                <a:ext uri="{FF2B5EF4-FFF2-40B4-BE49-F238E27FC236}">
                  <a16:creationId xmlns:a16="http://schemas.microsoft.com/office/drawing/2014/main" id="{00000000-0008-0000-0A00-00000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text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50</xdr:row>
          <xdr:rowOff>27214</xdr:rowOff>
        </xdr:from>
        <xdr:to>
          <xdr:col>4</xdr:col>
          <xdr:colOff>136071</xdr:colOff>
          <xdr:row>51</xdr:row>
          <xdr:rowOff>48986</xdr:rowOff>
        </xdr:to>
        <xdr:sp macro="" textlink="">
          <xdr:nvSpPr>
            <xdr:cNvPr id="46084" name="obtnAlwaysOverwrite" hidden="1">
              <a:extLst>
                <a:ext uri="{63B3BB69-23CF-44E3-9099-C40C66FF867C}">
                  <a14:compatExt spid="_x0000_s46084"/>
                </a:ext>
                <a:ext uri="{FF2B5EF4-FFF2-40B4-BE49-F238E27FC236}">
                  <a16:creationId xmlns:a16="http://schemas.microsoft.com/office/drawing/2014/main" id="{00000000-0008-0000-0A00-00000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64</xdr:row>
          <xdr:rowOff>163286</xdr:rowOff>
        </xdr:from>
        <xdr:to>
          <xdr:col>2</xdr:col>
          <xdr:colOff>332014</xdr:colOff>
          <xdr:row>66</xdr:row>
          <xdr:rowOff>10886</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0A00-000005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5</xdr:col>
      <xdr:colOff>714539</xdr:colOff>
      <xdr:row>0</xdr:row>
      <xdr:rowOff>53812</xdr:rowOff>
    </xdr:from>
    <xdr:to>
      <xdr:col>6</xdr:col>
      <xdr:colOff>692025</xdr:colOff>
      <xdr:row>1</xdr:row>
      <xdr:rowOff>257086</xdr:rowOff>
    </xdr:to>
    <xdr:pic>
      <xdr:nvPicPr>
        <xdr:cNvPr id="14" name="Picture 13">
          <a:hlinkClick xmlns:r="http://schemas.openxmlformats.org/officeDocument/2006/relationships" r:id="rId3" tooltip="RoboRA Install guide on Sharepoint"/>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68825" y="53812"/>
          <a:ext cx="716052" cy="6024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255814</xdr:colOff>
          <xdr:row>24</xdr:row>
          <xdr:rowOff>0</xdr:rowOff>
        </xdr:from>
        <xdr:to>
          <xdr:col>2</xdr:col>
          <xdr:colOff>332014</xdr:colOff>
          <xdr:row>25</xdr:row>
          <xdr:rowOff>10886</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0A00-000006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4</xdr:col>
      <xdr:colOff>410987</xdr:colOff>
      <xdr:row>3</xdr:row>
      <xdr:rowOff>45319</xdr:rowOff>
    </xdr:from>
    <xdr:to>
      <xdr:col>6</xdr:col>
      <xdr:colOff>667</xdr:colOff>
      <xdr:row>6</xdr:row>
      <xdr:rowOff>567</xdr:rowOff>
    </xdr:to>
    <xdr:sp macro="[0]!setPrefs" textlink="">
      <xdr:nvSpPr>
        <xdr:cNvPr id="8" name="Arrow: Chevron 7">
          <a:hlinkClick xmlns:r="http://schemas.openxmlformats.org/officeDocument/2006/relationships" r:id="rId5" tooltip="Go to Advanced tab"/>
          <a:extLst>
            <a:ext uri="{FF2B5EF4-FFF2-40B4-BE49-F238E27FC236}">
              <a16:creationId xmlns:a16="http://schemas.microsoft.com/office/drawing/2014/main" id="{00000000-0008-0000-0A00-000008000000}"/>
            </a:ext>
          </a:extLst>
        </xdr:cNvPr>
        <xdr:cNvSpPr>
          <a:spLocks noChangeAspect="1"/>
        </xdr:cNvSpPr>
      </xdr:nvSpPr>
      <xdr:spPr>
        <a:xfrm flipH="1">
          <a:off x="3229177" y="934319"/>
          <a:ext cx="1811576" cy="457200"/>
        </a:xfrm>
        <a:prstGeom prst="chevron">
          <a:avLst>
            <a:gd name="adj" fmla="val 47219"/>
          </a:avLst>
        </a:prstGeom>
        <a:solidFill>
          <a:schemeClr val="accent3">
            <a:lumMod val="20000"/>
            <a:lumOff val="8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effectLst/>
              <a:latin typeface="+mn-lt"/>
              <a:cs typeface="Arial" panose="020B0604020202020204" pitchFamily="34" charset="0"/>
            </a:rPr>
            <a:t>Done with prefs;</a:t>
          </a:r>
          <a:br>
            <a:rPr lang="en-US" sz="1100" b="1">
              <a:solidFill>
                <a:schemeClr val="tx1"/>
              </a:solidFill>
              <a:effectLst/>
              <a:latin typeface="+mn-lt"/>
              <a:cs typeface="Arial" panose="020B0604020202020204" pitchFamily="34" charset="0"/>
            </a:rPr>
          </a:br>
          <a:r>
            <a:rPr lang="en-US" sz="1100" b="1">
              <a:solidFill>
                <a:schemeClr val="tx1"/>
              </a:solidFill>
              <a:effectLst/>
              <a:latin typeface="+mn-lt"/>
              <a:cs typeface="Arial" panose="020B0604020202020204" pitchFamily="34" charset="0"/>
            </a:rPr>
            <a:t>Start</a:t>
          </a:r>
          <a:r>
            <a:rPr lang="en-US" sz="1100" b="1" baseline="0">
              <a:solidFill>
                <a:schemeClr val="tx1"/>
              </a:solidFill>
              <a:effectLst/>
              <a:latin typeface="+mn-lt"/>
              <a:cs typeface="Arial" panose="020B0604020202020204" pitchFamily="34" charset="0"/>
            </a:rPr>
            <a:t> in Advanced</a:t>
          </a:r>
          <a:endParaRPr lang="en-US" sz="1100" b="1">
            <a:solidFill>
              <a:schemeClr val="tx1"/>
            </a:solidFill>
            <a:effectLst/>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255814</xdr:colOff>
          <xdr:row>17</xdr:row>
          <xdr:rowOff>190500</xdr:rowOff>
        </xdr:from>
        <xdr:to>
          <xdr:col>2</xdr:col>
          <xdr:colOff>332014</xdr:colOff>
          <xdr:row>19</xdr:row>
          <xdr:rowOff>0</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179614</xdr:rowOff>
        </xdr:from>
        <xdr:to>
          <xdr:col>3</xdr:col>
          <xdr:colOff>0</xdr:colOff>
          <xdr:row>37</xdr:row>
          <xdr:rowOff>10886</xdr:rowOff>
        </xdr:to>
        <xdr:sp macro="" textlink="">
          <xdr:nvSpPr>
            <xdr:cNvPr id="46090" name="Button 10" hidden="1">
              <a:extLst>
                <a:ext uri="{63B3BB69-23CF-44E3-9099-C40C66FF867C}">
                  <a14:compatExt spid="_x0000_s46090"/>
                </a:ext>
                <a:ext uri="{FF2B5EF4-FFF2-40B4-BE49-F238E27FC236}">
                  <a16:creationId xmlns:a16="http://schemas.microsoft.com/office/drawing/2014/main" id="{00000000-0008-0000-0A00-00000A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250371</xdr:colOff>
          <xdr:row>10</xdr:row>
          <xdr:rowOff>21771</xdr:rowOff>
        </xdr:from>
        <xdr:to>
          <xdr:col>2</xdr:col>
          <xdr:colOff>332014</xdr:colOff>
          <xdr:row>11</xdr:row>
          <xdr:rowOff>10886</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A00-00000B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Test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255814</xdr:colOff>
          <xdr:row>28</xdr:row>
          <xdr:rowOff>179614</xdr:rowOff>
        </xdr:from>
        <xdr:to>
          <xdr:col>2</xdr:col>
          <xdr:colOff>332014</xdr:colOff>
          <xdr:row>30</xdr:row>
          <xdr:rowOff>10886</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0A00-00000D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Refresh</a:t>
              </a:r>
            </a:p>
          </xdr:txBody>
        </xdr:sp>
        <xdr:clientData/>
      </xdr:twoCellAnchor>
    </mc:Choice>
    <mc:Fallback/>
  </mc:AlternateContent>
  <xdr:twoCellAnchor editAs="oneCell">
    <xdr:from>
      <xdr:col>1</xdr:col>
      <xdr:colOff>274117</xdr:colOff>
      <xdr:row>3</xdr:row>
      <xdr:rowOff>51367</xdr:rowOff>
    </xdr:from>
    <xdr:to>
      <xdr:col>4</xdr:col>
      <xdr:colOff>128381</xdr:colOff>
      <xdr:row>6</xdr:row>
      <xdr:rowOff>6615</xdr:rowOff>
    </xdr:to>
    <xdr:sp macro="[0]!setPrefs" textlink="">
      <xdr:nvSpPr>
        <xdr:cNvPr id="20" name="Arrow: Chevron 19">
          <a:hlinkClick xmlns:r="http://schemas.openxmlformats.org/officeDocument/2006/relationships" r:id="rId1" tooltip="Jump to RoboRA tab"/>
          <a:extLst>
            <a:ext uri="{FF2B5EF4-FFF2-40B4-BE49-F238E27FC236}">
              <a16:creationId xmlns:a16="http://schemas.microsoft.com/office/drawing/2014/main" id="{00000000-0008-0000-0A00-000014000000}"/>
            </a:ext>
          </a:extLst>
        </xdr:cNvPr>
        <xdr:cNvSpPr>
          <a:spLocks noChangeAspect="1"/>
        </xdr:cNvSpPr>
      </xdr:nvSpPr>
      <xdr:spPr>
        <a:xfrm flipH="1">
          <a:off x="425307" y="940367"/>
          <a:ext cx="2521264" cy="457200"/>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Done</a:t>
          </a:r>
          <a:r>
            <a:rPr lang="en-US" sz="1100" b="1" baseline="0">
              <a:solidFill>
                <a:schemeClr val="bg1"/>
              </a:solidFill>
            </a:rPr>
            <a:t> with preferences;</a:t>
          </a:r>
          <a:br>
            <a:rPr lang="en-US" sz="1100" b="1" baseline="0">
              <a:solidFill>
                <a:schemeClr val="bg1"/>
              </a:solidFill>
            </a:rPr>
          </a:br>
          <a:r>
            <a:rPr lang="en-US" sz="1100" b="1" baseline="0">
              <a:solidFill>
                <a:schemeClr val="bg1"/>
              </a:solidFill>
            </a:rPr>
            <a:t>Start in RoboRA with prop_ids</a:t>
          </a:r>
          <a:endParaRPr lang="en-US" sz="1100" b="1">
            <a:solidFill>
              <a:schemeClr val="bg1"/>
            </a:solidFill>
          </a:endParaRPr>
        </a:p>
      </xdr:txBody>
    </xdr:sp>
    <xdr:clientData/>
  </xdr:twoCellAnchor>
  <xdr:twoCellAnchor editAs="oneCell">
    <xdr:from>
      <xdr:col>9</xdr:col>
      <xdr:colOff>71658</xdr:colOff>
      <xdr:row>74</xdr:row>
      <xdr:rowOff>133048</xdr:rowOff>
    </xdr:from>
    <xdr:to>
      <xdr:col>9</xdr:col>
      <xdr:colOff>1842197</xdr:colOff>
      <xdr:row>83</xdr:row>
      <xdr:rowOff>195439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252325" y="14580810"/>
          <a:ext cx="1770539" cy="185853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179614</xdr:colOff>
          <xdr:row>88</xdr:row>
          <xdr:rowOff>21771</xdr:rowOff>
        </xdr:from>
        <xdr:to>
          <xdr:col>4</xdr:col>
          <xdr:colOff>179614</xdr:colOff>
          <xdr:row>89</xdr:row>
          <xdr:rowOff>0</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0A00-00000E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Copy RoboRA location &amp; close it for now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108.525329282405"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108.525329976852" missingItemsLimit="0" createdVersion="6" refreshedVersion="6" minRefreshableVersion="3" recordCount="1">
  <cacheSource type="worksheet">
    <worksheetSource name="RADataQTable"/>
  </cacheSource>
  <cacheFields count="137">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fisc_yr" numFmtId="168">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hasE"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 name="conflrev0" numFmtId="0">
      <sharedItems containsNonDate="0" containsString="0" containsBlank="1"/>
    </cacheField>
    <cacheField name="conflrev1" numFmtId="0">
      <sharedItems containsNonDate="0" containsString="0" containsBlank="1"/>
    </cacheField>
    <cacheField name="conflrev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60">
      <pivotArea outline="0" collapsedLevelsAreSubtotals="1" fieldPosition="0"/>
    </format>
    <format dxfId="59">
      <pivotArea outline="0" collapsedLevelsAreSubtotals="1" fieldPosition="0"/>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7">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53">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2" name="rqst_tot" tableColumnId="16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2">
      <deletedField name="RecRkMin"/>
      <deletedField name="budg_tot"/>
      <deletedField name="sub_ctr_tot"/>
      <deletedField name="frgn_trav_tot"/>
      <deletedField name="pdoc_tot"/>
      <deletedField name="part_tot_dol"/>
      <deletedField name="grad_tot_cnt"/>
      <deletedField name="sr_tot_cnt"/>
      <deletedField name="sr_sumr_mnths"/>
      <deletedField name="sr_acad_mnths"/>
      <deletedField name="sr_cal_mnths"/>
      <deletedField name="brev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39">
    <queryTableFields count="56">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93" name="frgn_trav_tot" tableColumnId="50"/>
      <queryTableField id="288" name="rqst_tot" tableColumnId="34"/>
      <queryTableField id="289" name="brevn" tableColumnId="35"/>
      <queryTableField id="290" name="budg_tot" tableColumnId="36"/>
      <queryTableField id="326" name="y1_tot" tableColumnId="55"/>
      <queryTableField id="327" name="y2_tot" tableColumnId="56"/>
      <queryTableField id="328" name="y3_tot" tableColumnId="57"/>
      <queryTableField id="329" name="y4_tot" tableColumnId="58"/>
      <queryTableField id="330" name="y5_tot" tableColumnId="59"/>
      <queryTableField id="331" name="y6_tot" tableColumnId="60"/>
      <queryTableField id="292" name="sub_ctr_tot" tableColumnId="40"/>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51">
    <queryTableFields count="137">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8" dataBound="0" tableColumnId="130"/>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150" dataBound="0" tableColumnId="129"/>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DeletedFields count="1">
      <deletedField name="obj_clas_name"/>
    </queryTableDeletedFields>
  </queryTableRefresh>
</queryTable>
</file>

<file path=xl/queryTables/queryTable5.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5"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7:B18" insertRow="1" totalsRowShown="0" dataDxfId="256">
  <autoFilter ref="B17:B18"/>
  <tableColumns count="1">
    <tableColumn id="1" name="prop_id" dataDxfId="25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7:D18" insertRow="1" totalsRowShown="0" dataDxfId="254">
  <autoFilter ref="D17:D18"/>
  <tableColumns count="1">
    <tableColumn id="1" name="prop_id" dataDxfId="25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F17:F18" insertRow="1" totalsRowShown="0" dataDxfId="252">
  <autoFilter ref="F17:F18"/>
  <tableColumns count="1">
    <tableColumn id="1" name="prop_id" dataDxfId="251"/>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H17:H18" insertRow="1" totalsRowShown="0" dataDxfId="250">
  <autoFilter ref="H17:H18"/>
  <tableColumns count="1">
    <tableColumn id="1" name="prop_id" dataDxfId="249"/>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K9:L30" totalsRowShown="0" headerRowDxfId="248">
  <tableColumns count="2">
    <tableColumn id="1" name="Where to find:" dataDxfId="247"/>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A2" tableType="queryTable" insertRow="1" totalsRowShown="0">
  <autoFilter ref="A1:BA2"/>
  <tableColumns count="53">
    <tableColumn id="123" uniqueName="123" name="dd_rcom_date" queryTableFieldId="1" dataDxfId="246"/>
    <tableColumn id="124" uniqueName="124" name="nsf_rcvd_date" queryTableFieldId="2" dataDxfId="24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4"/>
    <tableColumn id="131" uniqueName="131" name="bas_rsch_pct" queryTableFieldId="9" dataDxfId="243"/>
    <tableColumn id="132" uniqueName="132" name="other_pct" queryTableFieldId="10" dataDxfId="24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41">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40"/>
    <tableColumn id="186" uniqueName="186" name="0" queryTableFieldId="65" dataDxfId="239">
      <calculatedColumnFormula>S1+(ckCodingQTable[[#This Row],[ILN]]&lt;"M")</calculatedColumnFormula>
    </tableColumn>
    <tableColumn id="139" uniqueName="139" name="ILN" queryTableFieldId="17" dataDxfId="238"/>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7"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36"/>
    <tableColumn id="146" uniqueName="146" name="rqst_mnth_cnt" queryTableFieldId="24"/>
    <tableColumn id="147" uniqueName="147" name="nPanl" queryTableFieldId="25"/>
    <tableColumn id="149" uniqueName="149" name="nPSunrls" queryTableFieldId="27"/>
    <tableColumn id="148" uniqueName="148" name="nPSunmrkd" queryTableFieldId="26" dataDxfId="235"/>
    <tableColumn id="152" uniqueName="152" name="allReviews" queryTableFieldId="30"/>
    <tableColumn id="153" uniqueName="153" name="avg_score" queryTableFieldId="31" dataDxfId="234"/>
    <tableColumn id="154" uniqueName="154" name="last_rev_date" queryTableFieldId="32" dataDxfId="233"/>
    <tableColumn id="156" uniqueName="156" name="Nconfl" queryTableFieldId="34" dataDxfId="232"/>
    <tableColumn id="151" uniqueName="151" name="nRev" queryTableFieldId="29"/>
    <tableColumn id="157" uniqueName="157" name="Nunrlsbl" queryTableFieldId="35"/>
    <tableColumn id="155" uniqueName="155" name="Nunmkd" queryTableFieldId="33" dataDxfId="231"/>
    <tableColumn id="158" uniqueName="158" name="NrlsdCDNPS" queryTableFieldId="36" dataDxfId="230"/>
    <tableColumn id="159" uniqueName="159" name="NpendSlct" queryTableFieldId="37" dataDxfId="229"/>
    <tableColumn id="160" uniqueName="160" name="NdiffFLeJ" queryTableFieldId="38" dataDxfId="228"/>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4" uniqueName="164" name="rqst_tot" queryTableFieldId="42" dataDxfId="227" dataCellStyle="Currency"/>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BD2" tableType="queryTable" insertRow="1" totalsRowShown="0">
  <autoFilter ref="A1:BD2"/>
  <tableColumns count="56">
    <tableColumn id="1" uniqueName="1" name="dd_rcom_date" queryTableFieldId="214" dataDxfId="226"/>
    <tableColumn id="4" uniqueName="4" name="nsf_rcvd_date" queryTableFieldId="4" dataDxfId="225"/>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24"/>
    <tableColumn id="39" uniqueName="39" name="natr_rqst_abbr" queryTableFieldId="280" dataDxfId="223"/>
    <tableColumn id="49" uniqueName="49" name="rcom_istr_abbr" queryTableFieldId="281" dataDxfId="222"/>
    <tableColumn id="19" uniqueName="19" name="obj_clas_code" queryTableFieldId="221"/>
    <tableColumn id="11" uniqueName="11" name="cntx_stmt_id" queryTableFieldId="11"/>
    <tableColumn id="32" uniqueName="32" name="RAupdate" queryTableFieldId="254" dataDxfId="221"/>
    <tableColumn id="25" uniqueName="25" name="0" queryTableFieldId="230" dataDxfId="220">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219" dataCellStyle="Hyperlink">
      <calculatedColumnFormula>HYPERLINK("https://www.ejacket.nsf.gov/ej/showProposal.do?ID="&amp;ckAwdQTable[[#This Row],[prop_id]],"eJ")</calculatedColumnFormula>
    </tableColumn>
    <tableColumn id="27" uniqueName="27" name="Div" queryTableFieldId="282" dataDxfId="218"/>
    <tableColumn id="12" uniqueName="12" name="prop_id" queryTableFieldId="12"/>
    <tableColumn id="13" uniqueName="13" name="pi_last_name" queryTableFieldId="13"/>
    <tableColumn id="14" uniqueName="14" name="pi_frst_name" queryTableFieldId="14"/>
    <tableColumn id="24" uniqueName="24" name="inst" queryTableFieldId="283" dataDxfId="217"/>
    <tableColumn id="23" uniqueName="23" name="st_code" queryTableFieldId="225"/>
    <tableColumn id="206" uniqueName="206" name="@pi email" queryTableFieldId="212" dataDxfId="216"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215"/>
    <tableColumn id="17" uniqueName="17" name="rqst_mnth_cnt" queryTableFieldId="17"/>
    <tableColumn id="9" uniqueName="9" name="humn_date" queryTableFieldId="218"/>
    <tableColumn id="28" uniqueName="28" name="hum_asur" queryTableFieldId="301" dataDxfId="214"/>
    <tableColumn id="29" uniqueName="29" name="HUM_EXPT" queryTableFieldId="302" dataDxfId="213"/>
    <tableColumn id="10" uniqueName="10" name="vrtb_date" queryTableFieldId="219"/>
    <tableColumn id="37" uniqueName="37" name="vrtb_asur" queryTableFieldId="303" dataDxfId="212"/>
    <tableColumn id="30" uniqueName="30" name="Country" queryTableFieldId="250" dataDxfId="211"/>
    <tableColumn id="50" uniqueName="50" name="frgn_trav_tot" queryTableFieldId="293" dataDxfId="210"/>
    <tableColumn id="34" uniqueName="34" name="rqst_tot" queryTableFieldId="288" dataDxfId="209" dataCellStyle="Currency"/>
    <tableColumn id="35" uniqueName="35" name="brevn" queryTableFieldId="289" dataDxfId="208"/>
    <tableColumn id="36" uniqueName="36" name="budg_tot" queryTableFieldId="290" dataDxfId="207"/>
    <tableColumn id="55" uniqueName="55" name="y1_tot" queryTableFieldId="326" dataDxfId="206"/>
    <tableColumn id="56" uniqueName="56" name="y2_tot" queryTableFieldId="327" dataDxfId="205"/>
    <tableColumn id="57" uniqueName="57" name="y3_tot" queryTableFieldId="328" dataDxfId="204"/>
    <tableColumn id="58" uniqueName="58" name="y4_tot" queryTableFieldId="329" dataDxfId="203"/>
    <tableColumn id="59" uniqueName="59" name="y5_tot" queryTableFieldId="330" dataDxfId="202"/>
    <tableColumn id="60" uniqueName="60" name="y6_tot" queryTableFieldId="331" dataDxfId="201"/>
    <tableColumn id="40" uniqueName="40" name="sub_ctr_tot" queryTableFieldId="292" dataDxfId="200"/>
    <tableColumn id="42" uniqueName="42" name="pdoc_tot" queryTableFieldId="294" dataDxfId="199"/>
    <tableColumn id="43" uniqueName="43" name="part_tot_dol" queryTableFieldId="295" dataDxfId="198"/>
    <tableColumn id="44" uniqueName="44" name="grad_tot_cnt" queryTableFieldId="296" dataDxfId="197"/>
    <tableColumn id="45" uniqueName="45" name="sr_tot_cnt" queryTableFieldId="297" dataDxfId="196"/>
    <tableColumn id="46" uniqueName="46" name="sr_sumr_mnths" queryTableFieldId="298" dataDxfId="195"/>
    <tableColumn id="47" uniqueName="47" name="sr_acad_mnths" queryTableFieldId="299" dataDxfId="194"/>
    <tableColumn id="48" uniqueName="48" name="sr_cal_mnths" queryTableFieldId="300" dataDxfId="193"/>
    <tableColumn id="8" uniqueName="8" name="prop_stts_txt" queryTableFieldId="278" dataDxfId="192"/>
    <tableColumn id="54" uniqueName="54" name="OTH_AGCY_SUBM_FLAG" queryTableFieldId="287" dataDxfId="191"/>
    <tableColumn id="53" uniqueName="53" name="Abstr?marks" queryTableFieldId="320" dataDxfId="190">
      <calculatedColumnFormula>SummarizeQuestMarks(ckAwdQTable[[#This Row],[abst_narr_txt]])</calculatedColumnFormula>
    </tableColumn>
    <tableColumn id="51" uniqueName="51" name="abst_narr_txt" queryTableFieldId="251" dataDxfId="189"/>
    <tableColumn id="83" uniqueName="83" name="prop_titl_txt" queryTableFieldId="83"/>
    <tableColumn id="52" uniqueName="52" name="titl_ck" queryTableFieldId="322">
      <calculatedColumnFormula>AND(ckAwdQTable[[#This Row],[ILN]]&gt;"M", SUBSTITUTE(ckAwdQTable[[#This Row],[prop_titl_txt]]," ","")&lt;&gt;SUBSTITUTE(BB1," ",""))</calculatedColumnFormula>
    </tableColumn>
    <tableColumn id="26" uniqueName="26" name="email" queryTableFieldId="284" dataDxfId="188"/>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187">
  <autoFilter ref="A3:AC4"/>
  <tableColumns count="29">
    <tableColumn id="10" uniqueName="10" name="prop_id" queryTableFieldId="10" dataDxfId="186"/>
    <tableColumn id="9" uniqueName="9" name="ILN" queryTableFieldId="89" dataDxfId="185" dataCellStyle="Hyperlink"/>
    <tableColumn id="31" uniqueName="31" name="10" queryTableFieldId="98" dataDxfId="184" dataCellStyle="Hyperlink">
      <calculatedColumnFormula>C3+(BudgetsQTable[[#This Row],[lead]]&lt;&gt;K3)</calculatedColumnFormula>
    </tableColumn>
    <tableColumn id="32" uniqueName="32" name="0" queryTableFieldId="97" dataDxfId="183" dataCellStyle="Hyperlink">
      <calculatedColumnFormula>D3*(BudgetsQTable[[#This Row],[lead]]=K3)+(BudgetsQTable[[#This Row],[prop_id]]&lt;&gt;A3)</calculatedColumnFormula>
    </tableColumn>
    <tableColumn id="3" uniqueName="3" name="nsf_rcvd_date" queryTableFieldId="63" dataDxfId="182" dataCellStyle="Hyperlink"/>
    <tableColumn id="4" uniqueName="4" name="pgm_annc_id" queryTableFieldId="64" dataDxfId="181" dataCellStyle="Hyperlink"/>
    <tableColumn id="5" uniqueName="5" name="org_code" queryTableFieldId="65" dataDxfId="180" dataCellStyle="Hyperlink"/>
    <tableColumn id="6" uniqueName="6" name="pgm_ele_code" queryTableFieldId="66" dataDxfId="179" dataCellStyle="Hyperlink"/>
    <tableColumn id="27" uniqueName="27" name="PO" queryTableFieldId="91" dataDxfId="178" dataCellStyle="Hyperlink"/>
    <tableColumn id="28" uniqueName="28" name="pi_email" queryTableFieldId="92" dataDxfId="177" dataCellStyle="Hyperlink"/>
    <tableColumn id="8" uniqueName="8" name="lead" queryTableFieldId="68" dataDxfId="176"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175"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174" dataCellStyle="Hyperlink"/>
    <tableColumn id="14" uniqueName="14" name="sr_pers_cnt" queryTableFieldId="73" dataDxfId="173" dataCellStyle="Hyperlink"/>
    <tableColumn id="15" uniqueName="15" name="sr_summ_mnth_cnt" queryTableFieldId="74" dataDxfId="172" dataCellStyle="Hyperlink"/>
    <tableColumn id="16" uniqueName="16" name="pdoc_grnt_dol" queryTableFieldId="75" dataDxfId="171" dataCellStyle="Currency"/>
    <tableColumn id="17" uniqueName="17" name="frgn_trav_dol" queryTableFieldId="76" dataDxfId="170" dataCellStyle="Currency"/>
    <tableColumn id="18" uniqueName="18" name="part_dol" queryTableFieldId="77" dataDxfId="169" dataCellStyle="Currency"/>
    <tableColumn id="19" uniqueName="19" name="budg_tot_dol" queryTableFieldId="78" dataDxfId="168" dataCellStyle="Currency"/>
    <tableColumn id="20" uniqueName="20" name="revn_num" queryTableFieldId="79" dataDxfId="167" dataCellStyle="Hyperlink"/>
    <tableColumn id="21" uniqueName="21" name="budg_seq_yr" queryTableFieldId="80" dataDxfId="166" dataCellStyle="Hyperlink"/>
    <tableColumn id="26" uniqueName="26" name="Column1" queryTableFieldId="85" dataDxfId="165" dataCellStyle="Hyperlink">
      <calculatedColumnFormula>IF(ISBLANK(BudgetsQTable[[#This Row],[budg_seq_yr]]),"FY"&amp;fiscalyear,"FY"&amp;fiscalyear-1+BudgetsQTable[[#This Row],[budg_seq_yr]])</calculatedColumnFormula>
    </tableColumn>
    <tableColumn id="22" uniqueName="22" name="dol" queryTableFieldId="81" dataDxfId="164" dataCellStyle="Currency"/>
    <tableColumn id="23" uniqueName="23" name="org_code2" queryTableFieldId="82" dataDxfId="163" dataCellStyle="Hyperlink"/>
    <tableColumn id="24" uniqueName="24" name="PEC" queryTableFieldId="83" dataDxfId="162" dataCellStyle="Hyperlink"/>
    <tableColumn id="7" uniqueName="7" name="Obj" queryTableFieldId="99" dataDxfId="161" dataCellStyle="Hyperlink"/>
    <tableColumn id="25" uniqueName="25" name="PRCs" queryTableFieldId="84" dataDxfId="160"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G2" tableType="queryTable" insertRow="1" totalsRowShown="0">
  <autoFilter ref="A1:EG2">
    <filterColumn colId="12">
      <customFilters>
        <customFilter operator="greaterThan" val="0"/>
      </customFilters>
    </filterColumn>
  </autoFilter>
  <sortState ref="A2:EG3">
    <sortCondition ref="M1:M2"/>
  </sortState>
  <tableColumns count="137">
    <tableColumn id="1" uniqueName="1" name="dd_rcom_date" queryTableFieldId="1" dataDxfId="159"/>
    <tableColumn id="2" uniqueName="2" name="nsf_rcvd_date" queryTableFieldId="2" dataDxfId="158"/>
    <tableColumn id="3" uniqueName="3" name="pgm_annc_id" queryTableFieldId="3" dataDxfId="157"/>
    <tableColumn id="4" uniqueName="4" name="org_code" queryTableFieldId="4" dataDxfId="156"/>
    <tableColumn id="5" uniqueName="5" name="pgm_ele_code" queryTableFieldId="5" dataDxfId="155"/>
    <tableColumn id="6" uniqueName="6" name="natr_rqst_abbr" queryTableFieldId="6" dataDxfId="154"/>
    <tableColumn id="7" uniqueName="7" name="prop_stts_abbr" queryTableFieldId="7" dataDxfId="153"/>
    <tableColumn id="8" uniqueName="8" name="obj_clas_code" queryTableFieldId="8"/>
    <tableColumn id="9" uniqueName="9" name="cntx_stmt_id" queryTableFieldId="9"/>
    <tableColumn id="10" uniqueName="10" name="PO" queryTableFieldId="10"/>
    <tableColumn id="11" uniqueName="11" name="RAupdate" queryTableFieldId="11" dataDxfId="152"/>
    <tableColumn id="12" uniqueName="12" name="nPanl" queryTableFieldId="12"/>
    <tableColumn id="13" uniqueName="13" name="RecRkMin" queryTableFieldId="13" dataDxfId="151"/>
    <tableColumn id="14" uniqueName="14" name="rec0" queryTableFieldId="14"/>
    <tableColumn id="15" uniqueName="15" name="rec1" queryTableFieldId="15"/>
    <tableColumn id="16" uniqueName="16" name="rec2" queryTableFieldId="16"/>
    <tableColumn id="17" uniqueName="17" name="RAtemplate" queryTableFieldId="17" dataDxfId="150"/>
    <tableColumn id="133" uniqueName="133" name="RAdraft_filename" queryTableFieldId="135" dataDxfId="149">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48"/>
    <tableColumn id="137" uniqueName="137" name="RAps_note" queryTableFieldId="136" dataDxfId="147"/>
    <tableColumn id="134" uniqueName="134" name="RAsigner" queryTableFieldId="134" dataDxfId="146">
      <calculatedColumnFormula>IF(signer1="PD",IF(ISBLANK(RADataQTable[[#This Row],[sign_blck_name]]),"",RADataQTable[[#This Row],[sign_blck_name]]),IF(ISBLANK(signer1),"",signer1))</calculatedColumnFormula>
    </tableColumn>
    <tableColumn id="135" uniqueName="135" name="RAsigner2" queryTableFieldId="133" dataDxfId="145">
      <calculatedColumnFormula>signer2</calculatedColumnFormula>
    </tableColumn>
    <tableColumn id="130" uniqueName="130" name="fisc_yr" queryTableFieldId="148" dataDxfId="144">
      <calculatedColumnFormula>"FY" &amp; (YEAR(NOW())+(MONTH(NOW())&gt;8)-2000)</calculatedColumnFormula>
    </tableColumn>
    <tableColumn id="138" uniqueName="138" name="ej" queryTableFieldId="142" dataDxfId="143" dataCellStyle="Hyperlink">
      <calculatedColumnFormula>HYPERLINK("https://www.ejacket.nsf.gov/ej/showProposal.do?Continue=Y&amp;ID="&amp;RADataQTable[[#This Row],[prop_id0]],"eJ")</calculatedColumnFormula>
    </tableColumn>
    <tableColumn id="139" uniqueName="139" name="@PI" queryTableFieldId="141" dataDxfId="142"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41"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40"/>
    <tableColumn id="23" uniqueName="23" name="avg_score" queryTableFieldId="23" dataDxfId="139"/>
    <tableColumn id="24" uniqueName="24" name="maxScore" queryTableFieldId="24"/>
    <tableColumn id="25" uniqueName="25" name="allReviews" queryTableFieldId="25"/>
    <tableColumn id="129" uniqueName="129" name="hasE" queryTableFieldId="150">
      <calculatedColumnFormula>LEFT(RADataQTable[[#This Row],[allReviews]],1)="E"</calculatedColumnFormula>
    </tableColumn>
    <tableColumn id="26" uniqueName="26" name="last_rev_date" queryTableFieldId="26" dataDxfId="138"/>
    <tableColumn id="28" uniqueName="28" name="rqst_tot" queryTableFieldId="28" dataDxfId="137" dataCellStyle="Currency"/>
    <tableColumn id="29" uniqueName="29" name="budg_tot" queryTableFieldId="29" dataDxfId="136" dataCellStyle="Currency"/>
    <tableColumn id="30" uniqueName="30" name="budRevnMax" queryTableFieldId="30"/>
    <tableColumn id="31" uniqueName="31" name="rqst_eff_date" queryTableFieldId="31" dataDxfId="135"/>
    <tableColumn id="32" uniqueName="32" name="rqst_mnth_cnt" queryTableFieldId="32" dataDxfId="134"/>
    <tableColumn id="33" uniqueName="33" name="prop_titl_txt" queryTableFieldId="33" dataDxfId="133"/>
    <tableColumn id="34" uniqueName="34" name="AhNrev" queryTableFieldId="34"/>
    <tableColumn id="35" uniqueName="35" name="AhRevs" queryTableFieldId="35"/>
    <tableColumn id="36" uniqueName="36" name="AhLast" queryTableFieldId="36" dataDxfId="132"/>
    <tableColumn id="37" uniqueName="37" name="panl_id0" queryTableFieldId="37"/>
    <tableColumn id="38" uniqueName="38" name="RCOM_TXT0" queryTableFieldId="38" dataDxfId="131"/>
    <tableColumn id="39" uniqueName="39" name="rank0" queryTableFieldId="39" dataDxfId="130"/>
    <tableColumn id="40" uniqueName="40" name="panl_name0" queryTableFieldId="40" dataDxfId="129"/>
    <tableColumn id="41" uniqueName="41" name="panl_end0" queryTableFieldId="41" dataDxfId="128"/>
    <tableColumn id="42" uniqueName="42" name="revs0" queryTableFieldId="42" dataDxfId="127"/>
    <tableColumn id="43" uniqueName="43" name="PanlString0" queryTableFieldId="43" dataDxfId="126"/>
    <tableColumn id="44" uniqueName="44" name="pnlst0" queryTableFieldId="44" dataDxfId="125"/>
    <tableColumn id="45" uniqueName="45" name="confl0" queryTableFieldId="45" dataDxfId="124"/>
    <tableColumn id="46" uniqueName="46" name="panl_id1" queryTableFieldId="46" dataDxfId="123"/>
    <tableColumn id="47" uniqueName="47" name="RCOM_TXT1" queryTableFieldId="47" dataDxfId="122"/>
    <tableColumn id="48" uniqueName="48" name="rank1" queryTableFieldId="48" dataDxfId="121"/>
    <tableColumn id="49" uniqueName="49" name="panl_name1" queryTableFieldId="49" dataDxfId="120"/>
    <tableColumn id="50" uniqueName="50" name="panl_end1" queryTableFieldId="50" dataDxfId="119"/>
    <tableColumn id="51" uniqueName="51" name="revs1" queryTableFieldId="51" dataDxfId="118"/>
    <tableColumn id="52" uniqueName="52" name="PanlString1" queryTableFieldId="52" dataDxfId="117"/>
    <tableColumn id="53" uniqueName="53" name="pnlst1" queryTableFieldId="53" dataDxfId="116"/>
    <tableColumn id="54" uniqueName="54" name="confl1" queryTableFieldId="54" dataDxfId="115"/>
    <tableColumn id="55" uniqueName="55" name="panl_id2" queryTableFieldId="55" dataDxfId="114"/>
    <tableColumn id="56" uniqueName="56" name="RCOM_TXT2" queryTableFieldId="56" dataDxfId="113"/>
    <tableColumn id="57" uniqueName="57" name="rank2" queryTableFieldId="57" dataDxfId="112"/>
    <tableColumn id="58" uniqueName="58" name="panl_name2" queryTableFieldId="58" dataDxfId="111"/>
    <tableColumn id="59" uniqueName="59" name="panl_end2" queryTableFieldId="59" dataDxfId="110"/>
    <tableColumn id="60" uniqueName="60" name="revs2" queryTableFieldId="60" dataDxfId="109"/>
    <tableColumn id="61" uniqueName="61" name="PanlString2" queryTableFieldId="61" dataDxfId="108"/>
    <tableColumn id="62" uniqueName="62" name="pnlst2" queryTableFieldId="62" dataDxfId="107"/>
    <tableColumn id="63" uniqueName="63" name="confl2" queryTableFieldId="63" dataDxfId="106"/>
    <tableColumn id="64" uniqueName="64" name="prop_id0" queryTableFieldId="64"/>
    <tableColumn id="65" uniqueName="65" name="last0" queryTableFieldId="65" dataDxfId="105"/>
    <tableColumn id="66" uniqueName="66" name="frst0" queryTableFieldId="66" dataDxfId="104"/>
    <tableColumn id="67" uniqueName="67" name="inst0" queryTableFieldId="67" dataDxfId="103"/>
    <tableColumn id="68" uniqueName="68" name="rqst0" queryTableFieldId="68" dataDxfId="102"/>
    <tableColumn id="69" uniqueName="69" name="b0tot" queryTableFieldId="69" dataDxfId="101"/>
    <tableColumn id="70" uniqueName="70" name="PRC0" queryTableFieldId="70"/>
    <tableColumn id="71" uniqueName="71" name="prop_id1" queryTableFieldId="71" dataDxfId="100"/>
    <tableColumn id="72" uniqueName="72" name="last1" queryTableFieldId="72" dataDxfId="99"/>
    <tableColumn id="73" uniqueName="73" name="frst1" queryTableFieldId="73" dataDxfId="98"/>
    <tableColumn id="74" uniqueName="74" name="inst1" queryTableFieldId="74" dataDxfId="97"/>
    <tableColumn id="75" uniqueName="75" name="rqst1" queryTableFieldId="75" dataDxfId="96"/>
    <tableColumn id="76" uniqueName="76" name="b1tot" queryTableFieldId="76" dataDxfId="95"/>
    <tableColumn id="77" uniqueName="77" name="PRC1" queryTableFieldId="77"/>
    <tableColumn id="78" uniqueName="78" name="prop_id2" queryTableFieldId="78" dataDxfId="94"/>
    <tableColumn id="79" uniqueName="79" name="last2" queryTableFieldId="79" dataDxfId="93"/>
    <tableColumn id="80" uniqueName="80" name="frst2" queryTableFieldId="80" dataDxfId="92"/>
    <tableColumn id="81" uniqueName="81" name="inst2" queryTableFieldId="81" dataDxfId="91"/>
    <tableColumn id="82" uniqueName="82" name="rqst2" queryTableFieldId="82" dataDxfId="90"/>
    <tableColumn id="83" uniqueName="83" name="b2tot" queryTableFieldId="83" dataDxfId="89"/>
    <tableColumn id="84" uniqueName="84" name="PRC2" queryTableFieldId="84"/>
    <tableColumn id="85" uniqueName="85" name="prop_id3" queryTableFieldId="85" dataDxfId="88"/>
    <tableColumn id="86" uniqueName="86" name="last3" queryTableFieldId="86" dataDxfId="87"/>
    <tableColumn id="87" uniqueName="87" name="frst3" queryTableFieldId="87" dataDxfId="86"/>
    <tableColumn id="88" uniqueName="88" name="inst3" queryTableFieldId="88" dataDxfId="85"/>
    <tableColumn id="89" uniqueName="89" name="rqst3" queryTableFieldId="89" dataDxfId="84"/>
    <tableColumn id="90" uniqueName="90" name="b3tot" queryTableFieldId="90" dataDxfId="83"/>
    <tableColumn id="91" uniqueName="91" name="PRC3" queryTableFieldId="91"/>
    <tableColumn id="92" uniqueName="92" name="prop_id4" queryTableFieldId="92" dataDxfId="82"/>
    <tableColumn id="93" uniqueName="93" name="last4" queryTableFieldId="93" dataDxfId="81"/>
    <tableColumn id="94" uniqueName="94" name="frst4" queryTableFieldId="94" dataDxfId="80"/>
    <tableColumn id="95" uniqueName="95" name="inst4" queryTableFieldId="95" dataDxfId="79"/>
    <tableColumn id="96" uniqueName="96" name="rqst4" queryTableFieldId="96" dataDxfId="78"/>
    <tableColumn id="97" uniqueName="97" name="b4tot" queryTableFieldId="97" dataDxfId="77"/>
    <tableColumn id="98" uniqueName="98" name="PRC4" queryTableFieldId="98"/>
    <tableColumn id="99" uniqueName="99" name="prop_id5" queryTableFieldId="99" dataDxfId="76"/>
    <tableColumn id="100" uniqueName="100" name="last5" queryTableFieldId="100" dataDxfId="75"/>
    <tableColumn id="101" uniqueName="101" name="frst5" queryTableFieldId="101" dataDxfId="74"/>
    <tableColumn id="102" uniqueName="102" name="inst5" queryTableFieldId="102" dataDxfId="73"/>
    <tableColumn id="103" uniqueName="103" name="rqst5" queryTableFieldId="103" dataDxfId="72"/>
    <tableColumn id="104" uniqueName="104" name="b5tot" queryTableFieldId="104" dataDxfId="71"/>
    <tableColumn id="105" uniqueName="105" name="PRC5" queryTableFieldId="105"/>
    <tableColumn id="106" uniqueName="106" name="prop_id6" queryTableFieldId="106" dataDxfId="70"/>
    <tableColumn id="107" uniqueName="107" name="last6" queryTableFieldId="107" dataDxfId="69"/>
    <tableColumn id="108" uniqueName="108" name="frst6" queryTableFieldId="108" dataDxfId="68"/>
    <tableColumn id="109" uniqueName="109" name="inst6" queryTableFieldId="109" dataDxfId="67"/>
    <tableColumn id="110" uniqueName="110" name="rqst6" queryTableFieldId="110" dataDxfId="66"/>
    <tableColumn id="111" uniqueName="111" name="b6tot" queryTableFieldId="111" dataDxfId="65"/>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64"/>
    <tableColumn id="117" uniqueName="117" name="prop_stts_txt" queryTableFieldId="117"/>
    <tableColumn id="118" uniqueName="118" name="natr_rqst_txt" queryTableFieldId="118"/>
    <tableColumn id="120" uniqueName="120" name="Dir" queryTableFieldId="120"/>
    <tableColumn id="121" uniqueName="121" name="Dir_name" queryTableFieldId="121"/>
    <tableColumn id="122" uniqueName="122" name="pulldate" queryTableFieldId="122" dataDxfId="63"/>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16" name="ConflictQTable" displayName="ConflictQTable" ref="A2:C3" tableType="queryTable" insertRow="1" totalsRowShown="0" headerRowCellStyle="Normal" dataCellStyle="Normal">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1.xml><?xml version="1.0" encoding="utf-8"?>
<table xmlns="http://schemas.openxmlformats.org/spreadsheetml/2006/main" id="11" name="PRCGlossaryQTable" displayName="PRCGlossaryQTable" ref="A2:B3" tableType="queryTable" insertRow="1" totalsRowShown="0" headerRowCellStyle="Normal" dataCellStyle="Normal">
  <autoFilter ref="A2:B3"/>
  <tableColumns count="2">
    <tableColumn id="1" uniqueName="1" name="PRC" queryTableFieldId="278" dataDxfId="62"/>
    <tableColumn id="2" uniqueName="2" name="PRC_Description" queryTableFieldId="279"/>
  </tableColumns>
  <tableStyleInfo name="TableStyleMedium2" showFirstColumn="0" showLastColumn="0" showRowStripes="1" showColumnStripes="0"/>
</table>
</file>

<file path=xl/tables/table12.xml><?xml version="1.0" encoding="utf-8"?>
<table xmlns="http://schemas.openxmlformats.org/spreadsheetml/2006/main" id="13" name="PECGlossaryQTable" displayName="PECGlossaryQTable" ref="D2:E3" tableType="queryTable" insertRow="1" totalsRowShown="0" headerRowCellStyle="Normal" dataCellStyle="Normal">
  <autoFilter ref="D2:E3"/>
  <tableColumns count="2">
    <tableColumn id="1" uniqueName="1" name="PEC" queryTableFieldId="280" dataDxfId="61"/>
    <tableColumn id="2" uniqueName="2" name="PEC_Description" queryTableFieldId="281"/>
  </tableColumns>
  <tableStyleInfo name="TableStyleMedium2" showFirstColumn="0" showLastColumn="0" showRowStripes="1" showColumnStripes="0"/>
</table>
</file>

<file path=xl/tables/table13.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57"/>
    <tableColumn id="22" uniqueName="22" name="nsf_rcvd_date" queryTableFieldId="2" dataDxfId="56"/>
    <tableColumn id="23" uniqueName="23" name="cntx_stmt_id" queryTableFieldId="3"/>
    <tableColumn id="24" uniqueName="24" name="pgm_annc_id" queryTableFieldId="4"/>
    <tableColumn id="60" uniqueName="60" name="pObj" queryTableFieldId="13" dataDxfId="55"/>
    <tableColumn id="61" uniqueName="61" name="bObj" queryTableFieldId="14" dataDxfId="54"/>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53"/>
    <tableColumn id="35" uniqueName="35" name="rcom_istr_abbr" queryTableFieldId="15" dataDxfId="52"/>
    <tableColumn id="57" uniqueName="57" name="budg_yr" queryTableFieldId="27" dataDxfId="51"/>
    <tableColumn id="58" uniqueName="58" name="splt_id" queryTableFieldId="28" dataDxfId="50"/>
    <tableColumn id="59" uniqueName="59" name="budg_splt_tot_dol" queryTableFieldId="29" dataDxfId="49"/>
    <tableColumn id="54" uniqueName="54" name="0" queryTableFieldId="35" dataDxfId="48">
      <calculatedColumnFormula>S1+(X2&lt;&gt;X1)</calculatedColumnFormula>
    </tableColumn>
    <tableColumn id="37" uniqueName="37" name="ILN" queryTableFieldId="17" dataDxfId="47"/>
    <tableColumn id="36" uniqueName="36" name="lead" queryTableFieldId="16" dataDxfId="46"/>
    <tableColumn id="55" uniqueName="55" name="eJ" queryTableFieldId="36" dataDxfId="45" dataCellStyle="Hyperlink">
      <calculatedColumnFormula>HYPERLINK("https://www.ejacket.nsf.gov/ej/showProposal.do?ID="&amp;ckSplitsQTable[[#This Row],[prop_id]],"eJ")</calculatedColumnFormula>
    </tableColumn>
    <tableColumn id="38" uniqueName="38" name="Div" queryTableFieldId="18" dataDxfId="44"/>
    <tableColumn id="39" uniqueName="39" name="prop_id" queryTableFieldId="19" dataDxfId="43"/>
    <tableColumn id="40" uniqueName="40" name="pi_last_name" queryTableFieldId="20" dataDxfId="42"/>
    <tableColumn id="41" uniqueName="41" name="pi_frst_name" queryTableFieldId="21" dataDxfId="41"/>
    <tableColumn id="42" uniqueName="42" name="inst" queryTableFieldId="22" dataDxfId="40"/>
    <tableColumn id="56" uniqueName="56" name="@ pi" queryTableFieldId="37" dataDxfId="39"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38"/>
    <tableColumn id="44" uniqueName="44" name="propPRCs" queryTableFieldId="24" dataDxfId="37"/>
    <tableColumn id="45" uniqueName="45" name="bPRCs" queryTableFieldId="25" dataDxfId="36"/>
    <tableColumn id="46" uniqueName="46" name="awd_id" queryTableFieldId="26" dataDxfId="35"/>
    <tableColumn id="50" uniqueName="50" name="prop_stts_txt" queryTableFieldId="30" dataDxfId="34"/>
    <tableColumn id="51" uniqueName="51" name="prop_titl_txt" queryTableFieldId="31" dataDxfId="33"/>
  </tableColumns>
  <tableStyleInfo name="TableStyleLight11" showFirstColumn="0" showLastColumn="0" showRowStripes="0" showColumnStripes="0"/>
</table>
</file>

<file path=xl/tables/table14.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32" totalsRowDxfId="31"/>
    <tableColumn id="11" uniqueName="11" name="returned" queryTableFieldId="11" dataDxfId="30"/>
    <tableColumn id="14" uniqueName="14" name="nchars" queryTableFieldId="15" dataDxfId="29">
      <calculatedColumnFormula>LEN(ProjTextQTable[[#This Row],[text]])</calculatedColumnFormula>
    </tableColumn>
    <tableColumn id="15" uniqueName="15" name="nwords" queryTableFieldId="14" dataDxfId="28">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15.xml><?xml version="1.0" encoding="utf-8"?>
<table xmlns="http://schemas.openxmlformats.org/spreadsheetml/2006/main" id="6" name="AvailableTemplates" displayName="AvailableTemplates" ref="J24:J29" totalsRowShown="0" headerRowDxfId="27" dataDxfId="26">
  <autoFilter ref="J24:J29"/>
  <tableColumns count="1">
    <tableColumn id="1" name="Available templates:" dataDxfId="25"/>
  </tableColumns>
  <tableStyleInfo name="TableStyleLight8" showFirstColumn="0" showLastColumn="0" showRowStripes="1" showColumnStripes="0"/>
</table>
</file>

<file path=xl/tables/table16.xml><?xml version="1.0" encoding="utf-8"?>
<table xmlns="http://schemas.openxmlformats.org/spreadsheetml/2006/main" id="4" name="EpscorTable" displayName="EpscorTable" ref="I40:I68" totalsRowCount="1" headerRowDxfId="24" dataDxfId="23">
  <autoFilter ref="I40:I67"/>
  <tableColumns count="1">
    <tableColumn id="1" name="Epscor" totalsRowFunction="count" dataDxfId="22" totalsRowDxfId="21"/>
  </tableColumns>
  <tableStyleInfo name="TableFall" showFirstColumn="0" showLastColumn="0" showRowStripes="1" showColumnStripes="0"/>
</table>
</file>

<file path=xl/tables/table17.xml><?xml version="1.0" encoding="utf-8"?>
<table xmlns="http://schemas.openxmlformats.org/spreadsheetml/2006/main" id="17" name="SharedRATemplateTable" displayName="SharedRATemplateTable" ref="I10:J14" totalsRowShown="0">
  <autoFilter ref="I10:J14"/>
  <tableColumns count="2">
    <tableColumn id="1" name="div/pgm" dataDxfId="20"/>
    <tableColumn id="2" name="default RAtemplate folder" dataDxfId="19"/>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5.xml"/><Relationship Id="rId5" Type="http://schemas.openxmlformats.org/officeDocument/2006/relationships/ctrlProp" Target="../ctrlProps/ctrlProp2.xml"/><Relationship Id="rId10" Type="http://schemas.openxmlformats.org/officeDocument/2006/relationships/table" Target="../tables/table4.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4.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table" Target="../tables/table15.xml"/><Relationship Id="rId3" Type="http://schemas.openxmlformats.org/officeDocument/2006/relationships/hyperlink" Target="http://remote.nsf.gov/" TargetMode="Externa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hyperlink" Target="https://support.office.com/en-ie/article/Data-sources-you-can-use-for-a-mail-merge-9de322a6-f0f9-448d-a113-5fab317d9ef4" TargetMode="External"/><Relationship Id="rId16" Type="http://schemas.openxmlformats.org/officeDocument/2006/relationships/ctrlProp" Target="../ctrlProps/ctrlProp18.xml"/><Relationship Id="rId20" Type="http://schemas.openxmlformats.org/officeDocument/2006/relationships/table" Target="../tables/table17.xml"/><Relationship Id="rId1" Type="http://schemas.openxmlformats.org/officeDocument/2006/relationships/hyperlink" Target="http://www.epscorideacoalition.org/legislative-action/nsf-epscor-fy-2017" TargetMode="External"/><Relationship Id="rId6" Type="http://schemas.openxmlformats.org/officeDocument/2006/relationships/vmlDrawing" Target="../drawings/vmlDrawing9.vml"/><Relationship Id="rId11" Type="http://schemas.openxmlformats.org/officeDocument/2006/relationships/ctrlProp" Target="../ctrlProps/ctrlProp13.xml"/><Relationship Id="rId5" Type="http://schemas.openxmlformats.org/officeDocument/2006/relationships/drawing" Target="../drawings/drawing11.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table" Target="../tables/table16.xml"/><Relationship Id="rId4" Type="http://schemas.openxmlformats.org/officeDocument/2006/relationships/printerSettings" Target="../printerSettings/printerSettings11.bin"/><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L31"/>
  <sheetViews>
    <sheetView showGridLines="0" zoomScaleNormal="100" workbookViewId="0">
      <selection activeCell="D5" sqref="D5"/>
    </sheetView>
  </sheetViews>
  <sheetFormatPr defaultRowHeight="14.6" x14ac:dyDescent="0.4"/>
  <cols>
    <col min="1" max="1" width="2" customWidth="1"/>
    <col min="2" max="2" width="10.69140625" customWidth="1"/>
    <col min="3" max="3" width="5.69140625" customWidth="1"/>
    <col min="4" max="4" width="10.69140625" customWidth="1"/>
    <col min="5" max="5" width="5.69140625" customWidth="1"/>
    <col min="6" max="6" width="10.69140625" customWidth="1"/>
    <col min="7" max="7" width="5.69140625" customWidth="1"/>
    <col min="8" max="8" width="10.69140625" customWidth="1"/>
    <col min="9" max="9" width="8.84375" customWidth="1"/>
    <col min="10" max="10" width="8.3828125" customWidth="1"/>
    <col min="11" max="11" width="26.84375" customWidth="1"/>
    <col min="12" max="12" width="23.53515625" customWidth="1"/>
  </cols>
  <sheetData>
    <row r="1" spans="2:12" ht="18" customHeight="1" x14ac:dyDescent="0.4">
      <c r="B1" s="116" t="s">
        <v>399</v>
      </c>
      <c r="C1" s="116"/>
      <c r="D1" s="116"/>
      <c r="E1" s="116"/>
      <c r="F1" s="116"/>
      <c r="G1" s="116"/>
      <c r="H1" s="116"/>
    </row>
    <row r="2" spans="2:12" ht="18" customHeight="1" x14ac:dyDescent="0.4">
      <c r="B2" s="117" t="s">
        <v>501</v>
      </c>
      <c r="C2" s="116"/>
      <c r="D2" s="116"/>
      <c r="E2" s="116"/>
      <c r="F2" s="116"/>
      <c r="G2" s="118"/>
      <c r="H2" s="116"/>
    </row>
    <row r="3" spans="2:12" ht="18" customHeight="1" x14ac:dyDescent="0.4">
      <c r="B3" s="3"/>
      <c r="C3" s="33" t="s">
        <v>379</v>
      </c>
      <c r="D3" s="116" t="s">
        <v>502</v>
      </c>
      <c r="E3" s="116"/>
      <c r="F3" s="116"/>
      <c r="G3" s="32"/>
    </row>
    <row r="4" spans="2:12" ht="18" customHeight="1" x14ac:dyDescent="0.4">
      <c r="B4" s="3"/>
      <c r="C4" s="33" t="s">
        <v>394</v>
      </c>
      <c r="D4" s="24" t="s">
        <v>520</v>
      </c>
      <c r="E4" s="29"/>
      <c r="F4" s="119"/>
      <c r="G4" s="32"/>
    </row>
    <row r="5" spans="2:12" ht="18.45" customHeight="1" x14ac:dyDescent="0.4">
      <c r="B5" s="3"/>
      <c r="C5" s="219" t="s">
        <v>530</v>
      </c>
      <c r="D5" s="216"/>
      <c r="E5" s="217"/>
      <c r="F5" s="213"/>
      <c r="G5" s="214"/>
      <c r="H5" s="213"/>
      <c r="I5" s="215"/>
    </row>
    <row r="6" spans="2:12" ht="20.25" customHeight="1" x14ac:dyDescent="0.4">
      <c r="B6" s="3"/>
      <c r="C6" s="33" t="s">
        <v>395</v>
      </c>
      <c r="D6" s="116" t="s">
        <v>503</v>
      </c>
      <c r="E6" s="116"/>
      <c r="F6" s="116"/>
      <c r="G6" s="32"/>
    </row>
    <row r="7" spans="2:12" ht="20.25" customHeight="1" x14ac:dyDescent="0.4">
      <c r="B7" s="3"/>
      <c r="C7" s="33" t="s">
        <v>380</v>
      </c>
      <c r="D7" s="34"/>
    </row>
    <row r="8" spans="2:12" ht="20.25" customHeight="1" x14ac:dyDescent="0.4">
      <c r="B8" s="3"/>
      <c r="C8" s="33" t="s">
        <v>504</v>
      </c>
      <c r="D8" s="34" t="s">
        <v>507</v>
      </c>
    </row>
    <row r="9" spans="2:12" ht="20.25" customHeight="1" x14ac:dyDescent="0.4">
      <c r="B9" s="3"/>
      <c r="C9" s="33"/>
      <c r="D9" s="34"/>
      <c r="F9" t="s">
        <v>508</v>
      </c>
      <c r="K9" s="55" t="s">
        <v>326</v>
      </c>
      <c r="L9" s="114" t="s">
        <v>377</v>
      </c>
    </row>
    <row r="10" spans="2:12" ht="20.25" customHeight="1" x14ac:dyDescent="0.4">
      <c r="B10" s="3"/>
      <c r="C10" s="33"/>
      <c r="D10" s="116"/>
      <c r="E10" s="116"/>
      <c r="F10" s="116"/>
      <c r="H10" t="s">
        <v>509</v>
      </c>
      <c r="K10" s="3" t="s">
        <v>332</v>
      </c>
      <c r="L10" s="7" t="s">
        <v>331</v>
      </c>
    </row>
    <row r="11" spans="2:12" ht="19.75" customHeight="1" x14ac:dyDescent="0.4">
      <c r="C11" s="33"/>
      <c r="D11" s="34"/>
      <c r="K11" s="3" t="s">
        <v>397</v>
      </c>
      <c r="L11" s="7" t="s">
        <v>324</v>
      </c>
    </row>
    <row r="12" spans="2:12" ht="18" customHeight="1" x14ac:dyDescent="0.4">
      <c r="B12" s="3"/>
      <c r="C12" s="33"/>
      <c r="D12" s="34"/>
      <c r="K12" s="3" t="s">
        <v>527</v>
      </c>
      <c r="L12" s="7" t="s">
        <v>324</v>
      </c>
    </row>
    <row r="13" spans="2:12" ht="18" customHeight="1" x14ac:dyDescent="0.4">
      <c r="B13" s="3"/>
      <c r="C13" s="33"/>
      <c r="D13" s="34"/>
      <c r="K13" s="3" t="s">
        <v>334</v>
      </c>
      <c r="L13" s="7" t="s">
        <v>322</v>
      </c>
    </row>
    <row r="14" spans="2:12" ht="18" customHeight="1" x14ac:dyDescent="0.4">
      <c r="B14" s="3" t="s">
        <v>510</v>
      </c>
      <c r="C14" s="33"/>
      <c r="D14" s="34"/>
      <c r="K14" s="3" t="s">
        <v>330</v>
      </c>
      <c r="L14" s="7" t="s">
        <v>322</v>
      </c>
    </row>
    <row r="15" spans="2:12" ht="18" customHeight="1" x14ac:dyDescent="0.4">
      <c r="B15" s="3" t="s">
        <v>505</v>
      </c>
      <c r="C15" s="3"/>
      <c r="D15" s="3" t="s">
        <v>506</v>
      </c>
      <c r="E15" s="3"/>
      <c r="F15" s="3" t="s">
        <v>179</v>
      </c>
      <c r="K15" s="3" t="s">
        <v>323</v>
      </c>
      <c r="L15" s="7" t="s">
        <v>322</v>
      </c>
    </row>
    <row r="16" spans="2:12" ht="18" customHeight="1" x14ac:dyDescent="0.4">
      <c r="B16" t="s">
        <v>160</v>
      </c>
      <c r="D16" t="s">
        <v>161</v>
      </c>
      <c r="F16" t="s">
        <v>401</v>
      </c>
      <c r="H16" t="s">
        <v>371</v>
      </c>
      <c r="K16" s="3" t="s">
        <v>376</v>
      </c>
      <c r="L16" s="7" t="s">
        <v>322</v>
      </c>
    </row>
    <row r="17" spans="2:12" ht="18" customHeight="1" x14ac:dyDescent="0.4">
      <c r="B17" t="s">
        <v>0</v>
      </c>
      <c r="D17" t="s">
        <v>0</v>
      </c>
      <c r="F17" t="s">
        <v>0</v>
      </c>
      <c r="H17" t="s">
        <v>0</v>
      </c>
      <c r="K17" s="3" t="s">
        <v>368</v>
      </c>
      <c r="L17" s="7" t="s">
        <v>322</v>
      </c>
    </row>
    <row r="18" spans="2:12" ht="18" customHeight="1" x14ac:dyDescent="0.4">
      <c r="B18" s="24"/>
      <c r="D18" s="24"/>
      <c r="F18" s="24"/>
      <c r="H18" s="24"/>
      <c r="K18" s="3" t="s">
        <v>375</v>
      </c>
      <c r="L18" s="7" t="s">
        <v>321</v>
      </c>
    </row>
    <row r="19" spans="2:12" ht="18" customHeight="1" x14ac:dyDescent="0.4">
      <c r="K19" s="3" t="s">
        <v>367</v>
      </c>
      <c r="L19" s="7" t="s">
        <v>321</v>
      </c>
    </row>
    <row r="20" spans="2:12" ht="18" customHeight="1" x14ac:dyDescent="0.4">
      <c r="K20" s="3" t="s">
        <v>333</v>
      </c>
      <c r="L20" s="7" t="s">
        <v>321</v>
      </c>
    </row>
    <row r="21" spans="2:12" ht="18" customHeight="1" x14ac:dyDescent="0.4">
      <c r="K21" s="3" t="s">
        <v>346</v>
      </c>
      <c r="L21" s="7" t="s">
        <v>494</v>
      </c>
    </row>
    <row r="22" spans="2:12" ht="18" customHeight="1" x14ac:dyDescent="0.4">
      <c r="K22" s="3" t="s">
        <v>341</v>
      </c>
      <c r="L22" s="7" t="s">
        <v>340</v>
      </c>
    </row>
    <row r="23" spans="2:12" ht="18" customHeight="1" x14ac:dyDescent="0.4">
      <c r="K23" s="3" t="s">
        <v>328</v>
      </c>
      <c r="L23" s="7" t="s">
        <v>329</v>
      </c>
    </row>
    <row r="24" spans="2:12" ht="18" customHeight="1" x14ac:dyDescent="0.4">
      <c r="K24" s="3" t="s">
        <v>349</v>
      </c>
      <c r="L24" s="7" t="s">
        <v>11</v>
      </c>
    </row>
    <row r="25" spans="2:12" ht="18" customHeight="1" x14ac:dyDescent="0.4">
      <c r="K25" s="3" t="s">
        <v>398</v>
      </c>
      <c r="L25" s="7" t="s">
        <v>396</v>
      </c>
    </row>
    <row r="26" spans="2:12" ht="18" customHeight="1" x14ac:dyDescent="0.4">
      <c r="C26" s="39"/>
      <c r="K26" s="3" t="s">
        <v>338</v>
      </c>
      <c r="L26" s="7" t="s">
        <v>339</v>
      </c>
    </row>
    <row r="27" spans="2:12" ht="18" customHeight="1" x14ac:dyDescent="0.4">
      <c r="K27" s="3" t="s">
        <v>337</v>
      </c>
      <c r="L27" s="7" t="s">
        <v>497</v>
      </c>
    </row>
    <row r="28" spans="2:12" ht="18" customHeight="1" x14ac:dyDescent="0.4">
      <c r="K28" s="3" t="s">
        <v>336</v>
      </c>
      <c r="L28" s="7" t="s">
        <v>497</v>
      </c>
    </row>
    <row r="29" spans="2:12" ht="18" customHeight="1" x14ac:dyDescent="0.4">
      <c r="K29" s="3" t="s">
        <v>327</v>
      </c>
      <c r="L29" s="7" t="s">
        <v>495</v>
      </c>
    </row>
    <row r="30" spans="2:12" ht="18" customHeight="1" x14ac:dyDescent="0.4">
      <c r="K30" s="3" t="s">
        <v>369</v>
      </c>
      <c r="L30" s="7" t="s">
        <v>496</v>
      </c>
    </row>
    <row r="31" spans="2:12" ht="18" customHeight="1" x14ac:dyDescent="0.4"/>
  </sheetData>
  <dataValidations count="1">
    <dataValidation type="list" allowBlank="1" showInputMessage="1" showErrorMessage="1" sqref="B16 D16 F16 H16">
      <formula1>INDIRECT("AvailableTemplates[Available templates:]")</formula1>
    </dataValidation>
  </dataValidations>
  <hyperlinks>
    <hyperlink ref="L13" location="ckCoding!I1" tooltip="Highlighed when total &lt; 100%" display="ckCoding"/>
    <hyperlink ref="L26" location="ProjText!A1" tooltip="see step 5 above-left; Makes a bookmarked pdf with these documents.  Not only good for quoting while writing RAs, but also to review/search during a panel, or for bulk DD concur." display="pdf from ProjText"/>
    <hyperlink ref="L10" location="RAData!T1" tooltip="Text in RAps_note is added to RA drafts after signature without modifying the template" display="RAData, or edit template"/>
    <hyperlink ref="L29" location="RAData!R1" tooltip="to change all, set above and 'Pull Data'; set individually in RAdata, or leave blank for Word to fill in." display="above, or RAData"/>
    <hyperlink ref="L23" location="ckSplits!AM1" tooltip="Feel free to edit pivot table" display="Pivot table on ckSplits"/>
    <hyperlink ref="L21" location="Budgets!L1" tooltip="Latest budget revisions shown" display="Budgets"/>
    <hyperlink ref="L27" location="Prefs!H18:H30" tooltip="See Prefs #2." display="Prefs"/>
    <hyperlink ref="L30" location="dirRAoutput" tooltip="Pick a folder on your R drive for archiving, your local drive to work while offline, or a shared drive to share with others." display="above or Advanced"/>
    <hyperlink ref="L28" location="Prefs!J30" tooltip="Add/remove state abbreviations here" display="Prefs"/>
    <hyperlink ref="L24" location="PRCs!A1" tooltip="Shows only those in use by projects" display="PRCs"/>
    <hyperlink ref="L19" location="ckAwd!AT1" tooltip="Shows question marks except those after a letter &amp; before a space.  Non-lead abstracts highlighted if they differ from lead." display="ckAwd"/>
    <hyperlink ref="L20" location="ckAwd!AE1" tooltip="See countries from cover and total frgn_trav bugdet" display="ckAwd"/>
    <hyperlink ref="L18" location="ckAwd!Z1" tooltip="Information from the cover pages." display="ckAwd"/>
    <hyperlink ref="L12" location="RAData!X1" tooltip="Links create outlook email to just the project lead, or to all PIs &amp; co-PIs on project." display="RAData"/>
    <hyperlink ref="L22" location="ckSplits!A1" tooltip="Mostly for IAS use; compare budget and proposal codes &amp; PRCs." display="ckSplits"/>
    <hyperlink ref="L14" location="ckCoding!M1" tooltip="Highlights state when epscor code is wrong and WMD when cover has women, minority, or disabled. " display="ckCoding"/>
    <hyperlink ref="L15" location="ckCoding!C1" tooltip="Highlights mismatches (coding, title, ...) throughout tab" display="ckCoding"/>
    <hyperlink ref="L17" location="ckCoding!AE1" tooltip="Black numbers (of panels, conflicts, reviews, unreleasable) are information.  Red numbers (unreleased, released conflicts, received reviews marked pending) should be checked out." display="ckCoding"/>
    <hyperlink ref="L16" location="ckCoding!C1" tooltip="Highlights when there aren't at least three releasable reviews." display="ckCoding"/>
    <hyperlink ref="L25" location="Conflict!A1" tooltip="You'll want to check the affiliations for reviewers that have registered conflicts, because they may be out of date in PARS." display="Conflict"/>
    <hyperlink ref="L11" location="RAData!Q1" tooltip="Green highlighting means there is an E or E/V review. Check before clicking &quot;Create RA Drafts&quot;.  " display="RAData"/>
  </hyperlinks>
  <pageMargins left="0.25" right="0.25" top="0.75" bottom="0.75" header="0.3" footer="0.3"/>
  <pageSetup scale="6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3" r:id="rId4" name="ddPropStts_RoboRA">
              <controlPr defaultSize="0" autoLine="0" autoPict="0">
                <anchor moveWithCells="1">
                  <from>
                    <xdr:col>3</xdr:col>
                    <xdr:colOff>10886</xdr:colOff>
                    <xdr:row>6</xdr:row>
                    <xdr:rowOff>48986</xdr:rowOff>
                  </from>
                  <to>
                    <xdr:col>6</xdr:col>
                    <xdr:colOff>250371</xdr:colOff>
                    <xdr:row>6</xdr:row>
                    <xdr:rowOff>228600</xdr:rowOff>
                  </to>
                </anchor>
              </controlPr>
            </control>
          </mc:Choice>
        </mc:AlternateContent>
        <mc:AlternateContent xmlns:mc="http://schemas.openxmlformats.org/markup-compatibility/2006">
          <mc:Choice Requires="x14">
            <control shapeId="16407" r:id="rId5" name="Button 23">
              <controlPr defaultSize="0" autoFill="0" autoPict="0" macro="[0]!PasteFromMyWork">
                <anchor>
                  <from>
                    <xdr:col>1</xdr:col>
                    <xdr:colOff>277586</xdr:colOff>
                    <xdr:row>12</xdr:row>
                    <xdr:rowOff>27214</xdr:rowOff>
                  </from>
                  <to>
                    <xdr:col>3</xdr:col>
                    <xdr:colOff>315686</xdr:colOff>
                    <xdr:row>13</xdr:row>
                    <xdr:rowOff>21771</xdr:rowOff>
                  </to>
                </anchor>
              </controlPr>
            </control>
          </mc:Choice>
        </mc:AlternateContent>
        <mc:AlternateContent xmlns:mc="http://schemas.openxmlformats.org/markup-compatibility/2006">
          <mc:Choice Requires="x14">
            <control shapeId="16410" r:id="rId6" name="Button 26">
              <controlPr defaultSize="0" autoFill="0" autoPict="0" macro="[0]!Picker_dirRAoutput">
                <anchor>
                  <from>
                    <xdr:col>1</xdr:col>
                    <xdr:colOff>544286</xdr:colOff>
                    <xdr:row>4</xdr:row>
                    <xdr:rowOff>10886</xdr:rowOff>
                  </from>
                  <to>
                    <xdr:col>2</xdr:col>
                    <xdr:colOff>364671</xdr:colOff>
                    <xdr:row>4</xdr:row>
                    <xdr:rowOff>217714</xdr:rowOff>
                  </to>
                </anchor>
              </controlPr>
            </control>
          </mc:Choice>
        </mc:AlternateContent>
      </controls>
    </mc:Choice>
  </mc:AlternateContent>
  <tableParts count="5">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A2"/>
  <sheetViews>
    <sheetView zoomScaleNormal="100" workbookViewId="0">
      <selection activeCell="AS4" sqref="AS4"/>
    </sheetView>
  </sheetViews>
  <sheetFormatPr defaultRowHeight="14.6" x14ac:dyDescent="0.4"/>
  <cols>
    <col min="1" max="1" width="8.69140625" style="16" customWidth="1"/>
    <col min="2" max="2" width="8.69140625" style="29" customWidth="1"/>
    <col min="3" max="3" width="11.3046875" customWidth="1"/>
    <col min="4" max="4" width="9.84375" customWidth="1"/>
    <col min="5" max="5" width="5.3828125" customWidth="1"/>
    <col min="6" max="6" width="5.69140625" style="17" customWidth="1"/>
    <col min="7" max="7" width="5.53515625" style="17" customWidth="1"/>
    <col min="8" max="8" width="5.3046875" style="20" customWidth="1"/>
    <col min="9" max="9" width="5.69140625" customWidth="1"/>
    <col min="10" max="10" width="5.15234375" customWidth="1"/>
    <col min="11" max="11" width="11.53515625" customWidth="1"/>
    <col min="12" max="12" width="9.3046875" hidden="1" customWidth="1"/>
    <col min="13" max="13" width="4.3046875" customWidth="1"/>
    <col min="14" max="14" width="3.84375" customWidth="1"/>
    <col min="15" max="15" width="5.53515625" hidden="1" customWidth="1"/>
    <col min="16" max="16" width="6.53515625" style="20" hidden="1" customWidth="1"/>
    <col min="17" max="17" width="14.15234375" customWidth="1"/>
    <col min="18" max="18" width="14.3046875" style="21" customWidth="1"/>
    <col min="19" max="19" width="4.15234375" style="101" customWidth="1"/>
    <col min="20" max="20" width="2.15234375" style="84" customWidth="1"/>
    <col min="21" max="21" width="8.15234375" style="35" customWidth="1"/>
    <col min="22" max="22" width="2.69140625" style="35" customWidth="1"/>
    <col min="23" max="23" width="3.69140625" customWidth="1"/>
    <col min="24" max="24" width="8.15234375" customWidth="1"/>
    <col min="25" max="25" width="11.15234375" customWidth="1"/>
    <col min="26" max="26" width="9.53515625" style="16" customWidth="1"/>
    <col min="27" max="27" width="18.3828125" customWidth="1"/>
    <col min="28" max="28" width="8.15234375" style="102" customWidth="1"/>
    <col min="29" max="29" width="8.69140625" style="29" customWidth="1"/>
    <col min="30" max="30" width="3.53515625" style="17" customWidth="1"/>
    <col min="31" max="33" width="2.15234375" customWidth="1"/>
    <col min="34" max="34" width="24.3828125" customWidth="1"/>
    <col min="35" max="35" width="4.53515625" customWidth="1"/>
    <col min="36" max="36" width="14.3828125" style="25" customWidth="1"/>
    <col min="37" max="37" width="2.15234375" style="20" customWidth="1"/>
    <col min="38" max="44" width="2.84375" customWidth="1"/>
    <col min="45" max="45" width="23" customWidth="1"/>
    <col min="46" max="46" width="80.53515625" bestFit="1" customWidth="1"/>
    <col min="47" max="47" width="7.84375" hidden="1" customWidth="1"/>
    <col min="48" max="48" width="11.69140625" customWidth="1"/>
    <col min="49" max="52" width="4.3046875" customWidth="1"/>
    <col min="53" max="53" width="18.3046875" customWidth="1"/>
  </cols>
  <sheetData>
    <row r="1" spans="1:53" ht="53.15" customHeight="1" x14ac:dyDescent="0.4">
      <c r="A1" s="16" t="s">
        <v>85</v>
      </c>
      <c r="B1" s="29" t="s">
        <v>6</v>
      </c>
      <c r="C1" t="s">
        <v>7</v>
      </c>
      <c r="D1" t="s">
        <v>4</v>
      </c>
      <c r="E1" t="s">
        <v>3</v>
      </c>
      <c r="F1" t="s">
        <v>158</v>
      </c>
      <c r="G1" t="s">
        <v>157</v>
      </c>
      <c r="H1" s="84" t="s">
        <v>90</v>
      </c>
      <c r="I1" s="35" t="s">
        <v>121</v>
      </c>
      <c r="J1" s="35" t="s">
        <v>122</v>
      </c>
      <c r="K1" t="s">
        <v>15</v>
      </c>
      <c r="L1" t="s">
        <v>89</v>
      </c>
      <c r="M1" t="s">
        <v>91</v>
      </c>
      <c r="N1" t="s">
        <v>313</v>
      </c>
      <c r="O1" t="s">
        <v>314</v>
      </c>
      <c r="P1" s="20" t="s">
        <v>315</v>
      </c>
      <c r="Q1" t="s">
        <v>238</v>
      </c>
      <c r="R1" s="21" t="s">
        <v>14</v>
      </c>
      <c r="S1" s="101" t="s">
        <v>97</v>
      </c>
      <c r="T1" s="20" t="s">
        <v>86</v>
      </c>
      <c r="U1" t="s">
        <v>8</v>
      </c>
      <c r="V1" t="s">
        <v>1</v>
      </c>
      <c r="W1" s="13" t="s">
        <v>137</v>
      </c>
      <c r="X1" t="s">
        <v>0</v>
      </c>
      <c r="Y1" t="s">
        <v>9</v>
      </c>
      <c r="Z1" t="s">
        <v>16</v>
      </c>
      <c r="AA1" t="s">
        <v>237</v>
      </c>
      <c r="AB1" s="103" t="s">
        <v>308</v>
      </c>
      <c r="AC1" s="29" t="s">
        <v>17</v>
      </c>
      <c r="AD1" t="s">
        <v>18</v>
      </c>
      <c r="AE1" s="99" t="s">
        <v>145</v>
      </c>
      <c r="AF1" s="100" t="s">
        <v>239</v>
      </c>
      <c r="AG1" s="99" t="s">
        <v>146</v>
      </c>
      <c r="AH1" t="s">
        <v>241</v>
      </c>
      <c r="AI1" s="25" t="s">
        <v>21</v>
      </c>
      <c r="AJ1" s="21" t="s">
        <v>141</v>
      </c>
      <c r="AK1" s="108" t="s">
        <v>302</v>
      </c>
      <c r="AL1" s="99" t="s">
        <v>240</v>
      </c>
      <c r="AM1" s="99" t="s">
        <v>242</v>
      </c>
      <c r="AN1" s="99" t="s">
        <v>140</v>
      </c>
      <c r="AO1" s="99" t="s">
        <v>243</v>
      </c>
      <c r="AP1" s="99" t="s">
        <v>244</v>
      </c>
      <c r="AQ1" s="99" t="s">
        <v>245</v>
      </c>
      <c r="AR1" t="s">
        <v>351</v>
      </c>
      <c r="AS1" t="s">
        <v>159</v>
      </c>
      <c r="AT1" t="s">
        <v>34</v>
      </c>
      <c r="AU1" t="s">
        <v>316</v>
      </c>
      <c r="AV1" t="s">
        <v>19</v>
      </c>
      <c r="AW1" t="s">
        <v>129</v>
      </c>
      <c r="AX1" t="s">
        <v>130</v>
      </c>
      <c r="AY1" t="s">
        <v>132</v>
      </c>
      <c r="AZ1" t="s">
        <v>131</v>
      </c>
      <c r="BA1" t="s">
        <v>139</v>
      </c>
    </row>
    <row r="2" spans="1:53" x14ac:dyDescent="0.4">
      <c r="A2" s="29"/>
      <c r="F2"/>
      <c r="G2"/>
      <c r="I2" s="80"/>
      <c r="J2" s="80"/>
      <c r="T2" s="20"/>
      <c r="U2"/>
      <c r="V2" s="7"/>
      <c r="Z2"/>
      <c r="AB2" s="104"/>
      <c r="AD2"/>
      <c r="AG2" s="105"/>
      <c r="AI2" s="25"/>
      <c r="AJ2" s="21"/>
      <c r="AN2" s="105"/>
      <c r="AO2" s="105"/>
      <c r="AP2" s="105"/>
      <c r="AQ2" s="105"/>
      <c r="AR2" s="7"/>
      <c r="AV2" s="12"/>
    </row>
  </sheetData>
  <conditionalFormatting sqref="A2:BA2">
    <cfRule type="expression" dxfId="18" priority="6">
      <formula>MOD($S2,2)</formula>
    </cfRule>
  </conditionalFormatting>
  <conditionalFormatting sqref="AL2:AM2">
    <cfRule type="expression" dxfId="17" priority="5">
      <formula>AND($T2&lt;"M",$AL2&lt;$AM2+3)</formula>
    </cfRule>
  </conditionalFormatting>
  <conditionalFormatting sqref="AT2">
    <cfRule type="expression" dxfId="16" priority="3">
      <formula>$AU2</formula>
    </cfRule>
  </conditionalFormatting>
  <conditionalFormatting sqref="I2:J2">
    <cfRule type="expression" dxfId="15" priority="2">
      <formula>($J2+$I2)&lt;&gt;1</formula>
    </cfRule>
  </conditionalFormatting>
  <conditionalFormatting sqref="M2:N2">
    <cfRule type="expression" dxfId="14" priority="1">
      <formula>O2</formula>
    </cfRule>
  </conditionalFormatting>
  <conditionalFormatting sqref="C2:L2">
    <cfRule type="expression" dxfId="13" priority="4">
      <formula>AND($T2="N", C2&lt;&gt;C1)</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D2"/>
  <sheetViews>
    <sheetView zoomScaleNormal="100" workbookViewId="0">
      <selection activeCell="AZ4" sqref="AZ4"/>
    </sheetView>
  </sheetViews>
  <sheetFormatPr defaultRowHeight="15" customHeight="1" x14ac:dyDescent="0.4"/>
  <cols>
    <col min="1" max="1" width="8.69140625" style="29" customWidth="1"/>
    <col min="2" max="2" width="8.53515625" customWidth="1"/>
    <col min="3" max="3" width="10.3828125" customWidth="1"/>
    <col min="4" max="4" width="8.84375" customWidth="1"/>
    <col min="5" max="5" width="5.53515625" customWidth="1"/>
    <col min="6" max="6" width="7.69140625" style="29" customWidth="1"/>
    <col min="7" max="8" width="5.84375" style="29" customWidth="1"/>
    <col min="9" max="9" width="5.84375" style="20" customWidth="1"/>
    <col min="10" max="10" width="5.3046875" style="29" customWidth="1"/>
    <col min="11" max="11" width="8.53515625" customWidth="1"/>
    <col min="12" max="12" width="14.3046875" customWidth="1"/>
    <col min="13" max="13" width="4.3828125" style="102" customWidth="1"/>
    <col min="14" max="14" width="1.84375" customWidth="1"/>
    <col min="15" max="15" width="8.3828125" style="21" customWidth="1"/>
    <col min="16" max="16" width="2.84375" style="35" customWidth="1"/>
    <col min="17" max="17" width="3.53515625" style="35" customWidth="1"/>
    <col min="18" max="18" width="8.3828125" style="35" customWidth="1"/>
    <col min="19" max="19" width="10.84375" customWidth="1"/>
    <col min="20" max="20" width="10.3046875" customWidth="1"/>
    <col min="21" max="21" width="13.69140625" customWidth="1"/>
    <col min="22" max="22" width="3.69140625" style="29" customWidth="1"/>
    <col min="23" max="23" width="9.53515625" style="102" customWidth="1"/>
    <col min="24" max="24" width="9.3046875" style="29"/>
    <col min="25" max="25" width="4.3046875" style="29" customWidth="1"/>
    <col min="26" max="26" width="9" customWidth="1"/>
    <col min="27" max="27" width="10" customWidth="1"/>
    <col min="28" max="28" width="8.84375" style="76" customWidth="1"/>
    <col min="29" max="30" width="8.84375" style="20" customWidth="1"/>
    <col min="31" max="31" width="17.3828125" style="20" customWidth="1"/>
    <col min="32" max="32" width="7.53515625" customWidth="1"/>
    <col min="33" max="33" width="11.69140625" customWidth="1"/>
    <col min="34" max="34" width="3.53515625" style="111" customWidth="1"/>
    <col min="35" max="41" width="10.69140625" customWidth="1"/>
    <col min="42" max="42" width="11.3828125" style="212" customWidth="1"/>
    <col min="43" max="44" width="10.3828125" style="1" customWidth="1"/>
    <col min="45" max="47" width="4.84375" style="1" customWidth="1"/>
    <col min="48" max="49" width="4.84375" style="76" customWidth="1"/>
    <col min="50" max="50" width="22.15234375" style="111" customWidth="1"/>
    <col min="51" max="51" width="3.53515625" customWidth="1"/>
    <col min="52" max="52" width="18.53515625" customWidth="1"/>
    <col min="53" max="53" width="5.3046875" style="28" customWidth="1"/>
    <col min="54" max="54" width="90" customWidth="1"/>
    <col min="55" max="55" width="7.3046875" hidden="1" customWidth="1"/>
    <col min="56" max="56" width="29.3828125" hidden="1" customWidth="1"/>
  </cols>
  <sheetData>
    <row r="1" spans="1:56" ht="37.75" customHeight="1" x14ac:dyDescent="0.4">
      <c r="A1" s="29" t="s">
        <v>85</v>
      </c>
      <c r="B1" s="29" t="s">
        <v>6</v>
      </c>
      <c r="C1" t="s">
        <v>7</v>
      </c>
      <c r="D1" t="s">
        <v>4</v>
      </c>
      <c r="E1" t="s">
        <v>3</v>
      </c>
      <c r="F1" t="s">
        <v>89</v>
      </c>
      <c r="G1" t="s">
        <v>158</v>
      </c>
      <c r="H1" t="s">
        <v>157</v>
      </c>
      <c r="I1" s="20" t="s">
        <v>294</v>
      </c>
      <c r="J1" t="s">
        <v>90</v>
      </c>
      <c r="K1" t="s">
        <v>15</v>
      </c>
      <c r="L1" s="21" t="s">
        <v>14</v>
      </c>
      <c r="M1" s="103" t="s">
        <v>97</v>
      </c>
      <c r="N1" t="s">
        <v>86</v>
      </c>
      <c r="O1" t="s">
        <v>8</v>
      </c>
      <c r="P1" t="s">
        <v>1</v>
      </c>
      <c r="Q1" t="s">
        <v>137</v>
      </c>
      <c r="R1" t="s">
        <v>0</v>
      </c>
      <c r="S1" t="s">
        <v>9</v>
      </c>
      <c r="T1" t="s">
        <v>16</v>
      </c>
      <c r="U1" t="s">
        <v>237</v>
      </c>
      <c r="V1" t="s">
        <v>91</v>
      </c>
      <c r="W1" s="103" t="s">
        <v>126</v>
      </c>
      <c r="X1" s="29" t="s">
        <v>17</v>
      </c>
      <c r="Y1" t="s">
        <v>18</v>
      </c>
      <c r="Z1" t="s">
        <v>87</v>
      </c>
      <c r="AA1" s="20" t="s">
        <v>303</v>
      </c>
      <c r="AB1" s="20" t="s">
        <v>304</v>
      </c>
      <c r="AC1" t="s">
        <v>88</v>
      </c>
      <c r="AD1" s="20" t="s">
        <v>305</v>
      </c>
      <c r="AE1" s="20" t="s">
        <v>127</v>
      </c>
      <c r="AF1" s="1" t="s">
        <v>248</v>
      </c>
      <c r="AG1" s="12" t="s">
        <v>19</v>
      </c>
      <c r="AH1" s="110" t="s">
        <v>246</v>
      </c>
      <c r="AI1" s="1" t="s">
        <v>20</v>
      </c>
      <c r="AJ1" s="1" t="s">
        <v>476</v>
      </c>
      <c r="AK1" s="1" t="s">
        <v>477</v>
      </c>
      <c r="AL1" s="1" t="s">
        <v>478</v>
      </c>
      <c r="AM1" s="1" t="s">
        <v>479</v>
      </c>
      <c r="AN1" s="1" t="s">
        <v>480</v>
      </c>
      <c r="AO1" s="1" t="s">
        <v>481</v>
      </c>
      <c r="AP1" s="211" t="s">
        <v>247</v>
      </c>
      <c r="AQ1" s="1" t="s">
        <v>249</v>
      </c>
      <c r="AR1" s="1" t="s">
        <v>250</v>
      </c>
      <c r="AS1" s="20" t="s">
        <v>251</v>
      </c>
      <c r="AT1" s="20" t="s">
        <v>252</v>
      </c>
      <c r="AU1" s="20" t="s">
        <v>253</v>
      </c>
      <c r="AV1" s="20" t="s">
        <v>254</v>
      </c>
      <c r="AW1" s="20" t="s">
        <v>255</v>
      </c>
      <c r="AX1" s="111" t="s">
        <v>159</v>
      </c>
      <c r="AY1" s="20" t="s">
        <v>301</v>
      </c>
      <c r="AZ1" s="20" t="s">
        <v>325</v>
      </c>
      <c r="BA1" s="28" t="s">
        <v>128</v>
      </c>
      <c r="BB1" t="s">
        <v>34</v>
      </c>
      <c r="BC1" t="s">
        <v>316</v>
      </c>
      <c r="BD1" t="s">
        <v>139</v>
      </c>
    </row>
    <row r="2" spans="1:56" ht="15" customHeight="1" x14ac:dyDescent="0.4">
      <c r="B2" s="29"/>
      <c r="F2"/>
      <c r="G2" s="8"/>
      <c r="H2" s="8"/>
      <c r="J2"/>
      <c r="L2" s="21"/>
      <c r="O2"/>
      <c r="P2" s="14"/>
      <c r="Q2" s="8"/>
      <c r="R2"/>
      <c r="U2" s="8"/>
      <c r="V2"/>
      <c r="W2" s="106"/>
      <c r="Y2"/>
      <c r="AA2" s="20"/>
      <c r="AB2" s="20"/>
      <c r="AC2"/>
      <c r="AF2" s="1"/>
      <c r="AG2" s="12"/>
      <c r="AH2" s="110"/>
      <c r="AI2" s="1"/>
      <c r="AJ2" s="1"/>
      <c r="AK2" s="1"/>
      <c r="AL2" s="1"/>
      <c r="AM2" s="1"/>
      <c r="AN2" s="1"/>
      <c r="AO2" s="1"/>
      <c r="AP2" s="211"/>
      <c r="AS2" s="20"/>
      <c r="AT2" s="20"/>
      <c r="AU2" s="20"/>
      <c r="AV2" s="20"/>
      <c r="AW2" s="20"/>
      <c r="AX2" s="112"/>
      <c r="AY2" s="20"/>
      <c r="AZ2" s="20"/>
      <c r="BA2" s="113"/>
      <c r="BD2" s="8"/>
    </row>
  </sheetData>
  <conditionalFormatting sqref="A2:BD2">
    <cfRule type="expression" dxfId="12" priority="4">
      <formula>MOD($M2,2)</formula>
    </cfRule>
  </conditionalFormatting>
  <conditionalFormatting sqref="BB2">
    <cfRule type="expression" dxfId="11" priority="1">
      <formula>$BC2</formula>
    </cfRule>
  </conditionalFormatting>
  <conditionalFormatting sqref="C2:K2">
    <cfRule type="expression" dxfId="10" priority="3">
      <formula>AND($N2="N",C2&lt;&gt;C1)</formula>
    </cfRule>
  </conditionalFormatting>
  <conditionalFormatting sqref="X2:AE2">
    <cfRule type="expression" dxfId="9" priority="2">
      <formula>AND($N2="N",TRIM(X2)&lt;&gt;TRIM(X1))</formula>
    </cfRule>
  </conditionalFormatting>
  <pageMargins left="0.25" right="0.25" top="0.75" bottom="0.75" header="0.3" footer="0.3"/>
  <pageSetup paperSize="5" scale="3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I1" workbookViewId="0">
      <selection activeCell="X29" sqref="X29:AC31"/>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29" customWidth="1"/>
    <col min="8" max="8" width="5.84375" customWidth="1"/>
    <col min="9" max="9" width="6.69140625" customWidth="1"/>
    <col min="10" max="10" width="5.84375" hidden="1" customWidth="1"/>
    <col min="11" max="11" width="8.3828125" customWidth="1"/>
    <col min="12" max="12" width="8.69140625" customWidth="1"/>
    <col min="13" max="13" width="7.84375" customWidth="1"/>
    <col min="14" max="14" width="7.3046875" customWidth="1"/>
    <col min="15" max="15" width="4.69140625" customWidth="1"/>
    <col min="16" max="16" width="3.3046875" customWidth="1"/>
    <col min="17" max="17" width="2.3828125" customWidth="1"/>
    <col min="18" max="18" width="10.3046875" style="12" customWidth="1"/>
    <col min="19" max="20" width="10.3046875" customWidth="1"/>
    <col min="21" max="21" width="10.53515625" customWidth="1"/>
    <col min="22" max="22" width="3.69140625" customWidth="1"/>
    <col min="23" max="23" width="3.69140625" style="6" customWidth="1"/>
    <col min="24" max="24" width="4.3046875" customWidth="1"/>
    <col min="25" max="25" width="11.15234375" customWidth="1"/>
    <col min="26" max="26" width="9.15234375" customWidth="1"/>
    <col min="27" max="27" width="6.15234375" customWidth="1"/>
    <col min="28" max="28" width="6.3828125" customWidth="1"/>
    <col min="29" max="29" width="19.53515625" customWidth="1"/>
  </cols>
  <sheetData>
    <row r="1" spans="1:29" x14ac:dyDescent="0.4">
      <c r="A1" s="6" t="s">
        <v>125</v>
      </c>
      <c r="P1" s="3"/>
    </row>
    <row r="2" spans="1:29" s="93" customFormat="1" x14ac:dyDescent="0.4">
      <c r="A2" s="92"/>
      <c r="F2" s="94" t="s">
        <v>13</v>
      </c>
      <c r="G2" s="94"/>
      <c r="I2" s="95"/>
      <c r="K2" s="95" t="s">
        <v>12</v>
      </c>
      <c r="L2" s="93">
        <f ca="1">YEAR(NOW())+(MONTH(NOW())&gt;9)-2000</f>
        <v>18</v>
      </c>
      <c r="P2" s="94" t="s">
        <v>123</v>
      </c>
      <c r="Q2" s="94"/>
      <c r="R2" s="96"/>
      <c r="T2" s="93" t="s">
        <v>124</v>
      </c>
      <c r="X2" s="93" t="s">
        <v>335</v>
      </c>
    </row>
    <row r="3" spans="1:29" ht="33" customHeight="1" x14ac:dyDescent="0.4">
      <c r="A3" s="6" t="s">
        <v>0</v>
      </c>
      <c r="B3" t="s">
        <v>86</v>
      </c>
      <c r="C3" t="s">
        <v>276</v>
      </c>
      <c r="D3" t="s">
        <v>97</v>
      </c>
      <c r="E3" s="29" t="s">
        <v>6</v>
      </c>
      <c r="F3" t="s">
        <v>7</v>
      </c>
      <c r="G3" t="s">
        <v>4</v>
      </c>
      <c r="H3" t="s">
        <v>3</v>
      </c>
      <c r="I3" t="s">
        <v>89</v>
      </c>
      <c r="J3" t="s">
        <v>300</v>
      </c>
      <c r="K3" t="s">
        <v>8</v>
      </c>
      <c r="L3" t="s">
        <v>1</v>
      </c>
      <c r="M3" t="s">
        <v>9</v>
      </c>
      <c r="N3" s="13" t="s">
        <v>319</v>
      </c>
      <c r="O3" t="s">
        <v>10</v>
      </c>
      <c r="P3" t="s">
        <v>277</v>
      </c>
      <c r="Q3" t="s">
        <v>278</v>
      </c>
      <c r="R3" s="12" t="s">
        <v>279</v>
      </c>
      <c r="S3" t="s">
        <v>280</v>
      </c>
      <c r="T3" t="s">
        <v>281</v>
      </c>
      <c r="U3" s="6" t="s">
        <v>282</v>
      </c>
      <c r="V3" t="s">
        <v>283</v>
      </c>
      <c r="W3" t="s">
        <v>284</v>
      </c>
      <c r="X3" t="s">
        <v>5</v>
      </c>
      <c r="Y3" t="s">
        <v>285</v>
      </c>
      <c r="Z3" t="s">
        <v>286</v>
      </c>
      <c r="AA3" t="s">
        <v>287</v>
      </c>
      <c r="AB3" t="s">
        <v>343</v>
      </c>
      <c r="AC3" t="s">
        <v>11</v>
      </c>
    </row>
    <row r="4" spans="1:29" x14ac:dyDescent="0.4">
      <c r="A4" s="10"/>
      <c r="B4" s="71"/>
      <c r="C4" s="71"/>
      <c r="D4" s="71"/>
      <c r="E4" s="72"/>
      <c r="F4" s="73"/>
      <c r="G4" s="73"/>
      <c r="H4" s="73"/>
      <c r="I4" s="71"/>
      <c r="J4" s="71"/>
      <c r="K4" s="73"/>
      <c r="L4" s="7"/>
      <c r="M4" s="73"/>
      <c r="N4" s="7"/>
      <c r="O4" s="73"/>
      <c r="P4" s="73"/>
      <c r="Q4" s="73"/>
      <c r="R4" s="74"/>
      <c r="S4" s="74"/>
      <c r="T4" s="74"/>
      <c r="U4" s="75"/>
      <c r="V4" s="73"/>
      <c r="W4" s="73"/>
      <c r="X4" s="11"/>
      <c r="Y4" s="74"/>
      <c r="Z4" s="73"/>
      <c r="AA4" s="73"/>
      <c r="AB4" s="97"/>
      <c r="AC4" s="73"/>
    </row>
  </sheetData>
  <conditionalFormatting sqref="A3:AC4">
    <cfRule type="expression" dxfId="8" priority="1689">
      <formula>MOD($C3,2)</formula>
    </cfRule>
  </conditionalFormatting>
  <conditionalFormatting sqref="L3:AC4">
    <cfRule type="expression" dxfId="7" priority="1684">
      <formula>MOD($D3+1,2)</formula>
    </cfRule>
    <cfRule type="expression" dxfId="6" priority="1690">
      <formula>ISBLANK($W3)</formula>
    </cfRule>
  </conditionalFormatting>
  <pageMargins left="0.25" right="0.25" top="0.75" bottom="0.75" header="0.3" footer="0.3"/>
  <pageSetup paperSize="3" scale="53"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G2"/>
  <sheetViews>
    <sheetView zoomScaleNormal="100" workbookViewId="0">
      <selection activeCell="K1" sqref="K1:R1"/>
    </sheetView>
  </sheetViews>
  <sheetFormatPr defaultRowHeight="14.6" x14ac:dyDescent="0.4"/>
  <cols>
    <col min="1" max="1" width="8.3828125" customWidth="1"/>
    <col min="2" max="2" width="13.84375" style="21" customWidth="1"/>
    <col min="3" max="3" width="11.3828125" style="21"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046875" style="21" customWidth="1"/>
    <col min="12" max="12" width="3.3046875" customWidth="1"/>
    <col min="13" max="13" width="6" style="25" customWidth="1"/>
    <col min="14" max="16" width="4.15234375" customWidth="1"/>
    <col min="17" max="17" width="19.3828125" style="28" customWidth="1"/>
    <col min="18" max="18" width="20.53515625" style="28" customWidth="1"/>
    <col min="19" max="19" width="8.84375" style="28" customWidth="1"/>
    <col min="20" max="22" width="7.3046875" style="28" customWidth="1"/>
    <col min="23" max="23" width="5.3828125" style="28" customWidth="1"/>
    <col min="24" max="24" width="2.84375" style="20" customWidth="1"/>
    <col min="25" max="25" width="7.3046875" style="20" customWidth="1"/>
    <col min="26" max="26" width="5.3828125" style="20" customWidth="1"/>
    <col min="27" max="27" width="5.3046875" customWidth="1"/>
    <col min="28" max="28" width="7.84375" bestFit="1" customWidth="1"/>
    <col min="29" max="30" width="3.53515625" customWidth="1"/>
    <col min="31" max="31" width="3.53515625" style="20" customWidth="1"/>
    <col min="32" max="32" width="2.3828125" style="20" customWidth="1"/>
    <col min="33" max="33" width="3.3046875" style="25" customWidth="1"/>
    <col min="34" max="34" width="4.3828125" customWidth="1"/>
    <col min="35" max="35" width="3.3828125" customWidth="1"/>
    <col min="36" max="36" width="13.69140625" style="29" customWidth="1"/>
    <col min="37" max="37" width="5.3828125" style="29" customWidth="1"/>
    <col min="38" max="38" width="9.3046875" customWidth="1"/>
    <col min="39" max="40" width="12.69140625" style="12" customWidth="1"/>
    <col min="41" max="41" width="4.53515625" style="5" customWidth="1"/>
    <col min="42" max="42" width="9.3046875" customWidth="1"/>
    <col min="43" max="43" width="4.3828125" style="20" customWidth="1"/>
    <col min="44" max="44" width="72" style="20" bestFit="1" customWidth="1"/>
    <col min="45" max="45" width="3.3046875" customWidth="1"/>
    <col min="46" max="46" width="7.69140625" customWidth="1"/>
    <col min="47" max="47" width="8.69140625" style="25" bestFit="1" customWidth="1"/>
    <col min="48" max="48" width="9.15234375" customWidth="1"/>
    <col min="49" max="49" width="13.3828125" style="20" customWidth="1"/>
    <col min="50" max="50" width="4.15234375" style="20" customWidth="1"/>
    <col min="51" max="51" width="17.53515625" style="20" customWidth="1"/>
    <col min="52" max="52" width="8.69140625" style="25" customWidth="1"/>
    <col min="53" max="53" width="11.53515625" style="20" customWidth="1"/>
    <col min="54" max="54" width="34.15234375" style="20" customWidth="1"/>
    <col min="55" max="55" width="4.3828125" style="20" customWidth="1"/>
    <col min="56" max="56" width="3.53515625" style="20" customWidth="1"/>
    <col min="57" max="60" width="2.84375" style="20" customWidth="1"/>
    <col min="61" max="61" width="2.84375" customWidth="1"/>
    <col min="62" max="69" width="2.84375" style="20" customWidth="1"/>
    <col min="70" max="70" width="2.84375" style="26" customWidth="1"/>
    <col min="71" max="74" width="2.84375" style="20" customWidth="1"/>
    <col min="75" max="75" width="10.53515625" bestFit="1" customWidth="1"/>
    <col min="76" max="76" width="14.3828125" style="20" customWidth="1"/>
    <col min="77" max="77" width="11.3828125" style="20" customWidth="1"/>
    <col min="78" max="78" width="24.53515625" style="20" bestFit="1" customWidth="1"/>
    <col min="79" max="79" width="12" bestFit="1" customWidth="1"/>
    <col min="80" max="80" width="12" customWidth="1"/>
    <col min="81" max="81" width="18.3828125" customWidth="1"/>
    <col min="82" max="85" width="2.69140625" style="20" customWidth="1"/>
    <col min="86" max="88" width="2.69140625" customWidth="1"/>
    <col min="89" max="92" width="2.69140625" style="20" customWidth="1"/>
    <col min="93" max="95" width="2.69140625" customWidth="1"/>
    <col min="96" max="99" width="2.69140625" style="20" customWidth="1"/>
    <col min="100" max="102" width="2.69140625" customWidth="1"/>
    <col min="103" max="106" width="2.69140625" style="20" customWidth="1"/>
    <col min="107" max="109" width="2.69140625" customWidth="1"/>
    <col min="110" max="113" width="2.69140625" style="20" customWidth="1"/>
    <col min="114" max="116" width="2.69140625" customWidth="1"/>
    <col min="117" max="120" width="2.69140625" style="20" customWidth="1"/>
    <col min="121" max="123" width="2.69140625" customWidth="1"/>
    <col min="124" max="124" width="36.53515625" customWidth="1"/>
    <col min="125" max="125" width="45.69140625" customWidth="1"/>
    <col min="126" max="126" width="27.15234375" customWidth="1"/>
    <col min="127" max="127" width="15.3046875" customWidth="1"/>
    <col min="128" max="128" width="30" bestFit="1" customWidth="1"/>
    <col min="129" max="129" width="11.69140625" customWidth="1"/>
    <col min="130" max="130" width="5.3828125" bestFit="1" customWidth="1"/>
    <col min="131" max="131" width="35.15234375" customWidth="1"/>
    <col min="132" max="132" width="13.3828125" style="21" bestFit="1" customWidth="1"/>
    <col min="133" max="133" width="29.3046875" hidden="1" customWidth="1"/>
    <col min="134" max="134" width="72" hidden="1" customWidth="1"/>
    <col min="135" max="137" width="72" customWidth="1"/>
  </cols>
  <sheetData>
    <row r="1" spans="1:137" ht="41.7" customHeight="1" x14ac:dyDescent="0.4">
      <c r="A1" s="5" t="s">
        <v>85</v>
      </c>
      <c r="B1" s="21" t="s">
        <v>6</v>
      </c>
      <c r="C1" s="21" t="s">
        <v>7</v>
      </c>
      <c r="D1" s="29" t="s">
        <v>4</v>
      </c>
      <c r="E1" t="s">
        <v>3</v>
      </c>
      <c r="F1" t="s">
        <v>157</v>
      </c>
      <c r="G1" s="2" t="s">
        <v>158</v>
      </c>
      <c r="H1" t="s">
        <v>90</v>
      </c>
      <c r="I1" t="s">
        <v>15</v>
      </c>
      <c r="J1" t="s">
        <v>89</v>
      </c>
      <c r="K1" s="21" t="s">
        <v>14</v>
      </c>
      <c r="L1" t="s">
        <v>145</v>
      </c>
      <c r="M1" s="41" t="s">
        <v>163</v>
      </c>
      <c r="N1" t="s">
        <v>256</v>
      </c>
      <c r="O1" s="6" t="s">
        <v>257</v>
      </c>
      <c r="P1" s="6" t="s">
        <v>258</v>
      </c>
      <c r="Q1" s="86" t="s">
        <v>526</v>
      </c>
      <c r="R1" s="86" t="s">
        <v>522</v>
      </c>
      <c r="S1" s="86" t="s">
        <v>136</v>
      </c>
      <c r="T1" s="86" t="s">
        <v>344</v>
      </c>
      <c r="U1" s="86" t="s">
        <v>135</v>
      </c>
      <c r="V1" s="86" t="s">
        <v>317</v>
      </c>
      <c r="W1" s="86" t="s">
        <v>493</v>
      </c>
      <c r="X1" s="87" t="s">
        <v>318</v>
      </c>
      <c r="Y1" s="88" t="s">
        <v>178</v>
      </c>
      <c r="Z1" s="88" t="s">
        <v>320</v>
      </c>
      <c r="AA1" s="6" t="s">
        <v>137</v>
      </c>
      <c r="AB1" s="6" t="s">
        <v>8</v>
      </c>
      <c r="AC1" t="s">
        <v>133</v>
      </c>
      <c r="AD1" s="13" t="s">
        <v>140</v>
      </c>
      <c r="AE1" s="13" t="s">
        <v>242</v>
      </c>
      <c r="AF1" s="13" t="s">
        <v>345</v>
      </c>
      <c r="AG1" s="20" t="s">
        <v>259</v>
      </c>
      <c r="AH1" s="85" t="s">
        <v>21</v>
      </c>
      <c r="AI1" s="13" t="s">
        <v>260</v>
      </c>
      <c r="AJ1" s="13" t="s">
        <v>241</v>
      </c>
      <c r="AK1" s="13" t="s">
        <v>521</v>
      </c>
      <c r="AL1" s="89" t="s">
        <v>141</v>
      </c>
      <c r="AM1" s="90" t="s">
        <v>19</v>
      </c>
      <c r="AN1" s="12" t="s">
        <v>20</v>
      </c>
      <c r="AO1" t="s">
        <v>153</v>
      </c>
      <c r="AP1" s="89" t="s">
        <v>17</v>
      </c>
      <c r="AQ1" s="20" t="s">
        <v>18</v>
      </c>
      <c r="AR1" s="20" t="s">
        <v>34</v>
      </c>
      <c r="AS1" s="20" t="s">
        <v>142</v>
      </c>
      <c r="AT1" s="20" t="s">
        <v>143</v>
      </c>
      <c r="AU1" s="29" t="s">
        <v>144</v>
      </c>
      <c r="AV1" s="20" t="s">
        <v>22</v>
      </c>
      <c r="AW1" s="20" t="s">
        <v>25</v>
      </c>
      <c r="AX1" s="20" t="s">
        <v>23</v>
      </c>
      <c r="AY1" s="20" t="s">
        <v>24</v>
      </c>
      <c r="AZ1" s="29" t="s">
        <v>147</v>
      </c>
      <c r="BA1" s="20" t="s">
        <v>148</v>
      </c>
      <c r="BB1" s="20" t="s">
        <v>261</v>
      </c>
      <c r="BC1" s="91" t="s">
        <v>262</v>
      </c>
      <c r="BD1" s="20" t="s">
        <v>263</v>
      </c>
      <c r="BE1" s="20" t="s">
        <v>26</v>
      </c>
      <c r="BF1" s="20" t="s">
        <v>29</v>
      </c>
      <c r="BG1" s="20" t="s">
        <v>27</v>
      </c>
      <c r="BH1" s="20" t="s">
        <v>28</v>
      </c>
      <c r="BI1" s="26" t="s">
        <v>149</v>
      </c>
      <c r="BJ1" s="20" t="s">
        <v>150</v>
      </c>
      <c r="BK1" s="20" t="s">
        <v>264</v>
      </c>
      <c r="BL1" s="20" t="s">
        <v>265</v>
      </c>
      <c r="BM1" s="20" t="s">
        <v>266</v>
      </c>
      <c r="BN1" s="20" t="s">
        <v>30</v>
      </c>
      <c r="BO1" s="20" t="s">
        <v>33</v>
      </c>
      <c r="BP1" s="20" t="s">
        <v>31</v>
      </c>
      <c r="BQ1" s="20" t="s">
        <v>32</v>
      </c>
      <c r="BR1" s="29" t="s">
        <v>151</v>
      </c>
      <c r="BS1" s="20" t="s">
        <v>152</v>
      </c>
      <c r="BT1" s="20" t="s">
        <v>267</v>
      </c>
      <c r="BU1" s="20" t="s">
        <v>268</v>
      </c>
      <c r="BV1" s="20" t="s">
        <v>269</v>
      </c>
      <c r="BW1" t="s">
        <v>35</v>
      </c>
      <c r="BX1" s="20" t="s">
        <v>36</v>
      </c>
      <c r="BY1" s="20" t="s">
        <v>37</v>
      </c>
      <c r="BZ1" s="20" t="s">
        <v>38</v>
      </c>
      <c r="CA1" s="12" t="s">
        <v>39</v>
      </c>
      <c r="CB1" s="12" t="s">
        <v>40</v>
      </c>
      <c r="CC1" t="s">
        <v>41</v>
      </c>
      <c r="CD1" s="20" t="s">
        <v>42</v>
      </c>
      <c r="CE1" s="20" t="s">
        <v>43</v>
      </c>
      <c r="CF1" s="91" t="s">
        <v>44</v>
      </c>
      <c r="CG1" s="91" t="s">
        <v>45</v>
      </c>
      <c r="CH1" s="12" t="s">
        <v>46</v>
      </c>
      <c r="CI1" s="12" t="s">
        <v>47</v>
      </c>
      <c r="CJ1" t="s">
        <v>48</v>
      </c>
      <c r="CK1" s="20" t="s">
        <v>49</v>
      </c>
      <c r="CL1" s="20" t="s">
        <v>50</v>
      </c>
      <c r="CM1" s="91" t="s">
        <v>51</v>
      </c>
      <c r="CN1" s="91" t="s">
        <v>52</v>
      </c>
      <c r="CO1" s="12" t="s">
        <v>53</v>
      </c>
      <c r="CP1" s="12" t="s">
        <v>54</v>
      </c>
      <c r="CQ1" t="s">
        <v>55</v>
      </c>
      <c r="CR1" s="20" t="s">
        <v>56</v>
      </c>
      <c r="CS1" s="20" t="s">
        <v>57</v>
      </c>
      <c r="CT1" s="91" t="s">
        <v>58</v>
      </c>
      <c r="CU1" s="91" t="s">
        <v>59</v>
      </c>
      <c r="CV1" s="12" t="s">
        <v>60</v>
      </c>
      <c r="CW1" s="12" t="s">
        <v>61</v>
      </c>
      <c r="CX1" t="s">
        <v>62</v>
      </c>
      <c r="CY1" s="20" t="s">
        <v>63</v>
      </c>
      <c r="CZ1" s="20" t="s">
        <v>64</v>
      </c>
      <c r="DA1" s="91" t="s">
        <v>65</v>
      </c>
      <c r="DB1" s="91" t="s">
        <v>66</v>
      </c>
      <c r="DC1" s="12" t="s">
        <v>67</v>
      </c>
      <c r="DD1" s="12" t="s">
        <v>68</v>
      </c>
      <c r="DE1" t="s">
        <v>69</v>
      </c>
      <c r="DF1" s="20" t="s">
        <v>70</v>
      </c>
      <c r="DG1" s="20" t="s">
        <v>71</v>
      </c>
      <c r="DH1" s="91" t="s">
        <v>72</v>
      </c>
      <c r="DI1" s="91" t="s">
        <v>73</v>
      </c>
      <c r="DJ1" s="12" t="s">
        <v>74</v>
      </c>
      <c r="DK1" s="12" t="s">
        <v>75</v>
      </c>
      <c r="DL1" t="s">
        <v>76</v>
      </c>
      <c r="DM1" s="20" t="s">
        <v>77</v>
      </c>
      <c r="DN1" s="20" t="s">
        <v>78</v>
      </c>
      <c r="DO1" s="91" t="s">
        <v>79</v>
      </c>
      <c r="DP1" s="91" t="s">
        <v>80</v>
      </c>
      <c r="DQ1" s="12" t="s">
        <v>81</v>
      </c>
      <c r="DR1" s="12" t="s">
        <v>82</v>
      </c>
      <c r="DS1" t="s">
        <v>83</v>
      </c>
      <c r="DT1" t="s">
        <v>2</v>
      </c>
      <c r="DU1" t="s">
        <v>270</v>
      </c>
      <c r="DV1" t="s">
        <v>156</v>
      </c>
      <c r="DW1" t="s">
        <v>162</v>
      </c>
      <c r="DX1" t="s">
        <v>159</v>
      </c>
      <c r="DY1" t="s">
        <v>271</v>
      </c>
      <c r="DZ1" t="s">
        <v>154</v>
      </c>
      <c r="EA1" t="s">
        <v>155</v>
      </c>
      <c r="EB1" s="21" t="s">
        <v>138</v>
      </c>
      <c r="EC1" t="s">
        <v>139</v>
      </c>
      <c r="ED1" t="s">
        <v>84</v>
      </c>
      <c r="EE1" t="s">
        <v>391</v>
      </c>
      <c r="EF1" t="s">
        <v>392</v>
      </c>
      <c r="EG1" t="s">
        <v>393</v>
      </c>
    </row>
    <row r="2" spans="1:137" hidden="1" x14ac:dyDescent="0.4">
      <c r="A2" s="29"/>
      <c r="D2" s="29"/>
      <c r="E2" s="29"/>
      <c r="F2" s="29"/>
      <c r="G2" s="29"/>
      <c r="U2" s="20"/>
      <c r="W2" s="21"/>
      <c r="X2" s="14"/>
      <c r="Y2" s="14"/>
      <c r="Z2" s="14"/>
      <c r="AE2"/>
      <c r="AF2"/>
      <c r="AG2" s="20"/>
      <c r="AH2" s="25"/>
      <c r="AJ2"/>
      <c r="AK2"/>
      <c r="AL2" s="29"/>
      <c r="AO2"/>
      <c r="AP2" s="29"/>
      <c r="AU2" s="29"/>
      <c r="AZ2" s="29"/>
      <c r="BI2" s="29"/>
      <c r="BR2" s="29"/>
      <c r="CA2" s="30"/>
      <c r="CB2" s="30"/>
      <c r="CH2" s="30"/>
      <c r="CI2" s="30"/>
      <c r="CO2" s="30"/>
      <c r="CP2" s="30"/>
      <c r="CV2" s="30"/>
      <c r="CW2" s="30"/>
      <c r="DC2" s="30"/>
      <c r="DD2" s="30"/>
      <c r="DJ2" s="30"/>
      <c r="DK2" s="30"/>
      <c r="DQ2" s="30"/>
      <c r="DR2" s="30"/>
      <c r="DW2" s="28"/>
    </row>
  </sheetData>
  <conditionalFormatting sqref="Q1:Q2">
    <cfRule type="expression" dxfId="5" priority="1691">
      <formula>$AK1</formula>
    </cfRule>
  </conditionalFormatting>
  <dataValidations count="1">
    <dataValidation type="list" allowBlank="1" showInputMessage="1" showErrorMessage="1" sqref="O2 Q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mc:AlternateContent xmlns:mc="http://schemas.openxmlformats.org/markup-compatibility/2006">
          <mc:Choice Requires="x14">
            <control shapeId="10289" r:id="rId5" name="Button 49">
              <controlPr defaultSize="0" print="0" autoFill="0" autoPict="0" macro="[0]!RepullAwds">
                <anchor moveWithCells="1" sizeWithCells="1">
                  <from>
                    <xdr:col>16</xdr:col>
                    <xdr:colOff>979714</xdr:colOff>
                    <xdr:row>0</xdr:row>
                    <xdr:rowOff>65314</xdr:rowOff>
                  </from>
                  <to>
                    <xdr:col>18</xdr:col>
                    <xdr:colOff>27214</xdr:colOff>
                    <xdr:row>0</xdr:row>
                    <xdr:rowOff>326571</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B1:N26"/>
  <sheetViews>
    <sheetView showGridLines="0" zoomScaleNormal="100" workbookViewId="0"/>
  </sheetViews>
  <sheetFormatPr defaultRowHeight="14.6" x14ac:dyDescent="0.4"/>
  <cols>
    <col min="1" max="1" width="4" customWidth="1"/>
    <col min="2" max="2" width="8.3046875" style="6" customWidth="1"/>
    <col min="3" max="3" width="17.3828125" customWidth="1"/>
    <col min="4" max="4" width="3.3046875" style="5" customWidth="1"/>
    <col min="5" max="5" width="15.69140625" style="22" customWidth="1"/>
    <col min="6" max="6" width="14.3828125" customWidth="1"/>
    <col min="7" max="7" width="6.53515625" customWidth="1"/>
    <col min="8" max="8" width="5.15234375" customWidth="1"/>
    <col min="9" max="9" width="4.53515625" customWidth="1"/>
    <col min="10" max="10" width="35.304687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2:12" ht="34.4" customHeight="1" x14ac:dyDescent="0.4">
      <c r="B1" s="192" t="s">
        <v>457</v>
      </c>
    </row>
    <row r="2" spans="2:12" ht="16" customHeight="1" x14ac:dyDescent="0.4">
      <c r="B2" s="24" t="s">
        <v>511</v>
      </c>
      <c r="C2" s="23"/>
      <c r="D2" s="29"/>
      <c r="E2" s="119"/>
    </row>
    <row r="3" spans="2:12" ht="16" customHeight="1" x14ac:dyDescent="0.4">
      <c r="B3" s="205" t="s">
        <v>531</v>
      </c>
      <c r="C3" s="216"/>
      <c r="D3" s="217"/>
      <c r="E3" s="217"/>
      <c r="F3" s="218"/>
    </row>
    <row r="4" spans="2:12" ht="16" customHeight="1" x14ac:dyDescent="0.4">
      <c r="B4" s="9"/>
      <c r="F4" s="4"/>
      <c r="G4" s="29"/>
    </row>
    <row r="5" spans="2:12" ht="16" customHeight="1" x14ac:dyDescent="0.4">
      <c r="B5" s="42"/>
      <c r="C5" s="220" t="s">
        <v>451</v>
      </c>
      <c r="D5" s="220"/>
      <c r="E5" s="220"/>
      <c r="F5" s="43"/>
    </row>
    <row r="6" spans="2:12" ht="16" customHeight="1" x14ac:dyDescent="0.4">
      <c r="B6" s="44"/>
      <c r="C6" s="45" t="s">
        <v>185</v>
      </c>
      <c r="D6" s="45"/>
      <c r="E6" s="45" t="s">
        <v>186</v>
      </c>
      <c r="F6" s="45"/>
    </row>
    <row r="7" spans="2:12" ht="18" customHeight="1" x14ac:dyDescent="0.4">
      <c r="C7" s="46" t="s">
        <v>187</v>
      </c>
      <c r="D7" s="46"/>
      <c r="E7" s="54" t="s">
        <v>203</v>
      </c>
      <c r="F7" s="47" t="s">
        <v>204</v>
      </c>
    </row>
    <row r="8" spans="2:12" ht="18" customHeight="1" x14ac:dyDescent="0.4">
      <c r="C8" s="46" t="s">
        <v>198</v>
      </c>
      <c r="D8" s="46"/>
      <c r="E8" s="48" t="s">
        <v>208</v>
      </c>
      <c r="F8" s="49"/>
    </row>
    <row r="9" spans="2:12" ht="18" customHeight="1" x14ac:dyDescent="0.4">
      <c r="C9" s="46" t="s">
        <v>192</v>
      </c>
      <c r="D9" s="46"/>
      <c r="E9" s="48" t="s">
        <v>193</v>
      </c>
      <c r="F9" s="49"/>
      <c r="H9" s="55" t="s">
        <v>211</v>
      </c>
      <c r="I9" s="6"/>
    </row>
    <row r="10" spans="2:12" ht="18" customHeight="1" x14ac:dyDescent="0.4">
      <c r="C10" s="46" t="s">
        <v>188</v>
      </c>
      <c r="D10" s="46"/>
      <c r="E10" s="48" t="s">
        <v>207</v>
      </c>
      <c r="F10" s="49"/>
      <c r="I10" s="9" t="s">
        <v>402</v>
      </c>
    </row>
    <row r="11" spans="2:12" ht="18" customHeight="1" x14ac:dyDescent="0.4">
      <c r="C11" s="46" t="s">
        <v>189</v>
      </c>
      <c r="D11" s="46"/>
      <c r="E11" s="50" t="s">
        <v>206</v>
      </c>
      <c r="F11" s="51"/>
      <c r="I11" s="9" t="s">
        <v>364</v>
      </c>
    </row>
    <row r="12" spans="2:12" ht="18" customHeight="1" x14ac:dyDescent="0.4">
      <c r="C12" s="46" t="s">
        <v>190</v>
      </c>
      <c r="D12" s="46"/>
      <c r="E12" s="48" t="s">
        <v>205</v>
      </c>
      <c r="F12" s="49"/>
      <c r="I12" s="9" t="s">
        <v>363</v>
      </c>
      <c r="K12" s="5"/>
      <c r="L12" s="22"/>
    </row>
    <row r="13" spans="2:12" ht="18" customHeight="1" x14ac:dyDescent="0.4">
      <c r="C13" s="46" t="s">
        <v>191</v>
      </c>
      <c r="D13" s="46"/>
      <c r="E13" s="48" t="s">
        <v>209</v>
      </c>
      <c r="F13" s="49"/>
      <c r="I13" s="9" t="s">
        <v>498</v>
      </c>
      <c r="J13" s="4"/>
      <c r="K13" s="5"/>
      <c r="L13" s="22"/>
    </row>
    <row r="14" spans="2:12" ht="18" customHeight="1" x14ac:dyDescent="0.4">
      <c r="C14" s="46" t="s">
        <v>195</v>
      </c>
      <c r="D14" s="46"/>
      <c r="E14" s="48" t="s">
        <v>210</v>
      </c>
      <c r="F14" s="49"/>
      <c r="I14" s="115" t="s">
        <v>499</v>
      </c>
      <c r="K14" s="5"/>
      <c r="L14" s="22"/>
    </row>
    <row r="15" spans="2:12" ht="18" customHeight="1" x14ac:dyDescent="0.4">
      <c r="C15" s="46" t="s">
        <v>196</v>
      </c>
      <c r="D15" s="46"/>
      <c r="E15" s="48" t="s">
        <v>197</v>
      </c>
      <c r="F15" s="49"/>
      <c r="I15" s="9" t="s">
        <v>366</v>
      </c>
      <c r="K15" s="15"/>
      <c r="L15" s="22"/>
    </row>
    <row r="16" spans="2:12" ht="18" customHeight="1" x14ac:dyDescent="0.4">
      <c r="C16" s="46" t="s">
        <v>199</v>
      </c>
      <c r="D16" s="46"/>
      <c r="E16" s="48" t="s">
        <v>200</v>
      </c>
      <c r="F16" s="49"/>
      <c r="I16" s="9" t="s">
        <v>500</v>
      </c>
      <c r="K16" s="5"/>
      <c r="L16" s="22"/>
    </row>
    <row r="17" spans="3:12" ht="18" customHeight="1" x14ac:dyDescent="0.4">
      <c r="C17" s="46" t="s">
        <v>201</v>
      </c>
      <c r="D17" s="46"/>
      <c r="E17" s="48" t="s">
        <v>202</v>
      </c>
      <c r="F17" s="49"/>
      <c r="K17" s="5"/>
      <c r="L17" s="22"/>
    </row>
    <row r="18" spans="3:12" ht="20.149999999999999" customHeight="1" x14ac:dyDescent="0.4">
      <c r="C18" s="46" t="s">
        <v>194</v>
      </c>
      <c r="D18" s="52"/>
      <c r="E18" s="107" t="str">
        <f>INDEX(codes_prop_stts,select_prop_stts)</f>
        <v>0[01289]</v>
      </c>
      <c r="F18" s="53"/>
      <c r="K18" s="5"/>
      <c r="L18" s="22"/>
    </row>
    <row r="19" spans="3:12" ht="20.149999999999999" customHeight="1" x14ac:dyDescent="0.4">
      <c r="C19" s="46"/>
      <c r="D19" s="52"/>
      <c r="E19" s="107"/>
      <c r="F19" s="53"/>
      <c r="K19" s="5"/>
      <c r="L19" s="22"/>
    </row>
    <row r="20" spans="3:12" ht="20.149999999999999" customHeight="1" x14ac:dyDescent="0.4">
      <c r="C20" s="3"/>
      <c r="D20" s="3"/>
      <c r="E20" s="3"/>
      <c r="F20" s="3"/>
    </row>
    <row r="21" spans="3:12" ht="20.149999999999999" customHeight="1" x14ac:dyDescent="0.4">
      <c r="D21"/>
      <c r="E21"/>
    </row>
    <row r="22" spans="3:12" ht="20.149999999999999" customHeight="1" x14ac:dyDescent="0.4">
      <c r="D22"/>
      <c r="E22"/>
    </row>
    <row r="23" spans="3:12" ht="20.149999999999999" customHeight="1" x14ac:dyDescent="0.4">
      <c r="C23" s="24"/>
      <c r="D23"/>
      <c r="E23" s="24"/>
      <c r="F23" s="24"/>
    </row>
    <row r="24" spans="3:12" ht="20.149999999999999" customHeight="1" x14ac:dyDescent="0.4">
      <c r="C24" s="24"/>
      <c r="D24"/>
      <c r="E24" s="24"/>
      <c r="F24" s="24"/>
    </row>
    <row r="25" spans="3:12" ht="20.149999999999999" customHeight="1" x14ac:dyDescent="0.4">
      <c r="C25" s="24"/>
      <c r="D25"/>
      <c r="E25" s="24"/>
    </row>
    <row r="26" spans="3:12" ht="19.75" customHeight="1" x14ac:dyDescent="0.4">
      <c r="E26" s="29"/>
    </row>
  </sheetData>
  <mergeCells count="1">
    <mergeCell ref="C5:E5"/>
  </mergeCells>
  <conditionalFormatting sqref="E7:F17">
    <cfRule type="expression" dxfId="4" priority="1">
      <formula>SEARCH("eg:",E7)=1</formula>
    </cfRule>
  </conditionalFormatting>
  <dataValidations count="1">
    <dataValidation type="list" allowBlank="1" showInputMessage="1" showErrorMessage="1" sqref="C21 E21:F21">
      <formula1>INDIRECT("AvailableTemplates[Available templates:]")</formula1>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6" r:id="rId4" name="Drop Down 32">
              <controlPr defaultSize="0" autoLine="0" autoPict="0">
                <anchor moveWithCells="1">
                  <from>
                    <xdr:col>3</xdr:col>
                    <xdr:colOff>212271</xdr:colOff>
                    <xdr:row>17</xdr:row>
                    <xdr:rowOff>0</xdr:rowOff>
                  </from>
                  <to>
                    <xdr:col>6</xdr:col>
                    <xdr:colOff>250371</xdr:colOff>
                    <xdr:row>18</xdr:row>
                    <xdr:rowOff>0</xdr:rowOff>
                  </to>
                </anchor>
              </controlPr>
            </control>
          </mc:Choice>
        </mc:AlternateContent>
        <mc:AlternateContent xmlns:mc="http://schemas.openxmlformats.org/markup-compatibility/2006">
          <mc:Choice Requires="x14">
            <control shapeId="1060" r:id="rId5" name="Button 36">
              <controlPr defaultSize="0" autoFill="0" autoPict="0" macro="[0]!Picker_dirRAoutput">
                <anchor moveWithCells="1">
                  <from>
                    <xdr:col>1</xdr:col>
                    <xdr:colOff>0</xdr:colOff>
                    <xdr:row>2</xdr:row>
                    <xdr:rowOff>0</xdr:rowOff>
                  </from>
                  <to>
                    <xdr:col>2</xdr:col>
                    <xdr:colOff>0</xdr:colOff>
                    <xdr:row>3</xdr:row>
                    <xdr:rowOff>10886</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4.6" x14ac:dyDescent="0.4"/>
  <cols>
    <col min="1" max="1" width="10.84375" customWidth="1"/>
    <col min="2" max="2" width="23.3828125" customWidth="1"/>
    <col min="3" max="3" width="29.84375" customWidth="1"/>
  </cols>
  <sheetData>
    <row r="1" spans="1:3" ht="34" customHeight="1" x14ac:dyDescent="0.4">
      <c r="A1" s="57" t="s">
        <v>381</v>
      </c>
    </row>
    <row r="2" spans="1:3" x14ac:dyDescent="0.4">
      <c r="A2" s="6" t="s">
        <v>388</v>
      </c>
      <c r="B2" s="6" t="s">
        <v>389</v>
      </c>
      <c r="C2" s="6" t="s">
        <v>390</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C25" sqref="C25"/>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29" customWidth="1"/>
    <col min="11" max="11" width="3.3046875" style="29" customWidth="1"/>
    <col min="12" max="12" width="3.53515625" style="29" customWidth="1"/>
    <col min="13" max="13" width="13.53515625" customWidth="1"/>
    <col min="14" max="14" width="3.84375" customWidth="1"/>
    <col min="15" max="16" width="7.3828125" hidden="1" customWidth="1"/>
    <col min="17" max="17" width="5.3828125" customWidth="1"/>
    <col min="18" max="18" width="11" customWidth="1"/>
    <col min="19" max="19" width="14.3046875" style="21" customWidth="1"/>
    <col min="20" max="20" width="5.3046875" style="35" customWidth="1"/>
    <col min="21" max="21" width="4.53515625" style="35" customWidth="1"/>
    <col min="22" max="22" width="11.84375" customWidth="1"/>
    <col min="23" max="23" width="4.3828125" customWidth="1"/>
    <col min="24" max="24" width="3.69140625" customWidth="1"/>
    <col min="25" max="25" width="8.69140625" style="29" customWidth="1"/>
    <col min="26" max="26" width="3.69140625" customWidth="1"/>
    <col min="27" max="27" width="9.3046875" style="29"/>
    <col min="28" max="28" width="9.53515625" style="29"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2"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57" t="s">
        <v>234</v>
      </c>
      <c r="D1" s="57" t="s">
        <v>347</v>
      </c>
      <c r="V1" s="36" t="s">
        <v>184</v>
      </c>
      <c r="AH1" s="36" t="s">
        <v>181</v>
      </c>
      <c r="AI1" s="36"/>
      <c r="AJ1" s="36"/>
      <c r="AK1" s="36"/>
      <c r="AL1" s="36"/>
      <c r="AM1" s="36"/>
      <c r="AN1" s="37" t="s">
        <v>182</v>
      </c>
      <c r="AO1" s="36"/>
      <c r="AP1" s="36"/>
      <c r="AQ1" s="36"/>
      <c r="AR1" s="38" t="s">
        <v>180</v>
      </c>
      <c r="AS1" s="36"/>
      <c r="AT1" s="36"/>
      <c r="AU1" s="36"/>
      <c r="AV1" s="36"/>
      <c r="AW1" s="36"/>
      <c r="AX1" s="36" t="s">
        <v>183</v>
      </c>
    </row>
    <row r="2" spans="1:50" x14ac:dyDescent="0.4">
      <c r="A2" s="24" t="s">
        <v>235</v>
      </c>
      <c r="B2" t="s">
        <v>236</v>
      </c>
      <c r="D2" s="6" t="s">
        <v>287</v>
      </c>
      <c r="E2" s="6" t="s">
        <v>348</v>
      </c>
      <c r="H2"/>
      <c r="I2"/>
      <c r="J2"/>
      <c r="K2"/>
      <c r="L2"/>
      <c r="S2"/>
      <c r="T2"/>
      <c r="U2"/>
      <c r="Y2"/>
      <c r="AA2"/>
      <c r="AB2"/>
      <c r="AN2"/>
      <c r="AR2"/>
    </row>
    <row r="3" spans="1:50" x14ac:dyDescent="0.4">
      <c r="A3" s="98"/>
      <c r="D3" s="98"/>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workbookViewId="0">
      <selection activeCell="A3" sqref="A3"/>
    </sheetView>
  </sheetViews>
  <sheetFormatPr defaultRowHeight="14.6" x14ac:dyDescent="0.4"/>
  <cols>
    <col min="1" max="2" width="8.69140625" style="29" customWidth="1"/>
    <col min="3" max="3" width="12.3828125" customWidth="1"/>
    <col min="4" max="4" width="12.15234375" style="29" customWidth="1"/>
    <col min="5" max="5" width="5.3828125" style="29" customWidth="1"/>
    <col min="6" max="6" width="5.3046875" style="29" customWidth="1"/>
    <col min="7" max="7" width="8.84375" style="29" bestFit="1" customWidth="1"/>
    <col min="8" max="8" width="8.84375" bestFit="1" customWidth="1"/>
    <col min="9" max="9" width="5.3046875" customWidth="1"/>
    <col min="10" max="10" width="5.53515625" customWidth="1"/>
    <col min="11" max="12" width="9.3046875" bestFit="1" customWidth="1"/>
    <col min="13" max="13" width="6.3046875" style="21" customWidth="1"/>
    <col min="14" max="14" width="5.84375" style="35" customWidth="1"/>
    <col min="15" max="16" width="6.15234375" customWidth="1"/>
    <col min="17" max="17" width="3.3828125" customWidth="1"/>
    <col min="18" max="18" width="11.3828125" customWidth="1"/>
    <col min="19" max="19" width="4.3828125" style="20"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0" customWidth="1"/>
    <col min="38" max="38" width="14.23046875" style="76" customWidth="1"/>
    <col min="39" max="39" width="15.15234375" style="76" customWidth="1"/>
    <col min="40" max="40" width="10.69140625" style="76" customWidth="1"/>
    <col min="41" max="42" width="9.53515625" style="76" customWidth="1"/>
    <col min="43" max="43" width="9.53515625" style="20" customWidth="1"/>
    <col min="44" max="44" width="11.15234375" style="20" customWidth="1"/>
    <col min="45" max="47" width="5.53515625" style="20" customWidth="1"/>
    <col min="48" max="49" width="11.84375" customWidth="1"/>
    <col min="50" max="50" width="4.3828125" customWidth="1"/>
    <col min="51" max="51" width="3.69140625" customWidth="1"/>
    <col min="52" max="52" width="8.69140625" style="29" customWidth="1"/>
    <col min="53" max="53" width="3.69140625" customWidth="1"/>
    <col min="54" max="54" width="9.3046875" style="29"/>
    <col min="55" max="55" width="9.53515625" style="29"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2"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29" t="s">
        <v>85</v>
      </c>
      <c r="B1" s="29" t="s">
        <v>6</v>
      </c>
      <c r="C1" t="s">
        <v>15</v>
      </c>
      <c r="D1" s="13" t="s">
        <v>7</v>
      </c>
      <c r="E1" t="s">
        <v>306</v>
      </c>
      <c r="F1" t="s">
        <v>307</v>
      </c>
      <c r="G1" t="s">
        <v>288</v>
      </c>
      <c r="H1" t="s">
        <v>289</v>
      </c>
      <c r="I1" t="s">
        <v>290</v>
      </c>
      <c r="J1" t="s">
        <v>291</v>
      </c>
      <c r="K1" t="s">
        <v>292</v>
      </c>
      <c r="L1" t="s">
        <v>293</v>
      </c>
      <c r="M1" t="s">
        <v>158</v>
      </c>
      <c r="N1" t="s">
        <v>157</v>
      </c>
      <c r="O1" t="s">
        <v>294</v>
      </c>
      <c r="P1" s="20" t="s">
        <v>296</v>
      </c>
      <c r="Q1" t="s">
        <v>297</v>
      </c>
      <c r="R1" s="31" t="s">
        <v>298</v>
      </c>
      <c r="S1" s="20" t="s">
        <v>97</v>
      </c>
      <c r="T1" t="s">
        <v>86</v>
      </c>
      <c r="U1" t="s">
        <v>8</v>
      </c>
      <c r="V1" t="s">
        <v>1</v>
      </c>
      <c r="W1" t="s">
        <v>137</v>
      </c>
      <c r="X1" t="s">
        <v>0</v>
      </c>
      <c r="Y1" t="s">
        <v>9</v>
      </c>
      <c r="Z1" t="s">
        <v>16</v>
      </c>
      <c r="AA1" t="s">
        <v>237</v>
      </c>
      <c r="AB1" s="13" t="s">
        <v>308</v>
      </c>
      <c r="AC1" t="s">
        <v>139</v>
      </c>
      <c r="AD1" t="s">
        <v>238</v>
      </c>
      <c r="AE1" t="s">
        <v>299</v>
      </c>
      <c r="AF1" t="s">
        <v>295</v>
      </c>
      <c r="AG1" t="s">
        <v>159</v>
      </c>
      <c r="AH1" t="s">
        <v>34</v>
      </c>
      <c r="AK1" s="82" t="s">
        <v>311</v>
      </c>
      <c r="AL1"/>
      <c r="AM1" s="82" t="s">
        <v>309</v>
      </c>
      <c r="AN1"/>
      <c r="AO1"/>
      <c r="AP1"/>
      <c r="AQ1"/>
      <c r="AR1"/>
      <c r="AS1"/>
      <c r="AT1"/>
      <c r="AU1"/>
      <c r="AZ1"/>
      <c r="BB1"/>
      <c r="BC1"/>
      <c r="BO1"/>
      <c r="BS1"/>
    </row>
    <row r="2" spans="1:71" x14ac:dyDescent="0.4">
      <c r="D2"/>
      <c r="E2" s="8"/>
      <c r="F2" s="8"/>
      <c r="G2"/>
      <c r="M2"/>
      <c r="N2" s="8"/>
      <c r="O2" s="8"/>
      <c r="P2" s="20"/>
      <c r="Q2" s="8"/>
      <c r="R2" s="31"/>
      <c r="T2" s="8"/>
      <c r="U2" s="8"/>
      <c r="V2" s="81"/>
      <c r="W2" s="8"/>
      <c r="X2" s="8"/>
      <c r="Y2" s="8"/>
      <c r="Z2" s="8"/>
      <c r="AA2" s="8"/>
      <c r="AB2" s="81"/>
      <c r="AC2" s="8"/>
      <c r="AD2" s="8"/>
      <c r="AE2" s="8"/>
      <c r="AF2" s="8"/>
      <c r="AG2" s="8"/>
      <c r="AH2" s="8"/>
      <c r="AK2" s="82" t="s">
        <v>312</v>
      </c>
      <c r="AL2" s="82" t="s">
        <v>9</v>
      </c>
      <c r="AM2" t="s">
        <v>378</v>
      </c>
      <c r="AN2" t="s">
        <v>310</v>
      </c>
      <c r="AO2"/>
      <c r="AP2"/>
      <c r="AQ2"/>
      <c r="AR2"/>
      <c r="AS2"/>
      <c r="AT2"/>
      <c r="AU2"/>
      <c r="AZ2"/>
      <c r="BB2"/>
      <c r="BC2"/>
      <c r="BO2"/>
      <c r="BS2"/>
    </row>
    <row r="3" spans="1:71" x14ac:dyDescent="0.4">
      <c r="AK3" s="24" t="s">
        <v>378</v>
      </c>
      <c r="AL3" s="24" t="s">
        <v>378</v>
      </c>
      <c r="AM3" s="30"/>
      <c r="AN3" s="30"/>
      <c r="AO3"/>
      <c r="AP3"/>
      <c r="AQ3"/>
      <c r="AR3"/>
      <c r="AS3"/>
      <c r="AT3"/>
      <c r="AU3"/>
      <c r="AZ3"/>
      <c r="BB3"/>
      <c r="BC3"/>
      <c r="BO3"/>
      <c r="BS3"/>
    </row>
    <row r="4" spans="1:71" x14ac:dyDescent="0.4">
      <c r="AK4"/>
      <c r="AL4" s="83" t="s">
        <v>378</v>
      </c>
      <c r="AM4" s="30"/>
      <c r="AN4" s="30"/>
      <c r="AO4"/>
      <c r="AP4"/>
      <c r="AQ4"/>
      <c r="AR4"/>
      <c r="AS4"/>
      <c r="AT4"/>
      <c r="AU4"/>
      <c r="AZ4"/>
      <c r="BB4"/>
      <c r="BC4"/>
      <c r="BO4"/>
      <c r="BS4"/>
    </row>
    <row r="5" spans="1:71" x14ac:dyDescent="0.4">
      <c r="AK5" s="24" t="s">
        <v>310</v>
      </c>
      <c r="AL5"/>
      <c r="AM5" s="30"/>
      <c r="AN5" s="30"/>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row r="10" spans="1:71" x14ac:dyDescent="0.4">
      <c r="AK10"/>
      <c r="AL10"/>
      <c r="AM10"/>
      <c r="AN10"/>
      <c r="AO10"/>
      <c r="AP10"/>
      <c r="AQ10"/>
      <c r="AR10"/>
    </row>
  </sheetData>
  <conditionalFormatting sqref="F2 H2 J2 L2 AE2">
    <cfRule type="expression" dxfId="3" priority="1">
      <formula>E2&lt;&gt;F2</formula>
    </cfRule>
  </conditionalFormatting>
  <conditionalFormatting sqref="A2:AH2">
    <cfRule type="expression" dxfId="2" priority="2">
      <formula>$U1&lt;&gt;$U2</formula>
    </cfRule>
    <cfRule type="expression" dxfId="1" priority="3">
      <formula>MOD($S2,2)</formula>
    </cfRule>
  </conditionalFormatting>
  <pageMargins left="0.25" right="0.25" top="0.75" bottom="0.75" header="0.3" footer="0.3"/>
  <pageSetup paperSize="5" scale="37"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48" sqref="P48"/>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7" customWidth="1"/>
    <col min="12" max="12" width="16.15234375" customWidth="1"/>
    <col min="13" max="14" width="6.3046875" style="20" customWidth="1"/>
    <col min="15" max="15" width="5.15234375" customWidth="1"/>
    <col min="16" max="16" width="80.53515625" bestFit="1" customWidth="1"/>
  </cols>
  <sheetData>
    <row r="1" spans="1:16" ht="51.45" customHeight="1" x14ac:dyDescent="0.4">
      <c r="A1" t="s">
        <v>97</v>
      </c>
      <c r="B1" t="s">
        <v>8</v>
      </c>
      <c r="C1" t="s">
        <v>9</v>
      </c>
      <c r="D1" t="s">
        <v>164</v>
      </c>
      <c r="E1" t="s">
        <v>165</v>
      </c>
      <c r="F1" t="s">
        <v>166</v>
      </c>
      <c r="G1" t="s">
        <v>167</v>
      </c>
      <c r="H1" t="s">
        <v>168</v>
      </c>
      <c r="I1" t="s">
        <v>169</v>
      </c>
      <c r="J1" t="s">
        <v>170</v>
      </c>
      <c r="K1" s="27" t="s">
        <v>171</v>
      </c>
      <c r="L1" t="s">
        <v>172</v>
      </c>
      <c r="M1" s="20" t="s">
        <v>173</v>
      </c>
      <c r="N1" s="20" t="s">
        <v>174</v>
      </c>
      <c r="O1" t="s">
        <v>175</v>
      </c>
      <c r="P1" t="s">
        <v>176</v>
      </c>
    </row>
    <row r="2" spans="1:16" x14ac:dyDescent="0.4">
      <c r="K2" s="29"/>
      <c r="L2" s="8"/>
    </row>
    <row r="3" spans="1:16" x14ac:dyDescent="0.4">
      <c r="B3" t="s">
        <v>177</v>
      </c>
      <c r="K3" s="29"/>
      <c r="M3"/>
      <c r="N3"/>
      <c r="P3">
        <f>SUBTOTAL(103,ProjTextQTable[text])</f>
        <v>0</v>
      </c>
    </row>
  </sheetData>
  <conditionalFormatting sqref="A2:P2">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efs">
    <tabColor theme="1"/>
    <pageSetUpPr fitToPage="1"/>
  </sheetPr>
  <dimension ref="A1:K90"/>
  <sheetViews>
    <sheetView showGridLines="0" zoomScaleNormal="100" workbookViewId="0"/>
  </sheetViews>
  <sheetFormatPr defaultRowHeight="14.6" x14ac:dyDescent="0.4"/>
  <cols>
    <col min="1" max="1" width="2.15234375" customWidth="1"/>
    <col min="2" max="2" width="7.15234375" customWidth="1"/>
    <col min="3" max="3" width="4.84375" customWidth="1"/>
    <col min="4" max="4" width="25.69140625" customWidth="1"/>
    <col min="5" max="5" width="21.69140625" customWidth="1"/>
    <col min="6" max="6" width="10.15234375" customWidth="1"/>
    <col min="7" max="7" width="10.3828125" customWidth="1"/>
    <col min="8" max="8" width="2.3046875" style="6" customWidth="1"/>
    <col min="9" max="9" width="10.15234375" customWidth="1"/>
    <col min="10" max="10" width="28.53515625" customWidth="1"/>
    <col min="11" max="11" width="4" customWidth="1"/>
  </cols>
  <sheetData>
    <row r="1" spans="1:11" ht="31.5" customHeight="1" x14ac:dyDescent="0.8">
      <c r="B1" s="121" t="s">
        <v>403</v>
      </c>
    </row>
    <row r="2" spans="1:11" ht="23.15" customHeight="1" x14ac:dyDescent="0.5">
      <c r="B2" s="120" t="s">
        <v>450</v>
      </c>
      <c r="C2" s="120"/>
      <c r="I2">
        <v>2</v>
      </c>
    </row>
    <row r="3" spans="1:11" ht="15.9" x14ac:dyDescent="0.5">
      <c r="B3" s="120" t="s">
        <v>404</v>
      </c>
      <c r="C3" s="120"/>
    </row>
    <row r="4" spans="1:11" ht="15.9" x14ac:dyDescent="0.5">
      <c r="B4" s="7"/>
      <c r="C4" s="120"/>
    </row>
    <row r="5" spans="1:11" ht="8.15" customHeight="1" x14ac:dyDescent="0.5">
      <c r="B5" s="120"/>
      <c r="C5" s="120"/>
    </row>
    <row r="6" spans="1:11" ht="15.9" x14ac:dyDescent="0.5">
      <c r="B6" s="120"/>
      <c r="C6" s="120"/>
    </row>
    <row r="7" spans="1:11" x14ac:dyDescent="0.4">
      <c r="C7" s="3" t="s">
        <v>444</v>
      </c>
    </row>
    <row r="8" spans="1:11" x14ac:dyDescent="0.4">
      <c r="C8" s="3" t="s">
        <v>445</v>
      </c>
    </row>
    <row r="9" spans="1:11" x14ac:dyDescent="0.4">
      <c r="C9" s="3"/>
      <c r="H9" s="185"/>
      <c r="I9" s="127"/>
      <c r="J9" s="127"/>
      <c r="K9" s="128"/>
    </row>
    <row r="10" spans="1:11" ht="15.9" x14ac:dyDescent="0.5">
      <c r="A10" s="141"/>
      <c r="B10" s="142" t="s">
        <v>512</v>
      </c>
      <c r="C10" s="142"/>
      <c r="D10" s="143"/>
      <c r="E10" s="143"/>
      <c r="F10" s="143"/>
      <c r="G10" s="183"/>
      <c r="H10" s="186"/>
      <c r="I10" s="181" t="s">
        <v>412</v>
      </c>
      <c r="J10" s="2" t="s">
        <v>413</v>
      </c>
      <c r="K10" s="129"/>
    </row>
    <row r="11" spans="1:11" ht="15.9" x14ac:dyDescent="0.5">
      <c r="A11" s="134"/>
      <c r="B11" s="135"/>
      <c r="C11" s="138" t="s">
        <v>420</v>
      </c>
      <c r="D11" s="138" t="s">
        <v>534</v>
      </c>
      <c r="E11" s="133"/>
      <c r="F11" s="133"/>
      <c r="G11" s="180"/>
      <c r="H11" s="186"/>
      <c r="I11" s="187" t="s">
        <v>416</v>
      </c>
      <c r="J11" s="188" t="s">
        <v>417</v>
      </c>
      <c r="K11" s="129"/>
    </row>
    <row r="12" spans="1:11" ht="15.9" x14ac:dyDescent="0.5">
      <c r="A12" s="139"/>
      <c r="B12" s="144"/>
      <c r="C12" s="145"/>
      <c r="D12" s="145"/>
      <c r="E12" s="140"/>
      <c r="F12" s="140"/>
      <c r="G12" s="184"/>
      <c r="H12" s="186"/>
      <c r="I12" s="187" t="s">
        <v>414</v>
      </c>
      <c r="J12" s="188" t="s">
        <v>418</v>
      </c>
      <c r="K12" s="129"/>
    </row>
    <row r="13" spans="1:11" ht="15.9" x14ac:dyDescent="0.5">
      <c r="A13" s="151"/>
      <c r="B13" s="152"/>
      <c r="C13" s="152"/>
      <c r="D13" s="153"/>
      <c r="E13" s="153"/>
      <c r="F13" s="153"/>
      <c r="G13" s="172"/>
      <c r="H13" s="132"/>
      <c r="I13" s="187" t="s">
        <v>415</v>
      </c>
      <c r="J13" s="188" t="s">
        <v>419</v>
      </c>
      <c r="K13" s="129"/>
    </row>
    <row r="14" spans="1:11" ht="15.9" x14ac:dyDescent="0.5">
      <c r="A14" s="151"/>
      <c r="B14" s="152" t="s">
        <v>421</v>
      </c>
      <c r="C14" s="152"/>
      <c r="D14" s="153"/>
      <c r="E14" s="153"/>
      <c r="F14" s="153"/>
      <c r="G14" s="153"/>
      <c r="H14" s="132"/>
      <c r="I14" s="187" t="s">
        <v>513</v>
      </c>
      <c r="J14" s="188" t="s">
        <v>514</v>
      </c>
      <c r="K14" s="129"/>
    </row>
    <row r="15" spans="1:11" x14ac:dyDescent="0.4">
      <c r="A15" s="151"/>
      <c r="B15" s="155" t="s">
        <v>422</v>
      </c>
      <c r="C15" s="156"/>
      <c r="D15" s="157"/>
      <c r="E15" s="156"/>
      <c r="F15" s="153"/>
      <c r="G15" s="153"/>
      <c r="H15" s="132"/>
      <c r="I15" s="2"/>
      <c r="J15" s="2"/>
      <c r="K15" s="129"/>
    </row>
    <row r="16" spans="1:11" x14ac:dyDescent="0.4">
      <c r="A16" s="151"/>
      <c r="B16" s="158" t="s">
        <v>425</v>
      </c>
      <c r="C16" s="155" t="s">
        <v>466</v>
      </c>
      <c r="D16" s="157"/>
      <c r="E16" s="156"/>
      <c r="F16" s="153"/>
      <c r="G16" s="153"/>
      <c r="H16" s="132"/>
      <c r="I16" s="2"/>
      <c r="J16" s="2"/>
      <c r="K16" s="129"/>
    </row>
    <row r="17" spans="1:11" ht="15.9" x14ac:dyDescent="0.5">
      <c r="A17" s="151"/>
      <c r="B17" s="159"/>
      <c r="C17" s="155" t="s">
        <v>423</v>
      </c>
      <c r="D17" s="157"/>
      <c r="E17" s="156"/>
      <c r="F17" s="153"/>
      <c r="G17" s="153"/>
      <c r="H17" s="132"/>
      <c r="I17" s="2"/>
      <c r="J17" s="2"/>
      <c r="K17" s="129"/>
    </row>
    <row r="18" spans="1:11" ht="15.9" x14ac:dyDescent="0.5">
      <c r="A18" s="151"/>
      <c r="B18" s="159"/>
      <c r="C18" s="155" t="s">
        <v>424</v>
      </c>
      <c r="D18" s="157"/>
      <c r="E18" s="156"/>
      <c r="F18" s="153"/>
      <c r="G18" s="153"/>
      <c r="H18" s="132"/>
      <c r="I18" s="2"/>
      <c r="J18" s="2"/>
      <c r="K18" s="129"/>
    </row>
    <row r="19" spans="1:11" x14ac:dyDescent="0.4">
      <c r="A19" s="151"/>
      <c r="B19" s="153"/>
      <c r="C19" s="160"/>
      <c r="D19" s="221" t="s">
        <v>417</v>
      </c>
      <c r="E19" s="222"/>
      <c r="F19" s="223"/>
      <c r="G19" s="153"/>
      <c r="H19" s="132"/>
      <c r="I19" s="2"/>
      <c r="J19" s="2"/>
      <c r="K19" s="129"/>
    </row>
    <row r="20" spans="1:11" x14ac:dyDescent="0.4">
      <c r="A20" s="151"/>
      <c r="B20" s="153"/>
      <c r="C20" s="153"/>
      <c r="D20" s="153"/>
      <c r="E20" s="153"/>
      <c r="F20" s="153"/>
      <c r="G20" s="153"/>
      <c r="H20" s="132"/>
      <c r="I20" s="2"/>
      <c r="J20" s="2"/>
      <c r="K20" s="129"/>
    </row>
    <row r="21" spans="1:11" x14ac:dyDescent="0.4">
      <c r="A21" s="151"/>
      <c r="B21" s="155" t="s">
        <v>430</v>
      </c>
      <c r="C21" s="156"/>
      <c r="D21" s="156"/>
      <c r="E21" s="156"/>
      <c r="F21" s="153"/>
      <c r="G21" s="153"/>
      <c r="H21" s="132"/>
      <c r="I21" s="2"/>
      <c r="J21" s="2"/>
      <c r="K21" s="129"/>
    </row>
    <row r="22" spans="1:11" x14ac:dyDescent="0.4">
      <c r="A22" s="151"/>
      <c r="B22" s="161" t="s">
        <v>426</v>
      </c>
      <c r="C22" s="155" t="s">
        <v>442</v>
      </c>
      <c r="D22" s="156"/>
      <c r="E22" s="156"/>
      <c r="F22" s="153"/>
      <c r="G22" s="153"/>
      <c r="H22" s="132"/>
      <c r="I22" s="2"/>
      <c r="K22" s="129"/>
    </row>
    <row r="23" spans="1:11" x14ac:dyDescent="0.4">
      <c r="A23" s="151"/>
      <c r="B23" s="161" t="s">
        <v>427</v>
      </c>
      <c r="C23" s="155" t="s">
        <v>465</v>
      </c>
      <c r="D23" s="156"/>
      <c r="E23" s="156"/>
      <c r="F23" s="153"/>
      <c r="G23" s="153"/>
      <c r="H23" s="132"/>
      <c r="I23" s="2"/>
      <c r="K23" s="129"/>
    </row>
    <row r="24" spans="1:11" x14ac:dyDescent="0.4">
      <c r="A24" s="151"/>
      <c r="B24" s="161" t="s">
        <v>428</v>
      </c>
      <c r="C24" s="155" t="s">
        <v>429</v>
      </c>
      <c r="D24" s="156"/>
      <c r="E24" s="156"/>
      <c r="F24" s="153"/>
      <c r="G24" s="153"/>
      <c r="H24" s="132"/>
      <c r="I24" s="2"/>
      <c r="J24" s="190" t="s">
        <v>134</v>
      </c>
      <c r="K24" s="129"/>
    </row>
    <row r="25" spans="1:11" x14ac:dyDescent="0.4">
      <c r="A25" s="151"/>
      <c r="B25" s="153"/>
      <c r="C25" s="160" t="s">
        <v>523</v>
      </c>
      <c r="D25" s="162"/>
      <c r="E25" s="163"/>
      <c r="F25" s="164"/>
      <c r="G25" s="153"/>
      <c r="H25" s="132"/>
      <c r="I25" s="2"/>
      <c r="J25" s="190" t="s">
        <v>160</v>
      </c>
      <c r="K25" s="129"/>
    </row>
    <row r="26" spans="1:11" x14ac:dyDescent="0.4">
      <c r="A26" s="151"/>
      <c r="B26" s="153"/>
      <c r="C26" s="153"/>
      <c r="D26" s="153"/>
      <c r="E26" s="165"/>
      <c r="F26" s="165"/>
      <c r="G26" s="153"/>
      <c r="H26" s="132"/>
      <c r="I26" s="2"/>
      <c r="J26" s="190" t="s">
        <v>400</v>
      </c>
      <c r="K26" s="129"/>
    </row>
    <row r="27" spans="1:11" x14ac:dyDescent="0.4">
      <c r="A27" s="151"/>
      <c r="B27" s="156" t="s">
        <v>432</v>
      </c>
      <c r="C27" s="156"/>
      <c r="D27" s="166"/>
      <c r="E27" s="167"/>
      <c r="F27" s="156"/>
      <c r="G27" s="153"/>
      <c r="H27" s="132"/>
      <c r="I27" s="2"/>
      <c r="J27" s="190" t="s">
        <v>371</v>
      </c>
      <c r="K27" s="129"/>
    </row>
    <row r="28" spans="1:11" x14ac:dyDescent="0.4">
      <c r="A28" s="151"/>
      <c r="B28" s="156"/>
      <c r="C28" s="156" t="s">
        <v>433</v>
      </c>
      <c r="D28" s="156"/>
      <c r="E28" s="156"/>
      <c r="F28" s="156"/>
      <c r="G28" s="153"/>
      <c r="H28" s="132"/>
      <c r="I28" s="2"/>
      <c r="J28" s="190" t="s">
        <v>161</v>
      </c>
      <c r="K28" s="129"/>
    </row>
    <row r="29" spans="1:11" x14ac:dyDescent="0.4">
      <c r="A29" s="151"/>
      <c r="B29" s="156"/>
      <c r="C29" s="156" t="s">
        <v>431</v>
      </c>
      <c r="D29" s="156"/>
      <c r="E29" s="156"/>
      <c r="F29" s="156"/>
      <c r="G29" s="153"/>
      <c r="H29" s="132"/>
      <c r="I29" s="2"/>
      <c r="J29" s="190" t="s">
        <v>401</v>
      </c>
      <c r="K29" s="129"/>
    </row>
    <row r="30" spans="1:11" x14ac:dyDescent="0.4">
      <c r="A30" s="151"/>
      <c r="B30" s="168"/>
      <c r="C30" s="153"/>
      <c r="D30" s="169" t="s">
        <v>517</v>
      </c>
      <c r="E30" s="153"/>
      <c r="F30" s="153"/>
      <c r="G30" s="153"/>
      <c r="H30" s="132"/>
      <c r="I30" s="2"/>
      <c r="J30" s="2"/>
      <c r="K30" s="129"/>
    </row>
    <row r="31" spans="1:11" x14ac:dyDescent="0.4">
      <c r="A31" s="151"/>
      <c r="B31" s="168"/>
      <c r="C31" s="153"/>
      <c r="D31" s="153"/>
      <c r="E31" s="153"/>
      <c r="F31" s="153"/>
      <c r="G31" s="178"/>
      <c r="H31" s="132"/>
      <c r="I31" s="2"/>
      <c r="J31" s="2"/>
      <c r="K31" s="129"/>
    </row>
    <row r="32" spans="1:11" x14ac:dyDescent="0.4">
      <c r="A32" s="141"/>
      <c r="B32" s="146"/>
      <c r="C32" s="143"/>
      <c r="D32" s="143"/>
      <c r="E32" s="143"/>
      <c r="F32" s="143"/>
      <c r="G32" s="143"/>
      <c r="H32" s="189"/>
      <c r="I32" s="2"/>
      <c r="J32" s="2"/>
      <c r="K32" s="129"/>
    </row>
    <row r="33" spans="1:11" ht="15.9" x14ac:dyDescent="0.5">
      <c r="A33" s="134"/>
      <c r="B33" s="135" t="s">
        <v>459</v>
      </c>
      <c r="C33" s="202"/>
      <c r="D33" s="203"/>
      <c r="E33" s="204"/>
      <c r="F33" s="133"/>
      <c r="G33" s="136"/>
      <c r="H33" s="189"/>
      <c r="I33" s="2"/>
      <c r="J33" s="2"/>
      <c r="K33" s="129"/>
    </row>
    <row r="34" spans="1:11" x14ac:dyDescent="0.4">
      <c r="A34" s="134"/>
      <c r="B34" s="137" t="s">
        <v>516</v>
      </c>
      <c r="C34" s="202"/>
      <c r="D34" s="203"/>
      <c r="E34" s="204"/>
      <c r="F34" s="133"/>
      <c r="G34" s="136"/>
      <c r="H34" s="189"/>
      <c r="I34" s="2"/>
      <c r="J34" s="2"/>
      <c r="K34" s="129"/>
    </row>
    <row r="35" spans="1:11" x14ac:dyDescent="0.4">
      <c r="A35" s="134"/>
      <c r="B35" s="137"/>
      <c r="C35" s="137" t="s">
        <v>460</v>
      </c>
      <c r="D35" s="203"/>
      <c r="E35" s="204"/>
      <c r="F35" s="209" t="s">
        <v>461</v>
      </c>
      <c r="G35" s="136"/>
      <c r="H35" s="189"/>
      <c r="I35" s="2"/>
      <c r="J35" s="2"/>
      <c r="K35" s="129"/>
    </row>
    <row r="36" spans="1:11" x14ac:dyDescent="0.4">
      <c r="A36" s="134"/>
      <c r="B36" s="137" t="s">
        <v>515</v>
      </c>
      <c r="C36" s="202"/>
      <c r="D36" s="203"/>
      <c r="E36" s="204"/>
      <c r="F36" s="133"/>
      <c r="G36" s="136"/>
      <c r="H36" s="189"/>
      <c r="I36" s="2"/>
      <c r="J36" s="2"/>
      <c r="K36" s="129"/>
    </row>
    <row r="37" spans="1:11" x14ac:dyDescent="0.4">
      <c r="A37" s="134"/>
      <c r="B37" s="133"/>
      <c r="C37" s="205" t="s">
        <v>524</v>
      </c>
      <c r="D37" s="206"/>
      <c r="E37" s="207"/>
      <c r="F37" s="208"/>
      <c r="G37" s="136"/>
      <c r="H37" s="189"/>
      <c r="I37" s="2"/>
      <c r="J37" s="2"/>
      <c r="K37" s="129"/>
    </row>
    <row r="38" spans="1:11" ht="15.9" x14ac:dyDescent="0.5">
      <c r="A38" s="139"/>
      <c r="B38" s="144"/>
      <c r="C38" s="144"/>
      <c r="D38" s="140"/>
      <c r="E38" s="140"/>
      <c r="F38" s="140"/>
      <c r="G38" s="136"/>
      <c r="H38" s="191"/>
      <c r="I38" s="130"/>
      <c r="J38" s="130"/>
      <c r="K38" s="131"/>
    </row>
    <row r="39" spans="1:11" ht="15.9" x14ac:dyDescent="0.5">
      <c r="A39" s="170"/>
      <c r="B39" s="171"/>
      <c r="C39" s="171"/>
      <c r="D39" s="172"/>
      <c r="E39" s="172"/>
      <c r="F39" s="172"/>
      <c r="G39" s="173"/>
      <c r="H39" s="132"/>
      <c r="I39" s="19" t="s">
        <v>98</v>
      </c>
    </row>
    <row r="40" spans="1:11" ht="15.9" x14ac:dyDescent="0.5">
      <c r="A40" s="151"/>
      <c r="B40" s="152" t="s">
        <v>448</v>
      </c>
      <c r="C40" s="169"/>
      <c r="D40" s="153"/>
      <c r="E40" s="153"/>
      <c r="F40" s="153"/>
      <c r="G40" s="154"/>
      <c r="H40" s="132"/>
      <c r="I40" s="18" t="s">
        <v>99</v>
      </c>
    </row>
    <row r="41" spans="1:11" x14ac:dyDescent="0.4">
      <c r="A41" s="151"/>
      <c r="B41" s="156" t="s">
        <v>518</v>
      </c>
      <c r="C41" s="153"/>
      <c r="D41" s="153"/>
      <c r="E41" s="153"/>
      <c r="F41" s="153"/>
      <c r="G41" s="154"/>
      <c r="H41" s="132"/>
      <c r="I41" s="18" t="s">
        <v>94</v>
      </c>
    </row>
    <row r="42" spans="1:11" x14ac:dyDescent="0.4">
      <c r="A42" s="151"/>
      <c r="B42" s="174" t="s">
        <v>213</v>
      </c>
      <c r="C42" s="175" t="s">
        <v>212</v>
      </c>
      <c r="D42" s="153"/>
      <c r="E42" s="153"/>
      <c r="F42" s="153"/>
      <c r="G42" s="154"/>
      <c r="H42" s="132"/>
      <c r="I42" s="18" t="s">
        <v>100</v>
      </c>
    </row>
    <row r="43" spans="1:11" x14ac:dyDescent="0.4">
      <c r="A43" s="151"/>
      <c r="B43" s="174" t="s">
        <v>214</v>
      </c>
      <c r="C43" s="175" t="s">
        <v>362</v>
      </c>
      <c r="D43" s="153"/>
      <c r="E43" s="153"/>
      <c r="F43" s="153"/>
      <c r="G43" s="154"/>
      <c r="H43" s="132"/>
      <c r="I43" s="18" t="s">
        <v>95</v>
      </c>
    </row>
    <row r="44" spans="1:11" x14ac:dyDescent="0.4">
      <c r="A44" s="151"/>
      <c r="B44" s="156" t="s">
        <v>519</v>
      </c>
      <c r="C44" s="153"/>
      <c r="D44" s="153"/>
      <c r="E44" s="153"/>
      <c r="F44" s="153"/>
      <c r="G44" s="154"/>
      <c r="H44" s="132"/>
      <c r="I44" s="18" t="s">
        <v>101</v>
      </c>
    </row>
    <row r="45" spans="1:11" x14ac:dyDescent="0.4">
      <c r="A45" s="176"/>
      <c r="B45" s="177"/>
      <c r="C45" s="178"/>
      <c r="D45" s="178"/>
      <c r="E45" s="178"/>
      <c r="F45" s="178"/>
      <c r="G45" s="179"/>
      <c r="H45" s="132"/>
      <c r="I45" s="18" t="s">
        <v>102</v>
      </c>
    </row>
    <row r="46" spans="1:11" x14ac:dyDescent="0.4">
      <c r="A46" s="141"/>
      <c r="B46" s="143"/>
      <c r="C46" s="143"/>
      <c r="D46" s="143"/>
      <c r="E46" s="143"/>
      <c r="F46" s="143"/>
      <c r="G46" s="147"/>
      <c r="H46" s="182"/>
      <c r="I46" s="18" t="s">
        <v>96</v>
      </c>
    </row>
    <row r="47" spans="1:11" ht="15.9" x14ac:dyDescent="0.5">
      <c r="A47" s="134"/>
      <c r="B47" s="135" t="s">
        <v>449</v>
      </c>
      <c r="C47" s="133"/>
      <c r="D47" s="133"/>
      <c r="E47" s="133"/>
      <c r="F47" s="133"/>
      <c r="G47" s="136"/>
      <c r="H47" s="182"/>
      <c r="I47" s="18" t="s">
        <v>103</v>
      </c>
    </row>
    <row r="48" spans="1:11" x14ac:dyDescent="0.4">
      <c r="A48" s="134"/>
      <c r="B48" s="133"/>
      <c r="C48" s="137" t="s">
        <v>462</v>
      </c>
      <c r="D48" s="138"/>
      <c r="E48" s="138"/>
      <c r="F48" s="133"/>
      <c r="G48" s="148"/>
      <c r="H48" s="132"/>
      <c r="I48" s="18" t="s">
        <v>104</v>
      </c>
    </row>
    <row r="49" spans="1:10" x14ac:dyDescent="0.4">
      <c r="A49" s="134"/>
      <c r="B49" s="133"/>
      <c r="C49" s="133"/>
      <c r="D49" s="133"/>
      <c r="E49" s="133"/>
      <c r="F49" s="133"/>
      <c r="G49" s="148"/>
      <c r="H49" s="132"/>
      <c r="I49" s="18" t="s">
        <v>92</v>
      </c>
    </row>
    <row r="50" spans="1:10" x14ac:dyDescent="0.4">
      <c r="A50" s="134"/>
      <c r="B50" s="133"/>
      <c r="C50" s="133"/>
      <c r="D50" s="133"/>
      <c r="E50" s="133"/>
      <c r="F50" s="133"/>
      <c r="G50" s="136"/>
      <c r="H50" s="132"/>
      <c r="I50" s="18" t="s">
        <v>105</v>
      </c>
      <c r="J50" s="122" t="s">
        <v>434</v>
      </c>
    </row>
    <row r="51" spans="1:10" x14ac:dyDescent="0.4">
      <c r="A51" s="134"/>
      <c r="B51" s="133"/>
      <c r="C51" s="133"/>
      <c r="D51" s="133"/>
      <c r="E51" s="133"/>
      <c r="F51" s="133"/>
      <c r="G51" s="136"/>
      <c r="H51" s="132"/>
      <c r="I51" s="18" t="s">
        <v>106</v>
      </c>
      <c r="J51" s="40" t="s">
        <v>435</v>
      </c>
    </row>
    <row r="52" spans="1:10" x14ac:dyDescent="0.4">
      <c r="A52" s="134"/>
      <c r="B52" s="133"/>
      <c r="C52" s="133"/>
      <c r="D52" s="133"/>
      <c r="E52" s="133"/>
      <c r="F52" s="133"/>
      <c r="G52" s="136"/>
      <c r="H52" s="132"/>
      <c r="I52" s="18" t="s">
        <v>107</v>
      </c>
      <c r="J52" s="40" t="s">
        <v>436</v>
      </c>
    </row>
    <row r="53" spans="1:10" x14ac:dyDescent="0.4">
      <c r="A53" s="134"/>
      <c r="B53" s="133"/>
      <c r="C53" s="137" t="s">
        <v>446</v>
      </c>
      <c r="D53" s="133"/>
      <c r="E53" s="133"/>
      <c r="F53" s="133"/>
      <c r="G53" s="136"/>
      <c r="H53" s="132"/>
      <c r="I53" s="18" t="s">
        <v>365</v>
      </c>
    </row>
    <row r="54" spans="1:10" x14ac:dyDescent="0.4">
      <c r="A54" s="134"/>
      <c r="B54" s="133"/>
      <c r="C54" s="149">
        <v>50</v>
      </c>
      <c r="D54" s="150" t="s">
        <v>447</v>
      </c>
      <c r="E54" s="133"/>
      <c r="F54" s="133"/>
      <c r="G54" s="136"/>
      <c r="H54" s="132"/>
      <c r="I54" s="18" t="s">
        <v>108</v>
      </c>
    </row>
    <row r="55" spans="1:10" x14ac:dyDescent="0.4">
      <c r="A55" s="134"/>
      <c r="B55" s="133"/>
      <c r="C55" s="133"/>
      <c r="D55" s="133"/>
      <c r="E55" s="133"/>
      <c r="F55" s="133"/>
      <c r="G55" s="136"/>
      <c r="H55" s="132"/>
      <c r="I55" s="18" t="s">
        <v>109</v>
      </c>
    </row>
    <row r="56" spans="1:10" x14ac:dyDescent="0.4">
      <c r="A56" s="134"/>
      <c r="B56" s="133"/>
      <c r="C56" s="138" t="s">
        <v>440</v>
      </c>
      <c r="D56" s="133"/>
      <c r="E56" s="133"/>
      <c r="F56" s="133"/>
      <c r="G56" s="136"/>
      <c r="H56" s="132"/>
      <c r="I56" s="18" t="s">
        <v>110</v>
      </c>
    </row>
    <row r="57" spans="1:10" x14ac:dyDescent="0.4">
      <c r="A57" s="134"/>
      <c r="B57" s="133"/>
      <c r="C57" s="138" t="s">
        <v>441</v>
      </c>
      <c r="D57" s="133"/>
      <c r="E57" s="133"/>
      <c r="F57" s="133"/>
      <c r="G57" s="136"/>
      <c r="H57" s="132"/>
      <c r="I57" s="18" t="s">
        <v>111</v>
      </c>
    </row>
    <row r="58" spans="1:10" x14ac:dyDescent="0.4">
      <c r="A58" s="134"/>
      <c r="B58" s="133"/>
      <c r="C58" s="133"/>
      <c r="D58" s="133"/>
      <c r="E58" s="133"/>
      <c r="F58" s="133"/>
      <c r="G58" s="136"/>
      <c r="H58" s="132"/>
      <c r="I58" s="18" t="s">
        <v>112</v>
      </c>
    </row>
    <row r="59" spans="1:10" x14ac:dyDescent="0.4">
      <c r="A59" s="134"/>
      <c r="B59" s="133"/>
      <c r="C59" s="133"/>
      <c r="D59" s="133"/>
      <c r="E59" s="133"/>
      <c r="F59" s="133"/>
      <c r="G59" s="136"/>
      <c r="H59" s="132"/>
      <c r="I59" s="18" t="s">
        <v>113</v>
      </c>
    </row>
    <row r="60" spans="1:10" x14ac:dyDescent="0.4">
      <c r="A60" s="170"/>
      <c r="B60" s="172"/>
      <c r="C60" s="172"/>
      <c r="D60" s="172"/>
      <c r="E60" s="172"/>
      <c r="F60" s="172"/>
      <c r="G60" s="173"/>
      <c r="H60" s="132"/>
      <c r="I60" s="18" t="s">
        <v>114</v>
      </c>
    </row>
    <row r="61" spans="1:10" ht="15.9" x14ac:dyDescent="0.5">
      <c r="A61" s="189"/>
      <c r="B61" s="193" t="s">
        <v>458</v>
      </c>
      <c r="C61" s="132"/>
      <c r="D61" s="132"/>
      <c r="E61" s="132"/>
      <c r="F61" s="132"/>
      <c r="G61" s="201"/>
      <c r="H61" s="132"/>
      <c r="I61" s="18" t="s">
        <v>93</v>
      </c>
    </row>
    <row r="62" spans="1:10" x14ac:dyDescent="0.4">
      <c r="A62" s="189"/>
      <c r="B62" s="194" t="s">
        <v>437</v>
      </c>
      <c r="C62" s="195"/>
      <c r="D62" s="195"/>
      <c r="E62" s="195"/>
      <c r="F62" s="195"/>
      <c r="G62" s="201"/>
      <c r="I62" s="18" t="s">
        <v>115</v>
      </c>
    </row>
    <row r="63" spans="1:10" x14ac:dyDescent="0.4">
      <c r="A63" s="189"/>
      <c r="B63" s="194"/>
      <c r="C63" s="194" t="s">
        <v>439</v>
      </c>
      <c r="D63" s="195"/>
      <c r="E63" s="195"/>
      <c r="F63" s="195"/>
      <c r="G63" s="201"/>
      <c r="I63" s="18" t="s">
        <v>116</v>
      </c>
    </row>
    <row r="64" spans="1:10" x14ac:dyDescent="0.4">
      <c r="A64" s="189"/>
      <c r="B64" s="196" t="s">
        <v>426</v>
      </c>
      <c r="C64" s="194" t="s">
        <v>438</v>
      </c>
      <c r="D64" s="195"/>
      <c r="E64" s="195"/>
      <c r="F64" s="195"/>
      <c r="G64" s="201"/>
      <c r="I64" s="18" t="s">
        <v>117</v>
      </c>
    </row>
    <row r="65" spans="1:9" x14ac:dyDescent="0.4">
      <c r="A65" s="189"/>
      <c r="B65" s="196" t="s">
        <v>427</v>
      </c>
      <c r="C65" s="194" t="s">
        <v>443</v>
      </c>
      <c r="D65" s="195"/>
      <c r="E65" s="195"/>
      <c r="F65" s="195"/>
      <c r="G65" s="201"/>
      <c r="I65" s="18" t="s">
        <v>118</v>
      </c>
    </row>
    <row r="66" spans="1:9" x14ac:dyDescent="0.4">
      <c r="A66" s="189"/>
      <c r="B66" s="197"/>
      <c r="C66" s="198" t="s">
        <v>532</v>
      </c>
      <c r="D66" s="199"/>
      <c r="E66" s="200"/>
      <c r="F66" s="132"/>
      <c r="G66" s="201"/>
      <c r="I66" s="18" t="s">
        <v>119</v>
      </c>
    </row>
    <row r="67" spans="1:9" x14ac:dyDescent="0.4">
      <c r="A67" s="176"/>
      <c r="B67" s="178"/>
      <c r="C67" s="178"/>
      <c r="D67" s="178"/>
      <c r="E67" s="178"/>
      <c r="F67" s="178"/>
      <c r="G67" s="179"/>
      <c r="I67" s="18" t="s">
        <v>120</v>
      </c>
    </row>
    <row r="68" spans="1:9" x14ac:dyDescent="0.4">
      <c r="I68" s="109">
        <f>SUBTOTAL(103,EpscorTable[Epscor])</f>
        <v>27</v>
      </c>
    </row>
    <row r="69" spans="1:9" x14ac:dyDescent="0.4">
      <c r="I69" s="109"/>
    </row>
    <row r="70" spans="1:9" x14ac:dyDescent="0.4">
      <c r="I70" s="109"/>
    </row>
    <row r="71" spans="1:9" x14ac:dyDescent="0.4">
      <c r="I71" s="109"/>
    </row>
    <row r="72" spans="1:9" ht="25.75" x14ac:dyDescent="0.8">
      <c r="B72" s="121" t="s">
        <v>463</v>
      </c>
    </row>
    <row r="74" spans="1:9" ht="15.9" x14ac:dyDescent="0.5">
      <c r="B74" s="120" t="s">
        <v>469</v>
      </c>
    </row>
    <row r="75" spans="1:9" ht="15.9" x14ac:dyDescent="0.5">
      <c r="B75" s="120" t="s">
        <v>473</v>
      </c>
    </row>
    <row r="76" spans="1:9" ht="15.9" x14ac:dyDescent="0.5">
      <c r="B76" s="120" t="s">
        <v>472</v>
      </c>
    </row>
    <row r="77" spans="1:9" ht="15.9" x14ac:dyDescent="0.5">
      <c r="B77" s="120" t="s">
        <v>475</v>
      </c>
    </row>
    <row r="78" spans="1:9" ht="15.9" x14ac:dyDescent="0.5">
      <c r="B78" s="210" t="s">
        <v>474</v>
      </c>
      <c r="C78" s="3"/>
      <c r="D78" s="3"/>
      <c r="E78" s="3"/>
    </row>
    <row r="79" spans="1:9" ht="15.9" x14ac:dyDescent="0.5">
      <c r="B79" s="210" t="s">
        <v>470</v>
      </c>
      <c r="C79" s="3"/>
      <c r="D79" s="3"/>
      <c r="E79" s="3"/>
    </row>
    <row r="80" spans="1:9" ht="15.9" x14ac:dyDescent="0.5">
      <c r="B80" s="210" t="s">
        <v>471</v>
      </c>
      <c r="C80" s="3"/>
      <c r="D80" s="3"/>
      <c r="E80" s="3"/>
    </row>
    <row r="81" spans="2:4" ht="15.9" x14ac:dyDescent="0.5">
      <c r="B81" s="120"/>
    </row>
    <row r="82" spans="2:4" ht="15.9" x14ac:dyDescent="0.5">
      <c r="B82" s="120" t="s">
        <v>467</v>
      </c>
    </row>
    <row r="83" spans="2:4" ht="15.9" x14ac:dyDescent="0.5">
      <c r="B83" s="120" t="s">
        <v>468</v>
      </c>
      <c r="D83" s="7" t="s">
        <v>464</v>
      </c>
    </row>
    <row r="84" spans="2:4" ht="15.9" x14ac:dyDescent="0.5">
      <c r="B84" s="120" t="s">
        <v>485</v>
      </c>
    </row>
    <row r="85" spans="2:4" ht="15.9" x14ac:dyDescent="0.5">
      <c r="B85" s="120" t="s">
        <v>482</v>
      </c>
    </row>
    <row r="86" spans="2:4" ht="15.9" x14ac:dyDescent="0.5">
      <c r="B86" s="120" t="s">
        <v>486</v>
      </c>
    </row>
    <row r="87" spans="2:4" ht="15.9" x14ac:dyDescent="0.5">
      <c r="B87" s="120" t="s">
        <v>487</v>
      </c>
    </row>
    <row r="88" spans="2:4" ht="15.9" x14ac:dyDescent="0.5">
      <c r="B88" s="120" t="s">
        <v>483</v>
      </c>
    </row>
    <row r="89" spans="2:4" ht="15.9" x14ac:dyDescent="0.5">
      <c r="B89" s="120"/>
    </row>
    <row r="90" spans="2:4" ht="15.9" x14ac:dyDescent="0.5">
      <c r="B90" s="210" t="s">
        <v>488</v>
      </c>
    </row>
  </sheetData>
  <mergeCells count="1">
    <mergeCell ref="D19:F19"/>
  </mergeCells>
  <hyperlinks>
    <hyperlink ref="J50" r:id="rId1"/>
    <hyperlink ref="F35" r:id="rId2" display="(link)"/>
    <hyperlink ref="D83" r:id="rId3"/>
  </hyperlinks>
  <pageMargins left="0.25" right="0.25" top="0.75" bottom="0.75" header="0.3" footer="0.3"/>
  <pageSetup scale="73" fitToHeight="0"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6081" r:id="rId7" name="cbAutoloadAll">
              <controlPr defaultSize="0" autoFill="0" autoLine="0" autoPict="0">
                <anchor moveWithCells="1">
                  <from>
                    <xdr:col>2</xdr:col>
                    <xdr:colOff>201386</xdr:colOff>
                    <xdr:row>57</xdr:row>
                    <xdr:rowOff>0</xdr:rowOff>
                  </from>
                  <to>
                    <xdr:col>3</xdr:col>
                    <xdr:colOff>1649186</xdr:colOff>
                    <xdr:row>58</xdr:row>
                    <xdr:rowOff>87086</xdr:rowOff>
                  </to>
                </anchor>
              </controlPr>
            </control>
          </mc:Choice>
        </mc:AlternateContent>
        <mc:AlternateContent xmlns:mc="http://schemas.openxmlformats.org/markup-compatibility/2006">
          <mc:Choice Requires="x14">
            <control shapeId="46082" r:id="rId8" name="obtnNeverOverwrite">
              <controlPr defaultSize="0" autoFill="0" autoLine="0" autoPict="0" altText="Never overwrite existing RA text in eJacket">
                <anchor moveWithCells="1">
                  <from>
                    <xdr:col>2</xdr:col>
                    <xdr:colOff>201386</xdr:colOff>
                    <xdr:row>48</xdr:row>
                    <xdr:rowOff>21771</xdr:rowOff>
                  </from>
                  <to>
                    <xdr:col>4</xdr:col>
                    <xdr:colOff>212271</xdr:colOff>
                    <xdr:row>49</xdr:row>
                    <xdr:rowOff>21771</xdr:rowOff>
                  </to>
                </anchor>
              </controlPr>
            </control>
          </mc:Choice>
        </mc:AlternateContent>
        <mc:AlternateContent xmlns:mc="http://schemas.openxmlformats.org/markup-compatibility/2006">
          <mc:Choice Requires="x14">
            <control shapeId="46083" r:id="rId9" name="obtnAskOverwrite">
              <controlPr defaultSize="0" autoFill="0" autoLine="0" autoPict="0">
                <anchor moveWithCells="1">
                  <from>
                    <xdr:col>2</xdr:col>
                    <xdr:colOff>201386</xdr:colOff>
                    <xdr:row>49</xdr:row>
                    <xdr:rowOff>48986</xdr:rowOff>
                  </from>
                  <to>
                    <xdr:col>4</xdr:col>
                    <xdr:colOff>288471</xdr:colOff>
                    <xdr:row>50</xdr:row>
                    <xdr:rowOff>21771</xdr:rowOff>
                  </to>
                </anchor>
              </controlPr>
            </control>
          </mc:Choice>
        </mc:AlternateContent>
        <mc:AlternateContent xmlns:mc="http://schemas.openxmlformats.org/markup-compatibility/2006">
          <mc:Choice Requires="x14">
            <control shapeId="46084" r:id="rId10" name="obtnAlwaysOverwrite">
              <controlPr defaultSize="0" autoFill="0" autoLine="0" autoPict="0" macro="[0]!OptionButton_AreYouSure">
                <anchor moveWithCells="1">
                  <from>
                    <xdr:col>2</xdr:col>
                    <xdr:colOff>201386</xdr:colOff>
                    <xdr:row>50</xdr:row>
                    <xdr:rowOff>27214</xdr:rowOff>
                  </from>
                  <to>
                    <xdr:col>4</xdr:col>
                    <xdr:colOff>136071</xdr:colOff>
                    <xdr:row>51</xdr:row>
                    <xdr:rowOff>48986</xdr:rowOff>
                  </to>
                </anchor>
              </controlPr>
            </control>
          </mc:Choice>
        </mc:AlternateContent>
        <mc:AlternateContent xmlns:mc="http://schemas.openxmlformats.org/markup-compatibility/2006">
          <mc:Choice Requires="x14">
            <control shapeId="46085" r:id="rId11" name="Button 5">
              <controlPr defaultSize="0" autoFill="0" autoPict="0" macro="[0]!Picker_dirRAoutput">
                <anchor moveWithCells="1">
                  <from>
                    <xdr:col>1</xdr:col>
                    <xdr:colOff>266700</xdr:colOff>
                    <xdr:row>64</xdr:row>
                    <xdr:rowOff>163286</xdr:rowOff>
                  </from>
                  <to>
                    <xdr:col>2</xdr:col>
                    <xdr:colOff>332014</xdr:colOff>
                    <xdr:row>66</xdr:row>
                    <xdr:rowOff>10886</xdr:rowOff>
                  </to>
                </anchor>
              </controlPr>
            </control>
          </mc:Choice>
        </mc:AlternateContent>
        <mc:AlternateContent xmlns:mc="http://schemas.openxmlformats.org/markup-compatibility/2006">
          <mc:Choice Requires="x14">
            <control shapeId="46086" r:id="rId12" name="Button 6">
              <controlPr defaultSize="0" autoFill="0" autoPict="0" macro="[0]!Picker_dirRAtemplate">
                <anchor moveWithCells="1">
                  <from>
                    <xdr:col>1</xdr:col>
                    <xdr:colOff>255814</xdr:colOff>
                    <xdr:row>24</xdr:row>
                    <xdr:rowOff>0</xdr:rowOff>
                  </from>
                  <to>
                    <xdr:col>2</xdr:col>
                    <xdr:colOff>332014</xdr:colOff>
                    <xdr:row>25</xdr:row>
                    <xdr:rowOff>10886</xdr:rowOff>
                  </to>
                </anchor>
              </controlPr>
            </control>
          </mc:Choice>
        </mc:AlternateContent>
        <mc:AlternateContent xmlns:mc="http://schemas.openxmlformats.org/markup-compatibility/2006">
          <mc:Choice Requires="x14">
            <control shapeId="46088" r:id="rId13" name="Button 8">
              <controlPr defaultSize="0" autoFill="0" autoPict="0" macro="[0]!Picker_dirRAtemplate">
                <anchor moveWithCells="1">
                  <from>
                    <xdr:col>1</xdr:col>
                    <xdr:colOff>255814</xdr:colOff>
                    <xdr:row>17</xdr:row>
                    <xdr:rowOff>190500</xdr:rowOff>
                  </from>
                  <to>
                    <xdr:col>2</xdr:col>
                    <xdr:colOff>332014</xdr:colOff>
                    <xdr:row>19</xdr:row>
                    <xdr:rowOff>0</xdr:rowOff>
                  </to>
                </anchor>
              </controlPr>
            </control>
          </mc:Choice>
        </mc:AlternateContent>
        <mc:AlternateContent xmlns:mc="http://schemas.openxmlformats.org/markup-compatibility/2006">
          <mc:Choice Requires="x14">
            <control shapeId="46091" r:id="rId14" name="Button 11">
              <controlPr defaultSize="0" autoFill="0" autoPict="0" macro="[0]!testPermissions">
                <anchor moveWithCells="1">
                  <from>
                    <xdr:col>1</xdr:col>
                    <xdr:colOff>250371</xdr:colOff>
                    <xdr:row>10</xdr:row>
                    <xdr:rowOff>21771</xdr:rowOff>
                  </from>
                  <to>
                    <xdr:col>2</xdr:col>
                    <xdr:colOff>332014</xdr:colOff>
                    <xdr:row>11</xdr:row>
                    <xdr:rowOff>10886</xdr:rowOff>
                  </to>
                </anchor>
              </controlPr>
            </control>
          </mc:Choice>
        </mc:AlternateContent>
        <mc:AlternateContent xmlns:mc="http://schemas.openxmlformats.org/markup-compatibility/2006">
          <mc:Choice Requires="x14">
            <control shapeId="46093" r:id="rId15" name="Button 13">
              <controlPr defaultSize="0" autoFill="0" autoPict="0" macro="[0]!List_Templates">
                <anchor moveWithCells="1">
                  <from>
                    <xdr:col>1</xdr:col>
                    <xdr:colOff>255814</xdr:colOff>
                    <xdr:row>28</xdr:row>
                    <xdr:rowOff>179614</xdr:rowOff>
                  </from>
                  <to>
                    <xdr:col>2</xdr:col>
                    <xdr:colOff>332014</xdr:colOff>
                    <xdr:row>30</xdr:row>
                    <xdr:rowOff>10886</xdr:rowOff>
                  </to>
                </anchor>
              </controlPr>
            </control>
          </mc:Choice>
        </mc:AlternateContent>
        <mc:AlternateContent xmlns:mc="http://schemas.openxmlformats.org/markup-compatibility/2006">
          <mc:Choice Requires="x14">
            <control shapeId="46094" r:id="rId16" name="Button 14">
              <controlPr defaultSize="0" print="0" autoFill="0" autoPict="0" macro="[0]!copyLocationAndClose">
                <anchor moveWithCells="1" sizeWithCells="1">
                  <from>
                    <xdr:col>1</xdr:col>
                    <xdr:colOff>179614</xdr:colOff>
                    <xdr:row>88</xdr:row>
                    <xdr:rowOff>21771</xdr:rowOff>
                  </from>
                  <to>
                    <xdr:col>4</xdr:col>
                    <xdr:colOff>179614</xdr:colOff>
                    <xdr:row>89</xdr:row>
                    <xdr:rowOff>0</xdr:rowOff>
                  </to>
                </anchor>
              </controlPr>
            </control>
          </mc:Choice>
        </mc:AlternateContent>
        <mc:AlternateContent xmlns:mc="http://schemas.openxmlformats.org/markup-compatibility/2006">
          <mc:Choice Requires="x14">
            <control shapeId="46090" r:id="rId17" name="Button 10">
              <controlPr defaultSize="0" autoFill="0" autoPict="0" macro="[0]!Picker_dirRoboRA">
                <anchor moveWithCells="1">
                  <from>
                    <xdr:col>1</xdr:col>
                    <xdr:colOff>266700</xdr:colOff>
                    <xdr:row>35</xdr:row>
                    <xdr:rowOff>179614</xdr:rowOff>
                  </from>
                  <to>
                    <xdr:col>3</xdr:col>
                    <xdr:colOff>0</xdr:colOff>
                    <xdr:row>37</xdr:row>
                    <xdr:rowOff>10886</xdr:rowOff>
                  </to>
                </anchor>
              </controlPr>
            </control>
          </mc:Choice>
        </mc:AlternateContent>
      </controls>
    </mc:Choice>
  </mc:AlternateContent>
  <tableParts count="3">
    <tablePart r:id="rId18"/>
    <tablePart r:id="rId19"/>
    <tablePart r:id="rId2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3"/>
  <sheetViews>
    <sheetView tabSelected="1" zoomScale="80" zoomScaleNormal="80" workbookViewId="0">
      <selection activeCell="C1" sqref="C1"/>
    </sheetView>
  </sheetViews>
  <sheetFormatPr defaultColWidth="9.3046875" defaultRowHeight="14.6" x14ac:dyDescent="0.4"/>
  <cols>
    <col min="1" max="1" width="16.69140625" style="58" customWidth="1"/>
    <col min="2" max="2" width="16.53515625" style="58" customWidth="1"/>
    <col min="3" max="3" width="98.53515625" style="77" customWidth="1"/>
    <col min="4" max="4" width="13.07421875" style="56" customWidth="1"/>
    <col min="5" max="5" width="12" style="56" customWidth="1"/>
    <col min="6" max="16384" width="9.3046875" style="56"/>
  </cols>
  <sheetData>
    <row r="1" spans="1:5" x14ac:dyDescent="0.4">
      <c r="A1" s="58" t="s">
        <v>215</v>
      </c>
    </row>
    <row r="2" spans="1:5" x14ac:dyDescent="0.4">
      <c r="A2" s="59" t="s">
        <v>216</v>
      </c>
      <c r="B2" s="60" t="s">
        <v>533</v>
      </c>
    </row>
    <row r="3" spans="1:5" x14ac:dyDescent="0.4">
      <c r="A3" s="59" t="s">
        <v>217</v>
      </c>
      <c r="B3" s="61"/>
    </row>
    <row r="4" spans="1:5" x14ac:dyDescent="0.4">
      <c r="A4" s="58" t="s">
        <v>218</v>
      </c>
      <c r="B4" s="60" t="s">
        <v>219</v>
      </c>
    </row>
    <row r="5" spans="1:5" x14ac:dyDescent="0.4">
      <c r="A5" s="58" t="s">
        <v>220</v>
      </c>
      <c r="B5" s="60" t="s">
        <v>221</v>
      </c>
    </row>
    <row r="6" spans="1:5" ht="18.45" x14ac:dyDescent="0.5">
      <c r="A6" s="58" t="s">
        <v>372</v>
      </c>
      <c r="B6" s="6" t="s">
        <v>373</v>
      </c>
      <c r="D6" s="123" t="s">
        <v>353</v>
      </c>
      <c r="E6" s="126">
        <v>2</v>
      </c>
    </row>
    <row r="7" spans="1:5" ht="18.45" x14ac:dyDescent="0.5">
      <c r="B7"/>
      <c r="D7" s="123" t="s">
        <v>374</v>
      </c>
      <c r="E7" s="124" t="s">
        <v>356</v>
      </c>
    </row>
    <row r="8" spans="1:5" ht="18.45" x14ac:dyDescent="0.5">
      <c r="A8" s="62" t="s">
        <v>203</v>
      </c>
      <c r="B8" s="63" t="s">
        <v>204</v>
      </c>
      <c r="D8" s="123" t="s">
        <v>358</v>
      </c>
      <c r="E8" s="125" t="s">
        <v>354</v>
      </c>
    </row>
    <row r="9" spans="1:5" ht="18.45" x14ac:dyDescent="0.5">
      <c r="A9" s="64" t="s">
        <v>208</v>
      </c>
      <c r="B9" s="65"/>
      <c r="D9" s="123" t="s">
        <v>359</v>
      </c>
      <c r="E9" s="125" t="s">
        <v>355</v>
      </c>
    </row>
    <row r="10" spans="1:5" ht="18.45" x14ac:dyDescent="0.5">
      <c r="A10" s="64" t="s">
        <v>193</v>
      </c>
      <c r="B10" s="65"/>
      <c r="D10" s="123" t="s">
        <v>360</v>
      </c>
      <c r="E10" s="125" t="s">
        <v>357</v>
      </c>
    </row>
    <row r="11" spans="1:5" ht="18.45" x14ac:dyDescent="0.5">
      <c r="A11" s="64" t="s">
        <v>207</v>
      </c>
      <c r="B11" s="65"/>
      <c r="D11" s="123" t="s">
        <v>361</v>
      </c>
      <c r="E11" s="125" t="s">
        <v>352</v>
      </c>
    </row>
    <row r="12" spans="1:5" x14ac:dyDescent="0.4">
      <c r="A12" s="64" t="s">
        <v>206</v>
      </c>
      <c r="B12" s="65"/>
    </row>
    <row r="13" spans="1:5" x14ac:dyDescent="0.4">
      <c r="A13" s="64" t="s">
        <v>205</v>
      </c>
      <c r="B13" s="65"/>
    </row>
    <row r="14" spans="1:5" x14ac:dyDescent="0.4">
      <c r="A14" s="64" t="s">
        <v>209</v>
      </c>
      <c r="B14" s="65"/>
    </row>
    <row r="15" spans="1:5" x14ac:dyDescent="0.4">
      <c r="A15" s="64" t="s">
        <v>210</v>
      </c>
      <c r="B15" s="65"/>
      <c r="D15" s="82" t="s">
        <v>312</v>
      </c>
      <c r="E15" t="s">
        <v>342</v>
      </c>
    </row>
    <row r="16" spans="1:5" x14ac:dyDescent="0.4">
      <c r="A16" s="64" t="s">
        <v>197</v>
      </c>
      <c r="B16" s="65"/>
      <c r="D16" s="24" t="s">
        <v>378</v>
      </c>
      <c r="E16" s="20"/>
    </row>
    <row r="17" spans="1:5" x14ac:dyDescent="0.4">
      <c r="A17" s="64" t="s">
        <v>200</v>
      </c>
      <c r="B17" s="65"/>
      <c r="D17" s="24" t="s">
        <v>310</v>
      </c>
      <c r="E17" s="20"/>
    </row>
    <row r="18" spans="1:5" x14ac:dyDescent="0.4">
      <c r="A18" s="66" t="s">
        <v>202</v>
      </c>
      <c r="B18" s="67"/>
      <c r="D18"/>
      <c r="E18"/>
    </row>
    <row r="19" spans="1:5" x14ac:dyDescent="0.4">
      <c r="D19"/>
      <c r="E19"/>
    </row>
    <row r="20" spans="1:5" x14ac:dyDescent="0.4">
      <c r="D20"/>
      <c r="E20"/>
    </row>
    <row r="21" spans="1:5" x14ac:dyDescent="0.4">
      <c r="D21"/>
      <c r="E21"/>
    </row>
    <row r="22" spans="1:5" ht="22.75" customHeight="1" x14ac:dyDescent="0.4">
      <c r="A22" s="68" t="s">
        <v>167</v>
      </c>
      <c r="B22" s="69" t="s">
        <v>222</v>
      </c>
      <c r="C22" s="78" t="s">
        <v>223</v>
      </c>
      <c r="D22"/>
      <c r="E22"/>
    </row>
    <row r="23" spans="1:5" ht="24" customHeight="1" x14ac:dyDescent="0.4">
      <c r="A23" s="58" t="s">
        <v>489</v>
      </c>
      <c r="B23" s="70">
        <v>43102.35601851852</v>
      </c>
      <c r="C23" s="79" t="s">
        <v>490</v>
      </c>
      <c r="D23"/>
      <c r="E23"/>
    </row>
    <row r="24" spans="1:5" ht="24" customHeight="1" x14ac:dyDescent="0.4">
      <c r="A24" s="58" t="s">
        <v>491</v>
      </c>
      <c r="B24" s="70">
        <v>43102.35601851852</v>
      </c>
      <c r="C24" s="79" t="s">
        <v>525</v>
      </c>
    </row>
    <row r="25" spans="1:5" ht="24" customHeight="1" x14ac:dyDescent="0.4">
      <c r="A25" s="58" t="s">
        <v>225</v>
      </c>
      <c r="B25" s="70">
        <v>43102.35601851852</v>
      </c>
      <c r="C25" s="79" t="s">
        <v>492</v>
      </c>
    </row>
    <row r="26" spans="1:5" ht="24" customHeight="1" x14ac:dyDescent="0.4">
      <c r="A26" s="58" t="s">
        <v>350</v>
      </c>
      <c r="B26" s="70">
        <v>43102.35601851852</v>
      </c>
      <c r="C26" s="79" t="s">
        <v>405</v>
      </c>
    </row>
    <row r="27" spans="1:5" ht="24" customHeight="1" x14ac:dyDescent="0.4">
      <c r="A27" s="58" t="s">
        <v>382</v>
      </c>
      <c r="B27" s="70">
        <v>43102.35601851852</v>
      </c>
      <c r="C27" s="79" t="s">
        <v>383</v>
      </c>
    </row>
    <row r="28" spans="1:5" ht="24" customHeight="1" x14ac:dyDescent="0.4">
      <c r="A28" s="58" t="s">
        <v>226</v>
      </c>
      <c r="B28" s="70">
        <v>43102.35601851852</v>
      </c>
      <c r="C28" s="79" t="s">
        <v>406</v>
      </c>
    </row>
    <row r="29" spans="1:5" ht="24" customHeight="1" x14ac:dyDescent="0.4">
      <c r="A29" s="58" t="s">
        <v>452</v>
      </c>
      <c r="B29" s="70">
        <v>43102.35601851852</v>
      </c>
      <c r="C29" s="79" t="s">
        <v>453</v>
      </c>
    </row>
    <row r="30" spans="1:5" ht="24" customHeight="1" x14ac:dyDescent="0.4">
      <c r="A30" s="58" t="s">
        <v>227</v>
      </c>
      <c r="B30" s="70">
        <v>43102.35601851852</v>
      </c>
      <c r="C30" s="79" t="s">
        <v>454</v>
      </c>
    </row>
    <row r="31" spans="1:5" ht="24" customHeight="1" x14ac:dyDescent="0.4">
      <c r="A31" s="58" t="s">
        <v>228</v>
      </c>
      <c r="B31" s="70">
        <v>43102.35601851852</v>
      </c>
      <c r="C31" s="79" t="s">
        <v>407</v>
      </c>
    </row>
    <row r="32" spans="1:5" ht="24" customHeight="1" x14ac:dyDescent="0.4">
      <c r="A32" s="58" t="s">
        <v>384</v>
      </c>
      <c r="B32" s="70">
        <v>43102.35601851852</v>
      </c>
      <c r="C32" s="79" t="s">
        <v>385</v>
      </c>
    </row>
    <row r="33" spans="1:3" ht="24" customHeight="1" x14ac:dyDescent="0.4">
      <c r="A33" s="58" t="s">
        <v>229</v>
      </c>
      <c r="B33" s="70">
        <v>43102.35601851852</v>
      </c>
      <c r="C33" s="79" t="s">
        <v>386</v>
      </c>
    </row>
    <row r="34" spans="1:3" ht="24" customHeight="1" x14ac:dyDescent="0.4">
      <c r="A34" s="58" t="s">
        <v>230</v>
      </c>
      <c r="B34" s="70">
        <v>43102.35601851852</v>
      </c>
      <c r="C34" s="79" t="s">
        <v>528</v>
      </c>
    </row>
    <row r="35" spans="1:3" ht="24" customHeight="1" x14ac:dyDescent="0.4">
      <c r="A35" s="58" t="s">
        <v>387</v>
      </c>
      <c r="B35" s="70">
        <v>43102.35601851852</v>
      </c>
      <c r="C35" s="79" t="s">
        <v>529</v>
      </c>
    </row>
    <row r="36" spans="1:3" ht="24" customHeight="1" x14ac:dyDescent="0.4">
      <c r="A36" s="58" t="s">
        <v>224</v>
      </c>
      <c r="B36" s="70">
        <v>43102.35601851852</v>
      </c>
      <c r="C36" s="79" t="s">
        <v>275</v>
      </c>
    </row>
    <row r="37" spans="1:3" ht="24" customHeight="1" x14ac:dyDescent="0.4">
      <c r="A37" s="58" t="s">
        <v>231</v>
      </c>
      <c r="B37" s="70">
        <v>43102.35601851852</v>
      </c>
      <c r="C37" s="79" t="s">
        <v>408</v>
      </c>
    </row>
    <row r="38" spans="1:3" ht="24" customHeight="1" x14ac:dyDescent="0.4">
      <c r="A38" s="58" t="s">
        <v>409</v>
      </c>
      <c r="B38" s="70">
        <v>43102.35601851852</v>
      </c>
      <c r="C38" s="79" t="s">
        <v>410</v>
      </c>
    </row>
    <row r="39" spans="1:3" ht="24" customHeight="1" x14ac:dyDescent="0.4">
      <c r="A39" s="58" t="s">
        <v>233</v>
      </c>
      <c r="B39" s="70">
        <v>43102.35601851852</v>
      </c>
      <c r="C39" s="79" t="s">
        <v>484</v>
      </c>
    </row>
    <row r="40" spans="1:3" ht="24" customHeight="1" x14ac:dyDescent="0.4">
      <c r="A40" s="58" t="s">
        <v>272</v>
      </c>
      <c r="B40" s="70">
        <v>43102.35601851852</v>
      </c>
      <c r="C40" s="79" t="s">
        <v>370</v>
      </c>
    </row>
    <row r="41" spans="1:3" ht="24" customHeight="1" x14ac:dyDescent="0.4">
      <c r="A41" s="58" t="s">
        <v>273</v>
      </c>
      <c r="B41" s="70">
        <v>43102.35601851852</v>
      </c>
      <c r="C41" s="79" t="s">
        <v>411</v>
      </c>
    </row>
    <row r="42" spans="1:3" ht="24" customHeight="1" x14ac:dyDescent="0.4">
      <c r="A42" s="58" t="s">
        <v>232</v>
      </c>
      <c r="B42" s="70">
        <v>43102.35601851852</v>
      </c>
      <c r="C42" s="79" t="s">
        <v>455</v>
      </c>
    </row>
    <row r="43" spans="1:3" ht="24" customHeight="1" x14ac:dyDescent="0.4">
      <c r="A43" s="58" t="s">
        <v>274</v>
      </c>
      <c r="B43" s="70">
        <v>43102.35601851852</v>
      </c>
      <c r="C43" s="79" t="s">
        <v>456</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1C22011AE94304C93A0CE7507DD2FF2" ma:contentTypeVersion="0" ma:contentTypeDescription="Create a new document." ma:contentTypeScope="" ma:versionID="12353f9912a80d346bb55c058c1c9f4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DB11A6-7F28-4369-9B55-3636E52D10EF}">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4CEDD443-A23C-4E5F-84A4-7DFC58FF1F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61</vt:i4>
      </vt:variant>
    </vt:vector>
  </HeadingPairs>
  <TitlesOfParts>
    <vt:vector size="73" baseType="lpstr">
      <vt:lpstr>RoboRA</vt:lpstr>
      <vt:lpstr>ckCoding</vt:lpstr>
      <vt:lpstr>ckAwd</vt:lpstr>
      <vt:lpstr>Budgets</vt:lpstr>
      <vt:lpstr>RAData</vt:lpstr>
      <vt:lpstr>Advanced</vt:lpstr>
      <vt:lpstr>Conflict</vt:lpstr>
      <vt:lpstr>PRCs</vt:lpstr>
      <vt:lpstr>ckSplits</vt:lpstr>
      <vt:lpstr>ProjText</vt:lpstr>
      <vt:lpstr>Prefs</vt:lpstr>
      <vt:lpstr>HiddenSettings</vt:lpstr>
      <vt:lpstr>AwdTemplate</vt:lpstr>
      <vt:lpstr>codes_prop_stts</vt:lpstr>
      <vt:lpstr>DeclTemplate</vt:lpstr>
      <vt:lpstr>delaytime</vt:lpstr>
      <vt:lpstr>dir_div_abbr</vt:lpstr>
      <vt:lpstr>dirRAoutput</vt:lpstr>
      <vt:lpstr>dirRAoutput2</vt:lpstr>
      <vt:lpstr>dirRAoutput3</vt:lpstr>
      <vt:lpstr>dirRAtemplate</vt:lpstr>
      <vt:lpstr>dirRoboRA</vt:lpstr>
      <vt:lpstr>dirSharedRAtemplate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vt:lpstr>
      <vt:lpstr>HiddenSettings!RA_budgBlocks</vt:lpstr>
      <vt:lpstr>HiddenSettings!RA_ckConfRevrInst</vt:lpstr>
      <vt:lpstr>HiddenSettings!RA_confl</vt:lpstr>
      <vt:lpstr>HiddenSettings!RA_leads</vt:lpstr>
      <vt:lpstr>HiddenSettings!RA_no_PRC</vt:lpstr>
      <vt:lpstr>HiddenSettings!RA_panl</vt:lpstr>
      <vt:lpstr>HiddenSettings!RA_PECglossary</vt:lpstr>
      <vt:lpstr>HiddenSettings!RA_pidRAt</vt:lpstr>
      <vt:lpstr>HiddenSettings!RA_pidRAtSelect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test_table_permissions</vt:lpstr>
      <vt:lpstr>to_date</vt:lpstr>
      <vt:lpstr>HiddenSettings!user_id</vt:lpstr>
      <vt:lpstr>WelcomeMac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2017-12-27T22:31:42Z</cp:lastPrinted>
  <dcterms:created xsi:type="dcterms:W3CDTF">2015-12-15T02:29:55Z</dcterms:created>
  <dcterms:modified xsi:type="dcterms:W3CDTF">2018-01-08T18:01:30Z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0x01010041C22011AE94304C93A0CE7507DD2FF2</vt:lpwstr>
  </property>
</Properties>
</file>