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Automation\"/>
    </mc:Choice>
  </mc:AlternateContent>
  <bookViews>
    <workbookView xWindow="0" yWindow="0" windowWidth="15883" windowHeight="18600"/>
  </bookViews>
  <sheets>
    <sheet name="AutoCode" sheetId="1" r:id="rId1"/>
    <sheet name="Credentials" sheetId="4" r:id="rId2"/>
  </sheets>
  <definedNames>
    <definedName name="apply2Collabs">AutoCode!$E$15</definedName>
    <definedName name="assignCtxIndividually">AutoCode!$E$17</definedName>
    <definedName name="basicRsrch">AutoCode!$E$16</definedName>
    <definedName name="context_id">AutoCode!$E$14</definedName>
    <definedName name="delayTime">AutoCode!$L$14</definedName>
    <definedName name="Query_from_RPTSERVER" localSheetId="0" hidden="1">AutoCode!$J$18:$V$19</definedName>
    <definedName name="rpt_pwd">Credentials!$D$2</definedName>
    <definedName name="user_id">Credentials!$B$2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C19" i="1" l="1"/>
  <c r="A19" i="1"/>
</calcChain>
</file>

<file path=xl/connections.xml><?xml version="1.0" encoding="utf-8"?>
<connections xmlns="http://schemas.openxmlformats.org/spreadsheetml/2006/main">
  <connection id="1" name="PRCQuery" type="1" refreshedVersion="6" background="1" saveData="1">
    <dbPr connection="dsn=RPTSERVER;database=rptdb;server=RPTSQL.nsf.gov;port=5000;UID=CCFuser;" command="SET NOCOUNT ON_x000a_SELECT prop.prop_id INTO #myProps FROM csd.prop prop WHERE _x000a_(prop.prop_id  = '1234567' OR prop.lead_prop_id  = '1234567')_x000a_SELECT DISTINCT prop.prop_id, pa.prop_atr_code, id=identity(18), 0 as 'seq' INTO #myPRCs_x000a_FROM #myProps prop, csd.prop_atr pa WHERE pa.prop_id = prop.prop_id  AND pa.prop_atr_type_code = 'PRC'_x000a_ORDER BY prop.prop_id, pa.prop_atr_code_x000a_SELECT prop_id, MIN(id) as 'start' INTO #myStarts FROM #myPRCs GROUP BY prop_id_x000a_UPDATE #myPRCs set seq = id-M.start FROM #myPRCs r, #myStarts M WHERE r.prop_id = M.prop_id_x000a_SELECT prop.prop_id, prop.cntx_stmt_id, prop.bas_rsch_pct, prop_stts.prop_stts_abbr, prop.pm_ibm_logn_id, pi_vw.pi_last_name, pi_vw.pi_frst_name, inst.inst_name,_x000a_prop.org_code, CASE WHEN prop.org_code&lt;&gt;prop.orig_org_code THEN prop.orig_org_code END AS orig_org,_x000a_prop.pgm_ele_code, CASE WHEN prop.pgm_ele_code &lt;&gt; prop.orig_pgm_ele_code THEN prop.orig_pgm_ele_code END AS orig_PEC, _x000a_(SELECT MAX( CASE pa.seq WHEN 0 THEN pa.prop_atr_code ELSE '' END ) + ' ' +_x000a_        MAX( CASE pa.seq WHEN 1 THEN pa.prop_atr_code ELSE '' END ) + ' ' +_x000a_        MAX( CASE pa.seq WHEN 2 THEN pa.prop_atr_code ELSE '' END ) + ' ' +_x000a_        MAX( CASE pa.seq WHEN 3 THEN pa.prop_atr_code ELSE '' END ) + ' ' +_x000a_        MAX( CASE pa.seq WHEN 4 THEN pa.prop_atr_code ELSE '' END ) + ' ' +_x000a_        MAX( CASE pa.seq WHEN 5 THEN pa.prop_atr_code ELSE '' END ) + ' ' +_x000a_        MAX( CASE pa.seq WHEN 6 THEN pa.prop_atr_code ELSE '' END ) FROM #myPRCs pa WHERE p.prop_id = pa.prop_id) AS PRCs_x000a_FROM #myProps p, csd.inst inst, csd.pi_vw pi_vw, csd.prop prop, csd.prop_stts prop_stts_x000a_WHERE prop.pi_id = pi_vw.pi_id AND prop.inst_id = inst.inst_id AND p.prop_id = prop.prop_id AND prop.prop_stts_code = prop_stts.prop_stts_code_x000a_DROP TABLE #myStarts DROP TABLE #myPRCs DROP TABLE #myProps_x000a_"/>
  </connection>
</connections>
</file>

<file path=xl/sharedStrings.xml><?xml version="1.0" encoding="utf-8"?>
<sst xmlns="http://schemas.openxmlformats.org/spreadsheetml/2006/main" count="61" uniqueCount="59">
  <si>
    <t>prop_id</t>
  </si>
  <si>
    <t>prc1</t>
  </si>
  <si>
    <t>prc2</t>
  </si>
  <si>
    <t>prc3</t>
  </si>
  <si>
    <t>Apply to collabs?</t>
  </si>
  <si>
    <t>Y</t>
  </si>
  <si>
    <t>context_stmt_id</t>
  </si>
  <si>
    <t>cntx_stmt_id</t>
  </si>
  <si>
    <t>pi_last_name</t>
  </si>
  <si>
    <t>pi_frst_name</t>
  </si>
  <si>
    <t>inst_name</t>
  </si>
  <si>
    <t>PRCs</t>
  </si>
  <si>
    <t>bas_rsch_pct</t>
  </si>
  <si>
    <t>pm_ibm_logn_id</t>
  </si>
  <si>
    <t xml:space="preserve">Put your RPTserver user id here; you can also put the password, but this is not completely secure. </t>
  </si>
  <si>
    <t>Rptserver user:</t>
  </si>
  <si>
    <t>Password:</t>
  </si>
  <si>
    <t>prop_stts_abbr</t>
  </si>
  <si>
    <t>org_code</t>
  </si>
  <si>
    <t>orig_org</t>
  </si>
  <si>
    <t>pgm_ele_code</t>
  </si>
  <si>
    <t>orig_PEC</t>
  </si>
  <si>
    <t>sort to match blue table</t>
  </si>
  <si>
    <t>retrieved info; check for missing</t>
  </si>
  <si>
    <t>line</t>
  </si>
  <si>
    <t xml:space="preserve"> -Needs a rptserver userid and password; see your office admin.  You can save on Credentials tab to avoid being asked each time. </t>
  </si>
  <si>
    <t># -&gt;xfers</t>
  </si>
  <si>
    <t>#-&gt;recodes</t>
  </si>
  <si>
    <t>delay:</t>
  </si>
  <si>
    <t>Set basic rsrch 100%?</t>
  </si>
  <si>
    <t xml:space="preserve"> -Leave fields blank to skip that assignment. Indicate Y/N for whether you want to apply to collabs and/or set basic research %.</t>
  </si>
  <si>
    <r>
      <t>Use</t>
    </r>
    <r>
      <rPr>
        <b/>
        <u/>
        <sz val="10"/>
        <color theme="1"/>
        <rFont val="Calibri"/>
        <family val="2"/>
        <scheme val="minor"/>
      </rPr>
      <t xml:space="preserve"> Only AssociateCtx</t>
    </r>
    <r>
      <rPr>
        <sz val="10"/>
        <color theme="1"/>
        <rFont val="Calibri"/>
        <family val="2"/>
        <scheme val="minor"/>
      </rPr>
      <t xml:space="preserve"> to associate many proposals to the same context statement id.  But you MUST LIST ALL COLLABS. </t>
    </r>
  </si>
  <si>
    <t xml:space="preserve"> -Click here to visit eJacket Group Documents if you need to look up a context statement id. </t>
  </si>
  <si>
    <t xml:space="preserve"> -is prop already withdrawn? transfer not complete? Or maybe Autocode was too fast for eJ -- increase delay, esp. if using citrix.</t>
  </si>
  <si>
    <r>
      <rPr>
        <b/>
        <u/>
        <sz val="10"/>
        <color theme="1"/>
        <rFont val="Calibri"/>
        <family val="2"/>
        <scheme val="minor"/>
      </rPr>
      <t>Autocode:</t>
    </r>
    <r>
      <rPr>
        <sz val="10"/>
        <color theme="1"/>
        <rFont val="Calibri"/>
        <family val="2"/>
        <scheme val="minor"/>
      </rPr>
      <t xml:space="preserve"> Visits elacket in IE for each prop_id in the blue table and sets context statement, basic research %, and assigns any listed PRCs.  </t>
    </r>
  </si>
  <si>
    <r>
      <rPr>
        <sz val="10"/>
        <color rgb="FFFF0000"/>
        <rFont val="Calibri"/>
        <family val="2"/>
        <scheme val="minor"/>
      </rPr>
      <t>WARNING:</t>
    </r>
    <r>
      <rPr>
        <sz val="10"/>
        <color theme="1"/>
        <rFont val="Calibri"/>
        <family val="2"/>
        <scheme val="minor"/>
      </rPr>
      <t xml:space="preserve">  this helps avoid the occasional coding mistake by giving you the power to make MANY mistakes quickly.  Use with CAUTION. </t>
    </r>
  </si>
  <si>
    <r>
      <t xml:space="preserve"> -Sort both tables by prop_id to help see what is not done. Blue col A indicates missing Rsrch</t>
    </r>
    <r>
      <rPr>
        <b/>
        <i/>
        <sz val="10"/>
        <color theme="1"/>
        <rFont val="Calibri"/>
        <family val="2"/>
        <scheme val="minor"/>
      </rPr>
      <t>%</t>
    </r>
    <r>
      <rPr>
        <sz val="10"/>
        <color theme="1"/>
        <rFont val="Calibri"/>
        <family val="2"/>
        <scheme val="minor"/>
      </rPr>
      <t xml:space="preserve">, </t>
    </r>
    <r>
      <rPr>
        <b/>
        <u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txt, or </t>
    </r>
    <r>
      <rPr>
        <b/>
        <u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>rcs. Sort, delete good ones, &amp; retry.</t>
    </r>
  </si>
  <si>
    <t>Questions to Jack Snoeyink</t>
  </si>
  <si>
    <t>eJ</t>
  </si>
  <si>
    <t>miss</t>
  </si>
  <si>
    <t>N</t>
  </si>
  <si>
    <t>Assign ctxt from blue tbl?</t>
  </si>
  <si>
    <r>
      <t xml:space="preserve"> -Can "Assign ctxt from blue tbl" by marking Y: </t>
    </r>
    <r>
      <rPr>
        <b/>
        <u/>
        <sz val="10"/>
        <color theme="1"/>
        <rFont val="Calibri"/>
        <family val="2"/>
        <scheme val="minor"/>
      </rPr>
      <t xml:space="preserve">Autocode </t>
    </r>
    <r>
      <rPr>
        <sz val="10"/>
        <color theme="1"/>
        <rFont val="Calibri"/>
        <family val="2"/>
        <scheme val="minor"/>
      </rPr>
      <t xml:space="preserve">handles collabs automatically, but eJ generates emails to the managing PDs. </t>
    </r>
  </si>
  <si>
    <t xml:space="preserve"> -Leave "Assign ctxt from blue tbl" as N.  Enter the context statement id in E14.  AssociateCtx is faster, and doesn't email for each project. </t>
  </si>
  <si>
    <r>
      <rPr>
        <b/>
        <u/>
        <sz val="10"/>
        <color theme="1"/>
        <rFont val="Calibri"/>
        <family val="2"/>
        <scheme val="minor"/>
      </rPr>
      <t>Check Coding</t>
    </r>
    <r>
      <rPr>
        <sz val="10"/>
        <color theme="1"/>
        <rFont val="Calibri"/>
        <family val="2"/>
        <scheme val="minor"/>
      </rPr>
      <t xml:space="preserve"> before to retrieve the gray table with jacket status.   Queries automatically after coding/associating.  Sort both tables to find missing</t>
    </r>
  </si>
  <si>
    <t>CCFuser</t>
  </si>
  <si>
    <t xml:space="preserve">Cancel and update the password above. </t>
  </si>
  <si>
    <t xml:space="preserve">If you see this Microsoft dialog asking you about the Data Source then the password needs to be updated.  </t>
  </si>
  <si>
    <t>FY17AitF</t>
  </si>
  <si>
    <t>Christopher</t>
  </si>
  <si>
    <t>DECL</t>
  </si>
  <si>
    <t>1234567</t>
  </si>
  <si>
    <t>Unsol FY12</t>
  </si>
  <si>
    <t>MTONEY</t>
  </si>
  <si>
    <t>Williams</t>
  </si>
  <si>
    <t>Virginia Polytechnic Institute and State University</t>
  </si>
  <si>
    <t>07030000</t>
  </si>
  <si>
    <t>1467</t>
  </si>
  <si>
    <t xml:space="preserve">024E 083E 085e 8025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</si>
</sst>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4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4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2" xfId="0" applyFont="1" applyFill="1" applyBorder="1"/>
    <xf numFmtId="0" fontId="4" fillId="0" borderId="0" xfId="3" applyProtection="1"/>
    <xf numFmtId="0" fontId="9" fillId="0" borderId="0" xfId="0" applyFont="1"/>
    <xf numFmtId="0" fontId="10" fillId="0" borderId="0" xfId="0" applyFont="1"/>
    <xf numFmtId="49" fontId="0" fillId="0" borderId="0" xfId="0" applyNumberFormat="1"/>
    <xf numFmtId="49" fontId="10" fillId="0" borderId="0" xfId="0" applyNumberFormat="1" applyFont="1"/>
    <xf numFmtId="0" fontId="0" fillId="0" borderId="0" xfId="0"/>
    <xf numFmtId="0" fontId="2" fillId="0" borderId="0" xfId="0" applyFont="1" applyAlignment="1">
      <alignment horizontal="right"/>
    </xf>
    <xf numFmtId="0" fontId="4" fillId="0" borderId="1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13" fillId="0" borderId="0" xfId="0" applyFont="1" applyFill="1" applyBorder="1"/>
    <xf numFmtId="0" fontId="0" fillId="0" borderId="0" xfId="0" applyFill="1" applyBorder="1"/>
    <xf numFmtId="0" fontId="0" fillId="0" borderId="0" xfId="0" applyFill="1"/>
    <xf numFmtId="49" fontId="0" fillId="0" borderId="0" xfId="0" applyNumberFormat="1" applyFill="1"/>
    <xf numFmtId="9" fontId="0" fillId="0" borderId="0" xfId="2" applyFont="1" applyFill="1"/>
    <xf numFmtId="0" fontId="1" fillId="0" borderId="0" xfId="3" applyFont="1" applyProtection="1"/>
    <xf numFmtId="0" fontId="8" fillId="2" borderId="0" xfId="3" applyFont="1" applyFill="1" applyProtection="1">
      <protection locked="0"/>
    </xf>
    <xf numFmtId="164" fontId="8" fillId="2" borderId="0" xfId="3" applyNumberFormat="1" applyFont="1" applyFill="1" applyProtection="1">
      <protection locked="0" hidden="1"/>
    </xf>
    <xf numFmtId="0" fontId="0" fillId="0" borderId="0" xfId="0"/>
    <xf numFmtId="0" fontId="3" fillId="0" borderId="0" xfId="1"/>
    <xf numFmtId="0" fontId="0" fillId="0" borderId="0" xfId="0" applyProtection="1"/>
    <xf numFmtId="0" fontId="0" fillId="0" borderId="3" xfId="0" applyFont="1" applyFill="1" applyBorder="1"/>
    <xf numFmtId="0" fontId="0" fillId="0" borderId="0" xfId="0"/>
    <xf numFmtId="0" fontId="3" fillId="0" borderId="0" xfId="1"/>
    <xf numFmtId="0" fontId="2" fillId="0" borderId="0" xfId="0" applyFont="1" applyAlignment="1">
      <alignment horizontal="right"/>
    </xf>
  </cellXfs>
  <cellStyles count="4">
    <cellStyle name="Hyperlink" xfId="1" builtinId="8"/>
    <cellStyle name="Normal" xfId="0" builtinId="0"/>
    <cellStyle name="Normal 2" xfId="3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00000"/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125186</xdr:colOff>
          <xdr:row>13</xdr:row>
          <xdr:rowOff>21771</xdr:rowOff>
        </xdr:from>
        <xdr:to>
          <xdr:col>9</xdr:col>
          <xdr:colOff>555171</xdr:colOff>
          <xdr:row>13</xdr:row>
          <xdr:rowOff>217714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136071</xdr:colOff>
          <xdr:row>13</xdr:row>
          <xdr:rowOff>0</xdr:rowOff>
        </xdr:from>
        <xdr:to>
          <xdr:col>3</xdr:col>
          <xdr:colOff>103414</xdr:colOff>
          <xdr:row>13</xdr:row>
          <xdr:rowOff>201386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Coding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27214</xdr:rowOff>
        </xdr:from>
        <xdr:to>
          <xdr:col>7</xdr:col>
          <xdr:colOff>353786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&lt;-AssociateCtxt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28575</xdr:rowOff>
    </xdr:from>
    <xdr:to>
      <xdr:col>4</xdr:col>
      <xdr:colOff>247650</xdr:colOff>
      <xdr:row>16</xdr:row>
      <xdr:rowOff>29390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1171575"/>
          <a:ext cx="2324100" cy="190581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23">
    <queryTableFields count="13">
      <queryTableField id="1" name="prop_id" tableColumnId="1"/>
      <queryTableField id="3" name="pi_last_name" tableColumnId="3"/>
      <queryTableField id="10" name="bas_rsch_pct" tableColumnId="10"/>
      <queryTableField id="2" name="cntx_stmt_id" tableColumnId="2"/>
      <queryTableField id="8" name="PRCs" tableColumnId="8"/>
      <queryTableField id="12" name="pm_ibm_logn_id" tableColumnId="11"/>
      <queryTableField id="14" name="prop_stts_abbr" tableColumnId="6"/>
      <queryTableField id="15" name="org_code" tableColumnId="7"/>
      <queryTableField id="16" name="orig_org" tableColumnId="9"/>
      <queryTableField id="17" name="pgm_ele_code" tableColumnId="12"/>
      <queryTableField id="18" name="orig_PEC" tableColumnId="13"/>
      <queryTableField id="4" name="pi_frst_name" tableColumnId="4"/>
      <queryTableField id="5" name="inst_nam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checkPRCs" displayName="checkPRCs" ref="J18:V19" tableType="queryTable" totalsRowShown="0">
  <autoFilter ref="J18:V19"/>
  <sortState ref="J19:V19">
    <sortCondition ref="J12:J27"/>
  </sortState>
  <tableColumns count="13">
    <tableColumn id="1" uniqueName="1" name="prop_id" queryTableFieldId="1" dataDxfId="19"/>
    <tableColumn id="3" uniqueName="3" name="pi_last_name" queryTableFieldId="3" dataDxfId="18"/>
    <tableColumn id="10" uniqueName="10" name="bas_rsch_pct" queryTableFieldId="10" dataDxfId="17" dataCellStyle="Percent"/>
    <tableColumn id="2" uniqueName="2" name="cntx_stmt_id" queryTableFieldId="2" dataDxfId="16"/>
    <tableColumn id="8" uniqueName="8" name="PRCs" queryTableFieldId="8" dataDxfId="15"/>
    <tableColumn id="11" uniqueName="11" name="pm_ibm_logn_id" queryTableFieldId="12" dataDxfId="14"/>
    <tableColumn id="6" uniqueName="6" name="prop_stts_abbr" queryTableFieldId="14" dataDxfId="13"/>
    <tableColumn id="7" uniqueName="7" name="org_code" queryTableFieldId="15" dataDxfId="12"/>
    <tableColumn id="9" uniqueName="9" name="orig_org" queryTableFieldId="16" dataDxfId="11"/>
    <tableColumn id="12" uniqueName="12" name="pgm_ele_code" queryTableFieldId="17" dataDxfId="10"/>
    <tableColumn id="13" uniqueName="13" name="orig_PEC" queryTableFieldId="18" dataDxfId="9"/>
    <tableColumn id="4" uniqueName="4" name="pi_frst_name" queryTableFieldId="4" dataDxfId="8"/>
    <tableColumn id="5" uniqueName="5" name="inst_name" queryTableFieldId="5" dataDxfId="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" name="propTable" displayName="propTable" ref="A18:H19" totalsRowShown="0">
  <autoFilter ref="A18:H19"/>
  <sortState ref="A19:H35">
    <sortCondition ref="D18:D35"/>
  </sortState>
  <tableColumns count="8">
    <tableColumn id="8" name="miss" dataDxfId="6">
      <calculatedColumnFormula>CONCATENATE(IFERROR(IF(INDEX(checkPRCs[bas_rsch_pct],propTable[[#This Row],[line]])=1,"","%"),"?"),IFERROR(IF(OR(ISBLANK(propTable[[#This Row],[context_stmt_id]]),propTable[[#This Row],[context_stmt_id]]=INDEX(checkPRCs[cntx_stmt_id],propTable[[#This Row],[line]])),"","C"),"c"),IFERROR(IF(AND(OR(ISBLANK(propTable[[#This Row],[prc1]]),SEARCH(propTable[[#This Row],[prc1]],INDEX(checkPRCs[PRCs],propTable[[#This Row],[line]]))&gt;0),OR(ISBLANK(propTable[[#This Row],[prc2]]),SEARCH(propTable[[#This Row],[prc2]],INDEX(checkPRCs[PRCs],propTable[[#This Row],[line]]))&gt;0),OR(ISBLANK(propTable[[#This Row],[prc3]]),SEARCH(propTable[[#This Row],[prc3]],INDEX(checkPRCs[PRCs],propTable[[#This Row],[line]]))&gt;0)),"","p"),"P"))</calculatedColumnFormula>
    </tableColumn>
    <tableColumn id="9" name="line" dataDxfId="5">
      <calculatedColumnFormula>MATCH(TEXT(SUBSTITUTE(propTable[[#This Row],[prop_id]],CHAR(160),""),"0000000"),checkPRCs[prop_id],0)</calculatedColumnFormula>
    </tableColumn>
    <tableColumn id="6" name="eJ" dataDxfId="4" dataCellStyle="Hyperlink">
      <calculatedColumnFormula>HYPERLINK(CONCATENATE("https://www.ejacket.nsf.gov/ej/showProposal.do?Continue=Y&amp;ID=",SUBSTITUTE(propTable[[#This Row],[prop_id]],CHAR(160),"")),"eJ")</calculatedColumnFormula>
    </tableColumn>
    <tableColumn id="1" name="prop_id" dataDxfId="3"/>
    <tableColumn id="2" name="context_stmt_id" dataDxfId="2"/>
    <tableColumn id="3" name="prc1" dataDxfId="1"/>
    <tableColumn id="4" name="prc2" dataDxfId="0"/>
    <tableColumn id="5" name="prc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jacket.nsf.gov/ej/searchContextStatements.do?dispatch=sho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4"/>
  <sheetViews>
    <sheetView tabSelected="1" workbookViewId="0">
      <selection activeCell="E19" sqref="E19"/>
    </sheetView>
  </sheetViews>
  <sheetFormatPr defaultRowHeight="12.9" x14ac:dyDescent="0.35"/>
  <cols>
    <col min="1" max="1" width="4.75" customWidth="1"/>
    <col min="2" max="2" width="13.25" customWidth="1"/>
    <col min="3" max="3" width="2.83203125" style="23" customWidth="1"/>
    <col min="4" max="4" width="9" customWidth="1"/>
    <col min="5" max="5" width="9.58203125" customWidth="1"/>
    <col min="6" max="6" width="14.58203125" customWidth="1"/>
    <col min="7" max="8" width="5.25" customWidth="1"/>
    <col min="9" max="9" width="4.75" customWidth="1"/>
    <col min="10" max="10" width="8.58203125" style="7" customWidth="1"/>
    <col min="11" max="11" width="11.25" customWidth="1"/>
    <col min="12" max="12" width="6.58203125" customWidth="1"/>
    <col min="13" max="13" width="10.58203125" customWidth="1"/>
    <col min="14" max="14" width="20.25" customWidth="1"/>
    <col min="15" max="18" width="8.58203125" customWidth="1"/>
    <col min="19" max="19" width="6" customWidth="1"/>
    <col min="20" max="20" width="5.58203125" customWidth="1"/>
    <col min="21" max="21" width="8.58203125" customWidth="1"/>
    <col min="22" max="22" width="19.58203125" customWidth="1"/>
    <col min="23" max="23" width="33.1640625" customWidth="1"/>
    <col min="24" max="24" width="13.25" customWidth="1"/>
    <col min="25" max="25" width="33.1640625" customWidth="1"/>
    <col min="26" max="26" width="14.75" bestFit="1" customWidth="1"/>
    <col min="27" max="27" width="6" customWidth="1"/>
  </cols>
  <sheetData>
    <row r="1" spans="1:16" x14ac:dyDescent="0.35">
      <c r="A1" s="26" t="s">
        <v>35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35">
      <c r="A2" s="28" t="s">
        <v>37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x14ac:dyDescent="0.35">
      <c r="A3" s="26" t="s">
        <v>34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5">
      <c r="A4" s="26" t="s">
        <v>30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5">
      <c r="A5" s="26" t="s">
        <v>42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5">
      <c r="A6" s="26" t="s">
        <v>31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5">
      <c r="A7" s="26" t="s">
        <v>43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5">
      <c r="A8" s="27" t="s">
        <v>32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9" spans="1:16" x14ac:dyDescent="0.35">
      <c r="A9" s="26" t="s">
        <v>44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5">
      <c r="A10" s="26" t="s">
        <v>25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5">
      <c r="A11" s="26" t="s">
        <v>36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5">
      <c r="A12" s="26" t="s">
        <v>33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4" spans="1:16" ht="19.5" customHeight="1" x14ac:dyDescent="0.35">
      <c r="E14" s="3" t="s">
        <v>48</v>
      </c>
      <c r="K14" s="1" t="s">
        <v>28</v>
      </c>
      <c r="L14" s="1">
        <v>25</v>
      </c>
    </row>
    <row r="15" spans="1:16" x14ac:dyDescent="0.35">
      <c r="D15" s="2" t="s">
        <v>4</v>
      </c>
      <c r="E15" s="1" t="s">
        <v>5</v>
      </c>
    </row>
    <row r="16" spans="1:16" s="9" customFormat="1" x14ac:dyDescent="0.35">
      <c r="B16"/>
      <c r="C16" s="23"/>
      <c r="D16" s="2" t="s">
        <v>29</v>
      </c>
      <c r="E16" s="1" t="s">
        <v>5</v>
      </c>
      <c r="J16" s="7"/>
    </row>
    <row r="17" spans="1:22" x14ac:dyDescent="0.35">
      <c r="D17" s="10" t="s">
        <v>41</v>
      </c>
      <c r="E17" s="1" t="s">
        <v>40</v>
      </c>
      <c r="I17" s="6"/>
      <c r="J17" s="8" t="s">
        <v>22</v>
      </c>
      <c r="L17" s="5" t="s">
        <v>23</v>
      </c>
      <c r="R17" s="5" t="s">
        <v>26</v>
      </c>
      <c r="S17" s="5"/>
      <c r="T17" s="5" t="s">
        <v>27</v>
      </c>
    </row>
    <row r="18" spans="1:22" x14ac:dyDescent="0.35">
      <c r="A18" t="s">
        <v>39</v>
      </c>
      <c r="B18" t="s">
        <v>24</v>
      </c>
      <c r="C18" s="23" t="s">
        <v>38</v>
      </c>
      <c r="D18" s="7" t="s">
        <v>0</v>
      </c>
      <c r="E18" t="s">
        <v>6</v>
      </c>
      <c r="F18" t="s">
        <v>1</v>
      </c>
      <c r="G18" t="s">
        <v>2</v>
      </c>
      <c r="H18" t="s">
        <v>3</v>
      </c>
      <c r="J18" s="7" t="s">
        <v>0</v>
      </c>
      <c r="K18" s="22" t="s">
        <v>8</v>
      </c>
      <c r="L18" s="22" t="s">
        <v>12</v>
      </c>
      <c r="M18" s="22" t="s">
        <v>7</v>
      </c>
      <c r="N18" s="22" t="s">
        <v>11</v>
      </c>
      <c r="O18" s="22" t="s">
        <v>13</v>
      </c>
      <c r="P18" s="22" t="s">
        <v>17</v>
      </c>
      <c r="Q18" s="22" t="s">
        <v>18</v>
      </c>
      <c r="R18" s="22" t="s">
        <v>19</v>
      </c>
      <c r="S18" s="22" t="s">
        <v>20</v>
      </c>
      <c r="T18" s="22" t="s">
        <v>21</v>
      </c>
      <c r="U18" s="22" t="s">
        <v>9</v>
      </c>
      <c r="V18" s="22" t="s">
        <v>10</v>
      </c>
    </row>
    <row r="19" spans="1:22" s="16" customFormat="1" ht="14.6" x14ac:dyDescent="0.4">
      <c r="A19" s="11" t="str">
        <f>CONCATENATE(IFERROR(IF(INDEX(checkPRCs[bas_rsch_pct],propTable[[#This Row],[line]])=1,"","%"),"?"),IFERROR(IF(OR(ISBLANK(propTable[[#This Row],[context_stmt_id]]),propTable[[#This Row],[context_stmt_id]]=INDEX(checkPRCs[cntx_stmt_id],propTable[[#This Row],[line]])),"","C"),"c"),IFERROR(IF(AND(OR(ISBLANK(propTable[[#This Row],[prc1]]),SEARCH(propTable[[#This Row],[prc1]],INDEX(checkPRCs[PRCs],propTable[[#This Row],[line]]))&gt;0),OR(ISBLANK(propTable[[#This Row],[prc2]]),SEARCH(propTable[[#This Row],[prc2]],INDEX(checkPRCs[PRCs],propTable[[#This Row],[line]]))&gt;0),OR(ISBLANK(propTable[[#This Row],[prc3]]),SEARCH(propTable[[#This Row],[prc3]],INDEX(checkPRCs[PRCs],propTable[[#This Row],[line]]))&gt;0)),"","p"),"P"))</f>
        <v>%</v>
      </c>
      <c r="B19" s="12">
        <f>MATCH(TEXT(SUBSTITUTE(propTable[[#This Row],[prop_id]],CHAR(160),""),"0000000"),checkPRCs[prop_id],0)</f>
        <v>1</v>
      </c>
      <c r="C19" s="13" t="str">
        <f>HYPERLINK(CONCATENATE("https://www.ejacket.nsf.gov/ej/showProposal.do?Continue=Y&amp;ID=",SUBSTITUTE(propTable[[#This Row],[prop_id]],CHAR(160),"")),"eJ")</f>
        <v>eJ</v>
      </c>
      <c r="D19" s="24">
        <v>1234567</v>
      </c>
      <c r="E19" s="14"/>
      <c r="F19" s="25"/>
      <c r="G19" s="25"/>
      <c r="H19" s="15"/>
      <c r="J19" s="17" t="s">
        <v>51</v>
      </c>
      <c r="K19" s="16" t="s">
        <v>54</v>
      </c>
      <c r="L19" s="18">
        <v>0.8</v>
      </c>
      <c r="M19" s="16" t="s">
        <v>52</v>
      </c>
      <c r="N19" s="16" t="s">
        <v>58</v>
      </c>
      <c r="O19" s="16" t="s">
        <v>53</v>
      </c>
      <c r="P19" s="16" t="s">
        <v>50</v>
      </c>
      <c r="Q19" s="16" t="s">
        <v>56</v>
      </c>
      <c r="S19" s="16" t="s">
        <v>57</v>
      </c>
      <c r="U19" s="16" t="s">
        <v>49</v>
      </c>
      <c r="V19" s="16" t="s">
        <v>55</v>
      </c>
    </row>
    <row r="20" spans="1:22" s="16" customFormat="1" x14ac:dyDescent="0.35">
      <c r="A20"/>
      <c r="B20"/>
      <c r="C20" s="23"/>
      <c r="D20"/>
      <c r="E20"/>
      <c r="F20"/>
      <c r="G20"/>
      <c r="H20"/>
      <c r="J20" s="7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s="16" customFormat="1" x14ac:dyDescent="0.35">
      <c r="A21"/>
      <c r="B21"/>
      <c r="C21" s="23"/>
      <c r="D21"/>
      <c r="E21"/>
      <c r="F21"/>
      <c r="G21"/>
      <c r="H21"/>
      <c r="J21" s="7"/>
      <c r="K21"/>
      <c r="L21"/>
      <c r="M21"/>
      <c r="N21"/>
      <c r="O21"/>
      <c r="P21"/>
      <c r="Q21"/>
      <c r="R21"/>
      <c r="S21"/>
      <c r="T21"/>
      <c r="U21"/>
      <c r="V21"/>
    </row>
    <row r="22" spans="1:22" s="16" customFormat="1" x14ac:dyDescent="0.35">
      <c r="A22"/>
      <c r="B22"/>
      <c r="C22" s="23"/>
      <c r="D22"/>
      <c r="E22"/>
      <c r="F22"/>
      <c r="G22"/>
      <c r="H22"/>
      <c r="J22" s="7"/>
      <c r="K22"/>
      <c r="L22"/>
      <c r="M22"/>
      <c r="N22"/>
      <c r="O22"/>
      <c r="P22"/>
      <c r="Q22"/>
      <c r="R22"/>
      <c r="S22"/>
      <c r="T22"/>
      <c r="U22"/>
      <c r="V22"/>
    </row>
    <row r="23" spans="1:22" s="16" customFormat="1" x14ac:dyDescent="0.35">
      <c r="A23"/>
      <c r="B23"/>
      <c r="C23" s="23"/>
      <c r="D23"/>
      <c r="E23"/>
      <c r="F23"/>
      <c r="G23"/>
      <c r="H23"/>
      <c r="J23" s="7"/>
      <c r="K23"/>
      <c r="L23"/>
      <c r="M23"/>
      <c r="N23"/>
      <c r="O23"/>
      <c r="P23"/>
      <c r="Q23"/>
      <c r="R23"/>
      <c r="S23"/>
      <c r="T23"/>
      <c r="U23"/>
      <c r="V23"/>
    </row>
    <row r="24" spans="1:22" s="16" customFormat="1" x14ac:dyDescent="0.35">
      <c r="A24"/>
      <c r="B24"/>
      <c r="C24" s="23"/>
      <c r="D24"/>
      <c r="E24"/>
      <c r="F24"/>
      <c r="G24"/>
      <c r="H24"/>
      <c r="J24" s="7"/>
      <c r="K24"/>
      <c r="L24"/>
      <c r="M24"/>
      <c r="N24"/>
      <c r="O24"/>
      <c r="P24"/>
      <c r="Q24"/>
      <c r="R24"/>
      <c r="S24"/>
      <c r="T24"/>
      <c r="U24"/>
      <c r="V24"/>
    </row>
    <row r="25" spans="1:22" s="16" customFormat="1" x14ac:dyDescent="0.35">
      <c r="A25"/>
      <c r="B25"/>
      <c r="C25" s="23"/>
      <c r="D25"/>
      <c r="E25"/>
      <c r="F25"/>
      <c r="G25"/>
      <c r="H25"/>
      <c r="J25" s="7"/>
      <c r="K25"/>
      <c r="L25"/>
      <c r="M25"/>
      <c r="N25"/>
      <c r="O25"/>
      <c r="P25"/>
      <c r="Q25"/>
      <c r="R25"/>
      <c r="S25"/>
      <c r="T25"/>
      <c r="U25"/>
      <c r="V25"/>
    </row>
    <row r="26" spans="1:22" s="16" customFormat="1" x14ac:dyDescent="0.35">
      <c r="A26"/>
      <c r="B26"/>
      <c r="C26" s="23"/>
      <c r="D26"/>
      <c r="E26"/>
      <c r="F26"/>
      <c r="G26"/>
      <c r="H26"/>
      <c r="J26" s="7"/>
      <c r="K26"/>
      <c r="L26"/>
      <c r="M26"/>
      <c r="N26"/>
      <c r="O26"/>
      <c r="P26"/>
      <c r="Q26"/>
      <c r="R26"/>
      <c r="S26"/>
      <c r="T26"/>
      <c r="U26"/>
      <c r="V26"/>
    </row>
    <row r="27" spans="1:22" s="16" customFormat="1" x14ac:dyDescent="0.35">
      <c r="A27"/>
      <c r="B27"/>
      <c r="C27" s="23"/>
      <c r="D27"/>
      <c r="E27"/>
      <c r="F27"/>
      <c r="G27"/>
      <c r="H27"/>
      <c r="J27" s="7"/>
      <c r="K27"/>
      <c r="L27"/>
      <c r="M27"/>
      <c r="N27"/>
      <c r="O27"/>
      <c r="P27"/>
      <c r="Q27"/>
      <c r="R27"/>
      <c r="S27"/>
      <c r="T27"/>
      <c r="U27"/>
      <c r="V27"/>
    </row>
    <row r="28" spans="1:22" s="16" customFormat="1" x14ac:dyDescent="0.35">
      <c r="A28"/>
      <c r="B28"/>
      <c r="C28" s="23"/>
      <c r="D28"/>
      <c r="E28"/>
      <c r="F28"/>
      <c r="G28"/>
      <c r="H28"/>
      <c r="J28" s="7"/>
      <c r="K28"/>
      <c r="L28"/>
      <c r="M28"/>
      <c r="N28"/>
      <c r="O28"/>
      <c r="P28"/>
      <c r="Q28"/>
      <c r="R28"/>
      <c r="S28"/>
      <c r="T28"/>
      <c r="U28"/>
      <c r="V28"/>
    </row>
    <row r="29" spans="1:22" s="16" customFormat="1" x14ac:dyDescent="0.35">
      <c r="A29"/>
      <c r="B29"/>
      <c r="C29" s="23"/>
      <c r="D29"/>
      <c r="E29"/>
      <c r="F29"/>
      <c r="G29"/>
      <c r="H29"/>
      <c r="J29" s="7"/>
      <c r="K29"/>
      <c r="L29"/>
      <c r="M29"/>
      <c r="N29"/>
      <c r="O29"/>
      <c r="P29"/>
      <c r="Q29"/>
      <c r="R29"/>
      <c r="S29"/>
      <c r="T29"/>
      <c r="U29"/>
      <c r="V29"/>
    </row>
    <row r="30" spans="1:22" s="16" customFormat="1" x14ac:dyDescent="0.35">
      <c r="A30"/>
      <c r="B30"/>
      <c r="C30" s="23"/>
      <c r="D30"/>
      <c r="E30"/>
      <c r="F30"/>
      <c r="G30"/>
      <c r="H30"/>
      <c r="J30" s="7"/>
      <c r="K30"/>
      <c r="L30"/>
      <c r="M30"/>
      <c r="N30"/>
      <c r="O30"/>
      <c r="P30"/>
      <c r="Q30"/>
      <c r="R30"/>
      <c r="S30"/>
      <c r="T30"/>
      <c r="U30"/>
      <c r="V30"/>
    </row>
    <row r="31" spans="1:22" s="16" customFormat="1" x14ac:dyDescent="0.35">
      <c r="A31"/>
      <c r="B31"/>
      <c r="C31" s="23"/>
      <c r="D31"/>
      <c r="E31"/>
      <c r="F31"/>
      <c r="G31"/>
      <c r="H31"/>
      <c r="J31" s="7"/>
      <c r="K31"/>
      <c r="L31"/>
      <c r="M31"/>
      <c r="N31"/>
      <c r="O31"/>
      <c r="P31"/>
      <c r="Q31"/>
      <c r="R31"/>
      <c r="S31"/>
      <c r="T31"/>
      <c r="U31"/>
      <c r="V31"/>
    </row>
    <row r="48" spans="1:22" s="16" customFormat="1" x14ac:dyDescent="0.35">
      <c r="A48"/>
      <c r="B48"/>
      <c r="C48" s="23"/>
      <c r="D48"/>
      <c r="E48"/>
      <c r="F48"/>
      <c r="G48"/>
      <c r="H48"/>
      <c r="J48" s="7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x14ac:dyDescent="0.35">
      <c r="A49"/>
      <c r="B49"/>
      <c r="C49" s="23"/>
      <c r="D49"/>
      <c r="E49"/>
      <c r="F49"/>
      <c r="G49"/>
      <c r="H49"/>
      <c r="J49" s="7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x14ac:dyDescent="0.35">
      <c r="A50"/>
      <c r="B50"/>
      <c r="C50" s="23"/>
      <c r="D50"/>
      <c r="E50"/>
      <c r="F50"/>
      <c r="G50"/>
      <c r="H50"/>
      <c r="J50" s="7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x14ac:dyDescent="0.35">
      <c r="A51"/>
      <c r="B51"/>
      <c r="C51" s="23"/>
      <c r="D51"/>
      <c r="E51"/>
      <c r="F51"/>
      <c r="G51"/>
      <c r="H51"/>
      <c r="J51" s="7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x14ac:dyDescent="0.35">
      <c r="A52"/>
      <c r="B52"/>
      <c r="C52" s="23"/>
      <c r="D52"/>
      <c r="E52"/>
      <c r="F52"/>
      <c r="G52"/>
      <c r="H52"/>
      <c r="J52" s="7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x14ac:dyDescent="0.35">
      <c r="A53"/>
      <c r="B53"/>
      <c r="C53" s="23"/>
      <c r="D53"/>
      <c r="E53"/>
      <c r="F53"/>
      <c r="G53"/>
      <c r="H53"/>
      <c r="J53" s="7"/>
      <c r="K53"/>
      <c r="L53"/>
      <c r="M53"/>
      <c r="N53"/>
      <c r="O53"/>
      <c r="P53"/>
      <c r="Q53"/>
      <c r="R53"/>
      <c r="S53"/>
      <c r="T53"/>
      <c r="U53"/>
      <c r="V53"/>
    </row>
    <row r="54" spans="1:22" s="16" customFormat="1" x14ac:dyDescent="0.35">
      <c r="A54"/>
      <c r="B54"/>
      <c r="C54" s="23"/>
      <c r="D54"/>
      <c r="E54"/>
      <c r="F54"/>
      <c r="G54"/>
      <c r="H54"/>
      <c r="J54" s="7"/>
      <c r="K54"/>
      <c r="L54"/>
      <c r="M54"/>
      <c r="N54"/>
      <c r="O54"/>
      <c r="P54"/>
      <c r="Q54"/>
      <c r="R54"/>
      <c r="S54"/>
      <c r="T54"/>
      <c r="U54"/>
      <c r="V54"/>
    </row>
  </sheetData>
  <protectedRanges>
    <protectedRange password="83AF" sqref="D19" name="Query Data"/>
  </protectedRanges>
  <mergeCells count="12">
    <mergeCell ref="A6:P6"/>
    <mergeCell ref="A1:P1"/>
    <mergeCell ref="A2:P2"/>
    <mergeCell ref="A3:P3"/>
    <mergeCell ref="A4:P4"/>
    <mergeCell ref="A5:P5"/>
    <mergeCell ref="A7:P7"/>
    <mergeCell ref="A8:P8"/>
    <mergeCell ref="A9:P9"/>
    <mergeCell ref="A10:P10"/>
    <mergeCell ref="A12:P12"/>
    <mergeCell ref="A11:P11"/>
  </mergeCells>
  <hyperlinks>
    <hyperlink ref="A8" r:id="rId1" display="Go to eJacket Group Documents to search the context statement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Code">
                <anchor moveWithCells="1" sizeWithCells="1">
                  <from>
                    <xdr:col>8</xdr:col>
                    <xdr:colOff>125186</xdr:colOff>
                    <xdr:row>13</xdr:row>
                    <xdr:rowOff>21771</xdr:rowOff>
                  </from>
                  <to>
                    <xdr:col>9</xdr:col>
                    <xdr:colOff>555171</xdr:colOff>
                    <xdr:row>13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heckAutocoding">
                <anchor moveWithCells="1" sizeWithCells="1">
                  <from>
                    <xdr:col>0</xdr:col>
                    <xdr:colOff>136071</xdr:colOff>
                    <xdr:row>13</xdr:row>
                    <xdr:rowOff>0</xdr:rowOff>
                  </from>
                  <to>
                    <xdr:col>3</xdr:col>
                    <xdr:colOff>103414</xdr:colOff>
                    <xdr:row>13</xdr:row>
                    <xdr:rowOff>201386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associateCtxt">
                <anchor moveWithCells="1" sizeWithCells="1">
                  <from>
                    <xdr:col>5</xdr:col>
                    <xdr:colOff>38100</xdr:colOff>
                    <xdr:row>13</xdr:row>
                    <xdr:rowOff>27214</xdr:rowOff>
                  </from>
                  <to>
                    <xdr:col>7</xdr:col>
                    <xdr:colOff>353786</xdr:colOff>
                    <xdr:row>13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>
      <selection activeCell="D3" sqref="D3"/>
    </sheetView>
  </sheetViews>
  <sheetFormatPr defaultColWidth="8.75" defaultRowHeight="14.6" x14ac:dyDescent="0.4"/>
  <cols>
    <col min="1" max="1" width="8.75" style="4"/>
    <col min="2" max="2" width="10.25" style="4" customWidth="1"/>
    <col min="3" max="3" width="8.75" style="4"/>
    <col min="4" max="4" width="12.1640625" style="4" customWidth="1"/>
    <col min="5" max="16384" width="8.75" style="4"/>
  </cols>
  <sheetData>
    <row r="1" spans="1:4" x14ac:dyDescent="0.4">
      <c r="A1" s="4" t="s">
        <v>14</v>
      </c>
    </row>
    <row r="2" spans="1:4" x14ac:dyDescent="0.4">
      <c r="A2" s="4" t="s">
        <v>15</v>
      </c>
      <c r="B2" s="20" t="s">
        <v>45</v>
      </c>
      <c r="C2" s="4" t="s">
        <v>16</v>
      </c>
      <c r="D2" s="21"/>
    </row>
    <row r="5" spans="1:4" x14ac:dyDescent="0.4">
      <c r="A5" s="19" t="s">
        <v>47</v>
      </c>
    </row>
    <row r="6" spans="1:4" x14ac:dyDescent="0.4">
      <c r="A6" s="19" t="s">
        <v>46</v>
      </c>
    </row>
  </sheetData>
  <sheetProtection algorithmName="SHA-512" hashValue="+Te3nAg0bkWAiedw46TJ2WTvTYZ7nA8O1z2eHWk4oyxXK5aDAE7yXC+EGAQqI7C+nrwjig+/hrIga3XBt1MRWA==" saltValue="JOgvOajZwRv4yHr+6zHUUg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B960B3B5DBD644A94B60F4DCA143E5" ma:contentTypeVersion="0" ma:contentTypeDescription="Create a new document." ma:contentTypeScope="" ma:versionID="51262affb99069b8b6b28fc13a2de23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7511CC-2F7B-47F1-8965-5B1195784F2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6A6305C-CA2D-43F7-B5E7-A6A78F8FA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AE53343-D838-4F11-92B7-4677CE2E70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AutoCode</vt:lpstr>
      <vt:lpstr>Credentials</vt:lpstr>
      <vt:lpstr>apply2Collabs</vt:lpstr>
      <vt:lpstr>assignCtxIndividually</vt:lpstr>
      <vt:lpstr>basicRsrch</vt:lpstr>
      <vt:lpstr>context_id</vt:lpstr>
      <vt:lpstr>delayTime</vt:lpstr>
      <vt:lpstr>rpt_pwd</vt:lpstr>
      <vt:lpstr>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coder</dc:title>
  <dc:creator>Jack Snoeyink</dc:creator>
  <cp:lastModifiedBy>Snoeyink, Jack S.</cp:lastModifiedBy>
  <dcterms:created xsi:type="dcterms:W3CDTF">2016-08-18T17:06:39Z</dcterms:created>
  <dcterms:modified xsi:type="dcterms:W3CDTF">2017-06-26T17:38:10Z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0x0101004FB960B3B5DBD644A94B60F4DCA143E5</vt:lpwstr>
  </property>
  <property fmtid="{D5CDD505-2E9C-101B-9397-08002B2CF9AE}" pid="3" name="SV_QUERY_LIST_4F35BF76-6C0D-4D9B-82B2-816C12CF3733">
    <vt:lpwstr>empty_477D106A-C0D6-4607-AEBD-E2C9D60EA279</vt:lpwstr>
  </property>
</Properties>
</file>