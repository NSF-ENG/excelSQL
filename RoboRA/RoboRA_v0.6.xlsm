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comments5.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tables/table11.xml" ContentType="application/vnd.openxmlformats-officedocument.spreadsheetml.table+xml"/>
  <Override PartName="/xl/queryTables/queryTable6.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7003"/>
  </bookViews>
  <sheets>
    <sheet name="RoboRA" sheetId="7" r:id="rId1"/>
    <sheet name="ckCoding" sheetId="3" r:id="rId2"/>
    <sheet name="ckAwd" sheetId="10" r:id="rId3"/>
    <sheet name="Budgets" sheetId="5" r:id="rId4"/>
    <sheet name="ProjText" sheetId="6" r:id="rId5"/>
    <sheet name="PRCs" sheetId="11" r:id="rId6"/>
    <sheet name="Advanced" sheetId="1" r:id="rId7"/>
    <sheet name="RAData" sheetId="2" r:id="rId8"/>
    <sheet name="HiddenSettings" sheetId="9" r:id="rId9"/>
  </sheets>
  <functionGroups builtInGroupCount="18"/>
  <externalReferences>
    <externalReference r:id="rId10"/>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3">Budgets!$J$2</definedName>
    <definedName name="from_date">Advanced!$E$12</definedName>
    <definedName name="inst_id">Advanced!$D$23</definedName>
    <definedName name="Mac_connect_string" localSheetId="8">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8">HiddenSettings!$B$4</definedName>
    <definedName name="pgm_annc_id">Advanced!$D$15</definedName>
    <definedName name="pgm_ele_code">Advanced!$D$18</definedName>
    <definedName name="pi_id">Advanced!$D$22</definedName>
    <definedName name="pm_ibm_logn_id">Advanced!$D$14</definedName>
    <definedName name="prop_atr_code">Advanced!$D$25</definedName>
    <definedName name="prop_stts_abbr">Advanced!$D$19</definedName>
    <definedName name="prop_titl_txt">Advanced!$D$24</definedName>
    <definedName name="Query_from_RPTSERVER" localSheetId="3" hidden="1">Budgets!$A$3:$Z$99</definedName>
    <definedName name="Query_from_RPTSERVER" localSheetId="2" hidden="1">ckAwd!$A$2:$AW$18</definedName>
    <definedName name="Query_from_RPTSERVER" localSheetId="1" hidden="1">ckCoding!$A$2:$AW$18</definedName>
    <definedName name="Query_from_RPTSERVER" localSheetId="5" hidden="1">PRCs!$A$2:$AW$18</definedName>
    <definedName name="Query_from_RPTSERVER" localSheetId="4" hidden="1">ProjText!$B$1:$P$100</definedName>
    <definedName name="Query_from_RPTSERVER" localSheetId="7" hidden="1">RAData!$A$1:$DZ$18</definedName>
    <definedName name="RA_allRAdata" localSheetId="8">HiddenSettings!$C$31</definedName>
    <definedName name="RA_awdCheck" localSheetId="8">HiddenSettings!$C$34</definedName>
    <definedName name="RA_budgInfo" localSheetId="8">HiddenSettings!$C$33</definedName>
    <definedName name="RA_leads" localSheetId="8">HiddenSettings!$C$26</definedName>
    <definedName name="RA_panl" localSheetId="8">HiddenSettings!$C$30</definedName>
    <definedName name="RA_PRCglossary" localSheetId="8">HiddenSettings!$C$32</definedName>
    <definedName name="RA_prop" localSheetId="8">HiddenSettings!$C$28</definedName>
    <definedName name="RA_propCheck" localSheetId="8">HiddenSettings!$C$35</definedName>
    <definedName name="RA_propPRCs" localSheetId="8">HiddenSettings!$C$27</definedName>
    <definedName name="RA_revs" localSheetId="8">HiddenSettings!$C$29</definedName>
    <definedName name="revtable" localSheetId="8">HiddenSettings!$C$25</definedName>
    <definedName name="rpt_pwd" comment="reportserver password" localSheetId="8">HiddenSettings!$B$3</definedName>
    <definedName name="signer1">RoboRA!$L$10</definedName>
    <definedName name="signer2">RoboRA!$L$11</definedName>
    <definedName name="StdDeclTemplate">RoboRA!$G$11</definedName>
    <definedName name="to_date">Advanced!$D$12</definedName>
    <definedName name="user_id" comment="reportserver user_id" localSheetId="8">HiddenSettings!$B$2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8" i="11" l="1"/>
  <c r="R18" i="11"/>
  <c r="M18" i="11"/>
  <c r="L18" i="11"/>
  <c r="K18" i="11"/>
  <c r="V17" i="11"/>
  <c r="R17" i="11"/>
  <c r="M17" i="11"/>
  <c r="L17" i="11"/>
  <c r="K17" i="11"/>
  <c r="V16" i="11"/>
  <c r="R16" i="11"/>
  <c r="M16" i="11"/>
  <c r="L16" i="11"/>
  <c r="K16" i="11"/>
  <c r="V15" i="11"/>
  <c r="R15" i="11"/>
  <c r="M15" i="11"/>
  <c r="L15" i="11"/>
  <c r="K15" i="11"/>
  <c r="V14" i="11"/>
  <c r="R14" i="11"/>
  <c r="M14" i="11"/>
  <c r="L14" i="11"/>
  <c r="K14" i="11"/>
  <c r="V13" i="11"/>
  <c r="R13" i="11"/>
  <c r="M13" i="11"/>
  <c r="L13" i="11"/>
  <c r="K13" i="11"/>
  <c r="V12" i="11"/>
  <c r="R12" i="11"/>
  <c r="M12" i="11"/>
  <c r="L12" i="11"/>
  <c r="K12" i="11"/>
  <c r="V11" i="11"/>
  <c r="R11" i="11"/>
  <c r="M11" i="11"/>
  <c r="L11" i="11"/>
  <c r="K11" i="11"/>
  <c r="V10" i="11"/>
  <c r="R10" i="11"/>
  <c r="M10" i="11"/>
  <c r="L10" i="11"/>
  <c r="K10" i="11"/>
  <c r="V9" i="11"/>
  <c r="R9" i="11"/>
  <c r="M9" i="11"/>
  <c r="L9" i="11"/>
  <c r="K9" i="11"/>
  <c r="V8" i="11"/>
  <c r="R8" i="11"/>
  <c r="M8" i="11"/>
  <c r="L8" i="11"/>
  <c r="K8" i="11"/>
  <c r="V7" i="11"/>
  <c r="R7" i="11"/>
  <c r="M7" i="11"/>
  <c r="L7" i="11"/>
  <c r="K7" i="11"/>
  <c r="V6" i="11"/>
  <c r="R6" i="11"/>
  <c r="M6" i="11"/>
  <c r="L6" i="11"/>
  <c r="K6" i="11"/>
  <c r="V5" i="11"/>
  <c r="R5" i="11"/>
  <c r="M5" i="11"/>
  <c r="L5" i="11"/>
  <c r="K5" i="11"/>
  <c r="V4" i="11"/>
  <c r="R4" i="11"/>
  <c r="M4" i="11"/>
  <c r="L4" i="11"/>
  <c r="K4" i="11"/>
  <c r="V3" i="11"/>
  <c r="S3" i="11"/>
  <c r="S4" i="11" s="1"/>
  <c r="S5" i="11" s="1"/>
  <c r="S6" i="11" s="1"/>
  <c r="S7" i="11" s="1"/>
  <c r="S8" i="11" s="1"/>
  <c r="S9" i="11" s="1"/>
  <c r="S10" i="11" s="1"/>
  <c r="S11" i="11" s="1"/>
  <c r="S12" i="11" s="1"/>
  <c r="S13" i="11" s="1"/>
  <c r="S14" i="11" s="1"/>
  <c r="S15" i="11" s="1"/>
  <c r="S16" i="11" s="1"/>
  <c r="S17" i="11" s="1"/>
  <c r="S18" i="11" s="1"/>
  <c r="R3" i="11"/>
  <c r="M3" i="11"/>
  <c r="L3" i="11"/>
  <c r="K3" i="11"/>
  <c r="V18" i="10"/>
  <c r="R18" i="10"/>
  <c r="M18" i="10"/>
  <c r="L18" i="10"/>
  <c r="K18" i="10"/>
  <c r="V17" i="10"/>
  <c r="R17" i="10"/>
  <c r="M17" i="10"/>
  <c r="L17" i="10" s="1"/>
  <c r="K17" i="10"/>
  <c r="V16" i="10"/>
  <c r="R16" i="10"/>
  <c r="M16" i="10"/>
  <c r="L16" i="10"/>
  <c r="K16" i="10"/>
  <c r="V15" i="10"/>
  <c r="R15" i="10"/>
  <c r="M15" i="10"/>
  <c r="L15" i="10" s="1"/>
  <c r="K15" i="10"/>
  <c r="V14" i="10"/>
  <c r="R14" i="10"/>
  <c r="M14" i="10"/>
  <c r="L14" i="10"/>
  <c r="K14" i="10"/>
  <c r="V13" i="10"/>
  <c r="R13" i="10"/>
  <c r="M13" i="10"/>
  <c r="L13" i="10" s="1"/>
  <c r="K13" i="10"/>
  <c r="V12" i="10"/>
  <c r="R12" i="10"/>
  <c r="M12" i="10"/>
  <c r="L12" i="10"/>
  <c r="K12" i="10"/>
  <c r="V11" i="10"/>
  <c r="R11" i="10"/>
  <c r="M11" i="10"/>
  <c r="L11" i="10" s="1"/>
  <c r="K11" i="10"/>
  <c r="V10" i="10"/>
  <c r="R10" i="10"/>
  <c r="M10" i="10"/>
  <c r="L10" i="10"/>
  <c r="K10" i="10"/>
  <c r="V9" i="10"/>
  <c r="R9" i="10"/>
  <c r="M9" i="10"/>
  <c r="L9" i="10" s="1"/>
  <c r="K9" i="10"/>
  <c r="V8" i="10"/>
  <c r="R8" i="10"/>
  <c r="M8" i="10"/>
  <c r="L8" i="10"/>
  <c r="K8" i="10"/>
  <c r="V7" i="10"/>
  <c r="R7" i="10"/>
  <c r="M7" i="10"/>
  <c r="L7" i="10" s="1"/>
  <c r="K7" i="10"/>
  <c r="V6" i="10"/>
  <c r="R6" i="10"/>
  <c r="M6" i="10"/>
  <c r="L6" i="10"/>
  <c r="K6" i="10"/>
  <c r="V5" i="10"/>
  <c r="R5" i="10"/>
  <c r="M5" i="10"/>
  <c r="L5" i="10" s="1"/>
  <c r="K5" i="10"/>
  <c r="V4" i="10"/>
  <c r="R4" i="10"/>
  <c r="M4" i="10"/>
  <c r="L4" i="10"/>
  <c r="K4" i="10"/>
  <c r="V3" i="10"/>
  <c r="S3" i="10"/>
  <c r="S4" i="10" s="1"/>
  <c r="S5" i="10" s="1"/>
  <c r="S6" i="10" s="1"/>
  <c r="S7" i="10" s="1"/>
  <c r="S8" i="10" s="1"/>
  <c r="S9" i="10" s="1"/>
  <c r="S10" i="10" s="1"/>
  <c r="S11" i="10" s="1"/>
  <c r="S12" i="10" s="1"/>
  <c r="S13" i="10" s="1"/>
  <c r="S14" i="10" s="1"/>
  <c r="S15" i="10" s="1"/>
  <c r="S16" i="10" s="1"/>
  <c r="S17" i="10" s="1"/>
  <c r="S18" i="10" s="1"/>
  <c r="R3" i="10"/>
  <c r="M3" i="10"/>
  <c r="L3" i="10" s="1"/>
  <c r="K3" i="10"/>
  <c r="P101" i="6" l="1"/>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K3" i="3"/>
  <c r="K4" i="3"/>
  <c r="K5" i="3"/>
  <c r="K6" i="3"/>
  <c r="K7" i="3"/>
  <c r="K8" i="3"/>
  <c r="K9" i="3"/>
  <c r="K10" i="3"/>
  <c r="K11" i="3"/>
  <c r="K12" i="3"/>
  <c r="K13" i="3"/>
  <c r="K14" i="3"/>
  <c r="K15" i="3"/>
  <c r="K16" i="3"/>
  <c r="K17" i="3"/>
  <c r="K18" i="3"/>
  <c r="M3" i="3"/>
  <c r="L3" i="3" s="1"/>
  <c r="M4" i="3"/>
  <c r="L4" i="3" s="1"/>
  <c r="M5" i="3"/>
  <c r="L5" i="3" s="1"/>
  <c r="M6" i="3"/>
  <c r="L6" i="3" s="1"/>
  <c r="M7" i="3"/>
  <c r="L7" i="3" s="1"/>
  <c r="M8" i="3"/>
  <c r="L8" i="3" s="1"/>
  <c r="M9" i="3"/>
  <c r="L9" i="3" s="1"/>
  <c r="M10" i="3"/>
  <c r="L10" i="3" s="1"/>
  <c r="M11" i="3"/>
  <c r="L11" i="3" s="1"/>
  <c r="M12" i="3"/>
  <c r="L12" i="3" s="1"/>
  <c r="M13" i="3"/>
  <c r="L13" i="3" s="1"/>
  <c r="M14" i="3"/>
  <c r="L14" i="3" s="1"/>
  <c r="M15" i="3"/>
  <c r="L15" i="3" s="1"/>
  <c r="M16" i="3"/>
  <c r="L16" i="3" s="1"/>
  <c r="M17" i="3"/>
  <c r="L17" i="3" s="1"/>
  <c r="M18" i="3"/>
  <c r="L18" i="3" s="1"/>
  <c r="R3" i="3"/>
  <c r="R4" i="3"/>
  <c r="R5" i="3"/>
  <c r="R6" i="3"/>
  <c r="R7" i="3"/>
  <c r="R8" i="3"/>
  <c r="R9" i="3"/>
  <c r="R10" i="3"/>
  <c r="R11" i="3"/>
  <c r="R12" i="3"/>
  <c r="R13" i="3"/>
  <c r="R14" i="3"/>
  <c r="R15" i="3"/>
  <c r="R16" i="3"/>
  <c r="R17" i="3"/>
  <c r="R18" i="3"/>
  <c r="S3" i="3"/>
  <c r="S4" i="3" s="1"/>
  <c r="S5" i="3" s="1"/>
  <c r="S6" i="3" s="1"/>
  <c r="S7" i="3" s="1"/>
  <c r="S8" i="3" s="1"/>
  <c r="S9" i="3" s="1"/>
  <c r="S10" i="3" s="1"/>
  <c r="S11" i="3" s="1"/>
  <c r="S12" i="3" s="1"/>
  <c r="S13" i="3" s="1"/>
  <c r="S14" i="3" s="1"/>
  <c r="S15" i="3" s="1"/>
  <c r="S16" i="3" s="1"/>
  <c r="S17" i="3" s="1"/>
  <c r="S18" i="3" s="1"/>
  <c r="V3" i="3"/>
  <c r="V4" i="3"/>
  <c r="V5" i="3"/>
  <c r="V6" i="3"/>
  <c r="V7" i="3"/>
  <c r="V8" i="3"/>
  <c r="V9" i="3"/>
  <c r="V10" i="3"/>
  <c r="V11" i="3"/>
  <c r="V12" i="3"/>
  <c r="V13" i="3"/>
  <c r="V14" i="3"/>
  <c r="V15" i="3"/>
  <c r="V16" i="3"/>
  <c r="V17" i="3"/>
  <c r="V18" i="3"/>
  <c r="T2" i="2"/>
  <c r="T3" i="2"/>
  <c r="T4" i="2"/>
  <c r="T5" i="2"/>
  <c r="T6" i="2"/>
  <c r="T7" i="2"/>
  <c r="T8" i="2"/>
  <c r="T9" i="2"/>
  <c r="T10" i="2"/>
  <c r="T11" i="2"/>
  <c r="T12" i="2"/>
  <c r="T13" i="2"/>
  <c r="T14" i="2"/>
  <c r="T15" i="2"/>
  <c r="T16" i="2"/>
  <c r="T17" i="2"/>
  <c r="T18" i="2"/>
  <c r="AE2" i="2"/>
  <c r="AE3" i="2"/>
  <c r="AE4" i="2"/>
  <c r="AE5" i="2"/>
  <c r="AE6" i="2"/>
  <c r="AE7" i="2"/>
  <c r="AE8" i="2"/>
  <c r="AE9" i="2"/>
  <c r="AE10" i="2"/>
  <c r="AE11" i="2"/>
  <c r="AE12" i="2"/>
  <c r="AE13" i="2"/>
  <c r="AE14" i="2"/>
  <c r="AE15" i="2"/>
  <c r="AE16" i="2"/>
  <c r="AE17" i="2"/>
  <c r="AE18" i="2"/>
  <c r="AF2" i="2"/>
  <c r="AF3" i="2"/>
  <c r="AF4" i="2"/>
  <c r="AF5" i="2"/>
  <c r="AF6" i="2"/>
  <c r="AF7" i="2"/>
  <c r="AF8" i="2"/>
  <c r="AF9" i="2"/>
  <c r="AF10" i="2"/>
  <c r="AF11" i="2"/>
  <c r="AF12" i="2"/>
  <c r="AF13" i="2"/>
  <c r="AF14" i="2"/>
  <c r="AF15" i="2"/>
  <c r="AF16" i="2"/>
  <c r="AF17" i="2"/>
  <c r="AF18" i="2"/>
  <c r="AG2" i="2"/>
  <c r="AG3" i="2"/>
  <c r="AG4" i="2"/>
  <c r="AG5" i="2"/>
  <c r="AG6" i="2"/>
  <c r="AG7" i="2"/>
  <c r="AG8" i="2"/>
  <c r="AG9" i="2"/>
  <c r="AG10" i="2"/>
  <c r="AG11" i="2"/>
  <c r="AG12" i="2"/>
  <c r="AG13" i="2"/>
  <c r="AG14" i="2"/>
  <c r="AG15" i="2"/>
  <c r="AG16" i="2"/>
  <c r="AG17" i="2"/>
  <c r="AG18" i="2"/>
  <c r="J2" i="5" l="1"/>
  <c r="H2" i="5"/>
  <c r="V4" i="5" l="1"/>
  <c r="V8" i="5"/>
  <c r="V12" i="5"/>
  <c r="V16" i="5"/>
  <c r="V20" i="5"/>
  <c r="V28" i="5"/>
  <c r="V32" i="5"/>
  <c r="V40" i="5"/>
  <c r="V48" i="5"/>
  <c r="V56" i="5"/>
  <c r="V64" i="5"/>
  <c r="V72" i="5"/>
  <c r="V80" i="5"/>
  <c r="V88" i="5"/>
  <c r="V96" i="5"/>
  <c r="V5" i="5"/>
  <c r="V9" i="5"/>
  <c r="V13" i="5"/>
  <c r="V17" i="5"/>
  <c r="V21" i="5"/>
  <c r="V25" i="5"/>
  <c r="V29" i="5"/>
  <c r="V33" i="5"/>
  <c r="V37" i="5"/>
  <c r="V41" i="5"/>
  <c r="V45" i="5"/>
  <c r="V49" i="5"/>
  <c r="V53" i="5"/>
  <c r="V57" i="5"/>
  <c r="V61" i="5"/>
  <c r="V65" i="5"/>
  <c r="V69" i="5"/>
  <c r="V73" i="5"/>
  <c r="V77" i="5"/>
  <c r="V81" i="5"/>
  <c r="V85" i="5"/>
  <c r="V89" i="5"/>
  <c r="V93" i="5"/>
  <c r="V97" i="5"/>
  <c r="V26" i="5"/>
  <c r="V38" i="5"/>
  <c r="V50" i="5"/>
  <c r="V58" i="5"/>
  <c r="V66" i="5"/>
  <c r="V74" i="5"/>
  <c r="V82" i="5"/>
  <c r="V90" i="5"/>
  <c r="V98" i="5"/>
  <c r="V6" i="5"/>
  <c r="V10" i="5"/>
  <c r="V14" i="5"/>
  <c r="V18" i="5"/>
  <c r="V22" i="5"/>
  <c r="V30" i="5"/>
  <c r="V34" i="5"/>
  <c r="V42" i="5"/>
  <c r="V46" i="5"/>
  <c r="V54" i="5"/>
  <c r="V62" i="5"/>
  <c r="V70" i="5"/>
  <c r="V78" i="5"/>
  <c r="V86" i="5"/>
  <c r="V94" i="5"/>
  <c r="V7" i="5"/>
  <c r="V11" i="5"/>
  <c r="V15" i="5"/>
  <c r="V19" i="5"/>
  <c r="V23" i="5"/>
  <c r="V27" i="5"/>
  <c r="V31" i="5"/>
  <c r="V35" i="5"/>
  <c r="V39" i="5"/>
  <c r="V43" i="5"/>
  <c r="V47" i="5"/>
  <c r="V51" i="5"/>
  <c r="V55" i="5"/>
  <c r="V59" i="5"/>
  <c r="V63" i="5"/>
  <c r="V67" i="5"/>
  <c r="V71" i="5"/>
  <c r="V75" i="5"/>
  <c r="V79" i="5"/>
  <c r="V83" i="5"/>
  <c r="V87" i="5"/>
  <c r="V91" i="5"/>
  <c r="V95" i="5"/>
  <c r="V99" i="5"/>
  <c r="V24" i="5"/>
  <c r="V36" i="5"/>
  <c r="V44" i="5"/>
  <c r="V52" i="5"/>
  <c r="V60" i="5"/>
  <c r="V68" i="5"/>
  <c r="V76" i="5"/>
  <c r="V84" i="5"/>
  <c r="V92" i="5"/>
</calcChain>
</file>

<file path=xl/comments1.xml><?xml version="1.0" encoding="utf-8"?>
<comments xmlns="http://schemas.openxmlformats.org/spreadsheetml/2006/main">
  <authors>
    <author>Snoeyink, Jack S.</author>
  </authors>
  <commentList>
    <comment ref="B2"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2" authorId="0" shapeId="0">
      <text>
        <r>
          <rPr>
            <b/>
            <sz val="9"/>
            <color indexed="81"/>
            <rFont val="Tahoma"/>
            <family val="2"/>
          </rPr>
          <t>Snoeyink, Jack S.:</t>
        </r>
        <r>
          <rPr>
            <sz val="9"/>
            <color indexed="81"/>
            <rFont val="Tahoma"/>
            <family val="2"/>
          </rPr>
          <t xml:space="preserve">
Proposal program reference codes</t>
        </r>
      </text>
    </comment>
    <comment ref="J2" authorId="0" shapeId="0">
      <text>
        <r>
          <rPr>
            <b/>
            <sz val="9"/>
            <color indexed="81"/>
            <rFont val="Tahoma"/>
            <family val="2"/>
          </rPr>
          <t>Snoeyink, Jack S.:</t>
        </r>
        <r>
          <rPr>
            <sz val="9"/>
            <color indexed="81"/>
            <rFont val="Tahoma"/>
            <family val="2"/>
          </rPr>
          <t xml:space="preserve">
State is red if EPSCoR code 9150 is not properly applied.</t>
        </r>
      </text>
    </comment>
    <comment ref="M2"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2" authorId="0" shapeId="0">
      <text>
        <r>
          <rPr>
            <b/>
            <sz val="9"/>
            <color indexed="81"/>
            <rFont val="Tahoma"/>
            <family val="2"/>
          </rPr>
          <t>Snoeyink, Jack S.:</t>
        </r>
        <r>
          <rPr>
            <sz val="9"/>
            <color indexed="81"/>
            <rFont val="Tahoma"/>
            <family val="2"/>
          </rPr>
          <t xml:space="preserve">
Basic research percentage, usually set to 100%</t>
        </r>
      </text>
    </comment>
    <comment ref="R2" authorId="0" shapeId="0">
      <text>
        <r>
          <rPr>
            <b/>
            <sz val="9"/>
            <color indexed="81"/>
            <rFont val="Tahoma"/>
            <family val="2"/>
          </rPr>
          <t>Snoeyink, Jack S.:</t>
        </r>
        <r>
          <rPr>
            <sz val="9"/>
            <color indexed="81"/>
            <rFont val="Tahoma"/>
            <family val="2"/>
          </rPr>
          <t xml:space="preserve">
Click link to send email to project lead PI
</t>
        </r>
      </text>
    </comment>
    <comment ref="V2" authorId="0" shapeId="0">
      <text>
        <r>
          <rPr>
            <b/>
            <sz val="9"/>
            <color indexed="81"/>
            <rFont val="Tahoma"/>
            <family val="2"/>
          </rPr>
          <t>Snoeyink, Jack S.:</t>
        </r>
        <r>
          <rPr>
            <sz val="9"/>
            <color indexed="81"/>
            <rFont val="Tahoma"/>
            <family val="2"/>
          </rPr>
          <t xml:space="preserve">
Click link to visit proposal in eJacket</t>
        </r>
      </text>
    </comment>
    <comment ref="AD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2" authorId="0" shapeId="0">
      <text>
        <r>
          <rPr>
            <b/>
            <sz val="9"/>
            <color indexed="81"/>
            <rFont val="Tahoma"/>
            <family val="2"/>
          </rPr>
          <t>Snoeyink, Jack S.:</t>
        </r>
        <r>
          <rPr>
            <sz val="9"/>
            <color indexed="81"/>
            <rFont val="Tahoma"/>
            <family val="2"/>
          </rPr>
          <t xml:space="preserve">
No panel summaries should remain unmarked.  </t>
        </r>
      </text>
    </comment>
    <comment ref="AL2"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2"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2.xml><?xml version="1.0" encoding="utf-8"?>
<comments xmlns="http://schemas.openxmlformats.org/spreadsheetml/2006/main">
  <authors>
    <author>Snoeyink, Jack S.</author>
  </authors>
  <commentList>
    <comment ref="B2"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2" authorId="0" shapeId="0">
      <text>
        <r>
          <rPr>
            <b/>
            <sz val="9"/>
            <color indexed="81"/>
            <rFont val="Tahoma"/>
            <family val="2"/>
          </rPr>
          <t>Snoeyink, Jack S.:</t>
        </r>
        <r>
          <rPr>
            <sz val="9"/>
            <color indexed="81"/>
            <rFont val="Tahoma"/>
            <family val="2"/>
          </rPr>
          <t xml:space="preserve">
Proposal program reference codes</t>
        </r>
      </text>
    </comment>
    <comment ref="J2" authorId="0" shapeId="0">
      <text>
        <r>
          <rPr>
            <b/>
            <sz val="9"/>
            <color indexed="81"/>
            <rFont val="Tahoma"/>
            <family val="2"/>
          </rPr>
          <t>Snoeyink, Jack S.:</t>
        </r>
        <r>
          <rPr>
            <sz val="9"/>
            <color indexed="81"/>
            <rFont val="Tahoma"/>
            <family val="2"/>
          </rPr>
          <t xml:space="preserve">
State is red if EPSCoR code 9150 is not properly applied.</t>
        </r>
      </text>
    </comment>
    <comment ref="M2"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2" authorId="0" shapeId="0">
      <text>
        <r>
          <rPr>
            <b/>
            <sz val="9"/>
            <color indexed="81"/>
            <rFont val="Tahoma"/>
            <family val="2"/>
          </rPr>
          <t>Snoeyink, Jack S.:</t>
        </r>
        <r>
          <rPr>
            <sz val="9"/>
            <color indexed="81"/>
            <rFont val="Tahoma"/>
            <family val="2"/>
          </rPr>
          <t xml:space="preserve">
Basic research percentage, usually set to 100%</t>
        </r>
      </text>
    </comment>
    <comment ref="R2" authorId="0" shapeId="0">
      <text>
        <r>
          <rPr>
            <b/>
            <sz val="9"/>
            <color indexed="81"/>
            <rFont val="Tahoma"/>
            <family val="2"/>
          </rPr>
          <t>Snoeyink, Jack S.:</t>
        </r>
        <r>
          <rPr>
            <sz val="9"/>
            <color indexed="81"/>
            <rFont val="Tahoma"/>
            <family val="2"/>
          </rPr>
          <t xml:space="preserve">
Click link to send email to project lead PI
</t>
        </r>
      </text>
    </comment>
    <comment ref="V2" authorId="0" shapeId="0">
      <text>
        <r>
          <rPr>
            <b/>
            <sz val="9"/>
            <color indexed="81"/>
            <rFont val="Tahoma"/>
            <family val="2"/>
          </rPr>
          <t>Snoeyink, Jack S.:</t>
        </r>
        <r>
          <rPr>
            <sz val="9"/>
            <color indexed="81"/>
            <rFont val="Tahoma"/>
            <family val="2"/>
          </rPr>
          <t xml:space="preserve">
Click link to visit proposal in eJacket</t>
        </r>
      </text>
    </comment>
    <comment ref="AD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2" authorId="0" shapeId="0">
      <text>
        <r>
          <rPr>
            <b/>
            <sz val="9"/>
            <color indexed="81"/>
            <rFont val="Tahoma"/>
            <family val="2"/>
          </rPr>
          <t>Snoeyink, Jack S.:</t>
        </r>
        <r>
          <rPr>
            <sz val="9"/>
            <color indexed="81"/>
            <rFont val="Tahoma"/>
            <family val="2"/>
          </rPr>
          <t xml:space="preserve">
No panel summaries should remain unmarked.  </t>
        </r>
      </text>
    </comment>
    <comment ref="AL2"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2"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3.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s>
  <commentList>
    <comment ref="B2"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2" authorId="0" shapeId="0">
      <text>
        <r>
          <rPr>
            <b/>
            <sz val="9"/>
            <color indexed="81"/>
            <rFont val="Tahoma"/>
            <family val="2"/>
          </rPr>
          <t>Snoeyink, Jack S.:</t>
        </r>
        <r>
          <rPr>
            <sz val="9"/>
            <color indexed="81"/>
            <rFont val="Tahoma"/>
            <family val="2"/>
          </rPr>
          <t xml:space="preserve">
Proposal program reference codes</t>
        </r>
      </text>
    </comment>
    <comment ref="J2" authorId="0" shapeId="0">
      <text>
        <r>
          <rPr>
            <b/>
            <sz val="9"/>
            <color indexed="81"/>
            <rFont val="Tahoma"/>
            <family val="2"/>
          </rPr>
          <t>Snoeyink, Jack S.:</t>
        </r>
        <r>
          <rPr>
            <sz val="9"/>
            <color indexed="81"/>
            <rFont val="Tahoma"/>
            <family val="2"/>
          </rPr>
          <t xml:space="preserve">
State is red if EPSCoR code 9150 is not properly applied.</t>
        </r>
      </text>
    </comment>
    <comment ref="M2"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2" authorId="0" shapeId="0">
      <text>
        <r>
          <rPr>
            <b/>
            <sz val="9"/>
            <color indexed="81"/>
            <rFont val="Tahoma"/>
            <family val="2"/>
          </rPr>
          <t>Snoeyink, Jack S.:</t>
        </r>
        <r>
          <rPr>
            <sz val="9"/>
            <color indexed="81"/>
            <rFont val="Tahoma"/>
            <family val="2"/>
          </rPr>
          <t xml:space="preserve">
Basic research percentage, usually set to 100%</t>
        </r>
      </text>
    </comment>
    <comment ref="R2" authorId="0" shapeId="0">
      <text>
        <r>
          <rPr>
            <b/>
            <sz val="9"/>
            <color indexed="81"/>
            <rFont val="Tahoma"/>
            <family val="2"/>
          </rPr>
          <t>Snoeyink, Jack S.:</t>
        </r>
        <r>
          <rPr>
            <sz val="9"/>
            <color indexed="81"/>
            <rFont val="Tahoma"/>
            <family val="2"/>
          </rPr>
          <t xml:space="preserve">
Click link to send email to project lead PI
</t>
        </r>
      </text>
    </comment>
    <comment ref="V2" authorId="0" shapeId="0">
      <text>
        <r>
          <rPr>
            <b/>
            <sz val="9"/>
            <color indexed="81"/>
            <rFont val="Tahoma"/>
            <family val="2"/>
          </rPr>
          <t>Snoeyink, Jack S.:</t>
        </r>
        <r>
          <rPr>
            <sz val="9"/>
            <color indexed="81"/>
            <rFont val="Tahoma"/>
            <family val="2"/>
          </rPr>
          <t xml:space="preserve">
Click link to visit proposal in eJacket</t>
        </r>
      </text>
    </comment>
    <comment ref="AD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2"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2" authorId="0" shapeId="0">
      <text>
        <r>
          <rPr>
            <b/>
            <sz val="9"/>
            <color indexed="81"/>
            <rFont val="Tahoma"/>
            <family val="2"/>
          </rPr>
          <t>Snoeyink, Jack S.:</t>
        </r>
        <r>
          <rPr>
            <sz val="9"/>
            <color indexed="81"/>
            <rFont val="Tahoma"/>
            <family val="2"/>
          </rPr>
          <t xml:space="preserve">
No panel summaries should remain unmarked.  </t>
        </r>
      </text>
    </comment>
    <comment ref="AL2"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2"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 xml:space="preserve">Projects with the given 9-digit PI id(s) as PI or co-PI.  
Note: you can copy a column of ids from, say, All Personnel, select this field and click  "ROBOTIS" above to paste a comma-separated list from the copied column. </t>
        </r>
      </text>
    </comment>
    <comment ref="B23" authorId="0" shapeId="0">
      <text>
        <r>
          <rPr>
            <b/>
            <sz val="10"/>
            <color indexed="9"/>
            <rFont val="Corbel"/>
            <family val="2"/>
          </rPr>
          <t>Projects with a proposal submitted by these 10-digit institution ids.</t>
        </r>
      </text>
    </comment>
    <comment ref="B24" authorId="0" shapeId="0">
      <text>
        <r>
          <rPr>
            <b/>
            <sz val="10"/>
            <color indexed="9"/>
            <rFont val="Corbel"/>
            <family val="2"/>
          </rPr>
          <t>%Medium%  or %GOALI% can be used to restrict proposals to those that follow title conventions; ~%GOALI% to exclude.</t>
        </r>
      </text>
    </comment>
    <comment ref="B25"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Recommendations for up to three panels.</t>
        </r>
      </text>
    </comment>
    <comment ref="Q1" authorId="0" shapeId="0">
      <text>
        <r>
          <rPr>
            <b/>
            <sz val="9"/>
            <color indexed="81"/>
            <rFont val="Tahoma"/>
            <family val="2"/>
          </rPr>
          <t>Snoeyink, Jack S.:</t>
        </r>
        <r>
          <rPr>
            <sz val="9"/>
            <color indexed="81"/>
            <rFont val="Tahoma"/>
            <family val="2"/>
          </rPr>
          <t xml:space="preserve">
All reviews received from all panels and ad hocs. (Even unreleased.)</t>
        </r>
      </text>
    </comment>
    <comment ref="R1" authorId="0" shapeId="0">
      <text>
        <r>
          <rPr>
            <b/>
            <sz val="9"/>
            <color indexed="81"/>
            <rFont val="Tahoma"/>
            <family val="2"/>
          </rPr>
          <t>Snoeyink, Jack S.:</t>
        </r>
        <r>
          <rPr>
            <sz val="9"/>
            <color indexed="81"/>
            <rFont val="Tahoma"/>
            <family val="2"/>
          </rPr>
          <t xml:space="preserve">
Avg review score using
 9=E, 7=V, 5=G, 3=F, 1=P</t>
        </r>
      </text>
    </comment>
    <comment ref="S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T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U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V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W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BudgetBlocksQuery1"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p.prop_id, LTRIM(MAX( CASE pa.prop_atr_seq WHEN 0 THEN ' ' + pa.prop_atr_code ELSE '' END ) +_x000d__x000a_ MAX( CASE pa.prop_atr_seq WHEN 1 THEN ' ' + pa.prop_atr_code ELSE '' END ) +_x000d__x000a_ MAX( CASE pa.prop_atr_seq WHEN 2 THEN ' ' + pa.prop_atr_code ELSE '' END ) +_x000d__x000a_ MAX( CASE pa.prop_atr_seq WHEN 3 THEN ' ' + pa.prop_atr_code ELSE '' END ) + _x000d__x000a_ MAX( CASE pa.prop_atr_seq WHEN 4 THEN ' ' + pa.prop_atr_code ELSE '' END ) + _x000d__x000a_ MAX( CASE pa.prop_atr_seq WHEN 5 THEN ' ' + pa.prop_atr_code ELSE '' END ) + _x000d__x000a_ MAX( CASE pa.prop_atr_seq WHEN 6 THEN ' ' + pa.prop_atr_code ELSE '' END ) + _x000d__x000a_ MAX( CASE pa.prop_atr_seq WHEN 7 THEN ' ' + pa.prop_atr_code ELSE '' END ) + _x000d__x000a_ MAX( CASE pa.prop_atr_seq WHEN 8 THEN ' ' + pa.prop_atr_code ELSE '' END ) + _x000d__x000a_ MAX( CASE pa.prop_atr_seq WHEN 9 THEN ' ' + pa.prop_atr_code ELSE '' END )) AS PRCs_x000d__x000a_INTO #myPRCs_x000d__x000a_FROM #myPids p, csd.prop_atr pa WHERE p.prop_id = pa.prop_id AND pa.prop_atr_type_code = 'PRC'_x000d__x000a_GROUP BY p.prop_id_x000d__x000a_CREATE INDEX myPRCs_idx ON #myPRCs(prop_id)_x000d__x000a_SELECT p.lead, p.prop_id, eb.revn_num, eb.budg_seq_yr, eb.budg_tot_dol, _x000d__x000a_eb.sr_pers_cnt, eb.sr_summ_mnth_cnt, eb.pdoc_grnt_dol, eb.frgn_trav_dol, eb.part_dol_x000d__x000a_INTO #myBudg_x000d__x000a_FROM #myPids p, csd.eps_blip eb_x000d__x000a_WHERE p.prop_id = eb.prop_id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p.pm_ibm_logn_id, prop.lead,  prop.ILN, prop.prop_id, '' as pi_last_name, '' as inst_name, '' as pi_emai_addr, _x000d__x000a_eb.sr_pers_cnt, eb.sr_summ_mnth_cnt, eb.pdoc_grnt_dol, eb.frgn_trav_dol, eb.part_dol, eb.budg_tot_dol, _x000d__x000a_eb.revn_num, eb.budg_seq_yr, eb.budg_tot_dol AS dol, p.org_code, p.pgm_ele_code as PEC, prc.PRCs_x000d__x000a_FROM #myPids prop_x000d__x000a_JOIN csd.prop p ON p.prop_id = prop.prop_id_x000d__x000a_LEFT OUTER JOIN #myPRCs prc ON prc.prop_id = prop.prop_id_x000d__x000a_LEFT OUTER JOIN #myBudg eb ON eb.prop_id = prop.prop_id _x000d__x000a_UNION ALL SELECT p.nsf_rcvd_date, p.pgm_annc_id, p.org_code, p.pgm_ele_code, p.pm_ibm_logn_id, prop.lead,  prop.ILN, prop.prop_id, pi.pi_last_name, inst.inst_shrt_name, pi.pi_emai_addr, _x000d__x000a_null, null, null, null, null, null, (SELECT MAX(revn_num) from #myBudg b WHERE b.prop_id = prop.prop_id),_x000d__x000a_null, (SELECT SUM(budg_tot_dol) from #myBudg b WHERE b.prop_id = prop.prop_id), p.org_code, p.pgm_ele_code, prc.PRCs _x000d__x000a_FROM #myPids prop_x000d__x000a_JOIN csd.prop p ON p.prop_id = prop.prop_id_x000d__x000a_LEFT OUTER JOIN csd.pi_vw pi ON pi.pi_id = p.pi_id AND pi.prim_addr_flag='Y'_x000d__x000a_LEFT OUTER JOIN csd.inst inst ON inst.inst_id = p.inst_id_x000d__x000a_LEFT OUTER JOIN #myPRCs prc ON prc.prop_id = prop.prop_id_x000d__x000a_ORDER BY prop.lead, prop.ILN, prop.prop_id, eb.budg_seq_yr _x000d__x000a_DROP TABLE #myPids_x000d__x000a_DROP TABLE #myPRCs_x000d__x000a_DROP TABLE #myBudg_x000d__x000a_"/>
  </connection>
  <connection id="2" name="Query from RPTSERVER"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lead, convert(text, convert(varchar(16384),js.PROJ_SUMM_TXT) + convert(varchar(16384),js.INTUL_MERT) + convert(varchar(16384),js.BRODR_IMPT)) as summ_x000d__x000a_INTO #mySumm_x000d__x000a_FROM #myPids p _x000d__x000a_JOIN FLflpdb.flp.proj_summ js ON js.SPCL_CHAR_PDF &lt;&gt; 'Y' AND js.TEMP_PROP_ID = p.TEMP_PROP_ID_x000d__x000a_WHERE p.ILN &lt; 'M'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p.TEMP_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 CREATE INDEX p1 ON #myProps(lead)_x000d__x000a_SELECT p.lead, p.pi_last_name, rs.string, rs.score, rev_prop_vw.revr_id, rev_prop_vw.rev_rtrn_date, id=identity(18), 0 as 'seq'_x000d__x000a_INTO #myRevs_x000d__x000a_FROM #myProps p, csd.rev_prop_vw rev_prop_vw, tempdb.guest.revScores rs_x000d__x000a_WHERE p.ILN &lt; 'M' AND p.lead = rev_prop_vw.prop_id AND rev_prop_vw.rev_prop_rtng_ind = rs.yn _x000d__x000a_ORDER BY lead, score DESC_x000d__x000a_SELECT lead, MIN(id) as 'start' INTO #myStarts FROM #myRevs GROUP BY lead_x000d__x000a_UPDATE #myRevs set seq = id-M.start FROM #myRevs r, #myStarts M WHERE r.lead = M.lead_x000d__x000a_DROP TABLE #myStarts_x000d__x000a_SELECT   rv.lead, rv.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s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pi_last_name,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Props p, FLflpdb.flp.panl_prop_summ panl_prop_summ, FLflpdb.flp.panl_rcom_def panl_rcom_def, csd.panl panl_x000d__x000a_WHERE  p.ILN &lt; 'M' AND p.lead = panl_prop_summ.PROP_ID AND panl_prop_summ.PANL_ID = panl.panl_id_x000d__x000a_  AND panl_prop_summ.RCOM_SEQ_NUM = panl_rcom_def.RCOM_SEQ_NUM AND panl_prop_summ.PANL_ID = panl_rcom_def.PANL_ID_x000d__x000a_UNION ALL SELECT p.lead, p.pi_last_name, 'POCmnt', p.PO, p.prop_id, cmt.cmnt_cre_id, '', '', convert(varchar,cmt.cmnt_prop_stts_code), cmt.beg_eff_date, cmt.end_eff_date,'', cmt.cmnt_x000d__x000a_FROM #myProps p, FLflpdb.flp.cmnt_prop cmt WHERE p.prop_id = cmt.prop_id AND (p.ILN &lt; 'M' OR LEN(cmt.cmnt) &lt;&gt; (SELECT LEN(l.cmnt) FROM FLflpdb.flp.cmnt_prop l WHERE p.lead = l.prop_id))_x000d__x000a_UNION ALL SELECT p.lead, p.pi_last_name, 'RA' as docType, p.PO, '', ra.last_updt_user, '', '', null, null, ra.last_updt_tmsp, '', ra.prop_rev_anly_txt_x000d__x000a_FROM #myProps p, csd.prop_rev_anly_vw ra WHERE p.ILN &lt; 'M' AND p.lead = ra.prop_id_x000d__x000a_UNION ALL SELECT p.lead, p.pi_last_name, 'Abstr', p.PO, '', a.last_updt_user, a.cent_mrkr_prop, a.cent_mrkr_awd, null, null, a.last_updt_tmsp,'', a.abst_narr_txt_x000d__x000a_FROM #myProps p, csd.abst a WHERE p.prop_id = a.awd_id AND (p.ILN &lt; 'M' OR LEN(a.abst_narr_txt) &lt;&gt;  (SELECT LEN(l.abst_narr_txt) FROM csd.abst l WHERE p.lead = l.awd_id))_x000d__x000a_UNION ALL SELECT p.lead, p.pi_last_name, 'SummProj',p.PO, '', '', '', null, null, null, p.nsf_rcvd_date,'', s.summ_x000d__x000a_FROM #myProps p, #mySumm s WHERE p.ILN &lt; 'M' AND s.lead = p.lead_x000d__x000a__x000d__x000a_ORDER BY lead, docType, revr_last_name, revr_id_x000d__x000a_DROP TABLE #myRevs,#myProps, #mySumm_x000d__x000a_"/>
  </connection>
  <connection id="3" name="RAMailMerge"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 PRCs for props_x000d__x000a_SELECT DISTINCT p.prop_id, pa.prop_atr_code, id=identity(18), 0 as seq_x000d__x000a_INTO #myPRCs_x000d__x000a_FROM #myPids p_x000d__x000a_JOIN csd.prop_atr pa ON pa.prop_id = p.prop_id AND pa.prop_atr_type_code = 'PRC'_x000d__x000a_ORDER BY p.prop_id, pa.prop_atr_code_x000d__x000a_SELECT prop_id, MIN(id) as start INTO #myPRCStart FROM #myPRCs GROUP BY prop_id_x000d__x000a_UPDATE #myPRCs set seq = id-M.start FROM #myPRCs r, #myPRCStart M WHERE r.prop_id = M.prop_id_x000d__x000a_DROP TABLE #myPRCStart_x000d__x000a_declare @PRCseparator varchar(2)_x000d__x000a_set @PRCseparator = ', ' --char(10)+char(13)_x000d__x000a_-- per-proposal data_x000d__x000a_SELECT pid.lead, pid.ILN, pid.prop_id,_x000d__x000a_pi_last_name as L, pi_frst_name as F, inst_shrt_name as I, pi_emai_addr AS M, rqst_dol as D, _x000d__x000a_prc.PRCs as R, prc2.PRCs AS RN, b.revn_num as N, b.Tot as T, id=identity(18), 0 as seq_x000d__x000a_INTO #myProp_x000d__x000a_FROM #myPids pid_x000d__x000a_JOIN csd.prop p ON p.prop_id = pid.prop_id_x000d__x000a_LEFT OUTER JOIN csd.pi_vw pi ON pi.pi_id = p.pi_id_x000d__x000a_LEFT OUTER JOIN csd.inst inst ON inst.inst_id = p.inst_id_x000d__x000a_LEFT OUTER JOIN (SELECT p.prop_id, eb.revn_num, SUM(eb.budg_tot_dol) as Tot--, COUNT(eb.budg_seq_yr) as Yrs_x000d__x000a_    FROM #myPids p_x000d__x000a_    JOIN csd.eps_blip eb ON p.prop_id = eb.prop_id AND NOT EXISTS (SELECT eb1.revn_num FROM csd.eps_blip eb1 WHERE eb.prop_id = eb1.prop_id AND eb.revn_num &lt; eb1.revn_num)_x000d__x000a_    GROUP BY p.prop_id, eb.revn_num) b ON b.prop_id = pid.prop_id_x000d__x000a_LEFT OUTER JOIN (SELECT prop_id,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PRCs_x000d__x000a_    FROM #myPRCs pa _x000d__x000a_    GROUP BY prop_id) prc ON prc.prop_id = pid.prop_id_x000d__x000a_LEFT OUTER JOIN (SELECT prop_id, MAX( CASE pa.seq WHEN 0 THEN rtrim(pa.prop_atr_code) + ': '+ pgm_ref_long_name ELSE '' END ) +_x000d__x000a_        MAX( CASE pa.seq WHEN 1 THEN @PRCseparator + rtrim(pa.prop_atr_code) + ': '+ pgm_ref_long_name ELSE '' END ) +_x000d__x000a_        MAX( CASE pa.seq WHEN 2 THEN @PRCseparator + rtrim(pa.prop_atr_code) + ': '+ pgm_ref_long_name ELSE '' END ) +_x000d__x000a_        MAX( CASE pa.seq WHEN 3 THEN @PRCseparator + rtrim(pa.prop_atr_code) + ': '+ pgm_ref_long_name ELSE '' END ) +_x000d__x000a_        MAX( CASE pa.seq WHEN 4 THEN @PRCseparator + rtrim(pa.prop_atr_code) + ': '+ pgm_ref_long_name ELSE '' END ) +_x000d__x000a_        MAX( CASE pa.seq WHEN 5 THEN @PRCseparator + rtrim(pa.prop_atr_code) + ': '+ pgm_ref_long_name ELSE '' END ) +_x000d__x000a_        MAX( CASE pa.seq WHEN 6 THEN @PRCseparator + rtrim(pa.prop_atr_code) + ': '+ pgm_ref_long_name ELSE '' END ) AS 'PRCs'_x000d__x000a_    FROM #myPRCs pa _x000d__x000a_    JOIN csd.pgm_ref prc ON pa.prop_atr_code = prc.pgm_ref_code_x000d__x000a_    GROUP BY prop_id) prc2 ON prc2.prop_id = pid.prop_id_x000d__x000a_WHERE pi.prim_addr_flag='Y'_x000d__x000a_ORDER BY lead, ILN, prop_id_x000d__x000a_DROP TABLE #myPRCs_x000d__x000a_SELECT lead, MIN(id) as start INTO #myPropStart FROM #myProp GROUP BY lead_x000d__x000a_UPDATE #myProp set seq = id-M.start FROM #myProp r, #myPropStart M WHERE r.lead = M.lead_x000d__x000a_DROP TABLE #myPropStart_x000d__x000a_SELECT rp.*, _x000d__x000a_CASE WHEN rpv.rev_prop_unrl_flag  = 'Y' THEN 1 ELSE 0 END as unrlsbl,_x000d__x000a_CASE WHEN (rpv.rev_rlse_flag  &lt;&gt; 'Y'AND rpv.rev_prop_unrl_flag  &lt;&gt; 'Y') THEN 1 ELSE 0 END as unmkd, _x000d__x000a_rs.string, rs.score, id=identity(18), 0 as 'seq'_x000d__x000a_INTO #myRevs FROM (_x000d__x000a_    SELECT p.lead, pp.panl_id, rp.revr_id, rp.rev_stts_code, rp.rev_type_code, rp.rev_sent_date,rp.rev_rtrn_date, rp.rev_due_date_x000d__x000a_    FROM #myPids p _x000d__x000a_    JOIN csd.panl_prop pp ON pp.prop_id = p.lead_x000d__x000a_    JOIN csd.rev_prop rp ON rp.prop_id = p.lead AND rp.rev_type_code&lt;&gt;'R'_x000d__x000a_    JOIN csd.panl_revr pr ON pr.panl_id = pp.panl_id AND pr.revr_id = rp.revr_id_x000d__x000a_    WHERE ILN &lt; 'M'AND rp.rev_stts_code &lt;&gt; 'C'AND rev_rtrn_date is not null _x000d__x000a_UNION ALL SELECT p.lead, '.ad hoc', rp.revr_id, rp.rev_stts_code, rp.rev_type_code, rp.rev_sent_date, rp.rev_rtrn_date, rp.rev_due_date_x000d__x000a_    FROM #myPids p _x000d__x000a_    JOIN csd.rev_prop rp ON rp.prop_id = p.lead AND rp.rev_type_code='R' -- ad hoc only_x000d__x000a_    WHERE ILN &lt; 'M'AND rp.rev_stts_code &lt;&gt; 'C' AND rev_rtrn_date is not null ) rp_x000d__x000a_LEFT OUTER JOIN csd.rev_prop_vw rpv ON rpv.prop_id = rp.lead AND rpv.revr_id = rp.revr_id_x000d__x000a_LEFT OUTER JOIN tempdb.guest.revScores rs ON rs.yn = rpv.rev_prop_rtng_ind_x000d__x000a_ORDER BY lead, score DESC, panl_id _x000d__x000a_SELECT lead, MIN(id) as 'start' INTO #myStarts FROM #myRevs GROUP BY lead_x000d__x000a_UPDATE #myRevs set seq = id-M.start FROM #myRevs r, #myStarts M  WHERE r.lead = M.lead_x000d__x000a_DROP TABLE #myStarts_x000d__x000a_--r.Nrev,r.Nunrlsd,r.Nunmkd,r.reviews,r.avg_score,r.last_rev_date_x000d__x000a_SELECT lead, count(revr_id) as Nrev, nullif(sum(unrlsbl),0) as Nunrlsd, nullif(sum(unmkd),0) as Nunmkd,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reviews, AVG(r.score) AS avg_score, MAX(r.rev_rtrn_date) AS last_rev_date_x000d__x000a_INTO #myRevSumm_x000d__x000a_FROM #myRevs r_x000d__x000a_GROUP BY r.lead_x000d__x000a_ORDER BY r.lead_x000d__x000a_CREATE INDEX myRevSumm_ix ON #myRevSumm(lead)_x000d__x000a_SELECT lead,panl_id, count(revr_id) as Nrev,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reviews, MAX(r.rev_rtrn_date) AS last_rev_date_x000d__x000a_INTO #myRevPanl_x000d__x000a_FROM #myRevs r_x000d__x000a_GROUP BY lead, panl_id_x000d__x000a_ORDER BY lead, panl_id_x000d__x000a_-- panel summaries_x000d__x000a_SELECT ps.panl_id as I,panl_name as N, panl_end_date as E, convert(varchar,SUM(ps.rtCount)) + ' rated projects: ' +_x000d__x000a_        MAX( CASE ps.RCOM_SEQ_NUM WHEN 1 THEN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 as S_x000d__x000a_INTO #panlSumm_x000d__x000a_FROM  csd.panl panl,_x000d__x000a_      (SELECT pl.panl_id, prd.RCOM_SEQ_NUM, prd.RCOM_ABBR, Count(pps.PROP_ID) AS rtCount_x000d__x000a_        FROM FLflpdb.flp.panl_prop_summ pps, FLflpdb.flp.panl_rcom_def prd, csd.prop pr,_x000d__x000a_             (SELECT DISTINCT panl_id FROM #myPids p _x000d__x000a_              JOIN csd.panl_prop pp ON pp.prop_id = p.prop_id) pl_x000d__x000a_        WHERE pl.panl_id = pps.PANL_ID   ------- panel must have one of my proposals_x000d__x000a_          AND pps.PROP_ID = pr.prop_id AND pr.prop_id=isnull(pr.lead_prop_id,pr.prop_id) --- count leads only_x000d__x000a_          AND pps.PANL_ID *= prd.PANL_ID AND pps.RCOM_SEQ_NUM *= prd.RCOM_SEQ_NUM_x000d__x000a_       GROUP BY pl.panl_id, prd.RCOM_SEQ_NUM, prd.RCOM_ABBR ) ps_x000d__x000a_WHERE ps.PANL_ID = panl.PANL_ID_x000d__x000a_GROUP BY ps.panl_id, panl.panl_name, panl_end_date_x000d__x000a_ORDER BY ps.panl_id_x000d__x000a_SELECT rp.lead,  PS.*, pps.RCOM_SEQ_NUM AS RS, prd.RCOM_ABBR as RA, prd.RCOM_TXT as RT, pps.PROP_ORDR as RK,_x000d__x000a_rp.reviews as V,rp.last_rev_date as D, -- pps.PANL_SUMM_TXT as T,_x000d__x000a_CASE WHEN panl_summ_rlse_flag = 'Y' THEN 1 ELSE 0 END as summ_rlse, _x000d__x000a_CASE WHEN (panl_summ_unrl_flag &lt;&gt; 'Y' AND panl_summ_rlse_flag &lt;&gt; 'Y')  THEN 1 ELSE 0 END as summ_unmrkd,_x000d__x000a_id=identity(18), 0 as seq_x000d__x000a_INTO #myProjPanl_x000d__x000a_FROM #myRevPanl rp_x000d__x000a_JOIN #PanlSumm PS ON PS.I = rp.panl_id_x000d__x000a_LEFT OUTER JOIN FLflpdb.flp.panl_prop_summ pps ON pps.panl_id = rp.panl_id AND pps.prop_id = lead_x000d__x000a_LEFT OUTER JOIN FLflpdb.flp.panl_rcom_def prd ON prd.panl_id = rp.panl_id  AND prd.RCOM_SEQ_NUM = pps.RCOM_SEQ_NUM_x000d__x000a_order by lead, PS.E_x000d__x000a_SELECT lead, MIN(id) as 'start' INTO #myPStarts FROM #myProjPanl GROUP BY lead_x000d__x000a_UPDATE #myProjPanl set seq = id-M.start FROM #myProjPanl r, #myPStarts M  WHERE r.lead = M.lead_x000d__x000a_DROP TABLE #myPStarts_x000d__x000a_declare @olddate datetime_x000d__x000a_set @olddate = '1/1/2000'_x000d__x000a_SELECT getdate() AS pulldate, nsf_rcvd_date, ra.last_updt_tmsp as RAupdate, nullif(dd_rcom_date,'1900-01-01') AS dd_rcom_date, cntx_stmt_id,_x000d__x000a_prop.pgm_annc_id, prop.org_code, prop.pgm_ele_code, prop.pm_ibm_logn_id as PO,prop_stts_abbr,natr_rqst.natr_rqst_abbr,prop.obj_clas_code,_x000d__x000a_isnull(RecRkMin,9) AS RecRkMin, pn0.RA AS RCOM_ABBR0,pn1.RA AS RCOM_ABBR1, pn2.RA AS RCOM_ABBR2,_x000d__x000a_r.reviews,r.avg_score,_x000d__x000a_r.Nrev,r.Nunrlsd,r.Nunmkd,r.last_rev_date,_x000d__x000a_nPanl, nPSrlse, nPSunmrkd,_x000d__x000a_org.dir_div_abbr as Div, p0.prop_id as prop_id0, p0.L as last0, p0.F as frst0, p0.I as inst0, p0.D as rqst0, p0.T as b0tot,_x000d__x000a_a.Nrev as AhNrev, a.reviews as AhRevs, a.last_rev_date as AhLast, _x000d__x000a_   pn0.I AS panl_id0, pn0.RT AS RCOM_TXT0, pn0.RK AS rank0, pn0.N AS panl_name0,pn0.E AS panl_end0,pn0.V AS revs0,pn0.S AS panlSumm0,--pn0.T AS PStxt0,_x000d__x000a_   pn1.I AS panl_id1, pn1.RT AS RCOM_TXT1, pn1.RK AS rank1, pn1.N AS panl_name1,pn1.E AS panl_end1,pn1.V AS revs1,pn1.S AS panlSumm1,--pn1.T AS PStxt1,_x000d__x000a_   pn2.I AS panl_id2, pn2.RT AS RCOM_TXT2, pn2.RK AS rank2, pn2.N AS panl_name2,pn2.E AS panl_end2,pn2.V AS revs2,pn2.S AS panlSumm2,--pn2.T AS PStxt2,_x000d__x000a_rtrim(prop_titl_txt) AS prop_titl_txt, projTot.rqst_tot,budg_tot,budRevnMax, prop.rqst_eff_date, prop.rqst_mnth_cnt, _x000d__x000a_rtrim(pa.dflt_prop_titl_txt) AS solicitation, org.org_long_name, _x000d__x000a_pgm_ele_name, sign_blck_name, prop_stts.prop_stts_txt, obj_clas_name,_x000d__x000a_o2.dir_div_abbr as Dir, o2.org_long_name as Dir_name, _x000d__x000a_p0.R as PRC0,p0.RN as PRCN0,_x000d__x000a_p1.prop_id as prop_id1, p1.L as last1, p1.F as frst1, p1.I as inst1, p1.D as rqst1, p1.T as b1tot, p1.R as PRC1,p1.RN as PRCN1,_x000d__x000a_p2.prop_id as prop_id2, p2.L as last2, p2.F as frst2, p2.I as inst2, p2.D as rqst2, p2.T as b2tot, p2.R as PRC2,p2.RN as PRCN2,_x000d__x000a_p3.prop_id as prop_id3, p3.L as last3, p3.F as frst3, p3.I as inst3, p3.D as rqst3, p3.T as b3tot, p3.R as PRC3,p3.RN as PRCN3,_x000d__x000a_p4.prop_id as prop_id4, p4.L as last4, p4.F as frst4, p4.I as inst4, p4.D as rqst4, p4.T as b4tot, p4.R as PRC4,p4.RN as PRCN4,_x000d__x000a_p5.prop_id as prop_id5, p5.L as last5, p5.F as frst5, p5.I as inst5, p5.D as rqst5, p5.T as b5tot, p5.R as PRC5,p5.RN as PRCN5,_x000d__x000a_p6.prop_id as prop_id6, p6.L as last6, p6.F as frst6, p6.I as inst6, p6.D as rqst6, p6.T as b6tot, p6.R as PRC6,p6.RN as PRCN6,_x000d__x000a_p0.M AS email, (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FROM #myPids p_x000d__x000a_JOIN csd.prop prop ON prop.prop_id = p.lead_x000d__x000a_JOIN csd.org org ON org.org_code = prop.org_code_x000d__x000a_JOIN csd.org o2 ON o2.org_code =left(prop.org_code,2)+'000000' _x000d__x000a_LEFT OUTER JOIN csd.pgm_ele pe ON pe.pgm_ele_code = prop.pgm_ele_code_x000d__x000a_LEFT OUTER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OUTER JOIN csd.prop_rev_anly_vw ra ON ra.prop_id = p.lead_x000d__x000a_JOIN (SELECT lead, SUM(D) AS rqst_tot,MAX(N) AS budRevnMax, SUM(T) AS budg_tot _x000d__x000a_    FROM #myProp GROUP BY lead) projTot ON projTot.lead = p.lead_x000d__x000a_LEFT OUTER JOIN (SELECT * FROM #myProp mp WHERE mp.seq = 0) p0 ON p0.lead = p.lead_x000d__x000a_LEFT OUTER JOIN (SELECT * FROM #myProp mp WHERE mp.seq = 1) p1 ON p1.lead = p.lead_x000d__x000a_LEFT OUTER JOIN (SELECT * FROM #myProp mp WHERE mp.seq = 2) p2 ON p2.lead = p.lead_x000d__x000a_LEFT OUTER JOIN (SELECT * FROM #myProp mp WHERE mp.seq = 3) p3 ON p3.lead = p.lead_x000d__x000a_LEFT OUTER JOIN (SELECT * FROM #myProp mp WHERE mp.seq = 4) p4 ON p4.lead = p.lead_x000d__x000a_LEFT OUTER JOIN (SELECT * FROM #myProp mp WHERE mp.seq = 5) p5 ON p5.lead = p.lead_x000d__x000a_LEFT OUTER JOIN (SELECT * FROM #myProp mp WHERE mp.seq = 6) p6 ON p6.lead = p.lead_x000d__x000a_LEFT OUTER JOIN #myRevSumm r ON r.lead = p.lead_x000d__x000a_LEFT OUTER JOIN #myRevPanl a ON a.lead = p.lead AND panl_id = '.ad hoc'_x000d__x000a_LEFT OUTER JOIN (SELECT lead, count(I) AS nPanl, min(RS)+isnull(min(RK),0)/100.0 AS RecRkMin, nullif(sum(summ_rlse),0) as nPSrlse, _x000d__x000a_    nullif(sum(summ_unmrkd),0) as nPSunmrkd FROM #myProjPanl GROUP BY lead) pn ON pn.lead = p.lead_x000d__x000a_LEFT OUTER JOIN (SELECT * FROM #myProjPanl WHERE 0=seq) pn0 ON pn0.lead = p.lead_x000d__x000a_LEFT OUTER JOIN (SELECT * FROM #myProjPanl WHERE 1=seq) pn1 ON pn1.lead = p.lead_x000d__x000a_LEFT OUTER JOIN (SELECT * FROM #myProjPanl WHERE 2=seq) pn2 ON pn2.lead = p.lead _x000d__x000a_LEFT OUTER JOIN csd.po_vw po_vw ON po_vw.po_ibm_logn_id = prop.pm_ibm_logn_id_x000d__x000a_WHERE p.ILN &lt; 'M'_x000d__x000a_UNION all SELECT getdate(),@olddate,@olddate,@olddate,'.first line.', -- dummy data to get MM formatting right_x000d__x000a_'.dummy.','00000000','0000','.blank.','....','...','....', -1, -- min RecRkMin_x000d__x000a_'.X','.X','.X', 'E,V,G,F,P',0, -- recommendations &amp; revs_x000d__x000a_0,0,0,@olddate, --revs_x000d__x000a_0,0,0, -- nPanl_x000d__x000a_'...','0000000', '.dummy.','.data.','.for formatting.', 0,0,_x000d__x000a_0,'E,V,G,F,P',@olddate, --ad hoc_x000d__x000a_'P000000','.blank.',0,'.intentional blank.', @olddate, 'E,V,G,F,P', '.keep this line first.', --'.blank summary for formatting. Keep as first line. Mail-merge looks at the first few lines of the mail merge source to infer the types of data that it will see.  If those first few lines are null in a column, then it will guess that it is an number, which is the wrong thing to do for long text fields like this one. Therefore, I include a dummy first line that will never be used to generate an RA, but does have data of the correct format for MailMerge to pick up. ',_x000d__x000a_'P000001','.blank.',0,'.intentional blank.', @olddate, 'E,V,G,F,P', '.keep this line first.', --'.blank summary for formatting. Keep as first line. Mail-merge looks at the first few lines of the mail merge source to infer the types of data that it will see.  If those first few lines are null in a column, then it will guess that it is an number, which is the wrong thing to do for long text fields like this one. Therefore, I include a dummy first line that will never be used to generate an RA, but does have data of the correct format for MailMerge to pick up. ',_x000d__x000a_'P000002','.blank.',0,'.intentional blank.', @olddate, 'E,V,G,F,P', '.keep this line first.', --'.blank summary for formatting. Keep as first line. Mail-merge looks at the first few lines of the mail merge source to infer the types of data that it will see.  If those first few lines are null in a column, then it will guess that it is an number, which is the wrong thing to do for long text fields like this one. Therefore, I include a dummy first line that will never be used to generate an RA, but does have data of the correct format for MailMerge to pick up. ',_x000d__x000a_'.dummy title as first line for formatting.', 0,0,0, @olddate,0,'.dummy pgm annc/solic for formatting.', -- title-solic_x000d__x000a_'.dummy div name.', '.dummy pec name.','Jack Snoeyink','.dummy status.','.dummy object class','NSF','.dummy dir name.',_x000d__x000a_ 'PRCs', 'PRCs Names',_x000d__x000a_'0000000', '.dummy.','.data.','.for formatting.', 0,0, 'PRCs', 'PRCs Names',_x000d__x000a_'0000000', '.dummy.','.data.','.for formatting.', 0,0, 'PRCs', 'PRCs Names',_x000d__x000a_'0000000', '.dummy.','.data.','.for formatting.', 0,0, 'PRCs', 'PRCs Names',_x000d__x000a_'0000000', '.dummy.','.data.','.for formatting.', 0,0, 'PRCs', 'PRCs Names',_x000d__x000a_'0000000', '.dummy.','.data.','.for formatting.', 0,0, 'PRCs', 'PRCs Names',_x000d__x000a_'0000000', '.dummy.','.data.','.for formatting.', 0,0, 'PRCs', 'PRCs Names',_x000d__x000a_'.dummy email.','.dummy all-PIs email.'_x000d__x000a_ORDER BY RecRkMin, p0.prop_id_x000d__x000a_DROP TABLE #myPids, #myProp, #myRevs, #myRevSumm, #myRevPanl, #myProjPanl, #PanlSumm_x000d__x000a_"/>
  </connection>
  <connection id="4" name="RAMailMerge1"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p.prop_id, ctry.ctry_name, id=identity(18), 0 as 'seq' INTO #myCtry_x000d__x000a_FROM #myPids p_x000d__x000a_JOIN csd.prop_spcl_item_vw sp1 ON sp1.TEMP_PROP_ID = p.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SELECT DISTINCT p.prop_id, pa.prop_atr_code, id=identity(18), 0 as 'seq' INTO #myPRCs_x000d__x000a_FROM #myPids p_x000d__x000a_JOIN csd.prop_atr pa ON pa.prop_id = p.prop_id AND pa.prop_atr_type_code = 'PRC'_x000d__x000a_ORDER BY p.prop_id, pa.prop_atr_code_x000d__x000a_CREATE INDEX myPRCs_idx ON #myPRCs(prop_id) _x000d__x000a_SELECT prop_id, MIN(id) as 'start' INTO #myPRCStart FROM #myPRCs GROUP BY prop_id_x000d__x000a_UPDATE #myPRCs set seq = id-M.start FROM #myPRCs r, #myPRCStart M WHERE r.prop_id = M.prop_id_x000d__x000a_DROP TABLE #myPRCStart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_x000d__x000a_FROM (SELECT p.prop_id, pi_id FROM #myPids p JOIN csd.prop prop ON prop.prop_id = p.prop_id_x000d__x000a_      UNION ALL SELECT p.prop_id, pi_id FROM #myPids p JOIN csd.addl_pi_invl a ON a.prop_id = p.prop_id) PIs_x000d__x000a_LEFT OUTER JOIN csd.pi_vw pi ON pi.pi_id = PIs.pi_id_x000d__x000a_LEFT OUTER JOIN csd.PI_dmog d ON d.pi_id = PIs.pi_id_x000d__x000a_GROUP BY prop_id_x000d__x000a_ORDER BY prop_id_x000d__x000a_CREATE INDEX myDmog_idx ON #myDmog(prop_id)_x000d__x000a_-- revs_x000d__x000a_SELECT p.prop_id, COUNT(*) as Nrev,_x000d__x000a_nullif(SUM(CASE WHEN rpv.rev_prop_unrl_flag = 'Y' THEN 1 ELSE 0 END),0) as NrevUnreleasable,_x000d__x000a_nullif(SUM(CASE WHEN rpv.rev_rlse_flag = 'Y' THEN 0 WHEN rpv.rev_prop_unrl_flag = 'Y'THEN 0 ELSE 1 END),0) as NrevUnmarked _x000d__x000a_INTO #myRevs _x000d__x000a_FROM #myPids p_x000d__x000a_JOIN csd.rev_prop rp ON rp.prop_id = p.prop_id AND rp.rev_stts_code &lt;&gt; 'C'_x000d__x000a_JOIN csd.rev_prop_vw rpv ON rpv.prop_id = p.prop_id AND rpv.revr_id = rp.revr_id _x000d__x000a_GROUP BY p.prop_id_x000d__x000a_ORDER BY p.prop_id_x000d__x000a_-- summ_x000d__x000a_SELECT p.prop_id, COUNT(pp.panl_id) as Npanl,_x000d__x000a_nullif(SUM(CASE WHEN pps.panl_summ_unrl_flag = 'Y' THEN 1 ELSE 0 END),0) as NpanlUnreleasable,_x000d__x000a_nullif(SUM(CASE WHEN pps.panl_summ_rlse_flag = 'Y' THEN 0 WHEN pps.panl_summ_unrl_flag = 'Y'THEN 0 ELSE 1 END),0) as NpanlUnmarked  _x000d__x000a_INTO #myPanl_x000d__x000a_FROM #myPids p_x000d__x000a_JOIN csd.panl_prop pp ON pp.prop_id = p.prop_id_x000d__x000a_LEFT OUTER JOIN FLflpdb.flp.panl_prop_summ pps ON pps.prop_id = p.prop_id AND pps.panl_id = pp.panl_id_x000d__x000a_GROUP BY p.prop_id_x000d__x000a_ORDER BY p.prop_id_x000d__x000a_-- props: get codes to check if they match leads_x000d__x000a_SELECT p.nsf_rcvd_date, nullif(p.dd_rcom_date,'1900-01-01') AS dd_rcom_date,_x000d__x000a_ILN, lead, p.prop_id,_x000d__x000a_pi.pi_last_name, pi.pi_frst_name, inst.inst_shrt_name AS inst_name, _x000d__x000a_pi.pi_emai_addr,p.rqst_dol, p.rqst_eff_date,p.rqst_mnth_cnt,p.cntx_stmt_id, p.bas_rsch_pct, p.apld_rsch_pct+p.educ_trng_pct+land_buld_fix_equp_pct+mjr_equp_pct+non_invt_pct AS other_pct,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SELECT MAX(CASE b.seq WHEN 1 THEN b.ctry_name ELSE '' END)+_x000d__x000a_    MAX(CASE b.seq WHEN 2 THEN '; '+b.ctry_name ELSE '' END)+_x000d__x000a_    MAX(CASE b.seq WHEN 3 THEN '; '+b.ctry_name ELSE '' END)+_x000d__x000a_    MAX(CASE b.seq WHEN 4 THEN '; '+b.ctry_name ELSE '' END)+_x000d__x000a_    MAX(CASE b.seq WHEN 5 THEN '; '+b.ctry_name ELSE '' END)+_x000d__x000a_    MAX(CASE b.seq WHEN 6 THEN '; '+b.ctry_name ELSE '' END)+_x000d__x000a_    MAX(CASE b.seq WHEN 7 THEN '; '+b.ctry_name ELSE '' END)+_x000d__x000a_    MAX(CASE b.seq WHEN 8 THEN '; '+b.ctry_name ELSE '' END) _x000d__x000a_    FROM #myCtry b WHERE b.prop_id = prop.prop_id) AS Country,_x000d__x000a_a.abst_narr_txt, (SELECT SUM(frgn_trav_dol) FROM csd.eps_blip eb WHERE eb.prop_id = prop.prop_id AND NOT EXISTS (SELECT eb1.revn_num FROM csd.eps_blip eb1 WHERE eb.prop_id = eb1.prop_id AND eb.revn_num &lt; eb1.revn_num)) as frgn_trvl_dol,_x000d__x000a_p.pgm_annc_id, p.org_code, p.pgm_ele_code, p.pm_ibm_logn_id as PO, NfmlPIs,NhispPIs,NhndcpPIs,NnonWhtAsnPIs, Nrev,NrevUnreleasable, NrevUnmarked,  Npanl, NpanlUnreleasable, NpanlUnmarked,_x000d__x000a_p.obj_clas_code, p.natr_rqst_code, p.prop_stts_code, PRCs, p.prop_titl_txt,_x000d__x000a_p.inst_id, inst.st_code, p.pi_id, ra.last_updt_tmsp as RAupdate_x000d__x000a_FROM #myPids prop_x000d__x000a_JOIN csd.prop p ON p.prop_id = prop.prop_id_x000d__x000a_JOIN #myDmog d ON d.prop_id = prop.prop_id_x000d__x000a_LEFT OUTER JOIN csd.inst inst ON inst.inst_id = p.inst_id_x000d__x000a_LEFT OUTER JOIN csd.pi_vw pi ON pi.pi_id = p.pi_id_x000d__x000a_LEFT OUTER JOIN #myRevs rv ON rv.prop_id = prop.prop_id_x000d__x000a_LEFT OUTER JOIN #myPanl pl ON pl.prop_id = prop.prop_id_x000d__x000a_LEFT OUTER JOIN csd.abst a ON a.awd_id = prop.prop_id_x000d__x000a_LEFT OUTER JOIN csd.prop_rev_anly_vw ra ON ra.prop_id = prop.prop_id_x000d__x000a_LEFT OUTER JOIN FLflpdb.flp.PROP_COVR PC ON PC.TEMP_PROP_ID = prop.TEMP_PROP_ID_x000d__x000a_LEFT OUTER JOIN (SELECT prop_id,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PRCs_x000d__x000a_    FROM #myPRCs pa _x000d__x000a_    GROUP BY prop_id) myPRCs ON myPRCs.prop_id = prop.prop_id_x000d__x000a_WHERE pi.prim_addr_flag='Y'_x000d__x000a_ORDER BY prop.lead, prop.ILN, prop.prop_id_x000d__x000a_DROP TABLE #myDmog DROP TABLE #myPids DROP TABLE #myPRCs DROP TABLE #myCtry DROP TABLE #myRevs DROP TABLE #myPanl_x000d__x000a_"/>
  </connection>
  <connection id="5" name="RAMailMerge11"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p.prop_id, ctry.ctry_name, id=identity(18), 0 as 'seq' INTO #myCtry_x000d__x000a_FROM #myPids p_x000d__x000a_JOIN csd.prop_spcl_item_vw sp1 ON sp1.TEMP_PROP_ID = p.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SELECT DISTINCT p.prop_id, pa.prop_atr_code, id=identity(18), 0 as 'seq' INTO #myPRCs_x000d__x000a_FROM #myPids p_x000d__x000a_JOIN csd.prop_atr pa ON pa.prop_id = p.prop_id AND pa.prop_atr_type_code = 'PRC'_x000d__x000a_ORDER BY p.prop_id, pa.prop_atr_code_x000d__x000a_CREATE INDEX myPRCs_idx ON #myPRCs(prop_id) _x000d__x000a_SELECT prop_id, MIN(id) as 'start' INTO #myPRCStart FROM #myPRCs GROUP BY prop_id_x000d__x000a_UPDATE #myPRCs set seq = id-M.start FROM #myPRCs r, #myPRCStart M WHERE r.prop_id = M.prop_id_x000d__x000a_DROP TABLE #myPRCStart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_x000d__x000a_FROM (SELECT p.prop_id, pi_id FROM #myPids p JOIN csd.prop prop ON prop.prop_id = p.prop_id_x000d__x000a_      UNION ALL SELECT p.prop_id, pi_id FROM #myPids p JOIN csd.addl_pi_invl a ON a.prop_id = p.prop_id) PIs_x000d__x000a_LEFT OUTER JOIN csd.pi_vw pi ON pi.pi_id = PIs.pi_id_x000d__x000a_LEFT OUTER JOIN csd.PI_dmog d ON d.pi_id = PIs.pi_id_x000d__x000a_GROUP BY prop_id_x000d__x000a_ORDER BY prop_id_x000d__x000a_CREATE INDEX myDmog_idx ON #myDmog(prop_id)_x000d__x000a_-- revs_x000d__x000a_SELECT p.prop_id, COUNT(*) as Nrev,_x000d__x000a_nullif(SUM(CASE WHEN rpv.rev_prop_unrl_flag = 'Y' THEN 1 ELSE 0 END),0) as NrevUnreleasable,_x000d__x000a_nullif(SUM(CASE WHEN rpv.rev_rlse_flag = 'Y' THEN 0 WHEN rpv.rev_prop_unrl_flag = 'Y'THEN 0 ELSE 1 END),0) as NrevUnmarked _x000d__x000a_INTO #myRevs _x000d__x000a_FROM #myPids p_x000d__x000a_JOIN csd.rev_prop rp ON rp.prop_id = p.prop_id AND rp.rev_stts_code &lt;&gt; 'C'_x000d__x000a_JOIN csd.rev_prop_vw rpv ON rpv.prop_id = p.prop_id AND rpv.revr_id = rp.revr_id _x000d__x000a_GROUP BY p.prop_id_x000d__x000a_ORDER BY p.prop_id_x000d__x000a_-- summ_x000d__x000a_SELECT p.prop_id, COUNT(pp.panl_id) as Npanl,_x000d__x000a_nullif(SUM(CASE WHEN pps.panl_summ_unrl_flag = 'Y' THEN 1 ELSE 0 END),0) as NpanlUnreleasable,_x000d__x000a_nullif(SUM(CASE WHEN pps.panl_summ_rlse_flag = 'Y' THEN 0 WHEN pps.panl_summ_unrl_flag = 'Y'THEN 0 ELSE 1 END),0) as NpanlUnmarked  _x000d__x000a_INTO #myPanl_x000d__x000a_FROM #myPids p_x000d__x000a_JOIN csd.panl_prop pp ON pp.prop_id = p.prop_id_x000d__x000a_LEFT OUTER JOIN FLflpdb.flp.panl_prop_summ pps ON pps.prop_id = p.prop_id AND pps.panl_id = pp.panl_id_x000d__x000a_GROUP BY p.prop_id_x000d__x000a_ORDER BY p.prop_id_x000d__x000a_-- props: get codes to check if they match leads_x000d__x000a_SELECT p.nsf_rcvd_date, nullif(p.dd_rcom_date,'1900-01-01') AS dd_rcom_date,_x000d__x000a_ILN, lead, p.prop_id,_x000d__x000a_pi.pi_last_name, pi.pi_frst_name, inst.inst_shrt_name AS inst_name, _x000d__x000a_pi.pi_emai_addr,p.rqst_dol, p.rqst_eff_date,p.rqst_mnth_cnt,p.cntx_stmt_id, p.bas_rsch_pct, p.apld_rsch_pct+p.educ_trng_pct+land_buld_fix_equp_pct+mjr_equp_pct+non_invt_pct AS other_pct,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SELECT MAX(CASE b.seq WHEN 1 THEN b.ctry_name ELSE '' END)+_x000d__x000a_    MAX(CASE b.seq WHEN 2 THEN '; '+b.ctry_name ELSE '' END)+_x000d__x000a_    MAX(CASE b.seq WHEN 3 THEN '; '+b.ctry_name ELSE '' END)+_x000d__x000a_    MAX(CASE b.seq WHEN 4 THEN '; '+b.ctry_name ELSE '' END)+_x000d__x000a_    MAX(CASE b.seq WHEN 5 THEN '; '+b.ctry_name ELSE '' END)+_x000d__x000a_    MAX(CASE b.seq WHEN 6 THEN '; '+b.ctry_name ELSE '' END)+_x000d__x000a_    MAX(CASE b.seq WHEN 7 THEN '; '+b.ctry_name ELSE '' END)+_x000d__x000a_    MAX(CASE b.seq WHEN 8 THEN '; '+b.ctry_name ELSE '' END) _x000d__x000a_    FROM #myCtry b WHERE b.prop_id = prop.prop_id) AS Country,_x000d__x000a_a.abst_narr_txt, (SELECT SUM(frgn_trav_dol) FROM csd.eps_blip eb WHERE eb.prop_id = prop.prop_id AND NOT EXISTS (SELECT eb1.revn_num FROM csd.eps_blip eb1 WHERE eb.prop_id = eb1.prop_id AND eb.revn_num &lt; eb1.revn_num)) as frgn_trvl_dol,_x000d__x000a_p.pgm_annc_id, p.org_code, p.pgm_ele_code, p.pm_ibm_logn_id as PO, NfmlPIs,NhispPIs,NhndcpPIs,NnonWhtAsnPIs, Nrev,NrevUnreleasable, NrevUnmarked,  Npanl, NpanlUnreleasable, NpanlUnmarked,_x000d__x000a_p.obj_clas_code, p.natr_rqst_code, p.prop_stts_code, PRCs, p.prop_titl_txt,_x000d__x000a_p.inst_id, inst.st_code, p.pi_id, ra.last_updt_tmsp as RAupdate_x000d__x000a_FROM #myPids prop_x000d__x000a_JOIN csd.prop p ON p.prop_id = prop.prop_id_x000d__x000a_JOIN #myDmog d ON d.prop_id = prop.prop_id_x000d__x000a_LEFT OUTER JOIN csd.inst inst ON inst.inst_id = p.inst_id_x000d__x000a_LEFT OUTER JOIN csd.pi_vw pi ON pi.pi_id = p.pi_id_x000d__x000a_LEFT OUTER JOIN #myRevs rv ON rv.prop_id = prop.prop_id_x000d__x000a_LEFT OUTER JOIN #myPanl pl ON pl.prop_id = prop.prop_id_x000d__x000a_LEFT OUTER JOIN csd.abst a ON a.awd_id = prop.prop_id_x000d__x000a_LEFT OUTER JOIN csd.prop_rev_anly_vw ra ON ra.prop_id = prop.prop_id_x000d__x000a_LEFT OUTER JOIN FLflpdb.flp.PROP_COVR PC ON PC.TEMP_PROP_ID = prop.TEMP_PROP_ID_x000d__x000a_LEFT OUTER JOIN (SELECT prop_id,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PRCs_x000d__x000a_    FROM #myPRCs pa _x000d__x000a_    GROUP BY prop_id) myPRCs ON myPRCs.prop_id = prop.prop_id_x000d__x000a_WHERE pi.prim_addr_flag='Y'_x000d__x000a_ORDER BY prop.lead, prop.ILN, prop.prop_id_x000d__x000a_DROP TABLE #myDmog DROP TABLE #myPids DROP TABLE #myPRCs DROP TABLE #myCtry DROP TABLE #myRevs DROP TABLE #myPanl_x000d__x000a_"/>
  </connection>
  <connection id="6" name="RAMailMerge111"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p.prop_id, ctry.ctry_name, id=identity(18), 0 as 'seq' INTO #myCtry_x000d__x000a_FROM #myPids p_x000d__x000a_JOIN csd.prop_spcl_item_vw sp1 ON sp1.TEMP_PROP_ID = p.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SELECT DISTINCT p.prop_id, pa.prop_atr_code, id=identity(18), 0 as 'seq' INTO #myPRCs_x000d__x000a_FROM #myPids p_x000d__x000a_JOIN csd.prop_atr pa ON pa.prop_id = p.prop_id AND pa.prop_atr_type_code = 'PRC'_x000d__x000a_ORDER BY p.prop_id, pa.prop_atr_code_x000d__x000a_CREATE INDEX myPRCs_idx ON #myPRCs(prop_id) _x000d__x000a_SELECT prop_id, MIN(id) as 'start' INTO #myPRCStart FROM #myPRCs GROUP BY prop_id_x000d__x000a_UPDATE #myPRCs set seq = id-M.start FROM #myPRCs r, #myPRCStart M WHERE r.prop_id = M.prop_id_x000d__x000a_DROP TABLE #myPRCStart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_x000d__x000a_FROM (SELECT p.prop_id, pi_id FROM #myPids p JOIN csd.prop prop ON prop.prop_id = p.prop_id_x000d__x000a_      UNION ALL SELECT p.prop_id, pi_id FROM #myPids p JOIN csd.addl_pi_invl a ON a.prop_id = p.prop_id) PIs_x000d__x000a_LEFT OUTER JOIN csd.pi_vw pi ON pi.pi_id = PIs.pi_id_x000d__x000a_LEFT OUTER JOIN csd.PI_dmog d ON d.pi_id = PIs.pi_id_x000d__x000a_GROUP BY prop_id_x000d__x000a_ORDER BY prop_id_x000d__x000a_CREATE INDEX myDmog_idx ON #myDmog(prop_id)_x000d__x000a_-- revs_x000d__x000a_SELECT p.prop_id, COUNT(*) as Nrev,_x000d__x000a_nullif(SUM(CASE WHEN rpv.rev_prop_unrl_flag = 'Y' THEN 1 ELSE 0 END),0) as NrevUnreleasable,_x000d__x000a_nullif(SUM(CASE WHEN rpv.rev_rlse_flag = 'Y' THEN 0 WHEN rpv.rev_prop_unrl_flag = 'Y'THEN 0 ELSE 1 END),0) as NrevUnmarked _x000d__x000a_INTO #myRevs _x000d__x000a_FROM #myPids p_x000d__x000a_JOIN csd.rev_prop rp ON rp.prop_id = p.prop_id AND rp.rev_stts_code &lt;&gt; 'C'_x000d__x000a_JOIN csd.rev_prop_vw rpv ON rpv.prop_id = p.prop_id AND rpv.revr_id = rp.revr_id _x000d__x000a_GROUP BY p.prop_id_x000d__x000a_ORDER BY p.prop_id_x000d__x000a_-- summ_x000d__x000a_SELECT p.prop_id, COUNT(pp.panl_id) as Npanl,_x000d__x000a_nullif(SUM(CASE WHEN pps.panl_summ_unrl_flag = 'Y' THEN 1 ELSE 0 END),0) as NpanlUnreleasable,_x000d__x000a_nullif(SUM(CASE WHEN pps.panl_summ_rlse_flag = 'Y' THEN 0 WHEN pps.panl_summ_unrl_flag = 'Y'THEN 0 ELSE 1 END),0) as NpanlUnmarked  _x000d__x000a_INTO #myPanl_x000d__x000a_FROM #myPids p_x000d__x000a_JOIN csd.panl_prop pp ON pp.prop_id = p.prop_id_x000d__x000a_LEFT OUTER JOIN FLflpdb.flp.panl_prop_summ pps ON pps.prop_id = p.prop_id AND pps.panl_id = pp.panl_id_x000d__x000a_GROUP BY p.prop_id_x000d__x000a_ORDER BY p.prop_id_x000d__x000a_-- props: get codes to check if they match leads_x000d__x000a_SELECT p.nsf_rcvd_date, nullif(p.dd_rcom_date,'1900-01-01') AS dd_rcom_date,_x000d__x000a_ILN, lead, p.prop_id,_x000d__x000a_pi.pi_last_name, pi.pi_frst_name, inst.inst_shrt_name AS inst_name, _x000d__x000a_pi.pi_emai_addr,p.rqst_dol, p.rqst_eff_date,p.rqst_mnth_cnt,p.cntx_stmt_id, p.bas_rsch_pct, p.apld_rsch_pct+p.educ_trng_pct+land_buld_fix_equp_pct+mjr_equp_pct+non_invt_pct AS other_pct,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SELECT MAX(CASE b.seq WHEN 1 THEN b.ctry_name ELSE '' END)+_x000d__x000a_    MAX(CASE b.seq WHEN 2 THEN '; '+b.ctry_name ELSE '' END)+_x000d__x000a_    MAX(CASE b.seq WHEN 3 THEN '; '+b.ctry_name ELSE '' END)+_x000d__x000a_    MAX(CASE b.seq WHEN 4 THEN '; '+b.ctry_name ELSE '' END)+_x000d__x000a_    MAX(CASE b.seq WHEN 5 THEN '; '+b.ctry_name ELSE '' END)+_x000d__x000a_    MAX(CASE b.seq WHEN 6 THEN '; '+b.ctry_name ELSE '' END)+_x000d__x000a_    MAX(CASE b.seq WHEN 7 THEN '; '+b.ctry_name ELSE '' END)+_x000d__x000a_    MAX(CASE b.seq WHEN 8 THEN '; '+b.ctry_name ELSE '' END) _x000d__x000a_    FROM #myCtry b WHERE b.prop_id = prop.prop_id) AS Country,_x000d__x000a_a.abst_narr_txt, (SELECT SUM(frgn_trav_dol) FROM csd.eps_blip eb WHERE eb.prop_id = prop.prop_id AND NOT EXISTS (SELECT eb1.revn_num FROM csd.eps_blip eb1 WHERE eb.prop_id = eb1.prop_id AND eb.revn_num &lt; eb1.revn_num)) as frgn_trvl_dol,_x000d__x000a_p.pgm_annc_id, p.org_code, p.pgm_ele_code, p.pm_ibm_logn_id as PO, NfmlPIs,NhispPIs,NhndcpPIs,NnonWhtAsnPIs, Nrev,NrevUnreleasable, NrevUnmarked,  Npanl, NpanlUnreleasable, NpanlUnmarked,_x000d__x000a_p.obj_clas_code, p.natr_rqst_code, p.prop_stts_code, PRCs, p.prop_titl_txt,_x000d__x000a_p.inst_id, inst.st_code, p.pi_id, ra.last_updt_tmsp as RAupdate_x000d__x000a_FROM #myPids prop_x000d__x000a_JOIN csd.prop p ON p.prop_id = prop.prop_id_x000d__x000a_JOIN #myDmog d ON d.prop_id = prop.prop_id_x000d__x000a_LEFT OUTER JOIN csd.inst inst ON inst.inst_id = p.inst_id_x000d__x000a_LEFT OUTER JOIN csd.pi_vw pi ON pi.pi_id = p.pi_id_x000d__x000a_LEFT OUTER JOIN #myRevs rv ON rv.prop_id = prop.prop_id_x000d__x000a_LEFT OUTER JOIN #myPanl pl ON pl.prop_id = prop.prop_id_x000d__x000a_LEFT OUTER JOIN csd.abst a ON a.awd_id = prop.prop_id_x000d__x000a_LEFT OUTER JOIN csd.prop_rev_anly_vw ra ON ra.prop_id = prop.prop_id_x000d__x000a_LEFT OUTER JOIN FLflpdb.flp.PROP_COVR PC ON PC.TEMP_PROP_ID = prop.TEMP_PROP_ID_x000d__x000a_LEFT OUTER JOIN (SELECT prop_id,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PRCs_x000d__x000a_    FROM #myPRCs pa _x000d__x000a_    GROUP BY prop_id) myPRCs ON myPRCs.prop_id = prop.prop_id_x000d__x000a_WHERE pi.prim_addr_flag='Y'_x000d__x000a_ORDER BY prop.lead, prop.ILN, prop.prop_id_x000d__x000a_DROP TABLE #myDmog DROP TABLE #myPids DROP TABLE #myPRCs DROP TABLE #myCtry DROP TABLE #myRevs DROP TABLE #myPanl_x000d__x000a_"/>
  </connection>
</connections>
</file>

<file path=xl/sharedStrings.xml><?xml version="1.0" encoding="utf-8"?>
<sst xmlns="http://schemas.openxmlformats.org/spreadsheetml/2006/main" count="4350" uniqueCount="745">
  <si>
    <t>prop_id</t>
  </si>
  <si>
    <t>eJ</t>
  </si>
  <si>
    <t>RA</t>
  </si>
  <si>
    <t>pm_ibm_logn_id</t>
  </si>
  <si>
    <t>solicitation</t>
  </si>
  <si>
    <t>pgm_ele_code</t>
  </si>
  <si>
    <t>org_code</t>
  </si>
  <si>
    <t>Column1</t>
  </si>
  <si>
    <t>nsf_rcvd_date</t>
  </si>
  <si>
    <t>pgm_annc_id</t>
  </si>
  <si>
    <t>lead</t>
  </si>
  <si>
    <t>pi_last_name</t>
  </si>
  <si>
    <t>inst_name</t>
  </si>
  <si>
    <t>pi_emai_addr</t>
  </si>
  <si>
    <t>sr_pers_cnt</t>
  </si>
  <si>
    <t>sr_summ_mnth_cnt</t>
  </si>
  <si>
    <t>pdoc_grnt_dol</t>
  </si>
  <si>
    <t>frgn_trav_dol</t>
  </si>
  <si>
    <t>part_dol</t>
  </si>
  <si>
    <t>budg_tot_dol</t>
  </si>
  <si>
    <t>revn_num</t>
  </si>
  <si>
    <t>budg_seq_yr</t>
  </si>
  <si>
    <t>dol</t>
  </si>
  <si>
    <t>PEC</t>
  </si>
  <si>
    <t>PRCs</t>
  </si>
  <si>
    <t xml:space="preserve"> </t>
  </si>
  <si>
    <t>org_code2</t>
  </si>
  <si>
    <t>Fiscal year</t>
  </si>
  <si>
    <t>Filter columns</t>
  </si>
  <si>
    <t>RAupdate</t>
  </si>
  <si>
    <t>cntx_stmt_id</t>
  </si>
  <si>
    <t>pi_frst_name</t>
  </si>
  <si>
    <t>rqst_eff_date</t>
  </si>
  <si>
    <t>rqst_mnth_cnt</t>
  </si>
  <si>
    <t>rqst_tot</t>
  </si>
  <si>
    <t>budg_tot</t>
  </si>
  <si>
    <t>reviews</t>
  </si>
  <si>
    <t>avg_score</t>
  </si>
  <si>
    <t>panl_id0</t>
  </si>
  <si>
    <t>RCOM_ABBR0</t>
  </si>
  <si>
    <t>rank0</t>
  </si>
  <si>
    <t>panlSumm0</t>
  </si>
  <si>
    <t>panl_name0</t>
  </si>
  <si>
    <t>RCOM_TXT0</t>
  </si>
  <si>
    <t>panl_id1</t>
  </si>
  <si>
    <t>RCOM_ABBR1</t>
  </si>
  <si>
    <t>rank1</t>
  </si>
  <si>
    <t>panlSumm1</t>
  </si>
  <si>
    <t>panl_name1</t>
  </si>
  <si>
    <t>RCOM_TXT1</t>
  </si>
  <si>
    <t>panl_id2</t>
  </si>
  <si>
    <t>RCOM_ABBR2</t>
  </si>
  <si>
    <t>rank2</t>
  </si>
  <si>
    <t>panlSumm2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</si>
  <si>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</si>
  <si>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</si>
  <si>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</si>
  <si>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</si>
  <si>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</si>
  <si>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</si>
  <si>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</si>
  <si>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</si>
  <si>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</si>
  <si>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</si>
  <si>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</si>
  <si>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</si>
  <si>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</si>
  <si>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</si>
  <si>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</si>
  <si>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</si>
  <si>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</si>
  <si>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</si>
  <si>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</si>
  <si>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</si>
  <si>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</si>
  <si>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</si>
  <si>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</si>
  <si>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</si>
  <si>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</si>
  <si>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</si>
  <si>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</si>
  <si>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</si>
  <si>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</si>
  <si>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</si>
  <si>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</si>
  <si>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</si>
  <si>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</si>
  <si>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</si>
  <si>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</si>
  <si>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</si>
  <si>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</si>
  <si>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</si>
  <si>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</si>
  <si>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</si>
  <si>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</si>
  <si>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</si>
  <si>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</si>
  <si>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</si>
  <si>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</si>
  <si>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</si>
  <si>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</si>
  <si>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</si>
  <si>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</si>
  <si>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</si>
  <si>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</si>
  <si>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</si>
  <si>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</si>
  <si>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</si>
  <si>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</si>
  <si>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rqst_dol</t>
  </si>
  <si>
    <t>humn_date</t>
  </si>
  <si>
    <t>vrtb_date</t>
  </si>
  <si>
    <t>PO</t>
  </si>
  <si>
    <t>obj_clas_code</t>
  </si>
  <si>
    <t>natr_rqst_code</t>
  </si>
  <si>
    <t>prop_stts_code</t>
  </si>
  <si>
    <t>inst_id</t>
  </si>
  <si>
    <t>st_code</t>
  </si>
  <si>
    <t>pi_id</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</si>
  <si>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</si>
  <si>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</si>
  <si>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</si>
  <si>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</si>
  <si>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</si>
  <si>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</si>
  <si>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</si>
  <si>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</si>
  <si>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</si>
  <si>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</si>
  <si>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</si>
  <si>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</si>
  <si>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</si>
  <si>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</si>
  <si>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</si>
  <si>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</si>
  <si>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</si>
  <si>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</si>
  <si>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</si>
  <si>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</si>
  <si>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</si>
  <si>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</si>
  <si>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</si>
  <si>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</si>
  <si>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</si>
  <si>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</si>
  <si>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</si>
  <si>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</si>
  <si>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</si>
  <si>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</si>
  <si>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</si>
  <si>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</si>
  <si>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</si>
  <si>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</si>
  <si>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</si>
  <si>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</si>
  <si>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</si>
  <si>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</si>
  <si>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</si>
  <si>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</si>
  <si>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</si>
  <si>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</si>
  <si>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</si>
  <si>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</si>
  <si>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</si>
  <si>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frgn_trvl_dol</t>
  </si>
  <si>
    <t>NfmlPIs</t>
  </si>
  <si>
    <t>NhispPIs</t>
  </si>
  <si>
    <t>NhndcpPIs</t>
  </si>
  <si>
    <t>NnonWhtAsnPIs</t>
  </si>
  <si>
    <t>WMD</t>
  </si>
  <si>
    <t>WMD?9102</t>
  </si>
  <si>
    <t>Nrev</t>
  </si>
  <si>
    <t>NrevUnreleasable</t>
  </si>
  <si>
    <t>NrevUnmarked</t>
  </si>
  <si>
    <t>Npanl</t>
  </si>
  <si>
    <t>NpanlUnreleasable</t>
  </si>
  <si>
    <t>NpanlUnmarked</t>
  </si>
  <si>
    <t>Available templates:</t>
  </si>
  <si>
    <t>Note: Award templates file names must begin with Awd</t>
  </si>
  <si>
    <t xml:space="preserve">            All others are  declines.</t>
  </si>
  <si>
    <t>RATemplate</t>
  </si>
  <si>
    <t>RAsigner</t>
  </si>
  <si>
    <t>RAps_note</t>
  </si>
  <si>
    <t>RApre_note</t>
  </si>
  <si>
    <t>Div</t>
  </si>
  <si>
    <t>pulldate</t>
  </si>
  <si>
    <t>PRCN0</t>
  </si>
  <si>
    <t>email</t>
  </si>
  <si>
    <t>Nunrlsd</t>
  </si>
  <si>
    <t>Nunmkd</t>
  </si>
  <si>
    <t>last_rev_date</t>
  </si>
  <si>
    <t>AhNrev</t>
  </si>
  <si>
    <t>AhRevs</t>
  </si>
  <si>
    <t>AhLast</t>
  </si>
  <si>
    <t>nPanl</t>
  </si>
  <si>
    <t>nPSrlse</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</si>
  <si>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</si>
  <si>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</si>
  <si>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</si>
  <si>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</si>
  <si>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</si>
  <si>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</si>
  <si>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</si>
  <si>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</si>
  <si>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</si>
  <si>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</si>
  <si>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</si>
  <si>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</si>
  <si>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</si>
  <si>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</si>
  <si>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</si>
  <si>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PRCN1</t>
  </si>
  <si>
    <t>PRCN2</t>
  </si>
  <si>
    <t>PRCN3</t>
  </si>
  <si>
    <t>PRCN4</t>
  </si>
  <si>
    <t>PRCN5</t>
  </si>
  <si>
    <t>PRCN6</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</si>
  <si>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</si>
  <si>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</si>
  <si>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</si>
  <si>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</si>
  <si>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</si>
  <si>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</si>
  <si>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</si>
  <si>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</si>
  <si>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</si>
  <si>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</si>
  <si>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</si>
  <si>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</si>
  <si>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</si>
  <si>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</si>
  <si>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</si>
  <si>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</si>
  <si>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</si>
  <si>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</si>
  <si>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</si>
  <si>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</si>
  <si>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</si>
  <si>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</si>
  <si>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</si>
  <si>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</si>
  <si>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</si>
  <si>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</si>
  <si>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</si>
  <si>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</si>
  <si>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</si>
  <si>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</si>
  <si>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</si>
  <si>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</si>
  <si>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</si>
  <si>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</si>
  <si>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</si>
  <si>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</si>
  <si>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</si>
  <si>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</si>
  <si>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</si>
  <si>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</si>
  <si>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</si>
  <si>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</si>
  <si>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</si>
  <si>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</si>
  <si>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</si>
  <si>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</si>
  <si>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</si>
  <si>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</si>
  <si>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</si>
  <si>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.first line.</t>
  </si>
  <si>
    <t>.dummy.</t>
  </si>
  <si>
    <t>00000000</t>
  </si>
  <si>
    <t>0000</t>
  </si>
  <si>
    <t>.blank.</t>
  </si>
  <si>
    <t>....</t>
  </si>
  <si>
    <t>...</t>
  </si>
  <si>
    <t>.X</t>
  </si>
  <si>
    <t>0000000</t>
  </si>
  <si>
    <t>.data.</t>
  </si>
  <si>
    <t>.for formatting.</t>
  </si>
  <si>
    <t>E,V,G,F,P</t>
  </si>
  <si>
    <t>P000000</t>
  </si>
  <si>
    <t>.intentional blank.</t>
  </si>
  <si>
    <t>.keep this line first.</t>
  </si>
  <si>
    <t>.dummy title as first line for formatting.</t>
  </si>
  <si>
    <t>.dummy pgm annc/solic for formatting.</t>
  </si>
  <si>
    <t>.dummy div name.</t>
  </si>
  <si>
    <t>.dummy pec name.</t>
  </si>
  <si>
    <t>.dummy status.</t>
  </si>
  <si>
    <t>.dummy object class</t>
  </si>
  <si>
    <t>NSF</t>
  </si>
  <si>
    <t>.dummy dir name.</t>
  </si>
  <si>
    <t>PRCs Names</t>
  </si>
  <si>
    <t>.dummy email.</t>
  </si>
  <si>
    <t>.dummy all-PIs email.</t>
  </si>
  <si>
    <t>org_long_name</t>
  </si>
  <si>
    <t>P000001</t>
  </si>
  <si>
    <t>P000002</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</si>
  <si>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</si>
  <si>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</si>
  <si>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</si>
  <si>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</si>
  <si>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</si>
  <si>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</si>
  <si>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</si>
  <si>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</si>
  <si>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</si>
  <si>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</si>
  <si>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</si>
  <si>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</si>
  <si>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by populating mail merge templates from reportserver data.</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</si>
  <si>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</si>
  <si>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</si>
  <si>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</si>
  <si>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</si>
  <si>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</si>
  <si>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</si>
  <si>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</si>
  <si>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</si>
  <si>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</si>
  <si>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</si>
  <si>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</si>
  <si>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</si>
  <si>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</si>
  <si>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</si>
  <si>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</si>
  <si>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</si>
  <si>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Check coding helps you see if there are missing context statements, RAs, differences between the leads&amp;non-leads, or miscodes.</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</si>
  <si>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</si>
  <si>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</si>
  <si>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</si>
  <si>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</si>
  <si>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</si>
  <si>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</si>
  <si>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</si>
  <si>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</si>
  <si>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</si>
  <si>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</si>
  <si>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</si>
  <si>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</si>
  <si>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</si>
  <si>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</si>
  <si>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</si>
  <si>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</si>
  <si>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</si>
  <si>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</si>
  <si>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</si>
  <si>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</si>
  <si>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</si>
  <si>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</si>
  <si>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</si>
  <si>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</si>
  <si>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</si>
  <si>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</si>
  <si>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</si>
  <si>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</si>
  <si>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1045: CAREER: FACULTY EARLY CAR DEV</t>
  </si>
  <si>
    <t>Michael</t>
  </si>
  <si>
    <t xml:space="preserve">        </t>
  </si>
  <si>
    <t>02</t>
  </si>
  <si>
    <t>CO</t>
  </si>
  <si>
    <t>PA</t>
  </si>
  <si>
    <t>0038950000</t>
  </si>
  <si>
    <t>WI</t>
  </si>
  <si>
    <t>0037986000</t>
  </si>
  <si>
    <t>WA</t>
  </si>
  <si>
    <t>CA</t>
  </si>
  <si>
    <t xml:space="preserve">1045      </t>
  </si>
  <si>
    <t>0021782000</t>
  </si>
  <si>
    <t>MA</t>
  </si>
  <si>
    <t>0028373000</t>
  </si>
  <si>
    <t>NY</t>
  </si>
  <si>
    <t>MD</t>
  </si>
  <si>
    <t>GA</t>
  </si>
  <si>
    <t>7798</t>
  </si>
  <si>
    <t>ABANERJ</t>
  </si>
  <si>
    <t>1749539</t>
  </si>
  <si>
    <t>Ziarek</t>
  </si>
  <si>
    <t>lziarek@buffalo.edu</t>
  </si>
  <si>
    <t>NAMLA</t>
  </si>
  <si>
    <t>1749570</t>
  </si>
  <si>
    <t>Tatlock</t>
  </si>
  <si>
    <t>ztatlock@cs.washington.edu</t>
  </si>
  <si>
    <t>1749576</t>
  </si>
  <si>
    <t>Mainland</t>
  </si>
  <si>
    <t>Drexel University</t>
  </si>
  <si>
    <t>gbm26@drexel.edu</t>
  </si>
  <si>
    <t>1749654</t>
  </si>
  <si>
    <t>Gordon</t>
  </si>
  <si>
    <t>csg63@drexel.edu</t>
  </si>
  <si>
    <t>1749960</t>
  </si>
  <si>
    <t>Guha</t>
  </si>
  <si>
    <t>U of Massachusetts Amherst</t>
  </si>
  <si>
    <t>arjun@cs.umass.edu</t>
  </si>
  <si>
    <t>1750019</t>
  </si>
  <si>
    <t>Eades III</t>
  </si>
  <si>
    <t>AURI</t>
  </si>
  <si>
    <t>heades@augusta.edu</t>
  </si>
  <si>
    <t>1750142</t>
  </si>
  <si>
    <t>Zhang</t>
  </si>
  <si>
    <t>PA St U University Park</t>
  </si>
  <si>
    <t>zhang@cse.psu.edu</t>
  </si>
  <si>
    <t>1750465</t>
  </si>
  <si>
    <t>Greenberg</t>
  </si>
  <si>
    <t>Pomona College</t>
  </si>
  <si>
    <t>michael.greenberg@pomona.edu</t>
  </si>
  <si>
    <t>1750482</t>
  </si>
  <si>
    <t>Wood</t>
  </si>
  <si>
    <t>Wellesley College</t>
  </si>
  <si>
    <t>bwood5@wellesley.edu</t>
  </si>
  <si>
    <t>1750514</t>
  </si>
  <si>
    <t>Tobin-Hochstadt</t>
  </si>
  <si>
    <t>Indiana University</t>
  </si>
  <si>
    <t>samth@cs.indiana.edu</t>
  </si>
  <si>
    <t>1750886</t>
  </si>
  <si>
    <t>Univ of Louisiana at Lafay</t>
  </si>
  <si>
    <t>sxc2311@louisiana.edu</t>
  </si>
  <si>
    <t>1045 9150</t>
  </si>
  <si>
    <t>1750965</t>
  </si>
  <si>
    <t>D'Antoni</t>
  </si>
  <si>
    <t>loris@cs.wisc.edu</t>
  </si>
  <si>
    <t>1751011</t>
  </si>
  <si>
    <t>Carbin</t>
  </si>
  <si>
    <t>mcarbin@csail.mit.edu</t>
  </si>
  <si>
    <t>1751185</t>
  </si>
  <si>
    <t>Khatchadourian</t>
  </si>
  <si>
    <t>CUNY Hunter College</t>
  </si>
  <si>
    <t>raffi.khatchadourian@hunter.cuny.edu</t>
  </si>
  <si>
    <t>1751195</t>
  </si>
  <si>
    <t>Van Horn</t>
  </si>
  <si>
    <t>U of MD College Park</t>
  </si>
  <si>
    <t>dvanhorn@cs.umd.edu</t>
  </si>
  <si>
    <t>1751333</t>
  </si>
  <si>
    <t>Cerny</t>
  </si>
  <si>
    <t>U of Colorado Boulder</t>
  </si>
  <si>
    <t>pavol.cerny@colorado.edu</t>
  </si>
  <si>
    <t>P172382</t>
  </si>
  <si>
    <t xml:space="preserve"> SHF FM/PL CAREER</t>
  </si>
  <si>
    <t xml:space="preserve"> Panel Summary       
 _x000D_
SUMMARY OF PROPOSED RESEARCH ACTIVITY_x000D_
_x000D_
This proposal focuses on adding real-time computing capabilities to mobile phones, thus enabling safety-critical applications.  This requires novel solutions to integrate traditional applications with one or more coexisting real-time applications, while allowing limited communication between them.  The PI will explore type-system extensions to characterize these communications, and invent new approaches to worst-case-execution-time analysis in a runtime compilation (JIT) setting._x000D_
_x000D_
INTELLECTUAL MERIT_x000D_
_x000D_
Strengths:_x000D_
_x000D_
Real-time on Android is important and likely to happen, so this proposal fills a need to explore the challenges and do basic research to inform subsequent industry attempts in this area.  The previous work provides strong evidence that the proposed work can be accomplished._x000D_
_x000D_
Weaknesses:_x000D_
_x000D_
Some panelists were left with technical questions, which could be addressed in minor revisions. Panelists were not clear on the novelty of some aspects of the WCET analysis and inter-partition communication._x000D_
_x000D_
Suggestions for improvement:_x000D_
_x000D_
The proposal covers a broad area.  The panel would appreciate some extra detail on what a full (strawman) solution would look like without the proposed work, versus with the proposed work.  This implies a clearer exposition of the state of the art in full-scale real time systems (which must deal with some asynchronous messages from outside), and would provide more clarity around the novelty of the proposal._x000D_
_x000D_
BROADER IMPACTS _x000D_
_x000D_
Strengths:_x000D_
_x000D_
There's a natural outreach component to programming mobile devices, either because young people already have them (phones) or because of an embedded component (Raspberry Pi, robots, etc).  The PI has a strong track record of high-school outreach.  The PI has an impressive record of system building._x000D_
_x000D_
CAREER SOLICITATION-SPECIFIC REMARKS_x000D_
_x000D_
Integration of research and education:_x000D_
The PI presents solid plans on educational materials and tools for real-time Android at the high-school and university levels._x000D_
_x000D_
SUMMARY STATEMENT_x000D_
_x000D_
This is a strong proposal worthy of funding.  It suggests a compelling mix of technologies to address real-time (hard-deadline) applications on Android mobile devices.  The proposal covers a lot of ground and could do with a few more technical details plus direct comparison to prior art._x000D_
_x000D_
The recommendation of the panel is: Competitive._x000D_
_x000D_
The panelists concur that the Panel Summary accurately reflects the panel discussion._x000D_
</t>
  </si>
  <si>
    <t>ACHTCHE</t>
  </si>
  <si>
    <t>ZY0862037</t>
  </si>
  <si>
    <t>Aldrich</t>
  </si>
  <si>
    <t>jonathan.aldrich@cs.cmu.edu</t>
  </si>
  <si>
    <t xml:space="preserve">In the context of the five review elements, please _x000D_
evaluate the strengths and weaknesses of the proposal with respect to intellectual merit._x000D_
_x000D_
Overall, the proposal is strong with respect to intellectual merit.  While a great deal of research has examined real-time systems development, almost none of it targets the kind of dynamic composition that is necessary in an open world of interacting real-time and non-real-time applications.  The proposal makes a compelling case that support for such systems is going to be important in many future application domains, from internet of things to medical devices to military systems._x000D_
_x000D_
There is no one solution to the problem; rather, a wide-ranging set of research problems must be addressed in order to create a virtual machine that supports adaptable real-time applications, a specification and verification system for specifying their constraints and ensuring they are met, and an approach for programming such applications.  The PI has expertise that matches the range of problems, and outlines a detailed set of research questions that, when answered, address the larger problem._x000D_
_x000D_
If anything the research agenda laid out is a bit ambitious for the amount of time and money that is requested here.  But a CAREER proposal can reach beyond a single grant to set the path that an investigater can pursue in their career, and this proposal does so well; if funded, I believe the PI will make excellent research progress under this grant.  _x000D_
_x000D_
There are genuinely transformative aspects of this proposal.  Most notably, the real-time systems community has traditionally placed major restrictions on real-time systems that prohibit unplanned composition and adaptation.  This proposal is aimed squarely at this problem, and if successful could change the trajectory of the real-time systems field in a direction that would be very positive._x000D_
_x000D_
_x000D_
In the context of the five review elements, please _x000D_
evaluate the strengths and weaknesses of the proposal with respect to broader impacts._x000D_
_x000D_
Extensible ecosystems such as Android, iOS, and Eclipse have revolutionized their markets, but that revolution has not yet occurred in systems with real-time components.  If successful, we could see a similarly broad impact on systems that have timing constraints, including medical devices and the internet of things._x000D_
_x000D_
The PI's education plan is strong.  It includes the kind of course integration that is common in NSF proposals, but goes beyond in extending the PI's demonstrated track record in reaching out to high school and middle school teachers.  I also appreciate the PI's attention to diversity in his outreach and advising activities._x000D_
_x000D_
_x000D_
Please evaluate the strengths and _x000D_
weaknesses of the proposal with respect to any additional solicitation-specific review criteria, if _x000D_
applicable_x000D_
_x000D_
_x000D_
_x000D_
Summary Statement_x000D_
_x000D_
This is a very strong proposal and I would like to see it funded._x000D_
_x000D_
</t>
  </si>
  <si>
    <t>TS0862697</t>
  </si>
  <si>
    <t>Grossman</t>
  </si>
  <si>
    <t>djg@cs.washington.edu</t>
  </si>
  <si>
    <t xml:space="preserve">In the context of the five review elements, please _x000D_
evaluate the strengths and weaknesses of the proposal with respect to intellectual merit._x000D_
_x000D_
Strengths:_x000D_
_x000D_
* Real-time systems are only growing in importance (drones, Internet_x000D_
of Things, health applications, ...) and the field would benefit_x000D_
from more PL-influenced work like that in the proposal._x000D_
_x000D_
* PI clearly has years of experience on Real-Time for Java._x000D_
_x000D_
* Some of the particular research questions posed seem timely and_x000D_
interesting, specifically (1) allowing multiple real-time tasks to share_x000D_
computation and (2) bringing WCET analysis to the JIT setting by_x000D_
doing parts of the analysis ahead-of-time and other parts JIT, (3)_x000D_
the issues of failure resilience._x000D_
_x000D_
* Non-trivial implementation and application plans._x000D_
_x000D_
Weaknesses:_x000D_
_x000D_
* I wish I had been more convinced that the advances in the proposal_x000D_
are /necessary/ rather than doing adaptation and relaxed-isolation_x000D_
in a more heavyweight way, basically by doing the current static_x000D_
approach during "slack time".  That is, there are surely downsides_x000D_
to treating any combination of communicating applications as "one_x000D_
big application" and to treating adaptation as a "reanalayze and_x000D_
restart" event, but are those downsides so significant in practice?_x000D_
They probably are, but I'm not sure and I'd prefer performing the_x000D_
work here against that strawman/baseline._x000D_
_x000D_
* I am worried about the feasibility of adding resource-consumption to_x000D_
session types.  In my view, adding resource consumption to even_x000D_
"regular" types has been a difficult row to hoe for researchers for_x000D_
many years [see for example, all the cost-analysis work done in the_x000D_
OCaml setting among others], and it wasn't clear to me why the_x000D_
setting here would be easier.  It /might/ be if the types can remain_x000D_
at somewhat coarse service-level APIs, but I wasn't sure if that_x000D_
would be possible._x000D_
_x000D_
_x000D_
In the context of the five review elements, please _x000D_
evaluate the strengths and weaknesses of the proposal with respect to broader impacts._x000D_
_x000D_
Strengths:_x000D_
_x000D_
* Excellent ongoing work with high school teachers and students._x000D_
_x000D_
* Solid plans on educational materials/tools for real-time and Android_x000D_
at both the high school and university levels._x000D_
_x000D_
* Practical real-time systems are truly important for society._x000D_
_x000D_
Weaknesses:_x000D_
_x000D_
* None_x000D_
_x000D_
_x000D_
Please evaluate the strengths and _x000D_
weaknesses of the proposal with respect to any additional solicitation-specific review criteria, if _x000D_
applicable_x000D_
_x000D_
_x000D_
_x000D_
Summary Statement_x000D_
_x000D_
Practical and interesting work at the cutting-edge of making real-time_x000D_
systems more dynamic and adaptable, but I had concerns about the_x000D_
motivation of some of the key pieces of the work._x000D_
_x000D_
_x000D_
</t>
  </si>
  <si>
    <t>PS0733704</t>
  </si>
  <si>
    <t>Lea</t>
  </si>
  <si>
    <t>dl@cs.oswego.edu</t>
  </si>
  <si>
    <t xml:space="preserve">In the context of the five review elements, please _x000D_
evaluate the strengths and weaknesses of the proposal with respect to intellectual merit._x000D_
_x000D_
_x000D_
The evolution of mobile devices into platforms that at least sometimes_x000D_
need to support real-time and safety-critical applications seems_x000D_
unstoppable.  This proposal documents how far we are from_x000D_
understanding how to reliably do so, in the course of proposing a set_x000D_
of related efforts addressing underlying problems as well as their_x000D_
application. The scope of these efforts seems appropriate for a CAREER_x000D_
award to thie PI._x000D_
_x000D_
The PI's message/service approach seems to be among the few reasonable_x000D_
paths for attacking the main issues, and this proposal in part builds_x000D_
on the PIs prior success.  The motivation and surveys of related work_x000D_
are well done, indicating clear expertise in its many facets:_x000D_
prioritizing messages and events, partial isolation, Run-time support_x000D_
including GC, and WCET analysis. Some of the ideas for addressing_x000D_
these are clearer than others (which is OK as part of a long-term_x000D_
proposal). The planned work on messaging, partial isolation, and GC_x000D_
seem well-reasoned and likely to at least partially succeed._x000D_
_x000D_
Of the proposed work, section 5.2 on type-based approaches seems the_x000D_
most tentative and least worked out. Even so, the appraoch seems worth_x000D_
pursuing. The PI might also consider using other work on semiformal_x000D_
QoS annotations that seem relevant._x000D_
_x000D_
The section 5.3 discussions about WCET in JITs are also_x000D_
(understandably) a bit fuzzy. It would help if the proposal more_x000D_
clearly defined possible success criteria._x000D_
_x000D_
_x000D_
In the context of the five review elements, please _x000D_
evaluate the strengths and weaknesses of the proposal with respect to broader impacts._x000D_
_x000D_
_x000D_
Success will surely somehow impact mobile development and_x000D_
applications, although it is hard to predict exactly how._x000D_
_x000D_
The ties to educational efforts, even with high school students, make_x000D_
sense. Programming such devices is intrinsically fun, and the PI's_x000D_
efforts have a chance of attracting more diverse students to working_x000D_
on worthwhile problems._x000D_
_x000D_
Please evaluate the strengths and _x000D_
weaknesses of the proposal with respect to any additional solicitation-specific review criteria, if _x000D_
applicable_x000D_
_x000D_
_x000D_
_x000D_
Summary Statement_x000D_
_x000D_
The PI proposes a multifaceted effort to establish techniques,_x000D_
methods, and tools for evolving mobile platforms (in particular,_x000D_
Android) so that they can reliably support real-time and_x000D_
safety-critical applications. The desirablility of this outcome (both_x000D_
in terms of scientific and social contributions) is obvious.  The_x000D_
proposal clearly indicates areas of investigation and problems that_x000D_
need solution. The preliminary ideas and plans for addressing them_x000D_
vary from solid to plausible, and build upon appropriate related_x000D_
research._x000D_
_x000D_
</t>
  </si>
  <si>
    <t>MG0941511</t>
  </si>
  <si>
    <t>Newton</t>
  </si>
  <si>
    <t>rrnewton@indiana.edu</t>
  </si>
  <si>
    <t xml:space="preserve">In the context of the five review elements, please _x000D_
evaluate the strengths and weaknesses of the proposal with respect to intellectual merit._x000D_
_x000D_
This is a proposal that combines and generalizes existing techniques_x000D_
in novel ways.  It aims to create mobile software platforms (e.g. on_x000D_
phones) that combine realtime and traditional appliactions, keeping_x000D_
some legacy elements of the Android ecosystem, but developing new_x000D_
programming languages techniques (type systems, runtime features) for_x000D_
these hybrid programs.  This has the potential to advance_x000D_
understanding in a way that could bring hard real-time programming_x000D_
that much closer to being a practical, widespread, everyday affair._x000D_
_x000D_
The originality and novelty in the proposal comes from (1) improving_x000D_
individual techniques (WCET analysis, type systems, etc), and (2)_x000D_
solving new problems at the interface between hard-realtime and_x000D_
traditional appliactions._x000D_
_x000D_
The plan is sound, and it is greatly bolstered by the previous work of_x000D_
the PI, which already demonstrates an extensive record of work on_x000D_
runtime systems and compilers, including creating and releasing the_x000D_
systems that this work would build upon (Fiji VM, RTDroid).  This_x000D_
creates a strong foundation for the existing work and makes a_x000D_
convincing case that the (extensive) engineering portion of this_x000D_
proposal will also come to fruition._x000D_
_x000D_
As demonstrated in these previous works, the requisite resources are_x000D_
available to the PI to conduct the project._x000D_
_x000D_
My few reservations about the proposal come from how it covers a lot_x000D_
of ground, some of it superficially.  The explanation of related work_x000D_
and background information in the field is crystal clear.  But when it_x000D_
comes to proposed work, there are statements of the form "we will_x000D_
explore X", with out much detail of how that will go._x000D_
_x000D_
For instance, section 4.2 explains PRP and WFPT, but leaves quite a_x000D_
bit of guessing as to how these could be used in the proposed_x000D_
GC/JIT-as-a-service design.  The proposal states in what area work_x000D_
will be performed, and what the results may be, but it doesn't go very_x000D_
deeply into the new ideas and proposed techniques.  I.e. it would be_x000D_
good to at least sketch out new algorithms, type systems etc._x000D_
_x000D_
I was left some technical questions, such as:_x000D_
_x000D_
(1) How does the 8ms/32ms 1MB/2MB example avoid unbounded buffering of_x000D_
results?  The example is confusing, because the proposed extension of_x000D_
the session types only talks about the size of the data, and not what_x000D_
the data means, accoustically: e.g., "contiguous windows, 44 KHz".  If_x000D_
the cochlear implant application produces messages every 8ms,_x000D_
presumably these are windows of 8ms of audio.  If the other service_x000D_
fires every 32ms, but combines only the first *two* messages from the_x000D_
cochlear service, it is either getting only 16ms/32ms of data_x000D_
(dropping half the time series, confusing a stateful algorithm), or it_x000D_
is buffering data in an unbounded way, with the cochlear service_x000D_
producing more messages than it consumes in each 32ms epoch._x000D_
_x000D_
(2) Why does it make sense to ever interpret bytecode in the realtime_x000D_
partitions?  Through reading most of the proposal, I was implicitly_x000D_
assuming that real time applications would be completely compiled at_x000D_
the time they were scheduled and activated.  Thus I was surprised to_x000D_
read that WCET analysis was to be applied for bytecode interpretation._x000D_
_x000D_
----------------------_x000D_
_x000D_
Minor comments on presentation:_x000D_
_x000D_
Use of hyphenation could be better in this proposal.  For_x000D_
instance I was taught that "JIT based validation" should be_x000D_
"JIT-based", because an "A B C" noun phrase like this by default_x000D_
associates right "A (B C)"._x000D_
_x000D_
There are various typos such as "form" =&gt; "from"._x000D_
"light weight specification"_x000D_
"that they adheres"_x000D_
_x000D_
_x000D_
In the context of the five review elements, please _x000D_
evaluate the strengths and weaknesses of the proposal with respect to broader impacts._x000D_
_x000D_
This work is poised to connect the somewhat specialized field of_x000D_
real-time embedded systems programming with the broader world of_x000D_
mobile app development.  The PI's investment in the Android/Java_x000D_
platform increases the practical reach of this work._x000D_
_x000D_
The case for impact on education, recruitment, and human capital are_x000D_
good, and include a high level of demonstrated outreach activities by_x000D_
the PI._x000D_
_x000D_
_x000D_
Please evaluate the strengths and _x000D_
weaknesses of the proposal with respect to any additional solicitation-specific review criteria, if _x000D_
applicable_x000D_
_x000D_
_x000D_
_x000D_
Summary Statement_x000D_
_x000D_
This is a good proposal that builds on a strong line of previous work_x000D_
to go address a timely challenge: offloading real-time computation_x000D_
from edge devices to powerful mobile phones carried by most people._x000D_
_x000D_
The outreach plan is very good.  The PI has a demonstrated record of_x000D_
working with high school teachers.  It capitilizes on the use of_x000D_
embedded programming (e.g. on Raspberry Pi and mobile devices) in_x000D_
promoting computing with younger age groups._x000D_
_x000D_
_x000D_
</t>
  </si>
  <si>
    <t>HH0806900</t>
  </si>
  <si>
    <t>Stoller</t>
  </si>
  <si>
    <t>stoller@cs.stonybrook.edu</t>
  </si>
  <si>
    <t xml:space="preserve">In the context of the five review elements, please _x000D_
evaluate the strengths and weaknesses of the proposal with respect to intellectual merit._x000D_
_x000D_
STRENGTHS_x000D_
_x000D_
This project would develop an Android runtime system that supports execution of multiple real-time and non real-time applications, allowing them to interact in the "software as a service" style, while providing timing guarantees for real-time applications.  Furthermore, the runtime will be "adaptive" in the sense of allowing applications to be added, removed, and updated dynamically.  The runtime system will reject applications if the performance requirements of the existing and new applications together cannot be guaranteed._x000D_
_x000D_
The proposed systems would be based on the PI's substantial prior work on Fiji VM, a mixed-criticality real-time JVM, and RTDroid, a real-time version of Android._x000D_
_x000D_
The running example, of two audio-related real-time applications, is helpful._x000D_
_x000D_
The PI is well qualified to perform the proposed work._x000D_
_x000D_
The evaluation plan involves realistic software and applications with which the PI has experience._x000D_
_x000D_
WEAKNESSES_x000D_
_x000D_
JIT creates significant complications, especially for WCET analysis.  Is JIT necessary?  JIT was replaced with ahead-of-time (AOT) compilation in the Android Runtime (ART) in Android 5 and 6.  Android 7 modifies the ART to support optional use of JIT to optimize executables produced by AOT compilation, but this could simply be turned off for real-time applications.  It is common to accept somewhat lower performance for real-time applications, in exchange for simplicity and predictability.  It would be good to know how much performance is at stake here, i.e., how much benefit the JIT adds to ART._x000D_
_x000D_
The proposal lacks an overview of scheduling in RTDroid, making it difficult to understand how the proposed extensions fit into an overall scheduling framework.  The comparison to existing work on adaptive real-time systems in Section 2 is brief and does not fully convey why existing worn on real-time scheduling of communicating tasks is insufficient "in the context of the software as a service model"._x000D_
_x000D_
In the running example, as shown in Figure 4, why do the cochlear implant application and acoustic ranging application use the same transmission service?  The cochlear implant application needs to send processed audio back to the cochlear implant, while the acoustic ranging application needs to send range information to other apps, e.g., the museum's app._x000D_
_x000D_
In the example in Section 5.2, giving the acoustic ranging application "any 2 MB" of information seems brittle.  perhaps it needs 2MB of lower-resolution audio representing the entire 32 ms.  Or perhaps it would be satisfied with two consecutive 8ms samples, or perhaps it needs two non-consecutive samples.  This is issue is addressed, to some extent, in the last paragraph of Section 6.  Include a forward pointer to that discussion._x000D_
_x000D_
Section 5.3 proposes to us offline platform-agnostic analysis to identify worst-case path, and then use online platform-dependent analysis to compute its execution time.  What if the worst-case path is platform-dependent?_x000D_
_x000D_
In the context of the five review elements, please _x000D_
evaluate the strengths and weaknesses of the proposal with respect to broader impacts._x000D_
_x000D_
STRENGTHS_x000D_
_x000D_
Android's dominance in the mobile phone market makes it an attractive platform for many real-time applications, if it can be modified to provide the required timing guarantees, without too much loss of flexibility.  This project could make a significant contribution towards that goal._x000D_
_x000D_
The PI has a good record of participation in K-12 outreach activities and supervision of research by undergraduates and M.S. students.  This project would help the PI update and expand those efforts._x000D_
_x000D_
Some of the proposed research would be incorporated in the PI's graduate classes on programming languages._x000D_
_x000D_
WEAKNESSES_x000D_
_x000D_
Real-time versions of Java have been around for a long time (for example, the first final release of the JSR for RTSJ was in 2002) and have gained little adoption so far, as far as I know.  "Adaptivity" makes the challenge even greater._x000D_
_x000D_
Please evaluate the strengths and _x000D_
weaknesses of the proposal with respect to any additional solicitation-specific review criteria, if _x000D_
applicable_x000D_
_x000D_
_x000D_
_x000D_
Summary Statement_x000D_
_x000D_
This project aims to develop an Android runtime system that supports execution of multiple real-time and non real-time applications, allowing them to interact in the "software as a service" style, while providing timing guarantees for real-time applications.  This could be a significant step towards use of Android-based systems in real-time applications._x000D_
_x000D_
</t>
  </si>
  <si>
    <t>Traditionally  real-time embedded systems have been statically defined to ensure predictability. This proposal aims at developing the foundations for dynamic, adaptable real-time systems, specifically targeting mobile platforms. The increasing need for real-time guarantees in mobile embedded systems poses a unique set of challenges, including changing software, just-in-time (JIT) compilation, and dynamic interactions between applications of differing criticality levels.  Under this proposal we will investigate language level, compiler, and runtime techniques to enable the construction mobile real-time systems.This proposal will result in three research contributions. (1) Under this award, the PI will investigating a novel partitioned runtime, including support for executing multiple real-time and non real-time applications, cross application communication abstractions with concrete predictability guarantees, as well as  partitioned VM-level services, such as JIT compilation and garbage collection. The runtime will be expressive enough to support Android's APIs and execution model, yet afford predictability guarantees necessary for real-time support. (2) The PI will develop a series of validation mechanisms to ensure real-time guarantees for mobile systems. The PI will investigate lightweight specifications and behavioral types for describing communication patterns in real-time mobile systems and explore how leverage both to validate added or replaced applications. The PI will develop novel hybrid worst case execution time analysis, supported through static compilation as well as just-in-time compilation, to validate timing of new applications in the system. (3) The PI will investigate a programming model for expressing adaptability in mobile systems.This research will produce an adaptable real-time system framework, RTDroid, capable of executing on embedded and mobile systems.  This infrastructure will enable the use of Android in classic real-time settings, such as UAV flight systems. It will also enable the advancement of real-time mobile applications for sensing, personalized health care, command and control, as well as automotive domains. This award will allow the PI to advance his education and outreach plans, including the creation of a new Java-based real-time and embedded systems course at SUNY Buffalo leveraging the infrastructure built under this award and integrating mobile, event-based programming and RTDroid into the courses he already teaches. The technologies and systems developed under this proposal will also provide masters students and undergraduate students a basis for writing a thesis, exploring an independent study, or performing a capstone project. The project will result in the training and education of Ph.D. students.  As an active member of the Computer Science Teachers Association (CSTA),  Interdisciplinary Science and Engineering Partnership (ISEP), and Computer Science for High School (CS4HS), the PI plans to leverage the software systems and applications developed under this award to continue his outreach activities, including teaching professional development workshops for local high school and middle school teachers. Most notably, under the ISEP program high school teachers participate in the PI's lab during summer to gain experience with Android. This has a direct impact on 12 local middle and high schools. Lastly, this award will serve to advanced the career of the PI,  providing a foundation for the PI's research program focused on exploring the viability of dynamically defined real-time systems, capable of adapting their software components to the system's contextual needs.</t>
  </si>
  <si>
    <t xml:space="preserve"> Panel Summary       
  SUMMARY OF PROPOSED RESEARCH ACTIVITY _x000D_
_x000D_
This proposal targets formal verification of distributed systems which are error-prone and very difficult to get right. Moreover, correctness of distributed systems is a critical problem for the dependability of the national cyber-infrastructure. The proposed work will combine an interactive theorem prover (Coq) with a verification framework and a verification methodology, with the goal of minimizing the manual effort required for the verification of not only the specifications, but also the implementations of distributed systems. _x000D_
_x000D_
INTELLECTUAL MERIT _x000D_
_x000D_
Strengths:_x000D_
* The proposal has a clear and ambitious goal. Being able to verify not only the specifications but also the implementations of realistic distributed systems would be a significant intellectual achievement. _x000D_
_x000D_
* Currently, formal verification of non-trivial software systems with interactive theorem provers requires heroic efforts from the developers. A verification framework and methodology that can reduce this huge human cost will be a transformative contribution to formal verification of distributed systems. _x000D_
_x000D_
* The proposal contains a well thought out and well articulated research plan that consists of 8 research questions that will be investigated, and 3 case studies that will be used for evaluation. The proposal lists concrete steps that will be taken to implement the presented research plan. _x000D_
_x000D_
* The PI has a very strong track record and is well qualified to conduct the proposed research. His preliminary results on Raft, BGP and SSH protocols demonstrate that the proposed work is feasible and is likely to succeed. _x000D_
_x000D_
* Proposed verification methodology integrates promising concepts such as verified system transformers and formal shim verification that were developed by the PI, with classical verification strategies such as compositional verification, observational refinement, and assume/guarantee reasoning, resulting in a powerful verification toolbox._x000D_
_x000D_
Weaknesses:_x000D_
* Formal verification approaches inevitably rely on a trust base and the proposed approach is no exception since it relies on the correctness of Coq. However, the proposed work adds more components to this trust base (such as verified system transformers), but this issue is not discussed in the proposal. _x000D_
_x000D_
* Proposal does not adequately discuss the connections between some of the proposed techniques (such as compositional verification and assume/guarantee reasoning) and the extensive prior work on these topics in the verification community. _x000D_
_x000D_
Suggestions for improvement:_x000D_
* A discussion on reliability of the trust base would improve the proposal._x000D_
_x000D_
* PI should discuss the languages that are supported by the verification framework, identifying restrictions on the languages that will be used by the developers. _x000D_
_x000D_
BROADER IMPACTS _x000D_
_x000D_
Strengths:_x000D_
* Fault-tolerant distributed systems have enormous importance for our society since many critical software services rely on them. By developing a methodology for improving dependability of fault-tolerant distributed systems, this proposal can have a big impact on our society. _x000D_
_x000D_
* Proposal has an educational plan that is aligned with the proposed research. Introducing interactive theorem provers to the computing curriculum is a realistic and worthy goal._x000D_
_x000D_
* PI serves as a mentor in a program that targets increasing retention of under-served populations. Through this program, PI plans to integrate undergraduate students to research. _x000D_
_x000D_
CAREER SOLICITATION-SPECIFIC REMARKS_x000D_
_x000D_
The PI has strong support from his institution. He has a senior faculty mentor, he will receive annual review and feedback from two senior faculty members, and he received a  sizable start-up package. _x000D_
_x000D_
Educational component of the proposal includes plans to integrate the research topic of the proposal to the computing curriculum. This integration is positive and realistic.  _x000D_
_x000D_
SUMMARY STATEMENT _x000D_
_x000D_
This proposal will develop a verification framework and methodology for distributed systems that will reduce the manual effort required for formal verification. The proposal has a well articulated research plan with clear goals and concrete steps. The PI has a very strong track record and his preliminary results indicate that the proposed research can succeed. If successful, the proposed research can be transformative for formal verification of distributed systems._x000D_
_x000D_
The proposal does not adequately address some questions, such as the trust base required by the proposed approach, relationship to prior verification approaches, and the expertise required by the users of the proposed approach. Addressing these questions would have ranked the proposal higher. _x000D_
_x000D_
The recommendation of the panel is Competitive._x000D_
The panelists concur that the Panel Summary accurately reflects the panel discussion. 
</t>
  </si>
  <si>
    <t>YH0778768</t>
  </si>
  <si>
    <t>Bultan</t>
  </si>
  <si>
    <t>bultan@cs.ucsb.edu</t>
  </si>
  <si>
    <t xml:space="preserve">In the context of the five review elements, please _x000D_
evaluate the strengths and weaknesses of the proposal with respect to intellectual merit._x000D_
_x000D_
The proposal focuses on formal verification of distributed systems, which is an extremely critical problem for reliability of the cyber-infrastructure. As the PI notes, failures in distributed systems are not uncommon, resulting in major outages of critical systems. Hence, this is a timely and significant problem.  _x000D_
_x000D_
PI proposes the develop a verification framework and verification methodology based on Coq proof assistant to address this problem.  PI has identified a list of research questions and presents promising ideas to address them. PI's earlier work makes him well qualified to attack the identified research questions. Proposal is well balanced between practical and formal aspects of the proposed work, and is likely to result in contributions in both directions._x000D_
_x000D_
Some of the claims about prior systems are exaggerated or inaccurate. For example, see Zhendong Su's work that identified bugs in the CompCert compiler._x000D_
_x000D_
In the context of the five review elements, please _x000D_
evaluate the strengths and weaknesses of the proposal with respect to broader impacts._x000D_
_x000D_
Due to ubiquitous use of distributed systems in current society, the broader impacts of the proposed work can be very significant. Eliminating errors from critical distributed system components would result in a highly dependable cyber-infrastructure, which would benefit all parts of the society. _x000D_
_x000D_
Since the technical approach presented in this proposal relies on semi-automated verification, its large scale applicability may be limited. The verification approach may require strong background in formal methods or significant expertise in developing machine checkable proofs. This may limit its usability in practice. The PI has some ideas about how to improve general applicability of the proposed approach. _x000D_
_x000D_
The educational component of the proposal is not very strong. A more innovative and comprehensive educational plan would have improved the proposal._x000D_
_x000D_
Please evaluate the strengths and _x000D_
weaknesses of the proposal with respect to any additional solicitation-specific review criteria, if _x000D_
applicable_x000D_
_x000D_
_x000D_
_x000D_
Summary Statement_x000D_
_x000D_
This proposal focuses on a significant and timely problem. The PI has a strong track record in development of verified software systems. The proposal identifies interesting research questions and presents  promising technical approaches for addressing them. PI's earlier results demonstrate that the proposed work is feasible. Educational component of the proposal is not very strong and could be improved._x000D_
_x000D_
</t>
  </si>
  <si>
    <t>YH0957717</t>
  </si>
  <si>
    <t>Burckhardt</t>
  </si>
  <si>
    <t>sburckha@microsoft.com</t>
  </si>
  <si>
    <t xml:space="preserve">In the context of the five review elements, please _x000D_
evaluate the strengths and weaknesses of the proposal with respect to intellectual merit._x000D_
_x000D_
Pro: _x000D_
_x000D_
- The chosen problems, tools, and techniques are relevant and current in both areas (formal verification, distributed systems)._x000D_
_x000D_
- The formulated goals appear cutting edge of what is being done in this area._x000D_
_x000D_
- The plan is worked out carefully: it formulates 8 research questions, 3 case studies, and lists many very concrete steps._x000D_
_x000D_
- the PI has a good track record of verifying distributed protocols (e.g. Raft) which is challenging in practice._x000D_
_x000D_
Contra: _x000D_
_x000D_
- A method of evaluating success is not elaborated._x000D_
_x000D_
- The ideas are not exceedingly creative or original, and do not strongly connect to older publications in formal verification and distributed computing. A lot is being re-invented without much attribution._x000D_
_x000D_
- Some claims in the proposal seem a bit overblown (e.g saying "Verdi is the first and only compositional technique", or "no compiler validation study to date has found a test case that causes CompCert to produce incorrect code" which is at best misleading)._x000D_
_x000D_
_x000D_
In the context of the five review elements, please _x000D_
evaluate the strengths and weaknesses of the proposal with respect to broader impacts._x000D_
_x000D_
Pro:_x000D_
_x000D_
- Given technology trends, the time seems right to invest into the combination of distributed systems &amp; formal verification_x000D_
_x000D_
- There is a very high demand for developers that can build distributed systems, and using formal methods is a great way to teach those skills._x000D_
_x000D_
Contra:_x000D_
_x000D_
- I see little reason to believe that the proposed methodology would be accessible to a wide developer audience. This type of formal verification requires high skill and education level, and is thus an expensive undertaking in a context where PhD students are not easily affordable._x000D_
_x000D_
_x000D_
Please evaluate the strengths and _x000D_
weaknesses of the proposal with respect to any additional solicitation-specific review criteria, if _x000D_
applicable_x000D_
_x000D_
_x000D_
_x000D_
Summary Statement_x000D_
_x000D_
Overall, the proposal looks strong to me: it addresses an important problem that is respected both in academic and industrial circles, and is likely to advance the state of the art, given the track record of the PI. _x000D_
_x000D_
_x000D_
</t>
  </si>
  <si>
    <t xml:space="preserve">In the context of the five review elements, please _x000D_
evaluate the strengths and weaknesses of the proposal with respect to intellectual merit._x000D_
_x000D_
STRENGTHS_x000D_
_x000D_
This project will develop a practical framework, based on Coq, for formal verification of safety and liveness properties of distributed system implementations in realistic fault models.  It will support features such as reconfiguration to dynamically add nodes, vertical composition for layered systems, horizontal composition to compose systems via rely/guarantee reasoning.  Using Coq as a substrate provides high confidence in the verification results, because correctness of Coq proofs are checked by a small core._x000D_
_x000D_
The project will also develop a verification methodology to make proofs more robust and re-usable as the distributed systems evolve._x000D_
_x000D_
The PI has published significant work on this topic and is very well qualified to perform the proposed work._x000D_
_x000D_
WEAKNESSES_x000D_
_x000D_
The proposal says "Verdi provides the first and only compositional technique for implementing and verifying distributed systems by separating the concerns of application correctness and fault tolerance."  The claim is a bit vague, so it might be accurate in some sense, but this idea underlies other work, such as Hadzilacos and Toueg's work on "A Modular Approach to Fault-Tolerant Broadcasts and Related Problems"._x000D_
_x000D_
The proposal says that "Industrial practitioners are already using our verified Raft prototype as a guide in exploring designs and alternate implementations."  It would be nice to support this with some details or citations._x000D_
_x000D_
Little is said about the programming language.  What programming language is the message handling code written in?  What constructs and features does the programming language include?  Are there limitations on the use of hard-to-verify features such as imperative update?  What libraries can be used?  How is the verified system "extracted" to OCaml?  How efficient is the generated code?  How easy is it to integrate the generated code into a larger distributed system mostly implemented in a different programming language (Ocaml is not as widely used as many of us would like)?_x000D_
_x000D_
The discussion of horizontal composition in RQ3 did not clearly present any novel issues.  The main issue discussed is a generic issue in assume-guarantee reasoning for systems with message-based or event-based communication._x000D_
_x000D_
The discussion of DSLs in RQ6 provides little intuition about the nature and expressiveness of the proposed DSL for distributed systems._x000D_
_x000D_
Scalability is an omnipresent concern for formal verification.  The proposal says little about it.  For example, in the preliminary work, how large were the programs?  What was the ratio of (manually written) lines of proof to lines of code?_x000D_
_x000D_
In the context of the five review elements, please _x000D_
evaluate the strengths and weaknesses of the proposal with respect to broader impacts._x000D_
_x000D_
STRENGTHS_x000D_
_x000D_
Fault-tolerant distributed systems have enormous practical importance.  Designing and implementing them correctly is notoriously difficult.  This makes them a promising application domain for formal methods.  The PI's preliminary work on  protocols such as Raft, SSH, and BGP is promising._x000D_
_x000D_
The PI has incorporated formal methods in two graduate courses and will further incorporate some pieces of the proposed work as course projects.  _x000D_
_x000D_
The PI is a mentor in a program for increasing retention of students from under-served populations, and would try to involve some of those students in the proposed research._x000D_
_x000D_
WEAKNESSES_x000D_
_x000D_
The developer effort and developer expertise needed to produce verified implementations with the proposed approach will largely determine its level of broader impact, but they are not discussed much in the proposal._x000D_
_x000D_
Please evaluate the strengths and _x000D_
weaknesses of the proposal with respect to any additional solicitation-specific review criteria, if _x000D_
applicable_x000D_
_x000D_
_x000D_
_x000D_
Summary Statement_x000D_
_x000D_
This project will develop a practical framework, based on Coq, for formal verification of safety and liveness properties of distributed system implementations in realistic fault models._x000D_
_x000D_
</t>
  </si>
  <si>
    <t>BE0520021</t>
  </si>
  <si>
    <t>Vardi</t>
  </si>
  <si>
    <t>vardi@cs.rice.edu</t>
  </si>
  <si>
    <t xml:space="preserve">In the context of the five review elements, please _x000D_
evaluate the strengths and weaknesses of the proposal with respect to intellectual merit._x000D_
_x000D_
COMMENT: There seems to be a mismatch in the numbering of the references, which made the bibliography useless._x000D_
_x000D_
This work will develop a practical verification framework, implemented in the popular Coq proof assistant, that enables formally reasoning about distributed system implementations in realistic fault models. The goal is driven by a clear goal, which is is to enable the construction of much more reliable distributed systems. The PI has already demonstrated a major success on this front: the first formally verified implementation of the high-performance Raft consensus protocol used in dozens of distributed systems. The proposal formulates eight research questions that need to be address to meet the goal. Three case studies are proposed to evaluate the approach._x000D_
_x000D_
Until today, verification of real system has always been a heroic effort. This proposal, focusing on distributed systems, will, if successful, reduce the level of required heroism._x000D_
_x000D_
_x000D_
In the context of the five review elements, please _x000D_
evaluate the strengths and weaknesses of the proposal with respect to broader impacts._x000D_
_x000D_
1. The PI aims to introduce proof assistants into the undergraduate curriculum. IMHO, this will not have a broader impact unless accompanied by broadly available course-ware._x000D_
2. The PI serves as a mentor for under-served populations._x000D_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very strong: clear vision, clear goal, and clear research path. Broader impact can be stronger if accompanied by open course-ware._x000D_
_x000D_
</t>
  </si>
  <si>
    <t>Distributed systems underlie most uses of a modern computer, including cloud computing, e-commerce, social networking, and content delivery services; it is critical that these systems operate correctly. Implementing distributed systems is difficult because they must handle both concurrency and failure: machines may arbitrarily crash, and networks may reorder, drop, or duplicate packets, creating numerous opportunities for unexpected corner cases. Further, popular services must support hundreds of thousands of simultaneous requests which requires highly optimized and scalable software._x000D_
Despite the importance of distributed software, we lack a coherent framework and methodology for their correct construction. The state of the art is little more than code review, test, and pray, even though the set of possible behaviors is often too complex to permit good test coverage. The result is predictable: critical systems fail, leading to data loss, major service outages, and embarrassment. On a single day in summer 2015, the NYSE halted trading, United grounded _x000D_
flights, and the Wall Street Journal website failed, all due to errors in distributed systems. _x000D_
The PI's goal is to change this reality: to develop the tools and techniques needed to make verifying highly-tuned distributed systems implementations practical. Previous research has focused on verifying simplified models of algorithms, leaving open the question of whether implementations match the model. This project aims to close this formality gap and ease the burden for programmers to implement correct, high-performance, and maintainable distributed systems._x000D_
Keywords: programming languages, distributed systems, formal verification, reliability.This work will develop a practical verification framework, implemented in the popular Coq proof assistant, that enables formally reasoning about distributed system implementations in realistic fault models. The PI will initially focus on developing techniques to compositionally verify safety properties where the programmer can independently prove correctness for applications as well as reusable fault-tolerance components. The programmer can then compose the proofs to make strong end-to-end guarantees._x000D_
The PI will extend this framework to verify rich specifications for a broad class of critical systems, including reconfiguration and system updates to dynamically add nodes or replace software in a running system, vertical composition to modularly optimize system layers via observational refinement, and horizontal composition to compose entire systems via rely/guarantee reasoning. The PI will also develop a new verification methodology to achieve these goals. Reproving systems as they evolve is the most difficult aspect of large verification efforts, but the topic is relatively unexplored, leading to ad-hoc, labor-intensive approaches. One key insight is planning for change by modularizing both framework and system architectures to better accommodate updating proofs in response to changes in specifications or code.This project is the foundation of the PI's long term agenda to develop rigorous engineering principles for the teaching and construction of core computational infrastructure. Teaching and building such systems today remains more art than science, with numerous appeals to intuition backed only by incomplete testing. Providing reliability guarantees for infrastructure similar to the high standard found in more established engineering disciplines demands training a new generation of engineers in techniques this project will develop. If successful, this work will benefit every corner of society by enabling a new generation of engineers to create high-performance, verified distributed implementations. All software produced will be publicly available.</t>
  </si>
  <si>
    <t xml:space="preserve"> Panel Summary       
 SUMMARY OF PROPOSED RESEARCH ACTIVITY_x000D_
_x000D_
The PI proposes to advance the state of the art for compiling code to accelerators, by using highly application-specialized domain-specific languages. _x000D_
_x000D_
INTELLECTUAL MERIT_x000D_
_x000D_
+ The proposal, the institution, and the excellent track-record on software-defined radio, convey interdisciplinary thinking and access to domain expertise._x000D_
_x000D_
- Lack of technical focus: a lot of different applications are mentioned, each potentially very difficult to solve, without a clear common generalization._x000D_
_x000D_
- Needs a stronger evaluation plan on the technical results._x000D_
_x000D_
- Needs a more convincing argument why the proposed approach would fare better than previous work (e.g. LiquidMetal)._x000D_
_x000D_
- Needs more technical detail on how the compilation for accelerators is intended to work, and how it compares to the many efforts already underway in this area. There is considerable work in this area (some of which is not referenced, see individual reviewer comments for details).  _x000D_
_x000D_
BROADER IMPACTS _x000D_
_x000D_
+ Compiling code to accelerators is known to be difficult, yet in high demand, making this a high-risk, high-reward scenario with disruptive potential._x000D_
_x000D_
+ The education plan conveys commitment to education. It describes how the research can be integrated via existing programs for co-op and senior design projects, and how participation in these programs can be used as a measure of success._x000D_
_x000D_
CAREER SOLICITATION-SPECIFIC REMARKS_x000D_
_x000D_
+ The education plan is clear and believable, and has already shown some success, using an earlier university grant for a full-time undergraduate research co-op position._x000D_
_x000D_
ADDITIONAL REMARKS_x000D_
_x000D_
A letter of support by the department head promises reduced teaching load for junior faculty, mentoring by senior faculty, and lab resources._x000D_
_x000D_
SUMMARY STATEMENT_x000D_
_x000D_
The PI's track-record demonstrates that there is promise for the idea of compiling highly application-specific DSLs for accelerators. However, in its current form, the proposal needs a serious revision to improve the technical focus._x000D_
_x000D_
The recommendation of the panel is Low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</si>
  <si>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proposed work aims developing domain-specific languages for heterogenous systems particularly targeting resource constrained applications. The PI identifies several domains to target such as software-defined radio, network routing, deep learning, etc. _x000D_
_x000D_
On the positive side, the PI lists many promising application areas to target, increasing the potential for impact if the proposed approach succeeds. On the negative side, the proposal is not very clear about the technical approaches that will be applicable across all these areas. I would have liked to see a more coherent research vision._x000D_
_x000D_
Proposed work seems to rely too much on the prior work by the PI. Moreover, there is some overlap with an NSF project by the same PI that has just been funded. _x000D_
_x000D_
The proposal can be improved by clearly stating the research ideas  that are applicable across all the areas listed in the proposal. In its current form the proposal is rather disjointed and feels like a list of several separate projects on separate domain specific languages._x000D_
_x000D_
In the context of the five review elements, please _x000D_
evaluate the strengths and weaknesses of the proposal with respect to broader impacts._x000D_
_x000D_
The proposal lists a variety of areas that the proposed research targets and advances in many of these areas (such as deep learning, computer vision etc.) can lead to broad societal impact. _x000D_
_x000D_
The PI has an educational plan that will integrate the research results to the computing  classes. The education plan has several components including outreach to high school students, curricular development, cooperative education, senior design projects etc. A comprehensive education plan that covers many levels of education is a strength of this proposal._x000D_
_x000D_
Please evaluate the strengths and _x000D_
weaknesses of the proposal with respect to any additional solicitation-specific review criteria, if _x000D_
applicable_x000D_
_x000D_
_x000D_
_x000D_
Summary Statement_x000D_
_x000D_
The goal of the proposal is to develop domain specific languages and tools to support software development on heterogeneous systems for resource constrained applications.  The PI  plans to target a variety of application areas. However, the proposal does not make a convincing case for a research vision that is applicable across all the listed application areas._x000D_
_x000D_
</t>
  </si>
  <si>
    <t xml:space="preserve">In the context of the five review elements, please _x000D_
evaluate the strengths and weaknesses of the proposal with respect to intellectual merit._x000D_
_x000D_
Pro:_x000D_
_x000D_
- Programming GPUs and FPGAs is a current, important, and interesting problem (e.g. for IoT and for accelerating servers)._x000D_
_x000D_
- The proposal conveys a refreshing balance between more theoretically oriented domains (functional programming, Haskell) and a pragmatic, performance-oriented approach._x000D_
_x000D_
- The related work section seems quite thorough and indicates familiarity with many prior efforts in this area. Thus, the work is more likely to produce new results._x000D_
_x000D_
- The proposal contains a clear work plan, and reasonably achievable goals, yet remains ambitious and has a consistent long-term theme that is likely to remain relevant._x000D_
_x000D_
_x000D_
_x000D_
In the context of the five review elements, please _x000D_
evaluate the strengths and weaknesses of the proposal with respect to broader impacts._x000D_
_x000D_
Pro:_x000D_
_x000D_
- The education plan seems quite broad, including high school, undergraduate, and graduate students._x000D_
_x000D_
- The PI's track record demonstrates successful collaborations, publications, and publicly available projects on github. It seems likely that the trend would continue._x000D_
_x000D_
_x000D_
_x000D_
_x000D_
Please evaluate the strengths and _x000D_
weaknesses of the proposal with respect to any additional solicitation-specific review criteria, if _x000D_
applicable_x000D_
_x000D_
_x000D_
_x000D_
Summary Statement_x000D_
_x000D_
Overall, this looked like a very strong proposal to me. It demonstrates (1) familiarity with the general problem and previous work, (2) experience solving specific similar instances of the same general nature, and (3) competence in combining research areas that don't traditionally mix very easily (programming languages, heterogeneous systems)._x000D_
_x000D_
</t>
  </si>
  <si>
    <t xml:space="preserve">In the context of the five review elements, please _x000D_
evaluate the strengths and weaknesses of the proposal with respect to intellectual merit._x000D_
_x000D_
This proposal deals with the problem of compiling high-level and_x000D_
domain-specific languages to FPGAs, and to heterogeneous combinations_x000D_
of devices. A solution to this problem, or progress towards a_x000D_
solution, would be of great importance._x000D_
_x000D_
The novelty in the proposed approach comes not so much from specific_x000D_
new techniques (rewrite methods, autotuning methods, cost models,_x000D_
program partitioning methods), as from the application of these_x000D_
techniques to the software-defined-radio (SDR) domain, the_x000D_
most-developed of the proposed application areas._x000D_
_x000D_
I am concerned about the plan to carry out the proposed activities._x000D_
The scope of the proposal is broad.  Many techniques are applied_x000D_
to many application domains (SDR, video codecs, deep learning, vision,_x000D_
software-defined networking, DSP).  Actually, at some points in the_x000D_
project description it's easy to forget about the non-SDR_x000D_
applications, as the proposal focuses mostly on SDR and the Ziria DSL_x000D_
for it.  But then those other domains come back in the management_x000D_
plan, which highlights that the plan really is quite broad in scope._x000D_
_x000D_
The work on Ziria seems very strong, and the proposed extensions of_x000D_
that work are good ones.  I think the broader scope weakens the_x000D_
proposal.  However, when it comes to Ziria and SDR, it's also unclear_x000D_
which pieces of proposed work in fall under the NSF SMALL and which_x000D_
under this proposal.  Spelling that out in more detail would_x000D_
strengthen the proposal, as would narrowing the focus on new_x000D_
implementation techniques and highlighting their novelty._x000D_
_x000D_
_x000D_
In the context of the five review elements, please _x000D_
evaluate the strengths and weaknesses of the proposal with respect to broader impacts._x000D_
_x000D_
The other systems cited in the related work of this proposal have not_x000D_
led to reusable infrastructure.  To argue that this one would requires_x000D_
explaining what it will do differently._x000D_
_x000D_
_x000D_
Please evaluate the strengths and _x000D_
weaknesses of the proposal with respect to any additional solicitation-specific review criteria, if _x000D_
applicable_x000D_
_x000D_
_x000D_
_x000D_
Summary Statement_x000D_
_x000D_
This proposal targets a class of DSLs towards FPGAs and heterogeneous_x000D_
systems.  The previous and proposed work on SDR is strong, but the_x000D_
proposal needs a stronger argument as to why this project is the one_x000D_
to (finally) crack the high-productivity programming for the FPGA nut._x000D_
_x000D_
_x000D_
</t>
  </si>
  <si>
    <t>HK0815259</t>
  </si>
  <si>
    <t>Saraswat</t>
  </si>
  <si>
    <t>vijay@saraswat.org</t>
  </si>
  <si>
    <t xml:space="preserve">In the context of the five review elements, please _x000D_
evaluate the strengths and weaknesses of the proposal with respect to intellectual merit._x000D_
_x000D_
The proposal is intended to make it easier for programmers to develop code that runs on (single-node) heterogenous systems, particularly those with FPGAs. It proposes work on domain-specific languages (DSLs) for resource-constrained applications, for partitioning computations across the elements of a heterogeneous system and for reusable language and runtime support._x000D_
_x000D_
This proposal is in a fairly mature and stable area of research. A number of efforts, particularly by people with significant experiece in design automation and compiler techniques are not cited in the proposal: e.g._x000D_
work by Deming Chen and team at UIUC on FCUDA, _x000D_
work by Fleming et al from MIT on the LEAP FPGA operating system, _x000D_
Kulkarni et al from Xilinx (2004) _x000D_
Stewart et al (Heriot-Watt U) on RIPL_x000D_
Pouchet et al Polyhedral-Based Data Reuse Optimization for Configurable Computing (automatic C to FPGA translation), PolyOpt/HLS: Polyhedral-Based Data Reuse Optimization for FPGA, etc_x000D_
_x000D_
Projects like the Liquid Metal project at IBM (started in 2008, involved many senior programming languages and systems researchers) have tried before to tackle the issue of providing a high level programming model that can implemented across a heterogeneous system, specifically CPUs with GPU and FPGA accelerators, with limited success. Existing work (see Chen et al above) already attacks the problem of running static deep neural networks on FPGAs. It is not clear to me that the line of attack in this proposal is informed by the successes, failures and limitations of these projects (e.g. the need to support neural networks whose structure is dynamically determined by the input observation). _x000D_
_x000D_
The author has done significant work in resource-constrained applications (e.g. software defined radio), and domain-specific languages for SDR such as Ziria. However the ambitions for this proposal are considerably broader. The author has less experience in other areas key to this proposal, such as the design of more mainstream programming models / languages suitable for execution on heterogeneous hardware, and sophisticated compiler analyses and runtimes (e.g. poyhedral analyses). _x000D_
_x000D_
_x000D_
_x000D_
In the context of the five review elements, please _x000D_
evaluate the strengths and weaknesses of the proposal with respect to broader impacts._x000D_
_x000D_
The expected broader impact of this proposal is limited to making software defined radio easier to program._x000D_
_x000D_
Please evaluate the strengths and _x000D_
weaknesses of the proposal with respect to any additional solicitation-specific review criteria, if _x000D_
applicable_x000D_
_x000D_
_x000D_
_x000D_
Summary Statement_x000D_
_x000D_
This is a proposal in a relatively mature area with a lot of existing work (designing domain specific programming models for efficient execution on heterogeneous hardware). The potential for significant impact from the work outlined in this proposal is limited._x000D_
_x000D_
</t>
  </si>
  <si>
    <t>Heterogeneous systems, composed of CPUs coupled with special-purpose devices like DSPs, GPUs, and FPGAs, offer a tantalizing promise: orders of magnitude more computation per Watt, per dollar, or per unit time than commodity CPUs. However, programming these systems from scratch can be very challenging and often requires learning new low-level languages and tools. One approach to taming this complexity is through a domain-specific language (DSL) or library tailored to a specific application domain, e.g., Google's Tensorflow or Stanford's OptiML. While many domain-specific tools exist to leverage GPUs for machine learning, other domains are not so well served, and new heterogeneous platforms are fast approaching---for example, Intel's recent purchase of Altera is a strong indication that FPGAs will soon be much more prevalent._x000D_
_x000D_
I propose to develop tools and techniques to exploit these new platforms along three research thrusts: 1) Domain-specific languages for resource-constrained applications: Resource-constrained applications, like software-defined radio (SDR) and computer vision, are ideal candidates for heterogeneous systems because they do not require fully general computation and are therefore more likely to fit within the constraints of platforms like FPGAs. 2) Model-based techniques for automatically partitioning computation across heterogeneous systems: Currently, computation is either partitioned across devices manually by programmers or statically by a tool designer. However, optimal placement of computation may differ across platforms based on factors such as interconnect speed and computational capability. 3) Reusable language and runtime support for DSLs targeting heterogeneous systems: Though DSLs insulate the programmer from the low-level details of programming complex systems, they do nothing to help DSL designers avoid reinventing the wheel for each new DSL. I will leverage results from both my prior work and research thrusts 1 and 2 to design and implement infrastructure that language designers can use to quickly produce new DSLs for heterogeneous systems.There are currently no reusable tools or techniques that allow porting code applications to FPGAs from other platforms without significant rewrites. We will produce tools across several applications domains that enable code portability across all components of heterogeneous systems and can automatically partition programs across these components. The progress made by tackling these constrained domains will inform and enable progress on the general problems of how to automatically partition computation across devices and how to design infrastructure that is reusable across different domain-specific languages.New language abstractions and techniques that allow programmers to easily distribute computation across different devices are vital for tackling the increasingly heterogeneous world of computation, and the results of the proposed research will impact not only researchers in our chosen application domains, but also developers (and users) of new DSLs. Results will be published in peer-reviewed journals, and all software will be available under an open source license. The proposed budget provides for several six-month co-op terms, utilizing Drexel?s unique co-op program to enable undergraduate participation in the proposed research; I have already worked with one undergraduate co-op student on SDR-related research, which produced a publication. Half of these co-op cycles will be reserved for women and underrepresented minorities. One of my two current graduate students is a woman.</t>
  </si>
  <si>
    <t xml:space="preserve"> Panel Summary       
 SUMMARY OF PROPOSED RESEARCH ACTIVITY_x000D_
_x000D_
This proposal will develop novel techniques for Operating System (OS) verification. Prior work on formal verification of OS has demonstrated applicability of verification techniques to OS, but made simplifying assumptions, and did not address verification of some core systems concepts such as location virtualization, caching and interface protocols. The proposed work will address these concepts by introducing new logical modalities for location virtualization and caching, and using behavioral subtyping for interface protocols based on a new bisimulation relation. _x000D_
_x000D_
INTELLECTUAL MERIT_x000D_
_x000D_
Strengths:_x000D_
* This is a technically strong proposal with ambitious and intellectually challenging goals. _x000D_
_x000D_
* The PI has a clear research plan. Proposed technical ideas for verification of location virtualization, caching and interface protocols are novel and promising._x000D_
_x000D_
* The PI clearly positions the proposed work within the framework of prior research. He explains what was missing in prior work on OS verification, how he intends to build on prior results, and how he plans to extend them beyond what was done before. _x000D_
_x000D_
* The PI has a strong background and record in the OS verification area, and is well qualified to conduct the proposed research._x000D_
_x000D_
Weaknesses:_x000D_
* The proposal is inconsistent with respect to the scope of x86-64 CPU formalization. The claims in the introduction are too general, whereas,  later in the proposal, the PI notes that a formal model for a fragment of x86-64 is being developed. In general, precise and realistic scoping of  the proposed work is crucial for this proposal given the highly ambitious goal. _x000D_
_x000D_
Suggestions for improvement:_x000D_
* The PI can improve the proposal by carefully identifying the limits of the project's scope both with respect to formalization of the x86-64 CPUs and with respect to OS verification in general.  _x000D_
_x000D_
BROADER IMPACTS _x000D_
_x000D_
Strengths:_x000D_
* Operating systems are the core components of software systems, therefore errors in operating systems can have catastrophic consequences. By developing techniques that  will enable verification of operating systems, the proposed work can improve the dependability of software systems in general, leading to great benefits for society._x000D_
_x000D_
* Educational component of the proposal provides a realistic plan for incorporating verification to computing curriculum that involves course and textbook development, evaluation, and integration with research._x000D_
_x000D_
Weaknesses:_x000D_
* A more innovative education plan and a broader impact statement that discusses the potential benefits of the project beyond its immediate outcomes would improve the proposal. _x000D_
 _x000D_
CAREER SOLICITATION-SPECIFIC REMARKS_x000D_
_x000D_
The PI has institutional support in the form of senior faculty mentoring and reduced teaching load. The educational goals of the proposal is well aligned with the educational goals of the institution.  _x000D_
_x000D_
The proposal presents a reasonable education plan that incorporates the research theme of the proposal to the curriculum and integrates undergraduate students to the research project. _x000D_
_x000D_
SUMMARY STATEMENT_x000D_
_x000D_
This is a scientifically strong proposal with exciting and ambitious goals. OS verification is a significant problem with tremendous potential impact.  The PI has several novel technical ideas that can improve the state of OS verification significantly. The PI has a strong track record and is well qualified to conduct the proposed research._x000D_
_x000D_
By clearly explaining and limiting the scope of the project, the PI can improve the proposal. _x000D_
_x000D_
The recommendation of the panel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</si>
  <si>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goal of this proposal is to develop novel abstractions that will enable verification of operating system kernels. Building on existing work low level system code verification using proof assistants, the PI intends to build an extended formal modeling approach for verification of kernels. In particular, the proposed extensions will handle core systems concepts such as location virtualization, caching and verification of protocols for kernel interfaces. _x000D_
_x000D_
The proposed work includes development of a formal and realistic CPU model and development of new separation logics that capture the proposed abstractions. The PI plans to build on existing proof assistant Coq. _x000D_
_x000D_
Although the PI elaborates on how to extend the existing logical frameworks to handle more sophisticated operating system concepts, the PI does not discuss automated reasoning techniques for these novel logics. It seems like the work will rely on existing automated reasoning techniques in Coq. _x000D_
_x000D_
Overall, the proposed approach is promising and reasonable. The PI's focus on realistic modeling of operating system concepts is positive. On the positive side, building on existing tools and techniques makes the proposed approach more realistic. However, on the negative side, it results in a rather incremental research vision._x000D_
_x000D_
In the context of the five review elements, please _x000D_
evaluate the strengths and weaknesses of the proposal with respect to broader impacts._x000D_
_x000D_
Verification of operating system code is of huge importance for modern society. So,  positive results from the proposed work can have a big societal impact. The proposal focuses on practical aspects of formal verification and is likely to practical results that can have impact in real-world software systems._x000D_
_x000D_
The educational component of the proposal is not very innovative and mainly focuses on integration of concepts from formal methods area to computing courses._x000D_
_x000D_
Please evaluate the strengths and _x000D_
weaknesses of the proposal with respect to any additional solicitation-specific review criteria, if _x000D_
applicable_x000D_
_x000D_
_x000D_
_x000D_
Summary Statement_x000D_
_x000D_
Proposal focuses on a timely and important problem. The proposed work builds on existing results on verified system code development, but extends them to more realistic models. A more innovative educational plan and a more broad research vision (for example that involves automated reasoning techniques) would have resulted in a stronger proposal._x000D_
_x000D_
</t>
  </si>
  <si>
    <t xml:space="preserve">In the context of the five review elements, please _x000D_
evaluate the strengths and weaknesses of the proposal with respect to intellectual merit._x000D_
_x000D_
This is an excellent project that will advance knowledge within the field of OS verification in a way that closes a key gap in previous work._x000D_
_x000D_
The proposed work includes several novel components which are clearly laid out and explained against the backdrop of the (large) body of prior art in this area.  While previous works have verified complete (small) operating systems, they have oversimplified in a number of ways compared to contemporary OS kernels deployed in practice.  This proposal aims to close a significant portion of the distance between the two._x000D_
_x000D_
The plan is well-structured and well-explained in the proposal.  The only objection I have is that creating a new OS for this project is a large endeavor given the amount of funding.  However, this worry was adequately addressed in the planning section of the proposal, which does a good job of dividing the work and deliverables into small pieces that reward partial progress.  While introducing a new kernel, the proposal also does a good job of leveraging existing components to avoid a boil-the-ocean, build-everything-from-scratch plan -- Iris, preliminary work on x86 formalization, etc.  Nevertheless, the proposal remains a highly ambitious one._x000D_
_x000D_
The PI has a strong background and record of previous publications which is commiserate with the proposed work._x000D_
_x000D_
In the context of the five review elements, please _x000D_
evaluate the strengths and weaknesses of the proposal with respect to broader impacts._x000D_
_x000D_
This work targets an important area of research which is of interest to several groups of people within computer science and beyond.  Along with machine learning, the future dissemination of formally verified software is one of the major ways in which the impact of computing on society can be reshaped and improved._x000D_
_x000D_
Please evaluate the strengths and _x000D_
weaknesses of the proposal with respect to any additional solicitation-specific review criteria, if _x000D_
applicable_x000D_
_x000D_
_x000D_
_x000D_
Summary Statement_x000D_
_x000D_
A strong proposal in OS verification from a well-qualified PI._x000D_
_x000D_
</t>
  </si>
  <si>
    <t xml:space="preserve">In the context of the five review elements, please _x000D_
evaluate the strengths and weaknesses of the proposal with respect to intellectual merit._x000D_
_x000D_
Proposal seeks to develop a verified operting system kernel with realistic design, accounting for a variety of sophisticated, complicated hardware/OS features that are needed in real systems and are currently ignored by verification efforts (e.g. location virtualization, caching, asymmetric protocols). This is a very strong proposal from a researcher who has been intimately involved in (developing frameworks for) verifying complex properties of aliasing, concurrent code, and in implementing sophisticated features for OS kernels._x000D_
_x000D_
Strengths: (a) Excellent (realistic, but challenging and impactful) choice of goal .. though there are some issues (see below) (b) The author deeply understands the set of techniques that will be needed to address this challenge (foundational verification, separation logics, use of modalities for specifications, proving properties of protocols, operating system internals), (c)_x000D_
_x000D_
Weakness: My main concern is the author being able to develop a *realistic* model of x86 hardware. I know through peronal experience that "careful perusal of the processor documentation" from hardware vendors is not enough by far. Unfortunately, the engineers who write these documents often have only an intuitive understanding of the underlying mechanisms, and not the training to translate this understanding into precise language. Further, hardware vendors tend to want to preserve some level of flexibility in their architectures, hence expose even less information than may seem logically necessary, so that their future architecture decisions are not constrained. This is why people like Peter Sewell and colleagues have had to work with engineers from hardware vendors to try and get formal memory model specifications on the table. I strongly suggest the author try to establish a collaboration with hardware vendors or research groups on memory models that have such relationships._x000D_
_x000D_
_x000D_
In the context of the five review elements, please _x000D_
evaluate the strengths and weaknesses of the proposal with respect to broader impacts._x000D_
_x000D_
Broader impact as claimed in the proposal is credible and appropriate._x000D_
_x000D_
Please evaluate the strengths and _x000D_
weaknesses of the proposal with respect to any additional solicitation-specific review criteria, if _x000D_
applicable_x000D_
_x000D_
_x000D_
_x000D_
Summary Statement_x000D_
_x000D_
This has my strong support. It will be an exciting, worthwhile project with really valuable outcomes, even if the grand project (unified set of principles) is not realized in its full glory. My only concern is with the complexity of developing a realistic hardware memory model, as outlined above._x000D_
_x000D_
</t>
  </si>
  <si>
    <t xml:space="preserve">In the context of the five review elements, please _x000D_
evaluate the strengths and weaknesses of the proposal with respect to intellectual merit._x000D_
_x000D_
This project aims at constructing a new; detailed formal model of x86-64 CPUs; designs new proof techniques to reason about these intricate behaviors; and validates them in the_x000D_
construction of a verified kernel. _x000D_
_x000D_
There is no question about the importance of the proposed research. Program verification has been a goal of computer since Hoare's classical 1969 paper. Yet program correctness requires also reasoning about the underlying OS and the underlying hardware, as has been argued already by Hoare in 1969._x000D_
_x000D_
Yet, the ambition of these project is unreasonable, IMHO. Other OS verification projects, which have not modeled all aspects of the OS, have been carried out by teams of researchers. Developing an accurate model of the X86-64 is also a project for a team of researchers. While, I have no doubt that the PI can successful develop theory and tools for reasoning about OS kernels, the stated goal of this project is not feasible for a 5-year single investigator project. Furthermore, I'd question whether certain aspects of the project, such as constructing a fully accurate model of the X86-64, are appropriate for an academic project carried out by graduate postdoctoral students._x000D_
_x000D_
In the context of the five review elements, please _x000D_
evaluate the strengths and weaknesses of the proposal with respect to broader impacts._x000D_
_x000D_
The broader-impact statement essentially argues that the proposed research itself, which will produce results, train students, and develop tools will have a broad impact. This is unquestionably true, but NSF asks proposer to go from broad impact, to broader impact. This is missing here._x000D_
_x000D_
Please evaluate the strengths and _x000D_
weaknesses of the proposal with respect to any additional solicitation-specific review criteria, if _x000D_
applicable_x000D_
_x000D_
_x000D_
_x000D_
Summary Statement_x000D_
_x000D_
This is a well-motivated research project but with overambitious goals and weak broader-impact plan._x000D_
_x000D_
</t>
  </si>
  <si>
    <t>This project aims to improve our ability to formally (mathematically) verify the behavior of low level software, namely operating system kernels.  It focuses on novel verification approaches for three core systems concepts: location virtualization (in the form of virtual memory management address translation, and the logical blocks of copy-on-write filesystems); caching (the TLB that caches address translations, CPU store buffers that lead to the x86's weak memory model, the CPU cache bypassed by device memory access, and the filesystem cache); and sophisticated modular use of statically-checked protocols for generic interfaces in the kernel (such as device drivers or VFS nodes). The subsystems and hardware interactions these three concepts cover are critical pieces of any operating system kernel, and some of the most difficult to implement correctly. Incorrect implementation or management can lead to crashes, data corruption, or security vulnerabilities. This project constructs a new; detailed formal model of x86-64 CPUs; designs new proof techniques to reason about these intricate behaviors; and validates them in the construction of a verified kernel. The project also develops a free textbook and curriculum on building dependable software through informal application of ideas from verification, suitable for those with little software engineering background, and reaches out to practicing developers (many of whom have never studied such material).Recent research has shown the feasibility of verified operating system kernels, but makes aggressive simplifying assumptions about hardware (caches in particular), functionality, and internal interfaces between subsystems.  These simplifications make verification easier, but restrict the utility of and trust in the resulting systems. This project will implement and formally verify the core of a new general-purpose OS kernel that avoids these oversimplifications.  We will construct a new detailed formal CPU model, covering subtle hardware behaviors ignored by prior work.  We will construct new separation logics (Hoare logics) that incorporate insights from modal logic --- in particular, ideas from hybrid logic --- and apply them to some of the most challenging parts of kernel verification.  As part of this, we will distill common formal reasoning principles for location virtualization, caching, and composition of statically-checked protocols, which apply to other classes of software beyond kernels. The PI's unique combination of industry experience with the relevant kernel subsystems and research background in the required verification techniques supports that these three concepts are the heart of the challenge for verifying these central kernel components and hardware interactions, and that applying tools from modal logic is highly likely to yield a flexible and powerful framework for verifying systems software.Reasoning about a range of concepts in a single verification framework is a general problem, and solving these specific instances in an OS kernel will yield insights and techniques that generalize to other setting. Byproducts of the research include precise formal models of hardware, verification infrastructure (Hoare logics), and a verified OS kernel, all of which will be made publicly available for use as the basis of future research.  A critical component of this proposal is not only graduate student training, but the involvement of undergraduates in the research process. Drexel University has a strong commitment to undergraduate research, allowing students to spend their required 6-month full time internships as full-time research assistants, providing some intramural funding to support this. This project crosses several areas of research on software quality, and will supplement existing programs to support 3 undergraduates for 6 months of full-time involvement in key aspects of the project.  The PI will specifically seek to involve students from underrepresented groups in this project. The new course curriculum will teach skills for precise reasoning about software correctness (informally and with static analysis tools used in industry) in a way suitable for non-traditional software developers (non-computing scientists and self-taught developers).  Moreover we will enhance the impact of the curriculum by creating a freely-available textbook, and reaching to practicing developers through industry-focused conferences that welcome such material.</t>
  </si>
  <si>
    <t xml:space="preserve"> Panel Summary       
 SUMMARY OF PROPOSED RESEARCH ACTIVITY_x000D_
_x000D_
  The PI proposes to add certain extensions to JavaScript (JS)_x000D_
  to include better support for control operators, concurrency,_x000D_
  debugging, separate compilation, and blocking I/O operations._x000D_
  These features will then be available to compile high-level_x000D_
  languages -- e.g. Ocaml, Scala and Pyret --  down to, but_x000D_
  will be translated into plain JavaScript, so as to be_x000D_
  executable on existing browsers._x000D_
_x000D_
  JavaScript is the native language of the Web and has fast_x000D_
  implementations inside modern web browsers. Improving support_x000D_
  for JavaScript will make it possible to run applications written_x000D_
  in other languages directly inside the web browser._x000D_
_x000D_
  The goal of this work is to enable general purpose applications,_x000D_
  specifically, Integrated Development Environments (IDEs)_x000D_
  inside the web browser._x000D_
_x000D_
INTELLECTUAL MERIT_x000D_
_x000D_
  Strengths_x000D_
_x000D_
  * The proposal tackles a nice problem area with potential_x000D_
    for real impact on platforms for modern programming languages._x000D_
_x000D_
  * Web-based IDEs can be very useful in many situations, opening up_x000D_
    programming to new classes of developers._x000D_
_x000D_
  * The proposal addresses non-trivial PL design and_x000D_
    implementation questions, using the PI's deep experience_x000D_
    with JavaScript._x000D_
_x000D_
  * Many of the ideas (e.g. supporting debugger abstractions)_x000D_
    could apply more broadly than JavaScript._x000D_
_x000D_
  Weaknesses_x000D_
_x000D_
  * Some of the tasks appear to be more about engineering_x000D_
    around well known idiosyncrasies of JavaScript and_x000D_
    its present implementation._x000D_
_x000D_
  * The proposal should discuss Web-Assembly more_x000D_
    thoroughly as it aims to solve the same set of_x000D_
    problems, and has significant industrial support._x000D_
    The argument that JS takes care of a lot_x000D_
    (e.g. closure conversion) is not sufficient,_x000D_
    especially as most languages compile to LLVM,_x000D_
    which will have a Web-Assembly back end._x000D_
_x000D_
  * The "post-PC" aspect should be de-emphasized as laptops_x000D_
    may not be prohibitively expensive, and dually, tablets_x000D_
    need not remain as restricted as they are now in 4-5_x000D_
    years (the period of this research)._x000D_
_x000D_
  Suggestions_x000D_
_x000D_
  The proposal would be much stronger with:_x000D_
_x000D_
  1. A better comparison against Web-Assembly (e.g. an_x000D_
     argument about how the work would not be subsumed_x000D_
     by web-assembly in 4-5 years.) For example, could_x000D_
     the higher level abstractions be built on top of_x000D_
     web-assembly?_x000D_
_x000D_
  2. Discussion about how the proposed tasks could shed_x000D_
     light on the notion of "transpiling" beyond the_x000D_
     setting of JavaScript in the browser._x000D_
_x000D_
BROADER IMPACTS_x000D_
_x000D_
  Strengths_x000D_
_x000D_
  + The work will directly allow a much larger class of users,_x000D_
    e.g. casual programmers, middle- and high-schoolers to_x000D_
    access powerful computational systems on "post-PC"_x000D_
    devices, through the kind of browser-based computing_x000D_
    environments proposed here._x000D_
_x000D_
  + The proposal has a significant education component,_x000D_
    for graduate and under graduate curricula, and also_x000D_
    for high school education, through the "Holyoke Codes"_x000D_
    initiative and via collaboration with the BOOTSTRAP_x000D_
    program which will together bring introductory data-science_x000D_
    workshops to underprivileged and under-represented minority_x000D_
    groups._x000D_
_x000D_
CAREER SOLICITATION-SPECIFIC REMARKS_x000D_
_x000D_
  The proposal aims to improve the IDE for PYRET,_x000D_
  a language that has been developed to teach_x000D_
  introductory programming and already has thousands_x000D_
  of users. The PI has detailed plans for teaching workshops_x000D_
  using PYRET using the Bootstrap data science curriculum._x000D_
_x000D_
ADDITIONAL REMARKS_x000D_
_x000D_
  The PI has strong connections with the PYRET and BOOTSTRAP teams,_x000D_
  and has letters of support from them._x000D_
_x000D_
SUMMARY STATEMENT_x000D_
_x000D_
  While the proposal tackles some interesting questions_x000D_
  we encourage the PI to make a stronger case for why the_x000D_
  presented approach is likely to be more durable than_x000D_
  other routes currently being pursued aggressively in_x000D_
  industry._x000D_
_x000D_
The recommendation of the panel is Low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</si>
  <si>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proposal's intellectual merit is focused on how to extend JavaScript with features that enable better cross-compilers from other languages.  These features include better support for control operators, concurrency, debugging, separate compilation, and blocking I/O operations._x000D_
_x000D_
These are hard problems and important to solve if we are going to have languages that target JavaScript.  Seeing the work on WebAssembly, however, which already addresses separate compilation and debugging, and plans to support exceptional control and concurrency in the near future, I doubt if in 3-5 years from now JavaScript is going to be a compelling target for any but the most trivial compilers.  WebAssembly will very likely be faster, cleaner, and in most respects more capable than either JavaScript today or JavaScript as envisioned in this proposal (there are exceptions, such as call/cc, native support for closures and blocking I/O, but the first of these is needed by very few languages and is arguably a famous-but-bad idea, the second is well-understood, and the last is a poor match for typical programs that target the web).  I don't think it makes sense for the NSF to invest in building a tool that will not be clearly better than an already-prototyped standard with concrete plans to do many of the same things and a ton of industry buy-in._x000D_
_x000D_
Unfortunately, the scientific problems proposed are positioned strongly in terms of translation to JavaScript, and when that motivation goes away, it's not clear how much enduring scientific contribution is left._x000D_
_x000D_
Additional minor feedback: First, I definitely buy the argument that in some cases hosting IDEs in the web browser on tablets and similar devices can expand the reach of computing to more students.  On the other hand, it's worth noting that screen real estate is a big plus for programmers; programming on a tablet is not going to be a great experience for professionals or even advanced students in the forseeable future.  Second, sequential consistency is great for programmers, but usually more relaxed memory models are considered better for target languages.  This could be argued better._x000D_
_x000D_
The PI is well-qualified to carry out the proposed plan._x000D_
_x000D_
In the context of the five review elements, please _x000D_
evaluate the strengths and weaknesses of the proposal with respect to broader impacts._x000D_
_x000D_
Having a form of JavaScript with better support for control operators, concurrency, debugging, and seaparate compilation would make it easier to target the web from full-function programming languages, and this would in turn enhance productivity of engineers and the features of applications across the software industry (Blocking I/O is more of a library issue than a language one, but is important in some cross-compilation scenarios).  Balancing this is the high likelihood that WebAssembly will be a more attractive target for the vast majority of high-level languages by the time the envisioned research is complete.  Unfortunately, the proposal's innovations are primarily positioned in terms of extensions to JavaScript, rather than foundational ideas that could be applied in many cross-compilation settings._x000D_
_x000D_
The proposal's education plan is strong, particularly the outreach to high school students with Holyoke Codes, which will encourage underprivileged and underrepresented students to engage with computer science at an early age._x000D_
_x000D_
Please evaluate the strengths and _x000D_
weaknesses of the proposal with respect to any additional solicitation-specific review criteria, if _x000D_
applicable_x000D_
_x000D_
_x000D_
_x000D_
Summary Statement_x000D_
_x000D_
This proposal would produce a piece of infrastructure that would be very useful today, but is less likely to be useful in 5 years due to competing technologies such as WebAssembly that are likely to be better choices.  A proposal focused on fundamental science could still be funded, and indeed there are some interesting scientific questions raised in the proposal, but not enough detail is given on how these questions should be approached.  To improve the proposal, focus on the enduring scientific merit of the questions you want to answer, and the ideas you have for answering them._x000D_
_x000D_
_x000D_
</t>
  </si>
  <si>
    <t xml:space="preserve">In the context of the five review elements, please _x000D_
evaluate the strengths and weaknesses of the proposal with respect to intellectual merit._x000D_
_x000D_
Strengths:_x000D_
_x000D_
* A nice problem area that combines potential real-impact on platforms_x000D_
for modern programming languages with non-trivial PL design and_x000D_
implementation questions._x000D_
_x000D_
* Leverages the PI's deep knowledge of JavaScript and features like_x000D_
concurrency, continuations, etc._x000D_
_x000D_
* Ideas, like ways to support a "stop" button and ways to support_x000D_
appropriate debugger abstractions, may apply more broadly._x000D_
_x000D_
* Overall, a coherent story with plans to build a real system that_x000D_
solves several well-identified research problems._x000D_
_x000D_
Weaknesses:_x000D_
_x000D_
* Alas, despite being well-motivated, the thrust of the work still_x000D_
seems to be a lot of hacking around well-known JavaScript warts in_x000D_
ways that leave the work both at the mercy of ever-changing JS_x000D_
implementations and potentially in the mode of "solving a bunch of_x000D_
small problems in marginally interesting ways"._x000D_
_x000D_
* I was left unconvinced by the dismissal of WebAssembly as a platform_x000D_
to build on. [Note: I have no connection to WebAssembly nor any_x000D_
expertise, so I'm not claiming it's great or the one way forward or_x000D_
anything].  It seems to me that in implementing a language, you want_x000D_
a simple back-end language like WebAssembly, particularly because it_x000D_
doesn't impose all the legacy constraints of a complicated language_x000D_
intended for humans like JS.  Sure, that means things like closure_x000D_
conversion aren't provided out-of-the-box, but one can develop a_x000D_
mid-level IR "from whole cloth" on top of WebAssembly and go from_x000D_
there._x000D_
_x000D_
* The issues surrounding blocking I/O on top of non-blocking I/O_x000D_
(namely extending BrowserFS and getting event-queuing right) seemed_x000D_
minor._x000D_
_x000D_
* I found the emphasis on "then students/programmers can use_x000D_
ChromeBooks and Tablets" a bit confusing and overdone -- it was_x000D_
often not clear if the benefit was as devices for /programming/ (in_x000D_
the end I think it was) or for /deploying/ applications these_x000D_
post-PC devices.  But laptops are not prohibitively expensive, nor_x000D_
is it clear that ChromeBooks and tablets will remain as restrictive_x000D_
as they currently are for the 4-5 years necessary for this research._x000D_
_x000D_
_x000D_
In the context of the five review elements, please _x000D_
evaluate the strengths and weaknesses of the proposal with respect to broader impacts._x000D_
_x000D_
Strengths:_x000D_
_x000D_
* Both the summer workshop and the wide-deployment are legitimate and_x000D_
well-thought-out broader impacts.  Kudos!_x000D_
_x000D_
Weaknesses:_x000D_
_x000D_
None_x000D_
_x000D_
_x000D_
Please evaluate the strengths and _x000D_
weaknesses of the proposal with respect to any additional solicitation-specific review criteria, if _x000D_
applicable_x000D_
_x000D_
_x000D_
_x000D_
Summary Statement_x000D_
_x000D_
Solid proposal for extending JavaScript to be a reasonable target_x000D_
language for modern high-level languages, but I have concerns about_x000D_
the motivation as described above as to whether this is "really the_x000D_
way to go" and whether it will remain as well-motivated for the next_x000D_
4-5 years._x000D_
_x000D_
_x000D_
</t>
  </si>
  <si>
    <t>QG0882668</t>
  </si>
  <si>
    <t>Jhala</t>
  </si>
  <si>
    <t>rjhala@eng.ucsd.edu</t>
  </si>
  <si>
    <t xml:space="preserve">In the context of the five review elements, please _x000D_
evaluate the strengths and weaknesses of the proposal with respect to intellectual merit._x000D_
_x000D_
_x000D_
The PI will develop new mechanisms for Javascript that are_x000D_
needed to build modern IDE (development environments) inside_x000D_
web browsers. These include e.g. primitives for concurrency_x000D_
control, threads, IO (handling files), and ways to implement_x000D_
them using pure JavaScript. (These mechanisms are essential_x000D_
to IDEs and not natively supported by JS, meaning either_x000D_
"transpilers" ignore these features or have complex_x000D_
implementations for them.)_x000D_
The PI will also develop type systems to ensure isolation of_x000D_
objects obtained from code run by untrusted parties (so they_x000D_
can be run in isolation) and implement a multi-lingual IDE_x000D_
to evaluate the contributions._x000D_
_x000D_
_x000D_
In the context of the five review elements, please _x000D_
evaluate the strengths and weaknesses of the proposal with respect to broader impacts._x000D_
_x000D_
_x000D_
The proposed work will affect all programmers as the idea is_x000D_
to move IDEs into the browser. Specifically, it will improve_x000D_
the IDE for the PYRET language which already runs in the browser._x000D_
_x000D_
The PI has a strong plan for high-school outreach working in_x000D_
collaboration with Holyoke Codes and the Holyoke High-school_x000D_
district serves a large URM population._x000D_
_x000D_
The PI will develop a computing course for 25 high school students,_x000D_
and teach the "Bootstrap" data-science curriculum as a week long_x000D_
workshop, created by the team that is developing PYRET._x000D_
_x000D_
_x000D_
Please evaluate the strengths and _x000D_
weaknesses of the proposal with respect to any additional solicitation-specific review criteria, if _x000D_
applicable_x000D_
_x000D_
_x000D_
_x000D_
Summary Statement_x000D_
_x000D_
_x000D_
The PI argues that with the rise of smartphones and tablets,_x000D_
software development itself will move into the browser i.e._x000D_
happen with JavaScript (JS) as the underlying computational_x000D_
substrate. The PI argues that JS (as in the browser) lacks_x000D_
several key features (threads, support for multiple files, isolation)_x000D_
that are essential for using it as the target of modern languages._x000D_
(These languages then either forgo key features when being run_x000D_
in the browser, or are very difficult to implement.)_x000D_
The PI proposes to extend JS with constructs that account_x000D_
for such features, making it easy to compile (or "transpile")_x000D_
modern languages down into JS. This, together with features_x000D_
that, e.g. make it easier to trace code (for debugging) will_x000D_
make it easier to run arbitrary code in the browser, and in_x000D_
particular, to write IDEs that run in the browser._x000D_
_x000D_
_x000D_
## Pros  _x000D_
_x000D_
+ The PI is one of the experts on the semantics of JS, with_x000D_
an impressive track record both on building new libraries (FlapJax),_x000D_
developing rigorous semantics (LambdaJS) and type systems for JS._x000D_
_x000D_
+ The proposal identifies several limitations that make it hard_x000D_
to run, say, arbitrary Java or Scala or Haskell programs in_x000D_
a web browser._x000D_
_x000D_
+ The concrete proposed tasks seem feasible; specifically, the_x000D_
identified tasks of developing control operators, threads,_x000D_
debugging support and separate compilation._x000D_
_x000D_
## Cons_x000D_
_x000D_
- I don't buy the main premise of the proposal_x000D_
(building IDEs in the browser.)_x000D_
_x000D_
- The proposed work is both not ambitious enough_x000D_
(from a purely scientific point of view) and yet,_x000D_
too ambitious (from an implementation/engineering)_x000D_
point of view._x000D_
_x000D_
- The evaluation plan was not persuasive -- it is not_x000D_
enough to say "it is hard to add new features to PYRET we will make it easier"_x000D_
PYRET is a large system and it is hard to add new features to _any__x000D_
large system (especially one written in JS!) How do we know that PYRET_x000D_
will not have to be significantly re-engineered to benefit from your_x000D_
new constructs (i.e. the requirements needed to, e.g. have pauseable_x000D_
computations, breakpoints etc. may be scattered across the entire_x000D_
code base!)_x000D_
_x000D_
I did not find the PI's vision here -- IDEs in the browser -- persuasive._x000D_
_x000D_
First: why? Just because I have a phone/tablet with me all the time,_x000D_
doesn't mean I want to *program* on that phone. I can see the merit_x000D_
of approaches like Pyret -- where the in-browser-IDE makes distribution_x000D_
trivial. But Pyret is meant very specifically for introductory programming._x000D_
There are several other similar (if less sophisticated IDEs) for other_x000D_
languages (e.g. see the recent paper on the OCAML MOOC at ICFP 2017),_x000D_
or pythontutor (which has millions of users). Sure, these are not_x000D_
full-fledged  IDEs by a long shot and lack many of the features_x000D_
described here, but nevertheless they seem quite adequate for_x000D_
teaching purposes. However, for general purpose programming,_x000D_
I (and most professional developers) would likely want keyboards_x000D_
that make loud clacking sounds, and a big screen. Why, then,_x000D_
would they be tethered to a browser?_x000D_
_x000D_
Second, even if one assumed that yes, we _do_ want visual-studio_x000D_
in the browser, there are already vast amounts of engineering_x000D_
resources being poured in by Google, Facebook, Microsoft etc._x000D_
into developing things like WebAssembly. The proposal says that_x000D_
WebAssembly is not upto that task as other than its limitations_x000D_
JS is a very nice target and instead we'd have to reimplement_x000D_
different modern languages in web-assembly (instead of the proposed_x000D_
approach of adding a few targeted features to JS.)_x000D_
_x000D_
"Such a compiler would have to implement closure conversion,_x000D_
lambda lifting, garbage collection ..."_x000D_
_x000D_
I find that argument unpersuasive because really, once there is_x000D_
an LLVM (say) backend for web-assembly (also happening as part of_x000D_
the above engineering resources being poured into it) then_x000D_
every language that compiles to LLVM will directly be executable_x000D_
in the browser. (And, at this point, pretty much every large_x000D_
modern language has some sort of LLVM back-end going on.)_x000D_
_x000D_
Third, that said, the PI seems to be rather too optimistic about_x000D_
the engineering work needed to achieve their goals. For example,_x000D_
the task of producing high-quality (JS) code for all browsers_x000D_
is extremely ambitious (and the proposal would be much stronger_x000D_
if there was some actual implementation of one or more of the operators_x000D_
_x000D_
To summarize, while the PI makes some interesting concrete proposals_x000D_
for extending JavaScript with new features, the proposal as as whole_x000D_
does not persuade me of the scientific importance of these extensions._x000D_
Much of the individual bits are already implemented in different systems;_x000D_
(the proposal here is valuable -- to "refactor" those out into language_x000D_
level primitives that can be easily reused) but still, the overall value_x000D_
of doing so remains unclear. Seems like the work will require a *great*_x000D_
deal of engineering, not clear if the PI has the prior experience/expertise_x000D_
for this sort of engineering. Ultimately, this engineering may be_x000D_
made obsolete by ongoing trends in the browser space (WebAssembly)._x000D_
_x000D_
_x000D_
</t>
  </si>
  <si>
    <t xml:space="preserve">In the context of the five review elements, please _x000D_
evaluate the strengths and weaknesses of the proposal with respect to intellectual merit._x000D_
_x000D_
NOTE: Unfortunately, the bibliography is inconsistent with citations in the main body of the proposal, making it very difficult to follow the text._x000D_
Evidence:_x000D_
The first page cites [115] ... entries in the bib go up to just [108]!_x000D_
The first paragraph cites "tablet computers are now required at several  medical schools [70] and are transforming practice in several industries, such as construction [66] and energy [55]". Turns out [70] is a reference to the U Mass Undergraduate FAQ, [66] to a paper on compiling path queries and [55] to the TeJaS paper on retrofitting type systems to JavaScript :-(._x000D_
_x000D_
This is regrettable because otherwise the proposal appears to be a fine proposal, worthy of support._x000D_
_x000D_
Certain extensions to JavaScript are proposed, called BabelScript. BableScript is intended to support the three major use cases for compilation to JavaScript: supporting web programming in a variety of languages, supporting native applications (e.g. games), and supporting web-based IDEs. The BableScript extensions are intended to support (a) call with current continuation (and allied constructs), (b) concurrency constructs, (c) debugging abstractions, (d) separate compilation (using a linker to check consistency of static types), (e) blocking I/O in support of a file system and networking library. The intent is to implement BabelScript by translating into JavaScript, and to offer BabelScript as a target language for compilers from other languages, such as OCaml, Scala and Pyret. With BabelScript implemented, it would be possible to support powerful IDEs for such languages, with support included for setting break-points and stepping through code. This would be very valuable and impactful._x000D_
_x000D_
On (b), surprisingly specific constructs are not described. Instead, what is specified is that the language will have sequentially consistent (SC) semantics. Unfortunately, it is expensive and hard for the entire implementation stack (compiler, runtime, architecture, hardware)  maintain SC semantics, see e.g. the discussion in "A Theory of Memory Models", Saraswat et al PPoPP 2007. Some pretty basic compiler transformations are not valid under SC, e.g. transforming [x=1;r=y]] to [r=y;x=1]. Instead, much of the work in the research community assumes a weaker property ("the fundamental property of weak memory models" [ibid]): Programs whose SC executions have no races must have only SC executions. The author may want to reconsider this decision. _x000D_
_x000D_
I strongly support this work. In some ways I think of it is revisiting something as sophisticated and powerful as the Java Virtual Machine, but in the execution environment of a browser. The proposal is creative and potentially seminal -- enabling significant new work on sophisticated programming model implementations delivered through the browser. The proposed plan is quite reasonable. Some of the research activities proposed carry less risk, but many others are challenging, and addressing them will provide a breakthrough. _x000D_
_x000D_
The PI has strong qualifications to lead this research, as evidenced in Section 1.3.  Significant research already done in this area, a commitment to producing high quality open source artifacts (that will be critical to having a broader impact). He has deep linkages with strong programming languages and systems groups (at U Mass and Brown U), that should contribute to the success of the proposed research. _x000D_
_x000D_
The PI has strong qualifications to lead this research, as evidenced in Section 1.3.  Significant research already done in this area, a commitment to producing high quality open source artifacts (that will be critical to having a broader impact). He has deep linkages with strong programming languages and systems groups (at U Mass and Brown U), that should contribute to the success of the proposed research._x000D_
_x000D_
In the context of the five review elements, please _x000D_
evaluate the strengths and weaknesses of the proposal with respect to broader impacts._x000D_
_x000D_
The proposed work has a significant education component, for graduate and under graduate curricula, and also for high school education, through the "Holyoke Codes" initiative. A much larger class of users (students, industry users) will be able to access powerful computational systems on "post-PC" devices, through the kind of browser-based computing environments proposed here. We are already seeing significant post-PC uses in industry (small and medium business -- retail outlets, restaurants, hospitals); this research project is on the right exploding growth curve._x000D_
_x000D_
_x000D_
Please evaluate the strengths and _x000D_
weaknesses of the proposal with respect to any additional solicitation-specific review criteria, if _x000D_
applicable_x000D_
_x000D_
_x000D_
_x000D_
Summary Statement_x000D_
_x000D_
This is a proposal to extend JavaScript (to a system called BabelScript) with significant support for hosting programming languages with sophisticated control structures and concurrency in a safe fashion. If it is successful it will provide a powerful computing platform for the post-PC era. The proposer is very well qualified to execute on this project.  _x000D_
_x000D_
I rate this is a very strong proposal, worthy of support._x000D_
_x000D_
</t>
  </si>
  <si>
    <t>Traditional PCs are on their way out. The market for laptops and desktops has shrunk for two years and is predicted to shrink for several more. This transformation is most evident in education, where 58% of new devices are ChromeBooks. In homes, tablet ownership has skyrocketed to 45%, while PCs are stagnant. Post-PC devices are easier to use than PCs, easier to secure, and just as capable for most personal computing tasks, with the exception of programming._x000D_
_x000D_
Concurrent with the decline of PCs, web browsers have evolved into a universally-supported virtual machine with JavaScript as its language. Several "coding schools" and research groups have exploited this trend to build web-based IDEs for PCs and post-PC devices. Unfortunately, JavaScript has limitations that make many programs difficult to write.  The natural solution is to compile a better language to JavaScript and scores of compilers already do so.  However, instead of addressing the limitations of the web, the vast majority of compilers succumb to JavaScript's limitations.  For example, BuckleScript (OCaml) drops tail calls, RacketScript (Racket) drops continuations, Transcrypt (Python) drops exact arithmetic, and ClojureScript (Clojure) drops concurrency and transactional memory. Thus, the most distinctive and powerful features of many programming languages are lost in translation to JavaScript.  These compilers force programmers to restructure code that runs continuously for more than a few seconds to avoid crashing the browser tab and to rewrite code that uses platform features, such as the file system, that browsers do not support. These limitations also affect web-based IDEs. For example, most don't allow programs to span multiple files and many simply crash on infinite loops!_x000D_
_x000D_
Conventional wisdom states that there is a tradeoff between the completeness of a web-based compiler and the complexity of its implementation. A handful of research compilers strive to be complete, but most compilers balk at the effort required to implement non-trivial language features correctly and efficiently. In contrast, we propose to formalize a a few carefully-chosen extensions to JavaScript to make it a better compiler target. We propose to compile this extended language to ordinary JavaScript and thus dramatically lower the effort needed to compile sophisticated language features. Instead of re-engineering compilers, we present a plan to eliminate the deficiencies in several existing compilers using our extended JavaScript. Since different browsers have different performance characteristics, we propose to develop several compilation strategies that exploit individual browsers to maximize performance. To tackle large codebases, we propose to develop a compiler that supports separate compilation, using a type system to verify that compilation artifacts preserve necessary invariants. Finally, our extended JavaScript will include primitives needed by web-based debugging tools. In a collaborative effort, we propose to apply our approach to the Pyret IDE, which has thousands of users._x000D_
_x000D_
EDUCATIONAL GOAL. We propose a workshop series that teaches data science and functional programming to high school students.The key technical contributions are: (1) new concurrency, control, synchronous I/O, and debugging primitives for JavaScript, their formalization, and transformation to ordinary JavaScript; (2) a type system for JavaScript to ensure that compiled objects can be safely linked and run in isolation; (3) enhancements to several existing compilers that currently omit language features that don't map easily to the Web; (4) extensive performance evaluation; and (5) a multi-lingual web-based IDE that leverages all of the above.This project will make it dramatically easier to compile sophisticated languages to the Web. This project will also impact professional programmers by enabling them to use post-PC devices for tasks that currently require a traditional PC or a cloud-hosted VM. Finally, this proposal directly addresses the needs of students, who are most likely to only own a post-PC device. By lowering capital cost, this project will make computer science education more broadly accessible.</t>
  </si>
  <si>
    <t xml:space="preserve"> Panel Summary       
 SUMMARY OF PROPOSED RESEARCH ACTIVITY_x000D_
The goal of this proposal is to develop Tenli - a platform that takes the verification of resource-dependent systems seriously.  Tenli is planned to be a proof assistants that integrates sub-structural logics with dependent types. The technical challenges are (1) the development of a formal model, (2) the design of core and surface languages, which includes various sub-structural logics and a dependent types system, and (3) using Tenli for designing two new domain-specific languages: one for the verification of resource dependent systems using separation logic, and the other to be used in the study of the mathematical formalization of natural languages._x000D_
_x000D_
INTELLECTUAL MERIT_x000D_
Strength: Sub-structural logics are very important for programs with state. Integration between dependent types and sub-structural logics will be an important advance. _x000D_
Weakness:  There is the large gap between the highly theoretical focus of the proposal and its ambition to apply it to real-world program verification.  The proposal reflects a lack of awareness of the enormous chasm between the development of proof assistants for sub-structural logics and the reality of system verification in the real world. Also, the proposal lacks a realistic plan capability for carrying out the proposed research_x000D_
_x000D_
Suggested improvements:_x000D_
Offer a stronger rationale about the applicability of Tenli to actual program verification._x000D_
_x000D_
Develop a more realistic implementation and evaluation plan, or steer the project in a more theoretical direction._x000D_
_x000D_
BROADER IMPACT _x000D_
The broader impact aspect of this proposal is focused on reaching out with formal methods both to the undergraduate curriculum and the local software industry._x000D_
Formal methods have been successful in the industry in one of two settings: (1) very highly trained experts using sophisticated manual tools, or (2) verification engineers using highly automated tools. The tech-transfer is very broad and somewhat unfocsed._x000D_
_x000D_
Suggested improvement: the educational plan is good, the tech-transfer plan needs to be more realistic._x000D_
_x000D_
CAREER SOLICITATION-SPECIFIC REMARKS_x000D_
Plan for integrating research and education is not realistic enough._x000D_
_x000D_
Institutional letter should address the issue of resources needed for carrying out the proposed research._x000D_
_x000D_
Summary Statement _x000D_
_x000D_
This project aims at developing a powerful proof assistant based on sub-structural logics and dependent types. Finding users for this tool will be quite more difficult than envisioned in this proposal. _x000D_
_x000D_
The recommendation of the panel is Low Competitive. 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</si>
  <si>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Overall, the proposal is strong with respect to intellectual merit.  Verification tools such as Coq and Agda that are based on dependent types are the state of the art in proof assistants.  But current tools do not build in substructural logics, which are required to do modular proofs in a wide variety of domains involving resources.  Encodings substructural logics is possible but has major disadvantages in practice.  This proposal would build a new tool, tenli, that merges these approaches seamlessly, at the same time supporting a broad range of substructural logics._x000D_
_x000D_
The technical approach proposed seems sound, though my lack of expertise with category theory made it difficult for me to understand all the details (an example would have helped a bit; also most NSF proposals focus a bit more on the technical approach in the writeup).  The approach extends prior work by Benton, Krishnaswami, and others to integrate logics using adjoint models, but in this case supports integrating different substructural logics as well as integrating them with intuitionistic logic.  Evaluation of the tool is done by building a separation logic library and by modeling natural language using the tools developed._x000D_
_x000D_
The PI is well-qualified, including experience from graduate school as well as current projects in the key areas required for this proposal._x000D_
_x000D_
_x000D_
In the context of the five review elements, please _x000D_
evaluate the strengths and weaknesses of the proposal with respect to broader impacts._x000D_
_x000D_
The proposal includes an impressive education plan, involving comprehensive integration of formal methods into Augusta University's curriculum, teaching local industry about formal methods (broadly construed), and working with rural high school teachers to expand offerings for their students.  I was impressed to see a real evaluation plan, using surveys before and after the interfentions discussed to see if the use of formal methods increased.  To me it was a bit questionable to include unit testing suites and generic "automated tools" as formal methods; the use of these techniques is already increasing and they do not involve proof.  But I was glad to see a definition that was generous enough to include things like static analysis.  The proposal was also strong in terms of the groundwork that was laid, e.g. lining up possible companies already to take the industry course, and considering tools on the practical side to focus on when teaching the course._x000D_
_x000D_
Overall, this proposal is one of the strongest I have ever read in terms of broader impacts.  The PI brings a passion to reaching rural high school students that is rooted in his own experience; and offers a practical plan for industry-focused coursework that could have a major impact on local industry.  Carrying out the plan will be a lot of work; however, based on the PI's background I believe he has the commitment to make it happen._x000D_
_x000D_
_x000D_
Please evaluate the strengths and _x000D_
weaknesses of the proposal with respect to any additional solicitation-specific review criteria, if _x000D_
applicable_x000D_
_x000D_
_x000D_
_x000D_
Summary Statement_x000D_
_x000D_
This is a very strong proposal and I would like to see it be funded._x000D_
_x000D_
</t>
  </si>
  <si>
    <t xml:space="preserve">In the context of the five review elements, please _x000D_
evaluate the strengths and weaknesses of the proposal with respect to intellectual merit._x000D_
_x000D_
The proposed work is to develop a new proof assistant that extends capabilities of existing proof assistants such as Coq and Isabelle. The PI plans to integrate substructural logics with dependent types, enabling verification of resource dependent systems. _x000D_
_x000D_
In recent years, software development with formal guarantees has had successful applications, resulting in significant results such as a verified compiler and a microkernel. The goal of this proposal is to advance this area further by developing a proof assistant that supports more expressive logics. _x000D_
_x000D_
I believe that extending capabilities of proof assistants with the goal of proving properties of software systems is an important research direction, given the tremendous importance of security and dependability of software. However, this proposal only provides a very high level motivation for the proposed research and does not give examples demonstrating how the proposed approach will achieve the identified objectives. The technical focus of the proposal is rather narrow and is on the theoretical side. It is hard to asses its potential impact in practice. _x000D_
_x000D_
The proposal could be improved by providing some motivating code examples and by explaining how the proposed logics would advance program verification by some concrete examples. _x000D_
_x000D_
The evaluation plan for the research component of the proposal is not sufficient in my view. Two case studies would not be sufficient for evaluating the proposed work. A more ambitious evaluation plan would improve the proposal._x000D_
_x000D_
In the context of the five review elements, please _x000D_
evaluate the strengths and weaknesses of the proposal with respect to broader impacts._x000D_
_x000D_
Proof assistants are likely to become more influential in software development in the future. So, I believe that, if this project succeeds in development of a proof assistant that is more easily applicable to software development, than it can have a broader impact beyond the field of computing. However, since the author does not clearly present the advantages of the proposed proof assistant in practice, it is hard to assess it is potential broader impacts. _x000D_
_x000D_
The PI plans to evaluate impact of adding new components to computing education. I find this to be too general as a goal. The authors discussion in the proposal focuses on teaching formal methods. However, even within formal methods, the author lists a long list of topics. So, in contrast to the research component of the proposal, the educational component is rather too broad. Moreover, the educational component of the proposal is rather disjoint from the research part. An educational component focusing on proof assistants would have been more appropriate for this proposal in my view._x000D_
_x000D_
Please evaluate the strengths and _x000D_
weaknesses of the proposal with respect to any additional solicitation-specific review criteria, if _x000D_
applicable_x000D_
_x000D_
As a CAREER proposal the proposed work does not provide a broad, long term research vision. Although the proposed work could be technically interesting in some sub-areas of computer science, a CAREER proposal should provide a broader vision._x000D_
_x000D_
Summary Statement_x000D_
_x000D_
Proof assistants have had some success in development of dependable software systems in recent years. This proposal presents a new proof assistant that integrates substructural logics with dependent types and, therefore, will provide better support for verification of resource dependent systems. The research focus of the proposal is rather narrow and the PI does not do a good job in explaining practical applications of the proposed proof assistant. The planned evaluation of the proposed research is too limited. The stated goal of the education component is too broad, and is rather disjoint from the research component of the proposal._x000D_
_x000D_
</t>
  </si>
  <si>
    <t xml:space="preserve">In the context of the five review elements, please _x000D_
evaluate the strengths and weaknesses of the proposal with respect to intellectual merit._x000D_
_x000D_
Strengths:_x000D_
_x000D_
* A clear and elegant architecture of supporting 16 substructural_x000D_
logics in a dependently typed language / proof assistant by_x000D_
modularly combinining smaller logics via modal operators and guided_x000D_
by categorical interpretations._x000D_
_x000D_
* Knowledge of related work in reasoning about resources in_x000D_
dependently typed languages._x000D_
_x000D_
* Mathemtically rich focus combined with verification ideas that are_x000D_
relevant to real software._x000D_
_x000D_
Weaknesses:_x000D_
_x000D_
* Despite ample discussion on the topic, I was left unconvinced that a_x000D_
new proof assistant as opposed to a library in an existing one was_x000D_
the way to go.  Indeed writing such libraries "manually" is a lot of_x000D_
work and complex and error prone (page 4), but so is a new proof_x000D_
assistant!  And the library approach allows for potential_x000D_
interactions with all the other libraries and modules written by_x000D_
others.  In short, why not implement MI in Coq or Agda?_x000D_
_x000D_
* I think the evaluation is a bit weak -- the idea is to implement two_x000D_
particular DSLs on top of the framework.  But what would not be_x000D_
clear is (a) are the DSLs "good" or "useful" or what-not and (b) if_x000D_
the benefits of the framework are substantial in development the_x000D_
DSLs._x000D_
_x000D_
* I have some reservations about embarking on such a deep mathematical_x000D_
and software-implementation journey with a "rotating cast of_x000D_
characters" (beyond one post-doc for two years, it's summer visits_x000D_
by graduate students and semester-long rotations by upper-division_x000D_
undergraduates).  I worry that, despite the great value in training_x000D_
junior researchers, the on-ramping time spent by the PI will be_x000D_
enormous.  I recommend making clearer what the potential "three_x000D_
month projects" are within the larger agenda._x000D_
_x000D_
_x000D_
In the context of the five review elements, please _x000D_
evaluate the strengths and weaknesses of the proposal with respect to broader impacts._x000D_
_x000D_
Strengths:_x000D_
_x000D_
* The focus on rural high schools, motivated by the PIs own impressive_x000D_
overcoming of educational limitations, is inspiring._x000D_
_x000D_
* The idea to engage with small-medium regional companies with respect_x000D_
to formal methods, both via surveys and via a free Master's course,_x000D_
is different from most approaches and worthy of investigation._x000D_
_x000D_
* The curriculum innovations are ambitious but achievable._x000D_
_x000D_
Weaknesses:_x000D_
_x000D_
* I fear the survey of local/regional businesses w.r.t. the use of_x000D_
formal methods will prove inconclusive while requiring significant_x000D_
effort.  Survey design and deployment, particularly to a somewhat_x000D_
ill-defined target (how do you find companies? how do you ensure_x000D_
they agree what a functional programming language is? etc.) would_x000D_
require significant expertise and effort, likely beyond the benefits._x000D_
_x000D_
Summary statement:_x000D_
_x000D_
While the foundational work and new proof assistant proposed here are_x000D_
elegant and reasonably well motivated, I have reservations about the_x000D_
approaches advocated (new proof assistant, broad survey of local_x000D_
industry) and about the ability to pursue the project with so many_x000D_
short-term contributors._x000D_
_x000D_
_x000D_
Please evaluate the strengths and _x000D_
weaknesses of the proposal with respect to any additional solicitation-specific review criteria, if _x000D_
applicable_x000D_
_x000D_
_x000D_
_x000D_
Summary Statement_x000D_
_x000D_
While the foundational work and new proof assistant proposed here are_x000D_
elegant and reasonably well motivated, I have reservations about the_x000D_
approaches advocated (new proof assistant, broad survey of local_x000D_
industry) and about the ability to pursue the project with so many_x000D_
short-term contributors._x000D_
_x000D_
_x000D_
</t>
  </si>
  <si>
    <t xml:space="preserve">In the context of the five review elements, please _x000D_
evaluate the strengths and weaknesses of the proposal with respect to intellectual merit._x000D_
_x000D_
The author is proposing the development of a foundational framework (and its implementation) that combines dependent types with substructural logics. This extends the work of Nick Benton and colleagues on integrating intuitionistic logic with linear logic (based on the LNL framework of Benton) by permitting linear logic to be replaced by any of the sixteen substructural logics obtained by the orthogonal decomposition given by the associativity, exchange, weakening, contraction rules._x000D_
_x000D_
The conception of this project is powerful, and it can be immensely impactful. However, it would benefit from a further elaboration of the basic ideas, particularly in terms of the application on the natural language side so that an extended five year research agenda can be laid out and meaningfully evaluated. While I am personally willing to bet that this proposal can lead to powerful results, it would be very beneficial to develop substantially more detail around the applied projects that are to be built on top of it, perhaps even to develop MI and DTL enough that several representative programs and types can be shown._x000D_
_x000D_
The potential impact of this work is immense. Substructural logics are *the* tool to enable reasonig about a host of complex resource-constrained phenomena in computer science, and dependent types offer power and flexibility critical to actual use._x000D_
_x000D_
There is a huge gap between the potential fundamental breakthrough of the logical aspect of the proposal and the naivette of the educational side. Perhaps the author will benefit from mentoring from senior logic faculty on how best to approach an education plan and broader impact plan._x000D_
_x000D_
_x000D_
In the context of the five review elements, please _x000D_
evaluate the strengths and weaknesses of the proposal with respect to broader impacts._x000D_
_x000D_
Needs much further development._x000D_
_x000D_
Please evaluate the strengths and _x000D_
weaknesses of the proposal with respect to any additional solicitation-specific review criteria, if _x000D_
applicable_x000D_
_x000D_
_x000D_
_x000D_
Summary Statement_x000D_
_x000D_
The author should be strongly encouraged to continue pursuing this line of work, and develop additional material that can underpin a compelling CAREER submission next time around._x000D_
_x000D_
</t>
  </si>
  <si>
    <t xml:space="preserve">In the context of the five review elements, please _x000D_
evaluate the strengths and weaknesses of the proposal with respect to intellectual merit._x000D_
_x000D_
The goal of this proposal is to develop Tenli - a platform that takes the verification of resource-dependent systems seriously. Tenil is planned to be a proof assistants that integrates sub-structural logics with dependent types. The technical challenges are (1) the development of a formal model, (2) the design of core and surface languages, which includes various sub-structural logics and a dependent types system, and (3) Using Tenli for designing two new domain-specific languages: one for the verification of resource dependent systems using separation logic, and the other to be used in the study of the mathematical formalization of natural languages._x000D_
_x000D_
For this reviewer, the weakness of this proposal is the large gap between its highly theoretical focus -- it is at the theoretical end of formal-methods research -- and its ambition to apply it to real-world program verification. I'd have no problem with a proposal that aims to lay theoretical foundations for resource-dependent system verification, but I am troubled by the lack of awareness in this proposal of the enormous chasm between the development of proof assistant for sub-structural logics and the reality of system verification._x000D_
_x000D_
In the context of the five review elements, please _x000D_
evaluate the strengths and weaknesses of the proposal with respect to broader impacts._x000D_
_x000D_
The broader impact aspect of this proposal is focused  on reaching out with formal methods both to the undergraduate curriculum and the local software industry. Here also the proposal does not seem to be aware of the enormous challenge of such outreach. Formal methods have been successful in the industry in one of two settings: (1) very highly trained experts using sophisticated manual tools, or (2) verification engineers using highly automated tools. Tenil will be a highly sophisticated manual tool. I am quite skeptical that it will find usage either in the undergraduate curriculum at Augusta University or in the local software industry,_x000D_
_x000D_
Please evaluate the strengths and _x000D_
weaknesses of the proposal with respect to any additional solicitation-specific review criteria, if _x000D_
applicable_x000D_
_x000D_
_x000D_
_x000D_
Summary Statement_x000D_
_x000D_
This project aims at developing a powerful proof assistant based on sub-structural logics and dependent types. Finding users for this tool will be quite more difficult than envisioned in this proposal._x000D_
_x000D_
</t>
  </si>
  <si>
    <t>The research objective of this project is to design and construct a new proof assistant, called Tenli, that integrates substructural logics with dependent types. Tenli will be the first proof assistant to natively support sixteen different substructural logics that can be used independently or can be mixed to model resource dependent systems that one can then reason about using dependent type theory. Combining substructural logics with dependent types natively will result in the ability to conduct reasoning similar to separation logic._x000D_
_x000D_
The research proposal consists of several objectives: (1) we will fully develop the formal model that corresponds to the surface and core languages of Tenli, (2) we will design the core and surface languages of Tenli which includes various substructural logics and a dependent types system, and (3) we will evaluate Tenli by using it to design two new domain-specific languages: one for the verification of resource dependent systems using separation logic, and the other to be used in the study of the mathematical formalization of natural languages._x000D_
_x000D_
The education objective of this proposal is to asses and increase the level of industry adoption of formal methods techniques and tools by integrating formal methods into the undergraduate curriculum, and by providing continuing education opportunities to employees of local area businesses._x000D_
_x000D_
The education proposal consists of several objectives: (1) we will gather data via a survey on the use of formal methods at small to medium sized companies throughout the South Eastern United States, (2) we will integrate formal methods concepts into the undergraduate computer science curriculum at Augusta University, and (3) we will provide a continuing education opportunity to local area businesses by running a free computer science masters course introducing the use of formal methods in practice.This project is the first to integrate substructural logics with dependent types at a grand scale to build a system for the verification of resource dependent systems.  Educationally, this project will be the first to not only integrate formal methods into the undergraduate curriculum, but to also measure its effectiveness of increasing the level of adoption of formal methods in the industry.Tenli will have a major impact in several domains by supplying a much need tool that will be applicable to the meta-theory of programming language, formal verification using dependent types, linguistics, security, and many others.  This research will provide training and mentoring opportunities for undergraduates, graduate students, and postdoctoral researchers.  The undergraduates of Augusta University will obtain valuable research experience that is currently lacking. Visiting graduate students will obtain the chance to work with a researcher outside of their institution.  The postdoctoral researcher will be able to elevate their career using this project. All of the students will obtain the experience of engaging in the research community by presenting their work at workshops and conferences.  Educationally, this project will impact undergraduate students by introducing them to formal methods for building correct and secure software and systems, even further, it will spread formal methods awareness to the general public.</t>
  </si>
  <si>
    <t xml:space="preserve"> Panel Summary       
 SUMMARY OF PROPOSED RESEARCH ACTIVITY_x000D_
_x000D_
This project would develop an expressive type system for information flow security for an assembly-like language, a type inference algorithm for it, and a type system that analyzes information flow through low-level timing channels._x000D_
_x000D_
INTELLECTUAL MERIT_x000D_
_x000D_
+ Expressive type systems are a promising approach to ensuring that programs satisfy information flow policies.  _x000D_
_x000D_
+ The type system for timing channels is novel.  _x000D_
_x000D_
+ The PI is well qualified to do the proposed work._x000D_
_x000D_
- The proposal prominently claims that the proposed type system will be easy-to-use and have a low annotation burden, but provides insufficient evidence to support this claim.  Existing source-level information-flow type systems, such as Jif, are not easy to use.  Usability will be even more challenging at the assembly-language level._x000D_
_x000D_
BROADER IMPACTS _x000D_
_x000D_
- The broader impacts of the proposed work may be limited by usability issues._x000D_
_x000D_
+ The PI would incorporate the proposed research in graduate courses, incorporate simpler but related material in undergraduate courses, and get involved in K-12 outreach programs._x000D_
_x000D_
CAREER SOLICITATION-SPECIFIC REMARKS_x000D_
_x000D_
The proposed research and education activities are well integrated._x000D_
_x000D_
SUMMARY STATEMENT_x000D_
_x000D_
The proposed work is novel and challenging.  If usability is an emphasis of the proposal, the proposal should include some preliminary evidence to support the usability claims and a plan to evaluate them._x000D_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</si>
  <si>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proposal has both significant strengths and weaknesses for intellectual merit.  The problem is an important one: keeping private information from being compromised is a longstanding hard problem in computing systems more generally, and in programming systems more specifically.  This proposal is ambitious in seeking a rigorous approach to mitigating timing channels related to cache effects, and in seeking to create tools that have high precision and are easy to use._x000D_
_x000D_
The technical approach proposed is novel and interesting.  Instead of use flow- or path-sensitive analysis directly, the approach renames variables and uses dependent security labels to get the effect of doing so, but hopefully at less cost.  This also supports some of the flexibility that would come from a program logic, but staying in the mostly-simpler world of type systems.  Other parts of the technical plan describe how to allow the user to specify properties at the source level but do the analysis at the LLVM IR level; and an interesting approach for dealing with timing channels._x000D_
_x000D_
The proposal describes an interesting approach for handling the complication of mutable variables, but does not mention the most interesting case here: heap variables that can be not only mutated, but also aliased.  Alias analysis can of course be used to simplify the problem, but is also a major source of imprecision (and programmer confusion, since the programmer must understand what the alias analysis does in order to understand the information flow analysis's results)._x000D_
_x000D_
A very significant weakness of this proposal is that it highlights ease-of-use as an explicit goal, but does not recognize the scale of the problem, nor propose a realistic approach to making an easy-to-use tool, nor propose any solid way to evaluate this.  I've seen students (both undergraduate and graduate) try to use Jif, and the results were not good; essentially only the students already doing research in PL succeeded.  Section 2.2 of this proposal appears to frame Jif as representing a "light-weight" tool (a major stretch, given what I have seen) and argues that systems with subtyping are widely adopted--which is true for OO subtyping but not true for Jif.  But the proposed research appears to be less usable than Jif; the property to be checked is more complex (because it involves timing channels) as is the type system (because it is dependently typed), and any errors are discovered at the level of the LLVM IR (rather than the source code the programmer wrote and presumably understands) and may involve prediates that were inferred (again, more difficult to understand than predicates the programmer specifies).  Ease of use must consider not just what can be automated, but what the user must do when automation (e.g. inference) fails; and there is no plan for that here.  The evaluation plan mentions ease of use as a metric, but proposes no way to evaluate it except to see if students can finish verification in course projects._x000D_
_x000D_
Essentially, the proposal's plan and claims with respect to ease of use are not credible, and that will limit the impact of the work significantly.  If ease of use is to be a design principle, then formative evaluation techniques such as qualitative user studies should be used; and if the PI  wants to make claims about ease of use, he should do quantitative studies with users.  See publications in venues such as the PLATEAU workshop for examples of usability techniques applied to languages and tools._x000D_
_x000D_
The PI is well-qualified to carry out all aspects of the plan except those involving ease of use; I do not see a record of research in the area of language or tool usability._x000D_
_x000D_
_x000D_
In the context of the five review elements, please _x000D_
evaluate the strengths and weaknesses of the proposal with respect to broader impacts._x000D_
_x000D_
A solution to the problem of information flow, particular in the presence of timing leaks, would have a major impact on security in the software industry.  I'm not sure this proposal is going to get us there given the ease of use issues above._x000D_
_x000D_
In terms of specific activities proposed, the broader impacts portion of the proposal is unusually detailed and is reasonably strong (though again, ease of use issues may interfere with successfully introducing information flow analysis at the undergraduate level).  I think the K-12 outreach planned is great.  It's also good to know the PI is focused on diversity issues and has worked with students from underrepresented backgrounds._x000D_
_x000D_
_x000D_
Please evaluate the strengths and _x000D_
weaknesses of the proposal with respect to any additional solicitation-specific review criteria, if _x000D_
applicable_x000D_
_x000D_
_x000D_
_x000D_
Summary Statement_x000D_
_x000D_
This is a proposal with a lot of interesting ideas, but I am not convinced that it will yield a practical tool as described.  The most important things to do in order to improve the proposal are (A) either don't make claims about ease of use, or come up with a credible plan to evaluate them with users, and (B) come up with a believable story for what the user should do when the analysis  tool reports a spurious information flow leak (i.e. not a real leak, but one due to the imprecision of the tool; all tools will sometimes be imprecise)._x000D_
_x000D_
_x000D_
</t>
  </si>
  <si>
    <t xml:space="preserve">In the context of the five review elements, please _x000D_
evaluate the strengths and weaknesses of the proposal with respect to intellectual merit._x000D_
_x000D_
The proposal argues that high-level source language is_x000D_
insufficient for reasoning about security, due to compiler_x000D_
bugs, compiler optimizations, and covert (timing) channels_x000D_
that are absent at source level._x000D_
_x000D_
Proposal aims to build precise information flow type system_x000D_
for low-level code (e.g. LLVM IR) that is precise, automated_x000D_
via inference, has formal security guarantees, tunable precision_x000D_
so "common case is easy"._x000D_
_x000D_
_x000D_
In the context of the five review elements, please _x000D_
evaluate the strengths and weaknesses of the proposal with respect to broader impacts._x000D_
_x000D_
The PI will package the research results in to modules that_x000D_
can be added into undergraduate and graduate courses spanning_x000D_
security, programming languages and formal methods._x000D_
_x000D_
For undergraduates, there will be new exercises and modules_x000D_
using existing information flow systems like JIF._x000D_
_x000D_
For graduates, there will be new assignments that focus on_x000D_
implementing type inference, including the advanced ideas_x000D_
that will be developed here._x000D_
_x000D_
The proposal also includes a substantial K-12 outreach program_x000D_
including participation in summer camps tailored to increasing_x000D_
participation of girls in computing; Penn State's_x000D_
"Community Science Night", and programs aimed at_x000D_
stimulating interest in STEM among high-school students._x000D_
The goal in the above is to cultivate awareness of security_x000D_
via hands on exercises, puzzles, and discussions of widely_x000D_
reported security vulnerabilities._x000D_
_x000D_
Please evaluate the strengths and _x000D_
weaknesses of the proposal with respect to any additional solicitation-specific review criteria, if _x000D_
applicable_x000D_
_x000D_
_x000D_
_x000D_
Summary Statement_x000D_
_x000D_
## Summary_x000D_
_x000D_
The concrete goals are to develop an Information_x000D_
flow type system for LLVM IR, a type checking_x000D_
algorithm that supports inference for the easy_x000D_
cases (and hence is tunable by guarding security_x000D_
labels with program assertions that allow path sensitivity),_x000D_
timing semantics for LLVM IR, and implementation_x000D_
and evaluation on real world benchmarks._x000D_
_x000D_
The main technical challenges that will be addressed are_x000D_
(1) compiling /transforming source labels into LLVM/IR,_x000D_
(2) developing a low-level type system and algorithms_x000D_
for adaptively inferring suitable predicate guards._x000D_
_x000D_
## Pros  _x000D_
_x000D_
+ PI has identified a challenging and important problem: securing_x000D_
software requires reasoning not just at high-level but also,_x000D_
ultimately about machine code._x000D_
_x000D_
+ General verification is indeed very hard, but security properties may_x000D_
indeed be much more tractable._x000D_
_x000D_
+ PI has a strong track record touching many of the different aspects_x000D_
of this broad and ambitious proposal._x000D_
_x000D_
+ There is lots of related work in this space, including_x000D_
dependent type systems for information flow control._x000D_
The main advance here is the combination of predicates_x000D_
and labels to provide tunable precision and high   _x000D_
automation in the common case. This is plausible (but_x000D_
would have been stronger with evidence that this_x000D_
combination is valuable in the given space.)_x000D_
_x000D_
## Cons_x000D_
_x000D_
- Not persuaded about approach in that are dependencies_x000D_
and invariants (path sensitivity) is really the problem_x000D_
with Iflow?_x000D_
_x000D_
- While I find the idea of the predicate-guarded labels and path_x000D_
sensitivity interesting on its own, I was not persuaded by the_x000D_
running examples that it is actually useful in the context of_x000D_
information flow control. (I don't mean that its _not_ useful,_x000D_
just that the examples did not persuade me.)_x000D_
_x000D_
- Furthermore, is there evidence, e.g. from the high-level language_x000D_
setting (e.g. JIF/JFLow) that adding path sensitivity would help_x000D_
there? If so, that would be concrete evidence of it being needed_x000D_
at the low-level setting. If not, what is it about the low-level_x000D_
setting that makes it so critical or beneficial?_x000D_
_x000D_
- The evaluation plan could be better sketched out. What kinds of applications_x000D_
will be considered? Benchmarks similar to JIF/JFlow? Implementations_x000D_
of cryptographic primitives (where timing channels are important?)_x000D_
Web Browsers? All of these have quite different information flow_x000D_
requirements and are likely to require different approaches._x000D_
_x000D_
_x000D_
## Details_x000D_
_x000D_
Information flow is hard because policies are hard._x000D_
_x000D_
In reality one cannot use the usual Hi/Lo because that's too coarse;_x000D_
need many principals, different read/write capabilities, need_x000D_
declassification etc. all of which makes just the policies_x000D_
really hard (c.f. the JFlow benchmarks.)_x000D_
_x000D_
Ultimately, the hard questions are these: where do you declassify?_x000D_
_x000D_
What policy do you want?_x000D_
_x000D_
It would be nice to have compelling evidence that_x000D_
_x000D_
(a) *path sensitivity* which is the main technical_x000D_
issue the PI wants to work on, is really a big_x000D_
problem as far as information flow control is_x000D_
concerned, and_x000D_
_x000D_
(b) if it is indeed the problem, then the methods_x000D_
being proposed are upto the task._x000D_
_x000D_
The examples given seem quite unrealistic in that_x000D_
they demonstrate what path-sensitivity _is_ but_x000D_
they don't persuade me that this is the kind of_x000D_
path sensitivity that is needed to reason precisely_x000D_
about information flow._x000D_
_x000D_
Yes, some of the previous dependent type systems _x000D_
have undecidable type checking, but so will you _x000D_
unless you constrain the specification language._x000D_
Furthermore, the reason the other systems (e.g. F*) _x000D_
has undecidable checking is because they allow for _x000D_
expressive specifications; put another way, if one _x000D_
limits oneself to simpler specifications in those _x000D_
languages then checking is again decidable._x000D_
_x000D_
While I find the idea of the predicate-guarded labels _x000D_
and path sensitivity interesting on its own, I was not _x000D_
persuaded by the running examples that it is actually _x000D_
useful in the context of information flow control. _x000D_
(I don't mean that its _not_ useful, just that the _x000D_
examples did not persuade me.)_x000D_
_x000D_
Note that combining predicates and labels is closely related_x000D_
to the notion of "reduced products" for abstract interpretation_x000D_
which let one compose two different abstract interpretations_x000D_
(e.g. one for the predicates and one for the labels.)_x000D_
The idea has been explored, e.g. in the software model_x000D_
checking community see the CPA checker tool._x000D_
_x000D_
The proposal would also benefit from details about using constraint_x000D_
solving to solve the typing constraints. The PI describes a "self-adaptive"_x000D_
approach but appears unaware of the large literature on CEGAR (counterexample_x000D_
guided abstraction refinement) which is exactly what they are looking_x000D_
to do. That said, CEGAR works in limited settings where the invariants_x000D_
fall into very specific patterns (e.g. certain flags are set or not.)_x000D_
_x000D_
Again, it is difficult to judge whether CEGAR or general, iterative_x000D_
approaches will work here, because in general the PI is trying_x000D_
to infer loop invariants which can, without appropriate domain_x000D_
knowledge, be quite a tall order. (Again, maybe the invariants/predicates_x000D_
here _are_ simple, but I don't have evidence to judge that one way_x000D_
or another...)  _x000D_
_x000D_
Note that the one piece of prior work is the PI's excellent work_x000D_
on Bayesian algorithms for minimizing infeasible typing constraints._x000D_
However as the PI notes, there are already ways to minimize constraints_x000D_
with MAXSMT, and the problem of computing invariants (or "predicate inference")_x000D_
is a far bigger can of worms than just minimizing constraints._x000D_
(see the CEGAR literature.)_x000D_
_x000D_
Finally, the PI is perhaps too optimistic about the ease of_x000D_
compiling source level labels down to LLVM IR. In general_x000D_
one will have to deal with all kinds of transforms and_x000D_
rewrites inside LLVM that are likely to make this very_x000D_
challenging indeed, purely from an engineering point_x000D_
of view._x000D_
I would have more confidence that such "transformation functions"_x000D_
were feasible if there was either some preliminary work by the PI_x000D_
or others where actual source level information was in fact_x000D_
propagated to the LLVM IR._x000D_
_x000D_
_x000D_
</t>
  </si>
  <si>
    <t xml:space="preserve">In the context of the five review elements, please _x000D_
evaluate the strengths and weaknesses of the proposal with respect to intellectual merit._x000D_
_x000D_
The author lays out a comprehensive, ambitious research plan to attack the problem of estbalishing strong information-flow based security properties of code. The core of the proposal is to extend the author's work on data-dependent security labels and timing contracts [101] with, among other things, a flow-, path- and state-sensitive type system for the LLVM Intermediate Language (IR), and a new type inference algorithm. (Note, though, that  "type" system design will face significant challenges; one has to be careful about putting together data-dependence and polymorphism so that unsoundness does not creep in.)_x000D_
_x000D_
The proposal is bold, but realizable, and definitely worth trying. It will be transformative if it succeeds.  The author is very well qualified to execute this research program, given his past work in this area, published in major conferences. _x000D_
_x000D_
Note:_x000D_
* Some more thought is needed for the "self-adaptive" algorithm. There may be multiple ways to relax constraints, the resulting non-determinism will need to be handled._x000D_
_x000D_
* The author might be better off trying to get end-to-end security guarantees with a somewhat simpler first-order language, e.g. a first-order functional language, before attempting a source language with mutation and aliasing._x000D_
_x000D_
_x000D_
_x000D_
_x000D_
_x000D_
In the context of the five review elements, please _x000D_
evaluate the strengths and weaknesses of the proposal with respect to broader impacts._x000D_
_x000D_
The need for secure systems is pervasive, particularly in our modern on-line era. Besides integrating this material into undergraduate and graduate courses, the author is also pursuing K-12 education opportunities. This seems reasonable for such a proposal._x000D_
_x000D_
Please evaluate the strengths and _x000D_
weaknesses of the proposal with respect to any additional solicitation-specific review criteria, if _x000D_
applicable_x000D_
_x000D_
_x000D_
_x000D_
Summary Statement_x000D_
_x000D_
An interesting, challenging project with significant upside on success._x000D_
_x000D_
</t>
  </si>
  <si>
    <t xml:space="preserve">In the context of the five review elements, please _x000D_
evaluate the strengths and weaknesses of the proposal with respect to intellectual merit._x000D_
_x000D_
STRENGTHS_x000D_
_x000D_
The main products of this project would be (1) a type system with dependent security labels for information flow security for an assembly-like language.  The security labels would be expressive enough to capture path-sensitivity and state-sensitivity, (2) a type inference algorithm for this type system, and (3) a type system that provably controls timing channels, including low-level effects such as variable-timing machine instructions and cache effects._x000D_
_x000D_
The PI is very well qualified to do the proposed work, especially to develop the proposed type systems and prove soundness._x000D_
_x000D_
WEAKNESSES_x000D_
_x000D_
The claims about ease-of-use and low annotation burden seems to be mostly optimistic speculation.  Although the PI has published work on related problems, e.g., [57,102,37,105], there is little evidence to support the claim that the proposed type system will be easy-to-use and have a low annotation burden.  For example, [57] does not discuss type inference or any applications.  [102] considers a type system for differential privacy with type inference but considers only very small programs (&lt;= 14 lines).  [37,105] present a type system for information flow for a variant of Verilog, a hardware description language, and its application to verification of non-interference for TrustZone on a MIPS processor.  This is an impressive case study, but it is unclear how much that success implies for verification of application-specific information-flow policies for software.  Information-flow type systems such as Jif are not particularly easy to use._x000D_
_x000D_
The relationship between the dependent type system for information flow (Section 4) and the type system that controls timing channels (Section 5) is unclear.  Type inference for the type system that controls timing channels is not discussed._x000D_
_x000D_
The evaluation plan is vague.  The proposal devotes a total of 6 words ("cryptography, web applications, and IoT applications") to describing candidate applications expected to be used to evaluate the proposed techniques.  The proposal says nothing about the expected size of these applications._x000D_
_x000D_
The proposed type system apparently does not capture decentralized information flow.  Since Jif is probably the best-known work on type-based information-flow assurance, I would have liked to see some discussion of what kinds of applications require reasoning about decentralized information flow, and how difficult would it be to add support for this._x000D_
_x000D_
In the context of the five review elements, please _x000D_
evaluate the strengths and weaknesses of the proposal with respect to broader impacts._x000D_
_x000D_
STRENGTHS_x000D_
_x000D_
The PI proposes to incorporate the proposed research in graduate courses, to incorporate simpler but related material in undergraduate courses, and to get involved in some of Penn State's existing programs for K-12 outreach.  The PI has mentored some undergraduate and M.S. research projects and proposes to continue and expand those efforts.  One of the undergraduates has joined the Ph.D. program at Penn State._x000D_
_x000D_
Information leaks are a practical problem, with increased importance as multi-tenancy in cloud platforms, and information sharing between applications and between organizations, becomes more common.  If the proposed type system can meet the goals of low annotation burden and ease-of-use, it could help reduce the prevalence of information leaks in commercial software._x000D_
_x000D_
WEAKNESSES_x000D_
_x000D_
Achieving the proposed goals of low annotation burden and ease-of-use is a major technical challenge.  The proposal briefly describes the proposed approach to label inference and predicate inference in Section 4.2, but it is hard to predict how successful they will be._x000D_
_x000D_
Please evaluate the strengths and _x000D_
weaknesses of the proposal with respect to any additional solicitation-specific review criteria, if _x000D_
applicable_x000D_
_x000D_
_x000D_
_x000D_
Summary Statement_x000D_
_x000D_
This project would develop type-based techniques for proving information-flow properties of software, taking explicit flows, implicit flows, and timing channels into account.  The approach is interesting but presents significant technical challenges._x000D_
_x000D_
</t>
  </si>
  <si>
    <t>Since their inception, high-level programming languages (e.g., C, ML, Java) have been an extremely successful abstraction for software development. The success is rooted in clean semantics that specifies the run-time behavior of a program, while leaving out the overwhelming low-level details (e.g., registers, heap-allocated memory, data cache) that, most of the time, have little to do with the functional correctness of the software._x000D_
_x000D_
However, the source language abstractions can be inadequate for reasoning about software security. Although most existing information flow analyses work at the source-language level, the low-level executable of a "verified" program might be insecure since compilers may have bugs, and optimizing compilers in general do not preserve information flow security. Moreover, source-level verification can be inadequate in face of side-channel attacks since those side channels (e.g., timing and power channels) are invisible in the source-language semantics._x000D_
_x000D_
This proposal outlines a long-term endeavor that will eventually enable rigorous and useful information flow analysis for low-level code. In particular, this proposal focuses on three major obstacles of achieving such a goal: precision, ease-of-use and timing-channel security, and lays out a research plan for addressing each obstacle. The key enabling technique is a static type system with dependent security labels (i.e., security labels whose meaning depend on program states). The novel type system enables tunable trade-offs between precision and verification complexity, and consequently, offers the following benefits: 1) high precision: the proposed system provides high precision currently only offered by heavy-weight verification methods based on program logics, 2) ease-of-use: the analysis incurs little annotation burden on programmers. Moreover, it infers most of the required security annotations, 3) rigorous security: the type system comes with a rigorous security guarantee: it provably controls all illegal information flows, including those via timing channels, 4) tunable precision: the analysis provides tunable precision knobs so that easy problems can be verified in an easy way.Significant expected results of this project include: 1) An assembly-like language with dependent security labels for information flow security, 2) A light-weight yet permissive type system that offers tunable analysis precision, 3) A formalization of the language and a soundness proof that any well-typed program obeys information flow policy, 4) A type inference engine for inferring security labels, including the ones that depend on program states, 5) An abstract timing semantics that captures information flows via timing for low-level code, 6) A type system that provably controls timing channels, 7) A thorough study of the expressive power of the proposed analysis on real-world applications, and 8) An implementation of the proposed information analyses, as well as an evaluation on real-world applications.The new security mechanisms that will be developed in this proposal can have a significant impact on how computing systems are designed, making the next generation of software, computing devices and platforms inherently more secure. The educational goal of this project is to foster a next generation of computer scientists who treat security as a first-class concern in software development, and who can wrap their heads around the important concepts behind software security. Another goal is to raise awareness of security programming for the general public, including high school students. The results of the research will be integrated into existing and new undergraduate and graduate courses, as well as outreach activities to achieve the educational goals. Special attention will be given to encourage undergraduates, women and students from under-represented groups to participate in the education activities.</t>
  </si>
  <si>
    <t xml:space="preserve"> Panel Summary       
  SUMMARY OF PROPOSED RESEARCH ACTIVITY_x000D_
_x000D_
The PI proposes to study the semantics of the POSIX shell, build tools that enable users to work more effectively with the shell, and study the fundamental language design principles for shell and related interactive forms of programming.  The shell is critical but poorly understood, and if successful the proposed research will help shell programmers avoid introducing bugs and will pave the way for improved shells and interactive programming languages._x000D_
_x000D_
_x000D_
INTELLECTUAL MERIT_x000D_
_x000D_
Strengths:_x000D_
 + The shell has unique features, fundamentally different from other PLs, and so is of inherent intellectual interest._x000D_
 + Preliminary work already yielded insights (and a bug) and suggests deeper study would be fruitful._x000D_
 + A technically sound and multifaceted research plan incorporating formal models and proofs, validation of the model via testing, and a compiler and analysis tools for the shell._x000D_
 + The PI is very well-qualified to carry out the work_x000D_
_x000D_
Suggestions for improvement:_x000D_
 - Could have provided a more detailed evaluation plan for the compiler and tools to be built, and considered a wider range of properties to formally prove in the research plan._x000D_
_x000D_
 _x000D_
BROADER IMPACTS _x000D_
_x000D_
Strengths_x000D_
 + The shell is very widely used, and shell script bugs are common, so static analysis tools and improved shell scripting languages could have a major impact on industry_x000D_
 _x000D_
 + The educational materials to be developed cover a currently ignored area (shell scripting languages) but one that many would benefit from learning about_x000D_
_x000D_
 + The involvement of the Pomona IT department in development of the educational materials lends credibility that the materials developed will be relevant to similar IT professionals._x000D_
_x000D_
 _x000D_
CAREER SOLICITATION-SPECIFIC REMARKS_x000D_
_x000D_
The proposal strongly integrates research on shell scripting with development of educational materials and course units that cover the shell in a principled, technical way, drawing directly on the research to be performed._x000D_
_x000D_
The letter from the Pomona Computer Science Department Chair indicates strong support for the research, and links the PI's plans to the plans of the IT department which is mentioned as a collaborator and test subject for some of the materials.  It indicates that Prof. Greenberg receives mentoring, including from a senior professor (Kim Bruce) in his area._x000D_
_x000D_
_x000D_
ADDITIONAL REMARKS_x000D_
_x000D_
The research has the potential to be transformative in two ways: first, in building tools for shell scripting languages that can help programmers avoid common bugs; and second, in designing future shell scripting and related interactive languages that have better properties. Because shell scripting is so important and because there are virtually no existing tools or formal understanding of the language design, the potential benefits are much more in the transformative category than incremental._x000D_
_x000D_
_x000D_
SUMMARY STATEMENT_x000D_
_x000D_
Because this proposal addresses an important real-world problem, addresses a question of inherent intellectual interest, includes a technically sound research plan, and could have significant impact both on education and industry, the panel felt the proposal had many strengths that led to the recommendation below.  There are also areas for improvement that influenced our recommendation, including exploring a wider variety of properties to verify and providing a more concrete evaluation plan for the tools to be developed._x000D_
    _x000D_
The recommendation of the panel is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</si>
  <si>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Overall, the proposal is strong with respect to intellectual merit.  The shell is a critically important piece of infrastructure, but is poorly understood. Because the semantics of the shell is so different from those of other programming languages, the proposed research is of inherent intellectual interest._x000D_
_x000D_
The research has the potential to be transformative in two ways: first, in building tools for shell scripting languages that can help programmers avoid common bugs; and second, in designing future shell scripting and related interactive languages that have better properties.  Because shell scripting is so important and so poorly served by current tools, the potential benefits are great._x000D_
_x000D_
The proposed approach is sound; it involves formally modeling the semantics of the POSIX shell; evaluating the formal model via proof, via POSIX test suites, and via comparison with existing shells on real-world tasks; building a compiler for the POSIX shell as well as static analyses; and exploring better language designs for the shell and other forms of interactive programming.  The last of these is not as well-defined as the others, but that is expected, as its exact shape will depend on the early stages of the research._x000D_
_x000D_
My main suggestion for improvement of the proposal would be a concrete plan for evaluating the compiler and analysis tool to be developed._x000D_
_x000D_
The PI's existing work formalizing the shell makes him the best-qualified person in the world to carry out this research; the proposal already has a lot of very interesting insight, and the proposed research will surely create more._x000D_
_x000D_
_x000D_
In the context of the five review elements, please _x000D_
evaluate the strengths and weaknesses of the proposal with respect to broader impacts._x000D_
_x000D_
As described above, the shell is a critically important piece of infrastructure, but shell programming is very error-prone.  So tools that can avoid bugs, or better programming languages, can have a transformative impact in practice._x000D_
_x000D_
The PI's educational plan will also contribute to broader impacts; the plan is specific and involves not just teaching the PI's own courses, but jointly developing educational materials with Pomona's IT department; this gives the plan credibility.  In general educational meterials related to the shell that take a principled and semantic approach would be a completely new kind of thing, and would be widely useful in courses at other universities.  The widespread use of the shell gives these educational materials greater impact than tools or educational materials developed in a typical PL- or formal methods-related proposal._x000D_
_x000D_
Please evaluate the strengths and _x000D_
weaknesses of the proposal with respect to any additional solicitation-specific review criteria, if _x000D_
applicable_x000D_
_x000D_
_x000D_
_x000D_
Summary Statement_x000D_
_x000D_
This is an excellent, potentially transformative proposal and I would like to see it be funded._x000D_
_x000D_
</t>
  </si>
  <si>
    <t xml:space="preserve">In the context of the five review elements, please _x000D_
evaluate the strengths and weaknesses of the proposal with respect to intellectual merit._x000D_
_x000D_
Pro:_x000D_
_x000D_
- The goals are clearly articulated, ranging from very concrete and measurable goals (executable formal semantics) to more open-ended creative investigations (programming language design for interactive programming)  _x000D_
_x000D_
- The PI's publication record, and the sketched semantics in the proposal, indicate solid formal foundations and good writing skills._x000D_
_x000D_
- The rigourus study of non-academic programming languages is generally regarded positively by  the academic community; publications, and some level of attention, are likely._x000D_
_x000D_
Contra:_x000D_
_x000D_
- Pomona College is an undergraduate institution; it may be difficult to achieve some of the more ambitious ideas (e.g. mechanically verified proofs of nontrivial properties) _x000D_
_x000D_
_x000D_
_x000D_
In the context of the five review elements, please _x000D_
evaluate the strengths and weaknesses of the proposal with respect to broader impacts._x000D_
_x000D_
Pro:_x000D_
_x000D_
- shell programming has remained relevant for decades, and is in fact becoming more relevant for the cloud. Research that makes shell programming easier, safer, or more modern, has the potential to improve developer productivity in the long term._x000D_
_x000D_
- Applying rigorous PL principles to shell programming seems likely to have an immediate educational value, which is credibly outlined by the proposal_x000D_
_x000D_
Contra:_x000D_
_x000D_
- The rigourus study of non-academic programming languages has a nice academic track record, but does not easily translate into actual impact (such as new languages with significant adoption, widely used mature tools) beyond education_x000D_
_x000D_
_x000D_
Please evaluate the strengths and _x000D_
weaknesses of the proposal with respect to any additional solicitation-specific review criteria, if _x000D_
applicable_x000D_
_x000D_
_x000D_
_x000D_
Summary Statement_x000D_
_x000D_
Overall, the proposal makes a convincing case that shell programming is worth more academic investigation, both from a semantic viewpoint, and as a model for interactive programming. Understanding and cleaning up shell semantics can benefit the community both short term (mostly via education) and long term (by enabling tools, and influencing the design of more modern shell variants)._x000D_
_x000D_
_x000D_
_x000D_
</t>
  </si>
  <si>
    <t>XG0977013</t>
  </si>
  <si>
    <t>Chugh</t>
  </si>
  <si>
    <t>rchugh@cs.uchicago.edu</t>
  </si>
  <si>
    <t xml:space="preserve">In the context of the five review elements, please _x000D_
evaluate the strengths and weaknesses of the proposal with respect to intellectual merit._x000D_
_x000D_
*** Strengths_x000D_
_x000D_
+ Shell programming is pervasive, used as critical glue in a vast_x000D_
array of personal and business computer systems, yet its semantics is_x000D_
often unintuitive and misunderstood. It is worthwhile to clarify the_x000D_
semantics, in order to identify practical opportunities to improve the_x000D_
language to support the construction of tools for analyzing scripts_x000D_
--- both of these outcomes have the potential to improve the_x000D_
reliability and security of many systems administration tasks._x000D_
_x000D_
+ The proposed technical approach --- a structural operational_x000D_
semantics of POSIX shell language and a verified translation of this_x000D_
source language to a more conventional lower level language ---_x000D_
follows in a successful tradition for formalizing and analyzing_x000D_
programs in other real-world languages, such as C, Java, and_x000D_
JavaScript. As such, this approach will reuse as well as contribute to_x000D_
tools and libraries that can serve as foundations for subsequent work_x000D_
by other researchers and tool builders._x000D_
_x000D_
+ In preliminary work, the PI has developed a semantics for shell_x000D_
programming, and started testing it for conformance; the subsequent_x000D_
specification, metatheoretic, and translation and verification work_x000D_
will build on this initial effort. This preliminary effort discovered_x000D_
a bug in one shell's implementation of the POSIX standard; additional_x000D_
inconsistencies are likely to be uncovered by this work._x000D_
_x000D_
+ The PI is well-qualified to carry out this proposal, having made_x000D_
several contributions to programming language semantics, as well_x000D_
having the implementation skills and insights needed to address this_x000D_
problem space, which has received relatively little attention from the_x000D_
academic programming languages and static analysis communities._x000D_
_x000D_
_x000D_
*** Weaknesses_x000D_
_x000D_
- Part of the benefit of formalizing a messy, real-world language is_x000D_
to explain existing complicated, misunderstood features in a new and_x000D_
illuminating way --- these explanations could help even more_x000D_
programmers and tool builders than the ones that will build directly_x000D_
off the formal artifacts produced by this work. The proposal does not_x000D_
suggest whether or not the initial semantics has led to such moments._x000D_
_x000D_
- Analyzing shell programs will require complex and probably custom_x000D_
string analyses. But there is no preliminary work to evaluate_x000D_
whether existing string analyses will help with any idioms of shell_x000D_
programming and, if not, what kinds of techniques will be pursued to_x000D_
overcome the obstacles._x000D_
_x000D_
- Comparisons with LISP/Racket-style macros and the JavaScript eval_x000D_
command are not discussed. Although there are probably many unique_x000D_
characteristics of string expansion in shell scripting, it seems worth_x000D_
addressing whether or not some efforts for macros and eval could be_x000D_
adapted for this setting. This might also help to make the "principles_x000D_
for interactive programming" angle of the proposal, which is not_x000D_
described in much detail, more concrete and plausible._x000D_
_x000D_
- The proposal does not provide a concrete evaluation plan for the_x000D_
semantics and tools. For the semantics, desired theorems are only_x000D_
very briefly mentioned. For the tools, there is no discussion of what_x000D_
benchmark programs will be analyzed and little discussion of the_x000D_
kinds of bugs that will be pursued. The proposal mentions one recent_x000D_
bug ("Stream cleaning") that is used for motivation; it would be_x000D_
useful to collect additional examples to serve as milestones for_x000D_
evaluation._x000D_
_x000D_
_x000D_
*** Suggestions for Improvement_x000D_
_x000D_
The proposal would be strengthened by incorporating more preliminary_x000D_
work on tools that leverage the semantics, and by explaining how_x000D_
existing tools (e.g. the ShellCheck linter is cited) fall short. The_x000D_
goal to build an automatic script "hardening" tool is very compelling;_x000D_
it would be even more so with some initial discussion of how this goal_x000D_
will be realized._x000D_
_x000D_
Preliminary work collecting and analyzing shell programs from GitHub_x000D_
has confirmed that at least one language "wart" --- the side-effecting_x000D_
alias command --- is not used much in practice and, hence, is one_x000D_
potential opportunity for consideration of language redesign._x000D_
Additional surveying efforts like this may help form a more concrete_x000D_
plan for evaluating language design proposals with respect to existing_x000D_
benchmarks._x000D_
_x000D_
In the context of the five review elements, please _x000D_
evaluate the strengths and weaknesses of the proposal with respect to broader impacts._x000D_
_x000D_
*** Strengths_x000D_
_x000D_
+ The PI has supervised several undergraduate student research_x000D_
projects._x000D_
_x000D_
+ The PI has already taught workshops on shell scripting. This_x000D_
material will be informed and improved by the results of the research,_x000D_
and will be used to redesign the curriculum around shell programming_x000D_
and tools._x000D_
_x000D_
+ The PI's institution, Pomona College, is committed to undergraduate_x000D_
education and the diversity of its student body._x000D_
_x000D_
+ The PI plans to work with the Pomona College IT department, which_x000D_
will help ground the work in a more practical setting (campus-wide_x000D_
systems operations) than just classroom and research settings._x000D_
_x000D_
+ The tools and educational material that result from this work will_x000D_
be freely distributed._x000D_
_x000D_
+ The PI has been a long-time and major contributor to the open source_x000D_
Software Foundations textbook, which has been used by many students,_x000D_
teachers, and researchers to learn formal verification in the context_x000D_
of the Coq theorem prover._x000D_
_x000D_
_x000D_
*** Weaknesses_x000D_
_x000D_
No significant weaknesses._x000D_
_x000D_
Please evaluate the strengths and _x000D_
weaknesses of the proposal with respect to any additional solicitation-specific review criteria, if _x000D_
applicable_x000D_
_x000D_
_x000D_
_x000D_
Summary Statement_x000D_
_x000D_
Shell programming languages are used pervasively in computer systems,_x000D_
so it is important to formalize their semantics to better understand_x000D_
their behavior and to facilitate the construction of bug finding tools._x000D_
The PI proposes a scientific approach that has proven successful for_x000D_
formalizing and analyzing other large, real-world programming_x000D_
languages, and the PI possesses the qualifications to successfully_x000D_
carry out the approach._x000D_
_x000D_
After defining the language semantics (the first major phase of the_x000D_
work), designing static analysis tools (the second phase) will pose_x000D_
significant challenges because of the need to reason about strings_x000D_
precisely. The proposal does not contain a thorough examination of_x000D_
current state-of-the-art string analyses or provide initial insights_x000D_
for how to push the boundaries to enable analysis of shell programming_x000D_
idioms. Therefore, there is less certainty about the outcomes of the_x000D_
second phase of work. Nevertheless, any success along either of the_x000D_
two major fronts is likely to have practical impact for researchers,_x000D_
students, and IT professionals._x000D_
_x000D_
</t>
  </si>
  <si>
    <t xml:space="preserve">In the context of the five review elements, please _x000D_
evaluate the strengths and weaknesses of the proposal with respect to intellectual merit._x000D_
_x000D_
Strengths:_x000D_
_x000D_
* Great topic -- using real semantics ideas to tackle an extremely_x000D_
messy but important beast.  As the PI notes, there's a nice analogy_x000D_
to some of the work on JavaScript semantics from several years ago,_x000D_
but with plenty of new challenges here._x000D_
_x000D_
* The range of proposed tools is good._x000D_
_x000D_
* The PI's abilities both with formal semantics and with the shell are_x000D_
clear._x000D_
_x000D_
* A great mix of fixing practical issues (spaces in filenames are_x000D_
really, really broken in most scripts) and deeper research vision_x000D_
(how to define languages precisely while retaining convenient_x000D_
interactivity)._x000D_
_x000D_
Weaknesses:_x000D_
_x000D_
* Perhaps a bit, just a bit, too focused on all the dark corners of_x000D_
the bash shell -- could probably get 90+% of the benefit while still_x000D_
ignoring 5% of the shell's 'crazier features'._x000D_
_x000D_
* I was disappointed by the "theorems one might prove" and wish to_x000D_
suggest several properties more ambitious than "expansions have_x000D_
minimal side effects" and less ambitious than "compiler is semantics_x000D_
preserving" such as (a) substitution commutes with evalution [under_x000D_
certain conditions], (b) redirection is idempotent, (c) variable_x000D_
shadowing "works" in that value of the variable in the outer_x000D_
environment is irrelevant and unchanged, (d) etc._x000D_
_x000D_
* I'd encourage more thought about which properties might be a better_x000D_
fit for testing vs. static analysis.  For example, as gnarly as_x000D_
filenames with spaces (or multiple dots or whatever) may be, that_x000D_
seems reasonably easy to test for.  Whereas static analysis seems_x000D_
better for things like termination or ensuring that side effects to_x000D_
the variable environment are as-expected or similar._x000D_
_x000D_
* I wasn't convinced, as was claimed in the summary that "string_x000D_
expansion seems to be the keystone of the shell's interactive_x000D_
appeal".  That may well be correct -- I'm not convinced it's false_x000D_
-- but the fact that the semantics has lots of expansion rules seems_x000D_
distinct from being a source of appeal._x000D_
_x000D_
* I'd be concerned about using Lem with Coq as while it claims to_x000D_
support it I believe most of the heavy-duty uses to date have been_x000D_
with Isabelle/HOL.  [I could be wrong, so this is not something I'll_x000D_
weigh heavily -- giving it as feedback to the PI.]_x000D_
_x000D_
_x000D_
In the context of the five review elements, please _x000D_
evaluate the strengths and weaknesses of the proposal with respect to broader impacts._x000D_
_x000D_
Strengths:_x000D_
_x000D_
* Affects a broad class of near-programmers, namely sys-ops and_x000D_
dev-ops types, as well as literally everyone who is impacted by_x000D_
their work._x000D_
_x000D_
* History of working with URM undergraduates_x000D_
_x000D_
* Plans for educational materials on using the shell and avoiding pitfalls_x000D_
_x000D_
Weaknesses:_x000D_
_x000D_
* Not clear the educational materials fill a void, though perhaps they_x000D_
do._x000D_
_x000D_
* Nothing particularly ambitious on the broader impacts side._x000D_
_x000D_
_x000D_
Please evaluate the strengths and _x000D_
weaknesses of the proposal with respect to any additional solicitation-specific review criteria, if _x000D_
applicable_x000D_
_x000D_
_x000D_
_x000D_
Summary Statement_x000D_
_x000D_
An excellent topic area with a nice agenda proposed by a PI with_x000D_
expertise in two key areas (semantics, the shell) needed for success,_x000D_
but some key parts of the proposal and emphases may benefit from_x000D_
refinement._x000D_
_x000D_
_x000D_
</t>
  </si>
  <si>
    <t xml:space="preserve">In the context of the five review elements, please _x000D_
evaluate the strengths and weaknesses of the proposal with respect to intellectual merit._x000D_
_x000D_
The author proposes to study POSIX shell as a programming language, formalize it, build tools exploiting this formalization, and, more generally, better understand principles of shell design._x000D_
_x000D_
This is a worthwhile goal, with many concrete technical challenges that need to be addressed, and worthy of support. Shell languages are used widely, and ofte have very obscure features. So a clean-but-real viewpoint could be very valuable. The proposal is well planned, and adequately resourced, and the author is well-qualified. _x000D_
_x000D_
I have rated the project "Good" and not higher because in my view this is an applied project with somewhat limited potential for far-reaching impact on foundations, or on other application areas. (So lower scores on (1) and (2).)_x000D_
_x000D_
_x000D_
_x000D_
In the context of the five review elements, please _x000D_
evaluate the strengths and weaknesses of the proposal with respect to broader impacts._x000D_
_x000D_
Limited broader impact to society at large._x000D_
_x000D_
Please evaluate the strengths and _x000D_
weaknesses of the proposal with respect to any additional solicitation-specific review criteria, if _x000D_
applicable_x000D_
_x000D_
_x000D_
_x000D_
Summary Statement_x000D_
_x000D_
The proposal is good but does not fare so well in a competitive situation._x000D_
_x000D_
</t>
  </si>
  <si>
    <t>The POSIX shell---the standard non-proprietary command-line interface---is a cornerstone of computer systems, from administration and management to development and deployment. Shell implements a unique programming model: its string expansion semantics and expressive concurrency primitives; its use, ranging from line-by-line interactivity to the complex architecture of the Linux boot sequence and system administration scripts; its idiosyncratic "print before run" development process; its reliance on external programs written in arbitrary languages. Shell scripts are a cornerstone of development operations, or DevOps---a rapidly growing $2 billion industry._x000D_
_x000D_
For such a powerful and economically important system, the shell is barely understood: its semantics are based on string expansion, and widely considered obtuse and unworthy of attention. But the consequences of not understanding shell scripts can be disastrous.This proposal presents a research plan for formally understanding the POSIX shell in order to (a) better support the shell with tools, and (b) glean insights from the shell to build, support, and understand better interactive programming languages._x000D_
_x000D_
- Formalizing the POSIX shell: Despite being a 'Turing complete' programming language, the shell's semantics differ markedly from conventional languages. Formalizing the shell's semantics will not only help tool developers interpret the English of the POSIX standard, but such a semantics will be interestingly novel. A formal model of the shell is a critical first step towards a verified shell, as part of field-wide efforts at verifying whole systems._x000D_
_x000D_
- Tools for the POSIX shell: Existing tools to analyze shell programs for errors or malicious behaviors are largely syntactic; semantics will enrich these tools, allowing users, administrators, and programmers less error-prone control of their computers. A compiler will translate the shell down to a more analyzable, first-order core language, making shell's strange evaluation behavior explicit; the compiler's correctness can be checked with both formal models and testing. Challenges await for analyses in this domain---reasoning about strings in particular, but also understanding the behavior of commonly used programs like grep and find. Translating shell to a more conventional language means not having to invent an abstract interpretation for the shell's unconventional evaluation model._x000D_
_x000D_
- Interactive programming and language design: While many programming languages have "read-eval-print loops" and offer some interactivity, none can rival the shell. Is there a language that keeps some of the shell's defining characteristics while eliminating other features to increase predictability and security?  As a conjecture, string expansion seems to be the keystone of the shell's interactive appeal. With a clear model of the shell, it will be possible to devise a language that keeps the shell's nimble interactivity but avoids its most dangerous pitfalls.Tools for eliminating shell bugs will help system administrators and programmers; more powerful semantic analysis tools for shell would be of immense interest in practice. Educational materials, from introductory material for undergraduates and new system administrators up to best practices for experienced shell programmers, will be developed jointly with the Pomona College IT department and be hosted and distributed by the Liberal Arts Consortium for Online Learning (LACOL). Initial research efforts have already involved undergraduates. Miniaturized versions of shell features (expansion, pipes, redirection) will be adapted to appear in coursework. All of the research products produced will be open source and freely available.</t>
  </si>
  <si>
    <t xml:space="preserve"> Panel Summary       
 SUMMARY OF PROPOSED RESEARCH ACTIVITY_x000D_
_x000D_
The PI proposes a unified data-race detection framework, allowing significant improvements to the precision-efficiency tradeoff. The idea is to seamlessly combine static and dynamic techniques (data sharing specifications / assertions, dynamic DRF)._x000D_
_x000D_
INTELLECTUAL MERIT_x000D_
_x000D_
+ The citations and prior work demonstrate that the PI is intimately familiar with the extensive prior work on race detection, and has already contributed to the field._x000D_
_x000D_
+ The proposed technical improvements (data sharing annotations, detecting re-privatizations) are reasonable ideas, and appear achievable. _x000D_
_x000D_
- In its current form, the research plan does not present a direction with essential impact. _x000D_
_x000D_
- The proposal needs a more ambitious, unique, and creative spin to compete with the best career proposals._x000D_
_x000D_
- More detail about the proposed annotations, and how they relate to the types in various race-free type systems, would be helpful._x000D_
_x000D_
BROADER IMPACTS _x000D_
_x000D_
+ Race detection is an important educational tool for teaching parallelism and concurrency._x000D_
_x000D_
+ The proposal contains an appealing education plan, and it conveys a deep commitment to education, at a women's undergraduate college._x000D_
_x000D_
- Given the extensive prior research in this area, it is unclear how the proposed annotations would significantly improve over previous annotation methods, and have significant impact._x000D_
_x000D_
CAREER SOLICITATION-SPECIFIC REMARKS_x000D_
_x000D_
+ The education plan integrates important education goals (teaching concurrent and parallel programming) with the main ideas of the research proposal (race detection, sharing annotations)_x000D_
_x000D_
ADDITIONAL REMARKS_x000D_
_x000D_
+ The work plan and requested resources seem appropriate, and the proposal includes detailed documentation on work plan, postdoctoral mentoring, and data management._x000D_
_x000D_
SUMMARY STATEMENT_x000D_
_x000D_
Overall, the proposal convinces on the educational aspect. However, as written, and given the maturity of the field, it is difficult to imagine that the results would have a broad impact._x000D_
The recommendation of the panel is Low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</si>
  <si>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Pro:_x000D_
_x000D_
- Race detection is a mature field, but the PI appears to know it well, and has collaborated with other leading researchers in the area. It appears likely that progress can be published and advance the state of the art._x000D_
_x000D_
- The goals appear attainable within the available resource constraints._x000D_
_x000D_
Contra:_x000D_
_x000D_
- The main spin of the proposal, a "unified analysis framework", does not excite. Combining static (programming-model based) and dynamic (happens-before) race detection sounds a bit too easy, and it is not clear that it will truly improve the utility of race-detection tools; ease-of-use being a key issue with race detection in practice, such hybrid tools suffer the disadvantages of both approaches (runtime AND annotation overhead), and asking programmers to be involved in navigating this tradeoff makes tools more complicated._x000D_
_x000D_
In the context of the five review elements, please _x000D_
evaluate the strengths and weaknesses of the proposal with respect to broader impacts._x000D_
_x000D_
Pro:_x000D_
_x000D_
- Understanding concurrency and parallelism on multi-cores is an important skill for developers, and the concept of DRF is crucial to educating programmers. Advancing DRF tools and promoting general knowledge about them, to the point where they become more widely known, especially in education scenarios, is an important long-term goal.  _x000D_
_x000D_
Contra:_x000D_
_x000D_
- Progress seems likely to remain incremental: despite impressive advances and many excellent papers in the field of race detection, adoption of race detection tools in practice is still very modest. _x000D_
_x000D_
_x000D_
Please evaluate the strengths and _x000D_
weaknesses of the proposal with respect to any additional solicitation-specific review criteria, if _x000D_
applicable_x000D_
_x000D_
_x000D_
_x000D_
Summary Statement_x000D_
_x000D_
_x000D_
Overall, the proposal describes a carefully planned out approach, with reasonable goals, and relatively low risk. Significant educational value, and some progress and advancement of the state of the art seem likely. Given the maturity of the research area, a major breakthrough is more difficult to imagine._x000D_
_x000D_
</t>
  </si>
  <si>
    <t xml:space="preserve">In the context of the five review elements, please _x000D_
evaluate the strengths and weaknesses of the proposal with respect to intellectual merit._x000D_
_x000D_
This proposal aims to advance the field of data-race detection (aka_x000D_
data-race freedom checking / DRF checking) by applying various_x000D_
optimizations to precise and imprecise race detectors._x000D_
_x000D_
The PI is an expert in the DRF checking and is well equipped to make_x000D_
continued progress in the area.  Likewise, resources for the proposed_x000D_
work are adequate._x000D_
_x000D_
Unfortunately, this proposal suffers from a severe case of "telling"_x000D_
rather than "showing". It describes the benefits of specialization_x000D_
advice provided by the programmer, without showing an example program_x000D_
or an example of what this advice would look like.  There is far too_x000D_
much prose description covering too much ground with insufficient_x000D_
detail.  The proposal is written in an inside-baseball style that_x000D_
doesn't even define DRF until after it has been used several times.  The_x000D_
existing state of the art detectors are not described in much detail._x000D_
_x000D_
Much of the proposal describes optimizations to dynamic race_x000D_
detectors, but it's hard to believe that these incremental_x000D_
improvements will bring these checkers in range of "always on"_x000D_
deployment in production.  Thus, the role of partial annotations by_x000D_
the programmer to reduce dynamic overheads must be critical to this_x000D_
plan, and it must be fleshed out more fully in the proposal.  The goal_x000D_
of incremental annotation suggests similarities to "gradual typing",_x000D_
and perhaps there is a theorem to prove here similar to the gradual_x000D_
guarantee.  Alas, the proposal does not show even a preliminary design_x000D_
for these annotations._x000D_
_x000D_
Splitting the focus of the proposal between imprecise and precise DRF_x000D_
checkers dilutes it.  I think the proposal would be stronger if it_x000D_
focused exclusively on optimizing precise DRF to the point of_x000D_
practicality, using a well-developed design for incremental annotations._x000D_
_x000D_
_x000D_
In the context of the five review elements, please _x000D_
evaluate the strengths and weaknesses of the proposal with respect to broader impacts._x000D_
_x000D_
The field of DRF checking will continue to have impact on programming_x000D_
debugging.  If it becomes cheap enough for production deployment, then_x000D_
it would have a broader impact on software development._x000D_
_x000D_
Please evaluate the strengths and _x000D_
weaknesses of the proposal with respect to any additional solicitation-specific review criteria, if _x000D_
applicable_x000D_
_x000D_
_x000D_
_x000D_
Summary Statement_x000D_
_x000D_
Possibly a good project, but undermined by lack of clarity and detail_x000D_
in the proposal document, and thus difficult to assess the technical_x000D_
aspects of the proposal._x000D_
_x000D_
_x000D_
</t>
  </si>
  <si>
    <t xml:space="preserve">In the context of the five review elements, please _x000D_
evaluate the strengths and weaknesses of the proposal with respect to intellectual merit._x000D_
_x000D_
The author is proposing a flexible framework for reasoning about shared memory concurrency, in particular about data race freedom (DRF) and data sharing between threads._x000D_
_x000D_
Specific goals are to improve the precision of efficient analysis, and the efficiency of precise analysis on top of a "tunable substrate" that allows "the programmer to tune the tradeoff between precision, efficiency, and effort". In particular, this leads to work on profiling tools, new analyses for DRF, a unified tool that combines adaptive and predictive techniques with specialization advice, and flexible sharing assertions._x000D_
_x000D_
The propsoed work seems quite reasonable in the context of advancing the state of the art in reasoning about shared memory programs. A number of combinations of techniques are spelt out._x000D_
_x000D_
Unfortunately, this reviewer found the discussion rather hard to follow in several places. Sec 4.3 presents a key component of the proposal, a DRF analysis specialization framework. While the goals for such a framework are laid out, it is not quite clear how this framework is to be designed. Some concrete examples would have helped. As such, it is hard to figure out whether to see what technical shape the desired framework might take, and how impactful it could be._x000D_
Indeed the last paragraph seems to suggest that the author is not sure either -- he suggests the the initial work would pursue threads separately, and then, aspirationally. look to unify them in one framework._x000D_
_x000D_
The author is well qualified to pursue this research, and has made several research contributions in this space._x000D_
_x000D_
In the context of the five review elements, please _x000D_
evaluate the strengths and weaknesses of the proposal with respect to broader impacts._x000D_
_x000D_
The possibilities for broader impact that are discussed are about par for the course for program analysis proposals: integrate techniques into core courses on parallelism and concurrency, help students analyze programs; provide a pathway into research The author proposes to release the source code under an open source license, which is commendable._x000D_
_x000D_
Please evaluate the strengths and _x000D_
weaknesses of the proposal with respect to any additional solicitation-specific review criteria, if _x000D_
applicable_x000D_
_x000D_
_x000D_
_x000D_
Summary Statement_x000D_
_x000D_
The author has proposed a collection of techniques for improving analysis of shared memory concurrent programs, particularly in connection with reasoning about shared mutable data. However it is not clear that the proposed unifying theme -- a unified analysis framework -- is actually realizable as more than a collection of known techniques (with incremental advances added on). It would have been very helpful to see some arguments -- worked out with concrete examples -- showing how the proposed framework would significant improve our ability to reason about such programs._x000D_
_x000D_
</t>
  </si>
  <si>
    <t xml:space="preserve">In the context of the five review elements, please _x000D_
evaluate the strengths and weaknesses of the proposal with respect to intellectual merit._x000D_
_x000D_
STRENGTHS_x000D_
_x000D_
The project would develop new techniques for dynamic checking of data race freedom (DRF) that would reduce runtime overhead and support flexible trade-offs between runtime overhead, detection accuracy (measured by missed races and false reports of races), and programmer effort (in providing hints or guarantees about the program's synchronization behavior)._x000D_
_x000D_
The PI has published work in this area, including some preliminary steps toward the proposed work._x000D_
_x000D_
WEAKNESSES_x000D_
_x000D_
It is unclear what forms of synchronization, beyond locks and escape analysis, will be taken into account to determine race-freedom.  Wait-notify?  Synchronization constructs in java.util.concurrent?  Application-specific synchronization algorithms?_x000D_
_x000D_
While the PI has achieved some nice performance improvement using ownership information and adaptive techniques to reduce synchronization overhead in the FastTrack race detector, the proposed approaches to overhead reduction in Section 4.2 (Reprivatization and Targeted Optimizations) involve difficult technical challenges (as discussed there), and it is unclear how much benefit is possible._x000D_
_x000D_
Please explain the phrase "non-data execution context"._x000D_
_x000D_
In the context of the five review elements, please _x000D_
evaluate the strengths and weaknesses of the proposal with respect to broader impacts._x000D_
_x000D_
STRENGTHS_x000D_
_x000D_
DRF is an important correctness requirement for many concurrent programs._x000D_
The project would advance the state-of-the-art in efficient dynamic data race detection, using sophisticated algorithms and programmer-provided information._x000D_
_x000D_
The PI would integrate material on concurrency and program analysis in multiple courses at multiple levels in the undergraduate CS curriculum.  The PI is involved in a pilot program that provides mentoring to students, especially students from underrepresented minorities, in challenging classes._x000D_
_x000D_
WEAKNESSES_x000D_
_x000D_
The potential for broader impact on software development depends on what synchronization constructs are taken into account by the proposed techniques and whether it is possible to overcome the difficult technical challenges involved in exploiting them to reduce overhead while preserving race detection accuracy at an acceptable level._x000D_
_x000D_
Please evaluate the strengths and _x000D_
weaknesses of the proposal with respect to any additional solicitation-specific review criteria, if _x000D_
applicable_x000D_
_x000D_
_x000D_
_x000D_
Summary Statement_x000D_
_x000D_
The project would develop new techniques for dynamic checking of data race freedom (DRF) that would reduce runtime overhead and support flexible trade-offs between runtime overhead, detection precision (measured by missed races and false reports of races), and programmer effort._x000D_
_x000D_
</t>
  </si>
  <si>
    <t>Shared-memory multithreading is widely used, yet its programmability suffers from a lack of support for checking or asserting facts about implicit data sharing and thread interactions in programs. At the core, two crucial properties of multithreaded programs are entirely invisible in the programming model: (1) Are thread interactions well synchronized? Data race freedom (DRF) is a general correctness foundation that merits the same automatic checking as memory safety and type safety. (2) How are data shared among threads? Flexible data sharing specifications and assertions are key reasoning tools for correct robust multithreaded programs. Past research implements these correctness foundations, but often separately and with key limitations on effectiveness: DRF checkers are slow or imprecise; data sharing checkers are unsound or insufficiently flexible._x000D_
_x000D_
This proposal posits that the intrinsically linked properties of data race freedom and data sharing hold the keys to efficient or effective analysis of each other. The project envisions a unified analysis framework that supports a flexible continuum between automatic DRF checking and manually specified sharing checking. The core technical foundation is a novel class of analysis that accepts advice and assertions to specialize checking to be efficient and precise for a given program with minimal programmer effort.This proposal considers questions about the essence of safe multithreading and its analysis: Can specialization via adaptive, profile-guided, and manual advice or explicit assertions substantially improve the efficiency, precision, or programmer effort of DRF or sharing analysis? How is the specialization of general analyses linked to the specification of individual application behavior? What new types of reasoning and efficiency-precision-effort tradeoffs does a unified approach to checking DRF and sharing assertions enable?_x000D_
_x000D_
The proposed research seeks to answer these questions through development of new algorithms, analyses, runtime systems, and profiling tools to support a unified DRF and sharing analysis frame- work. Key research objectives within this framework include: (1) developing general adaptive policies that employ untrusted advice and binding assertions to select from a catalog of specialized analysis components and optimizations; (2) developing profile-guided heuristics and manual annotations for advice, along with novel analysis optimizations that exploit the patterns revealed by advice; (3) evaluating the efficacy of unified treatment of analysis specialization and specification.If successful, the proposed techniques will effect several significant improvements on multithreading programmability: (1) reduce the penalty for always-on multithreading safety guarantees; (2) provide crucial and flexible support for transparent reasoning about multithreaded programs during debugging, testing, verification, and production; (3) improve reliability of multithreaded programs by eliminating classes of concurrency bugs, a growing concern in key human infrastructure._x000D_
_x000D_
The proposed education plan will integrate parallel and concurrent thinking at all levels of an undergraduate computer science curriculum that currently lacks these crucial topics. Integrating program analysis into the core undergraduate curriculum will train future programmers and researchers in rigorous program reasoning techniques. Integrating research discussions with ongoing mentoring programs attached to these courses will encourage broader participation in research, especially among students of identities underrepresented in CS. The proposed research and education efforts will be undertaken at an undergraduate women's college, where they will build a pipeline from courses to undergraduate research experiences that broaden participation in programming systems research and related fields.</t>
  </si>
  <si>
    <t>9</t>
  </si>
  <si>
    <t xml:space="preserve"> Panel Summary       
 SUMMARY OF PROPOSED RESEARCH ACTIVITY_x000D_
_x000D_
The PI proposes to add both refinement types and dependent type theory to verify software in a gradual way, so that programmers can incrementally add specifications to code, and so that tools can verify those specifications statically where possible and dynamically otherwise.  This is important because today verification tends to be an all-or-nothing activity, but modern software development practices motivate a more incremental approach._x000D_
_x000D_
INTELLECTUAL MERIT_x000D_
_x000D_
Strengths:_x000D_
 + Incremental specification and gradual verification is an important problem_x000D_
 _x000D_
 + Promising initial work, including a type refinement system for Racket_x000D_
_x000D_
 + Interesting high-level approach, involving gradualizing dependent type theory, integrating refinement types with dependent types, and improving error messages_x000D_
_x000D_
Weaknesses / Suggestions for improvement:_x000D_
 - Should give more detail on potential solutions to the problems proposed_x000D_
 _x000D_
 - Some aspects of the proposal (e.g. the design of Pudding) were difficult to understand and should be clarified_x000D_
_x000D_
 - Should describe relationship to closely related recent work on gradual refinement types, which addresses one of the major thrusts of the proposal_x000D_
_x000D_
 - The core scientific issues addressed by the proposal could be stated more clearly and should be separated from the prior work and from the implementation issues._x000D_
 _x000D_
BROADER IMPACTS _x000D_
_x000D_
The proposal includes a strong educational plan that would extend the HTDP and BOOTSTRAP introductory curricula with gradual types, extend graduate coursework to include gradual verification, and measure the impact of gradual typing on student learning_x000D_
 _x000D_
_x000D_
CAREER SOLICITATION-SPECIFIC REMARKS_x000D_
_x000D_
Smoothly integrating the research on gradual verification with coursework at both the undergraduate and graduate level is a significant strength of this proposal._x000D_
_x000D_
_x000D_
SUMMARY STATEMENT_x000D_
_x000D_
This proposal addresses a significant problem, with potential high impact, and suggests an innovative overall approach.  However, there were also some weaknesses to the proposal that require significant revisions to make it convincing, including a lack of detail on solution ideas, a lack of clarity in key aspects of the solution design, and missing closely related work._x000D_
_x000D_
The recommendation of the panel is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</si>
  <si>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Overall, the proposal has significant intellectual merit, but also some weaknesses in that it does not describe a planned design for some of the most critical questions, and misses a comparison to the most closely related work._x000D_
_x000D_
The problem of introducing verification incrementally into high-assurance systems is real and very important.  It raises fundamental questions about how to build verification tools that are of inherent intellectual interest._x000D_
_x000D_
The proposal includes innovations with the potential for transformative effects.  One of these is extending gradual typing to dependent type theory; another is the smooth integration of refinement types with dependent types.  Little work has been done to date in either of these questions, but a solution could change the way programming languages are designed and the experience of programmers working with them._x000D_
_x000D_
A lot of excellent preliminary work as been done, including the design of a refinement system for Typed Racket.  The design of the proposed work appears to be sound so far as it is described.  I thought the high-level description of the design of Pudding sounds promising, but there were a couple of things missing from the description; Figure 1 is referenced but does not show Pudding; Figure 2 is not referenced but does show Pudding, however it does not show a use of the function that is defined (which is how Figure 1 was described).  There is similarly a missing example of how to write the actual code for a rule; that might be in Figure 4 instead of inline in the text, but I couldn't understand Figure 4.  These omissions made me a bit less confident about the Pudding design._x000D_
_x000D_
Several sections gave very few ideas about how the research is to be pursued.  For example, no ideas are described for how to integrate dependent function types with dynamic enforcement; this is surprising as there is very prominent, recent work dealing with exactly this issue, and I wanted to see how this proposal's approach compares:_x000D_
_x000D_
Nicolßs Lehmann, ╔ric Tanter.  Gradual Refinement Types.  POPL 2017._x000D_
_x000D_
I was surprised and disappointed that this paper, in a top PL conference, in an area where the PI is an expert, and with a name almost identical to section 5.1 of the proposal, was not even cited._x000D_
_x000D_
Likewise, there are no ideas given for how to do dynamic checks when Pudding specifications interact with dynamically-typed code.  I don't expect the research to be done, of course, but I think there should be a plausible story for how it might be worked out.  In general, less focus on already-done work (it's already done, right?) and more ideas for the work to be carried out would strengthen the proposal._x000D_
_x000D_
I liked the ideas in section 6, although I noted that the ideas described are primarily about providing better error messages, feedback, and tools for refinement types and computational type theory, and not really at all about the gradual aspect of the problem, which is what was sold as "primary" in the introduction.  That said, the PI has an excellent track record of considering usability of tools, and I believe the proposed work would continue in that vein._x000D_
_x000D_
Overall, the PI's existing work on gradual type systems qualifies him very well to carry out a majority of the work envisioned.  He has not published in the area of Computational Type Theory, but I don't see that as a significant weakness because the proposal makes clear he has become very familiar with the ideas in that field._x000D_
_x000D_
_x000D_
In the context of the five review elements, please _x000D_
evaluate the strengths and weaknesses of the proposal with respect to broader impacts._x000D_
_x000D_
Successful research in this space could significantly increase the use of verification in practice and consequently significantly raise the reliability of software.  The PI has a solid track record in this space, both in terms of educational impact and in terms of technology transfer._x000D_
_x000D_
I thought the proposal's plan for educational impact was excellent; particular standouts were the ability for students to make progress without typechecking the entire program but still receiving feedback on the critical portion of their definitions; and the ability to run programs when type errors remain, resulting in error messages that may be clearer in an educational context (though note that while run-time error messages *describe* the problem most clearly, static types are often better at *isolating* it because they perform local checks, while run-time errors concern data structures that may have come from much earlier in the execution).  I also applaud the PI's plan to measure whether students are more effective starting with existing programs; we don't have enough studies of the effectiveness of gradual typing, and this would make an important contribution in that direction._x000D_
_x000D_
Please evaluate the strengths and _x000D_
weaknesses of the proposal with respect to any additional solicitation-specific review criteria, if _x000D_
applicable_x000D_
_x000D_
_x000D_
_x000D_
Summary Statement_x000D_
_x000D_
This is a strong proposal in many ways, but has some weaknesses in terms of describing the research plan and comparing to prominent recent related work in the proposed area._x000D_
_x000D_
</t>
  </si>
  <si>
    <t xml:space="preserve">In the context of the five review elements, please _x000D_
evaluate the strengths and weaknesses of the proposal with respect to intellectual merit._x000D_
_x000D_
This proposal combines gradual typing with refinement types and type theory based verification in order provide a full verification approach for modern programming languages. _x000D_
_x000D_
The proposed work builds on PI's earlier work on gradual typing and recent results on development of verified software systems using type systems and proof assistants. Although there have been successful results obtained in developing verified software, these projects require significant manual effort from experts. The PI's goal is to develop a gradual automated verification approach which is applicable in practice. _x000D_
_x000D_
The PI has a strong track record and has some preliminary results demonstrating that the proposed approach is feasible. Overall, the proposed approach is promising._x000D_
_x000D_
The presentation in the proposal is centered around Typed Racket and the proposed dependent type theory-based prover Pudding. This makes it hard to separate the implementation/engineering contributions of the proposed work from its foundational contributions._x000D_
_x000D_
In the context of the five review elements, please _x000D_
evaluate the strengths and weaknesses of the proposal with respect to broader impacts._x000D_
_x000D_
Development of verifiable software is a significant challenge in computing and this proposal addresses this critical problem. Any progress in this direction is likely to have broader impacts. _x000D_
_x000D_
The PI has a good track record in producing software systems that are widely adopted and have broader impact. _x000D_
_x000D_
The PI presents a reasonable educational plan that involves integration of gradual typing to instruction of computing classes._x000D_
_x000D_
Please evaluate the strengths and _x000D_
weaknesses of the proposal with respect to any additional solicitation-specific review criteria, if _x000D_
applicable_x000D_
_x000D_
_x000D_
_x000D_
Summary Statement_x000D_
_x000D_
Proposed work combines and extends recent results in gradual typing and program verification to obtain a verification framework for modern programming languages. The proposed work builds on PI's earlier work and the PI has a good track record in producing influential software systems. The PI provides a reasonable education plan that involves integration of research results to computing classes._x000D_
_x000D_
</t>
  </si>
  <si>
    <t xml:space="preserve">In the context of the five review elements, please _x000D_
evaluate the strengths and weaknesses of the proposal with respect to intellectual merit._x000D_
_x000D_
_x000D_
The PI will show how to extend gradual typing_x000D_
as in Typed Racket, to accomodate SMT-based_x000D_
refinement types, and full dependent types_x000D_
based on Computational Type Theory (similar_x000D_
to Nuprl/Coq)._x000D_
_x000D_
This will require new ways to *express* the_x000D_
richer types using Racket's contracts, new_x000D_
ways to *enforce* the types statically and_x000D_
dynamically, and understanding how the different_x000D_
systems fit together, and to do so in a way_x000D_
that supports the full Racket language._x000D_
_x000D_
This work will show how Rackets macros_x000D_
(syntactic abstraction) can be used to_x000D_
embed full theorem proving, letting_x000D_
the developer use Racket itself as_x000D_
the meta language to write tactics_x000D_
and proof search, and using the_x000D_
mature Racket IDE, suitably extended,_x000D_
to understand and debug proofs._x000D_
_x000D_
In the context of the five review elements, please _x000D_
evaluate the strengths and weaknesses of the proposal with respect to broader impacts._x000D_
_x000D_
_x000D_
The proposal builds upon the PIs strong track record_x000D_
for tech transfer -- both the ideas and implementation_x000D_
of Typed Racket have had a big industrial impact_x000D_
(Flow, Typescript etc.)_x000D_
The PI is also a member of TC39, the standards body_x000D_
responsible for JS; lessons from Typed Racket have_x000D_
and from this proposal will likely inform_x000D_
new JavaScript language features like proxies_x000D_
and modules._x000D_
The PI will extend the venerable HTDP and BOOTSTRAP_x000D_
curriculum for intro programming (for high-school_x000D_
and undergraduate students) to include gradual types,_x000D_
and will extend the graduate classes to include_x000D_
material on (gradual) verification._x000D_
_x000D_
_x000D_
Please evaluate the strengths and _x000D_
weaknesses of the proposal with respect to any additional solicitation-specific review criteria, if _x000D_
applicable_x000D_
_x000D_
_x000D_
_x000D_
Summary Statement_x000D_
_x000D_
_x000D_
The proposal is based upon the insight that_x000D_
"the cost of maintenance far outweighs the_x000D_
cost of initial development", and yet modern_x000D_
verification research focusses on_x000D_
"write-once correctness, not on evolution over time."_x000D_
Specifically they require writing programs_x000D_
in specialized proof assistants (e.g. Coq, Isabelle)_x000D_
that are amenable to verification. This high_x000D_
switching cost means verification will only be_x000D_
limited only to niche domains where the costs_x000D_
are worth the switch, thereby precluding a path_x000D_
where existing programs are *gradually* hardened_x000D_
with ever stronger guarantees._x000D_
_x000D_
The PI proposes to build on their extremely successful_x000D_
system for adding (static) types to Racket, by showing_x000D_
how Racket's macro system can be used to embed a full-fledged_x000D_
theorem prover/ proof assistant inside Racket based_x000D_
on NUPRL's Computational Type Theory._x000D_
_x000D_
## Pros  _x000D_
_x000D_
+ Compelling vision -- gradually applying or retrofitting full verification into_x000D_
a mature language -- that is clearly articulated, with a clear plan of attack._x000D_
_x000D_
+ PI has a strong track record with Gradual Types; the resulting system has had significant_x000D_
impact and is widely used._x000D_
_x000D_
+ The idea of using macros to encode a proof assistant seems very intriguing,_x000D_
similarly, Racket's IDEs could also prove to be an ideal vessel interactively_x000D_
write and debug proofs._x000D_
_x000D_
+ The PI has nicely identified key usability problems such as explaining_x000D_
proof failures and has fleshed out interesting lines of attack including_x000D_
eliminating irrelevant facts, computing weakest requirements for a proof_x000D_
to succeed etc, and for generating actionable feedback to the user._x000D_
_x000D_
## Cons_x000D_
_x000D_
- It remains to be seen whether proofs in CTT are pleasant/tractable to write._x000D_
(The given example was not super persuasive in this regard.) Why not instead_x000D_
use the approach favored by systems like F* or Dafny which also allow_x000D_
arbitrary proofs but use SMT support?_x000D_
_x000D_
- Another way to get gradual verification is to write *parts* of the system (modules)_x000D_
in Coq/Isabelle etc. and then "extract" Racket programs from those developments_x000D_
(as is possible for Ocaml and Haskell already.) This would avoid having to re-implement_x000D_
the decades worth of work in tactics, libraries, proof search etc._x000D_
_x000D_
Nevertheless, the proposal here is an extremely valuable direction to pursue as_x000D_
_x000D_
(a) it will be interesting to see the interplay of syntactic abstraction and_x000D_
proving,_x000D_
_x000D_
(b) there may be situations where one cannot cleanly extract individual modules,_x000D_
but instead require directly reasoning in a "cross-cutting" manner across_x000D_
the entire system, and_x000D_
_x000D_
(c) the ideas developed here -- e.g. for debugging errors -- may positively_x000D_
influence existing proving systems._x000D_
_x000D_
_x000D_
</t>
  </si>
  <si>
    <t xml:space="preserve">In the context of the five review elements, please _x000D_
evaluate the strengths and weaknesses of the proposal with respect to intellectual merit._x000D_
_x000D_
I found it somewhat difficult to separate what has been done and what is being proposed. In preliminary work the PI has already develop the framework of gradual typing with refinement types. Going beyond that he proposes to develop a dependent type theory-based prover, dubbed Pudding, thoroughly integrated into Racket. Furthermore, he is proposing to integrate Pudding with refinement types, and develop a way to handle refinement errors._x000D_
_x000D_
The PI is undoubtedly an expert in his research area, but the proposal is not very accessible to non-experts. I also was somewhat confused by the conflation of typing with verification. Surely, there is a connection, but the two are still quite distinct._x000D_
_x000D_
In the context of the five review elements, please _x000D_
evaluate the strengths and weaknesses of the proposal with respect to broader impacts._x000D_
_x000D_
The main element of the broader-impact statement is bringing gradual typing into the classrooms, both at the introductory-programming level and at the master's level. Frankly, I am not convinced that that each research topics should be brought into the classroom, especially at the introductory level. Introductory programming should cover broadly accepted foundations. Gradual typing may make it into the cannon at some point, but it is probably too early to insert it into the introductory curriculum._x000D_
_x000D_
Please evaluate the strengths and _x000D_
weaknesses of the proposal with respect to any additional solicitation-specific review criteria, if _x000D_
applicable_x000D_
_x000D_
_x000D_
_x000D_
Summary Statement_x000D_
_x000D_
Typing is a well-accepted element in developing reliable programs, and gradual typing seems a promising approach. Yet the proposal does not present, IMHO, a clear plan. The broader-impact plan is too research focused, I think._x000D_
_x000D_
</t>
  </si>
  <si>
    <t>As dynamically-typed languages such as JavaScript, Python, Ruby, and Clojure have become widely_x000D_
used in industrial, academic, and educational settings over the past 10 years, there has been increasing_x000D_
demand for ways to combine these languages with the advantages of static type systems._x000D_
In response, the academic community, including the PI, has developed gradual typing. This approach_x000D_
combines static types in one part of a program with dynamic types in other parts, and builds on familiar_x000D_
languages. Drawing on these ideas, major software companies have also developed languages that combine_x000D_
static and dynamic typing: Microsoft's TypeScript, Google's Dart, Facebook's Hack._x000D_
However, gradual typing has so far failed to address the increasing need for higher-reliability software._x000D_
Ruling out software bugs that escape the simple type systems of gradually-typed languages still requires_x000D_
switching to different systems and techniques that can enable higher reliability, such as proofs of full pro-_x000D_
gram correctness. As more and more critical infrastructure depends on complex software stacks, higher_x000D_
reliability is more and more necessary._x000D_
Over the past decade, researchers have developed new techniques that scale to verification of substantial_x000D_
high-reliability software, such as the CompCert compiler, the seL4 microkernel, the SMACCM UAV heli-_x000D_
copter, and the miTLS networking stack. However, all of these impressive efforts require the adoption of_x000D_
new tools, new development process, and total rewriting of existing code bases---exactly the limitations of_x000D_
type systems that gradual typing originally set out to address._x000D_
This proposal aims to bring gradual typing to this new area, building on the PI's decade-long experience_x000D_
in the field. Specifically, I propose to integrate two promising technologies---refinement types and type_x000D_
theory-based verification---with gradual typing, allowing programmers to gradually move from typing to_x000D_
full verification._x000D_
To bring gradual typing to the classroom, the PI proposes to design a gradually-typed version of the_x000D_
teaching languages that accompany the How to Design Programs curriculum, which the PI has taught for_x000D_
three years in Indiana University?s introductory programming course.The intellectual merit of this proposal is found in the new approaches to gradual typing_x000D_
that will be developed. Specifically, the proposal will result in integration of dependent types and refinement_x000D_
types in a practical gradual type system, a combination not previously achieved._x000D_
Three challenges stand out for realizing the benefits of this approach: (1) integrating type-based proving_x000D_
with automated refinement types, (2) designing a new type theory for an existing programming language,_x000D_
and (3) integrating advanced type system features with development environments and error messages to_x000D_
enable programmers to use them.Each aspect of this proposal contributes to the broader impact. Integrating advanced type_x000D_
system features in an existing gradual type system will enable programmers using Typed Racket to develop_x000D_
more reliable software. Extending the power of gradual typing will benefit the widely-used systems from_x000D_
Microsoft and Facebook, among others, which have already adopted the PI's prior work. Adapting gradual_x000D_
types to the undergraduate curriculum will continue the PI's work on developing effective and innovative_x000D_
pedagogy for the first year as part of the widely-recognized Program By Design project, and will benefit_x000D_
both the PIs students and others who take advantage of the software and materials to be developed. Finally,_x000D_
the project will support the training of graduate student researchers both in research and in education.</t>
  </si>
  <si>
    <t xml:space="preserve"> Panel Summary       
 _x000D_
SUMMARY OF PROPOSED RESEARCH ACTIVITY_x000D_
_x000D_
Programmers spend a lot of time reading compilers' type errors.  This project aims to improve such errors, more accurately reporting locations of errors and suggesting fixes.  The project's technical plan is based on variational typing, extending its theory and practice to support new, advanced language features._x000D_
_x000D_
INTELLECTUAL MERIT_x000D_
_x000D_
Strengths:_x000D_
_x000D_
The panel believes this is a technically deep problem, acknowledged for decades, in which the PI has invested heavily and is well-qualified to address.  The success of the project should have a material impact on programming languages with advanced type systems._x000D_
_x000D_
Suggestions for improvement:_x000D_
_x000D_
There are other languages that use constraint-based typing but are not based on Hindley-Milner.  Exploring one or more of these type systems would help validate the generality of the approach._x000D_
_x000D_
BROADER IMPACTS _x000D_
 _x000D_
Strengths:_x000D_
_x000D_
The plan for direct impact through software prototype is much likelier than average to succeed.  The improvement of the human interface to programming has a natural connection to improving computing pedagogy._x000D_
_x000D_
CAREER SOLICITATION-SPECIFIC REMARKS_x000D_
_x000D_
Regarding the integration of research and education:_x000D_
The plan for a web interface to gather data is a great idea, also making adoption easier for students and practitioners.  The usability study was viewed as a positive and appropriate step, but the K-12 component as having difficulty competing with the large contemporary efforts in this area._x000D_
_x000D_
SUMMARY STATEMENT_x000D_
_x000D_
The proposal chooses a challenging and timely technical problem -- type errors in advanced type systems -- and makes a wise choice of target system in which to research it.  The plan is sound and offers concrete technical details._x000D_
_x000D_
The recommendation of the panel is Highly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</si>
  <si>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This proposal focuses on type error debugging. The PI particularly focuses on debugging type errors in Haskell. The PI does a good job in placing the proposed technical approach with respect to the existing work in the area.  _x000D_
_x000D_
Although the proposed work is technically interesting and the PI has a strong track record, I found the topic of the proposal too narrow. The PI could have motivated the work in terms of potential impact on other statically typed languages such as Java and C++ rather than just focusing on Haskell. Moreover, given the popularity of dynamically typed languages like JavaScript, it may not be sufficient to focus only on statically typed languages as a long term research vision._x000D_
_x000D_
On the other hand, the PI does a good job in exploring many aspects of the proposed topic, including a usability study, investigating different approaches to debugging type errors and investigating integration of different error debugging approaches._x000D_
_x000D_
There is a lot of work in the Software Engineering domain on fault localization and automated debugging. Discussing how the proposed work relates to these earlier results would improve the proposal._x000D_
_x000D_
In the context of the five review elements, please _x000D_
evaluate the strengths and weaknesses of the proposal with respect to broader impacts._x000D_
_x000D_
Given the significance of software development nowadays, technical advances that can help in debugging errors in software can have a big impact on society. The PI provides plans about how to disseminate the contributions obtained within the scope of this project to a wider community._x000D_
_x000D_
PI has an education plan that consist of three components: educational tool development, curriculum development and K-12 outreach. The education plan is well integrated with the research plan._x000D_
_x000D_
Please evaluate the strengths and _x000D_
weaknesses of the proposal with respect to any additional solicitation-specific review criteria, if _x000D_
applicable_x000D_
_x000D_
As a CAREER proposal, the proposed work seems to have a narrow technical focus. After reading the proposal, I am not convinced that the proposed work provides an exciting and promising career direction for the PI._x000D_
_x000D_
Summary Statement_x000D_
_x000D_
The PI has a strong technical track record and the proposal provides a sound technical approach to type error debugging that is well placed with respect to existing research results in the area. However, the scope of the proposed work is rather narrow, limiting its potential impact both with respect to the research community and to the broader society._x000D_
_x000D_
</t>
  </si>
  <si>
    <t xml:space="preserve">In the context of the five review elements, please _x000D_
evaluate the strengths and weaknesses of the proposal with respect to intellectual merit._x000D_
_x000D_
Strengths:_x000D_
_x000D_
* Type-error messages in the presence of advanced type systems and_x000D_
type inference has been an acknowledged problem for decades that has_x000D_
seen some nice progress in fits-and-starts but mostly from researchers_x000D_
exploring a nice idea as a short-term side project.  Having a unified_x000D_
view as an entire CAREER proposal is refreshing and a great idea._x000D_
_x000D_
* PI knows the related work and has already been successful in the_x000D_
area using variational typing, but the proposal clearly tackles new_x000D_
ground by considering much more advanced typing constructs ("all of_x000D_
Haskell") and providing a unified system for various front-ends in_x000D_
terms of how to present error messages._x000D_
_x000D_
* The choice of Haskell/GHC is a wise one and the support letter from_x000D_
Simon Peyton Jones is one of the rare cases where such a letter is_x000D_
meaningful in my opinion._x000D_
_x000D_
* PI has an impressive publication record to-date in the area._x000D_
_x000D_
Weaknesses:_x000D_
_x000D_
* While it's good that user studies are considered, how they fit into_x000D_
the research plan isn't so clear.  I appreciate the importance of_x000D_
user studies toward a project whose end goal is better error_x000D_
messages for humans, but the PI already has a lot of clear ideas on_x000D_
what infrastructure to build and foundations to expand, so I would_x000D_
encourage focusing on that._x000D_
_x000D_
* Some of the examples on "what can go wrong with current approaches"_x000D_
aren't so convincing.  For example, I agree that "if neg True &gt; 10_x000D_
then ..." cannot be fixed by replacing it with "if neg undefined &gt;_x000D_
10 then ..." even though it can be fixed by "if neg 7 &gt; 10 then_x000D_
...".  That's an important point for understanding how to use the_x000D_
type-checker in searching for the problem source, but does it matter_x000D_
in practice since "if undefined &gt; 10 then ..." may often suffice_x000D_
(and, in this case, "if undefined True &gt; 10 then ...") would too._x000D_
_x000D_
* I wish the technical meat of the proposal had discussed in some_x000D_
depth how "fail gracefully" in the presence of not-fully-supported_x000D_
type-system features.  That is, while the goal should be to "support_x000D_
everything" that means the tool can't be deployed until it "supports_x000D_
everything" and falls out of date as soon as "something new comes_x000D_
along".  I think a key engineering dimension is how to provide_x000D_
useful-if-not-perfect information along the way._x000D_
_x000D_
_x000D_
In the context of the five review elements, please _x000D_
evaluate the strengths and weaknesses of the proposal with respect to broader impacts._x000D_
_x000D_
Strengths:_x000D_
_x000D_
* The web interface is a great idea for making easier adoption for_x000D_
students and practitioners._x000D_
_x000D_
* The goal of integrating into GHC holds the potential for widespread_x000D_
adoption in an important language (and the ideas could apply to much_x000D_
more popular languages too)._x000D_
_x000D_
* Some nice preliminary work with k-12 outreach and research_x000D_
opportunities for underserved groups (veteran, woman)_x000D_
_x000D_
Weaknesses:_x000D_
_x000D_
* It's unclear the k-12 stuff wouldn't be better served by more_x000D_
conventional curricula in that space.  That is, there is more and_x000D_
more expertise about how to introduce CS principles in k-12 and it's_x000D_
unclear that having PIs "go and do their own thing" for small groups_x000D_
is the right incentive structure for this crucial topic._x000D_
_x000D_
_x000D_
Please evaluate the strengths and _x000D_
weaknesses of the proposal with respect to any additional solicitation-specific review criteria, if _x000D_
applicable_x000D_
_x000D_
_x000D_
_x000D_
Summary Statement_x000D_
_x000D_
* This is a great topic for a junior researcher to really focus on with a_x000D_
foundational approach and lots of directions to grow.  I'm glad the_x000D_
PI wishes to focus on this topic for the long haul.  It's a_x000D_
challenging topic but an important one._x000D_
_x000D_
_x000D_
</t>
  </si>
  <si>
    <t xml:space="preserve">In the context of the five review elements, please _x000D_
evaluate the strengths and weaknesses of the proposal with respect to intellectual merit._x000D_
_x000D_
The PI makes a convincing case that type error reporting is_x000D_
under-studied relative to the effort invested in type system_x000D_
advancements.  While it may not be the trendiest topic, it is clearly_x000D_
important.  Advancing the state of knowledge in this area offers_x000D_
direct benefits to programmers.  The PI is well equipped to conduct_x000D_
the research and has a convincing record of previous contributions in_x000D_
the area.  There are no problems with available resources._x000D_
_x000D_
Coverage of related work in the proposal is thorough, and it is clear_x000D_
that the proposed work is on the cutting edge._x000D_
_x000D_
The proposed plan is a good one, with an appropriate mix of safe_x000D_
extrapolation from previous work and more speculative components where_x000D_
the answer is not yet known.  The proposal is clear in its technical_x000D_
details.  The concrete examples in the proposal are illustrative, but_x000D_
I would like to know more about what VP_H(X) and VP_O(X) might look_x000D_
like._x000D_
_x000D_
The use of empirical user studies in the preliminary work and the_x000D_
proposed work is well motivated and greatly bolsters the proposal._x000D_
_x000D_
_x000D_
_x000D_
In the context of the five review elements, please _x000D_
evaluate the strengths and weaknesses of the proposal with respect to broader impacts._x000D_
_x000D_
The nature of the topic makes it highly applicable to pedegogical_x000D_
applicaitons.  The letters of collaboration make it clear that the_x000D_
work has a good chance of being adopted in practice (enabling its_x000D_
broader impacts)._x000D_
_x000D_
_x000D_
Please evaluate the strengths and _x000D_
weaknesses of the proposal with respect to any additional solicitation-specific review criteria, if _x000D_
applicable_x000D_
_x000D_
_x000D_
_x000D_
Summary Statement_x000D_
_x000D_
This is a focused project in improving type-error messages in advanced_x000D_
type systems.  It offers with a good expected return on investment._x000D_
_x000D_
_x000D_
</t>
  </si>
  <si>
    <t xml:space="preserve">In the context of the five review elements, please _x000D_
evaluate the strengths and weaknesses of the proposal with respect to intellectual merit._x000D_
_x000D_
Strengths: (a) Addressing an important task -- systematic support for type error debugging in languages with advanced typing systems (b) Well thought out research proposal, grounded in a substantial body of research ("variational" types, counterfactual typing) (c) the author proposes to integrate his developed system in the GHC compiler -- such a practical, usable realization is important at many levels (d) the author is very qualified to undertake this research agenda, having been a principal in the development of the key ideas on which this proposal is based._x000D_
_x000D_
Weakness: While the focus on GHC in the context of a fully developed system makes sense, for theoretical development of the ideas it is worthwhile to have at least two very different languages with advanced type systems. Consider, for instance, X10, an object-oriented language with a constraint-based (dependent) type system. X10 also uses constraint solving at type-checking time and has a type-inference mechanism. It too suffers from the problem of opaque errors. But the development of the type system is very different from that of GHC._x000D_
_x000D_
In the context of the five review elements, please _x000D_
evaluate the strengths and weaknesses of the proposal with respect to broader impacts._x000D_
_x000D_
This work is intended to be folded into the under-graduate programming languages courses the author has re-designed, and into his K-12 outreach._x000D_
_x000D_
I think this is sufficient._x000D_
_x000D_
Please evaluate the strengths and _x000D_
weaknesses of the proposal with respect to any additional solicitation-specific review criteria, if _x000D_
applicable_x000D_
_x000D_
_x000D_
_x000D_
Summary Statement_x000D_
_x000D_
This is a coherent, well thought out proposal for work by a researcher who is deeply versed (for the most part) in the work in his field. The success of this project should have a material impact on  programming languages with advanced type systems._x000D_
_x000D_
</t>
  </si>
  <si>
    <t>Recent development in programming languages exhibits two important trends: (1) expressive type system extensions, usually came with some form of type inference, have been proposed to enforce stronger correctness and safety guarantees of programs and (2) type inference, which is an integral part of functional languages, has been gradually incorporated into many imperative languages to make type systems more usable. However, when type inference fails, compilers usually generate imprecise and cryptic error messages. Despite the numerous efforts in improving error debugging in the last thirty years, current support is still unsatisfactory. Specifically, there is no single debugger that localizes error causes precisely, generates informative messages, supports advanced type system features, and meets debugging needs in practice. In particular, while most error debuggers work well only when type errors are caused by single leaves, our recent study on more than 60,000 student programs reveals that such errors account for only about 30% to 45% of all type errors. We therefore propose to develop an integrated type debugger for Haskell, a type system laboratory with numerous advanced features, based on a better understanding of how type errors are fixed in practice. Our conceptual and technical development is backed by variational typing, yielding a solution that is (a) systematic so that insights gained within this project could be employed to develop better debugging support for other type systems, (b) general so that we can ruminate on the commonalities between our solution and other existing methods, allowing a synergistic advance of type error debugging, and (c) modular so that we can iteratively support more language features while carry out our evaluation plan from an early stage.Our research will add an effective and integrated type error debugger to the Haskell ecosystem. In addition, our research brings the following results to type error debugging research: (1) a decidability analysis of using existing compilers as oracles for finding comprehensive error locations and (2) a detailed understanding about what error debugging approaches are more effective in practice. Moreover, we contribute the following to programming language research: (3) two methods addressing the unreliability of type annotations deemed necessary for type inference to be decidable, and (4) a theory of interactions between variaitonal types and other type system features, allowing the developed error debugging to be ported to other languages using type inference. Finally, we contribute to software engineering (software product lines in particular) research with (5) an idea of demand-driven variational computations, yielding more responsive variational analyses without sacrificing the main idea of sharing.Neither research nor education in type error debugging has been employed to inform and guide the development of the other. Our proposed work aims to address this issue and form a virtuous_x000D_
cycle of them with the following activities: (1) develop an interactive web interface that integrates the type error debugger we will develop, (2) encourage the use of the web interface in all programming language courses to be offered at UL Lafayette and K-12 outreach activities, (3) adapt some program development methodology to incorporate the steps of effective type error debugging, and (4) revise existing courses and develop a functional programming course based on the developed methodology._x000D_
_x000D_
This project will support two graduate students, who will bring the ideas developed for this project to our society. Moreover, we will involve undergraduate students in the project through REU and undergraduate senior project courses offered at UL Lafayette. Our research will be integrated into GHC, the most widely used Haskell compiler. Thus, our work will reach hundreds of thousands of Haskell users globally. Through the initiative of Computational thinking for teens using our web interface, our work will reach numerous K-12 students. We will release all artifacts under an open source license so that other universities and programmers could use and improve them. More generally, by improving type error debugging we improve the productivity of both beginners and professional software developers._x000D_
_x000D_
Key Words: Type Error Debugging, Type Inference, Haskell, Advanced Type Systems</t>
  </si>
  <si>
    <t xml:space="preserve"> Panel Summary       
 SUMMARY OF PROPOSED RESEARCH ACTIVITY_x000D_
The goal of this project is to develop techniques for performing program synthesis in the presence of quantitative/probabilistic objectives while providing such guarantees on the results of the synthesis algorithms. This will be achieved by two thrusts. One thrust is to develop techniques for quantitative-objective synthesis. The second thrust is to develop techniques for probabilistic-objective synthesis. _x000D_
_x000D_
INTELLECTUAL MERIT_x000D_
This is an ambitious proposal that aims at significantly advancing the state of the art on syntax-guided synthesis, building on the PI's expertise and previous accomplishments in this area. This will results in correct-by-construction programs, avoiding many bugs._x000D_
Proposal is very compelling, containing many great ideas; PI was able to explain these ideas very effectively._x000D_
Particularly exciting is the connection, to be explored, with machine learning._x000D_
_x000D_
Suggested improvement:  The two approaches to synthesis, syntax-guided synthesis and semantics-guided synthesis are complementary: syntax-guided synthesis is often more scalable, while semantics-guided synthesis offers complexity bounds and complete algorithms.  The project would benefit by considering both the advantages and disadvantages of the syntax-guided focus and relate it to the advantages and disadvantages of the complementary focus. Also, broad set of applications should be considered._x000D_
_x000D_
BROADER IMPACT _x000D_
To broaden the impact of his research, the PI is proposing to integrate program synthesis in the software-development curriculum, to organize a workshop focusing on using program-synthesis techniques in the visual arts, and to raise awareness of the impact that technology may have on labor._x000D_
_x000D_
Strength: The plan is concrete and realistic. The PI has already demonstrated his ability to integrate research and education. The project will bring program synthesis into the CS curriculum and even outside the CS curriculum, making programming available to non-experts._x000D_
_x000D_
CAREER SOLICITATION-SPECIFIC REMARKS_x000D_
Strong plan for integrating research and education._x000D_
_x000D_
SUMMARY STATEMENT_x000D_
This is a very strong proposal in the area of quantitative and probabilistic syntax-guided synthesis. It is broadened by a plan to develop curricular material, outreach to the arts, and societal impact awareness raising._x000D_
_x000D_
The recommendation of the panel is Highly Competitive ._x000D_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</si>
  <si>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proposal focuses on automated program synthesis. This is a very promising area and a good research topic to focus on. Although there have already been several foundational contributions in this area in recent years, the PI identifies directions of research that have not been addressed. Integrating quantitative objectives in program synthesis is a novel and significant direction and PI provides good motivation. _x000D_
_x000D_
The proposed research is technically strong and the PI has a very good track record and is capable of producing impactful results. Overall, I consider the intellectual merit of this proposal very strong. _x000D_
_x000D_
A minor weakness is that the proposal reads like a combination of several paper ideas rather than presenting one over-arching technical approach. But, it is hard to achieve a balance between presenting a long term technical vision and providing a technical approach in depth. So, I do not consider this to be a significant weakness._x000D_
_x000D_
In the context of the five review elements, please _x000D_
evaluate the strengths and weaknesses of the proposal with respect to broader impacts._x000D_
_x000D_
Automated program synthesis is likely to have a significant impact on society, so I consider the broader impacts of this proposal to be strong in terms of the presented technical approach. The PI has a a detailed educational plan.  Automated program repair component of the proposal can have an impact on computing education. I liked the idea of combining visual art with synthesis. _x000D_
_x000D_
The PI thought carefully about the broader impact of automated program synthesis on the society and plans to have lectures to discuss potential impact of automated program synthesis on the workforce._x000D_
_x000D_
Please evaluate the strengths and _x000D_
weaknesses of the proposal with respect to any additional solicitation-specific review criteria, if _x000D_
applicable_x000D_
_x000D_
_x000D_
_x000D_
Summary Statement_x000D_
_x000D_
This is a well-written, ambitious proposal that targets a promising research direction with a novel focus.  The PI has an excellent track record both in research and education. The proposal has strong intellectual merit and well thought-out educational component._x000D_
_x000D_
</t>
  </si>
  <si>
    <t xml:space="preserve">In the context of the five review elements, please _x000D_
evaluate the strengths and weaknesses of the proposal with respect to intellectual merit._x000D_
_x000D_
_x000D_
This proposal will develop foundational new methods for synthesizing_x000D_
programs with quantitative and probabilistic guarantees. The former_x000D_
ensures, e.g. that the synthesized programs are small or consume few_x000D_
resources. The latter will permit the application of synthesis to_x000D_
domains (e.g. learning) where inputs are drawn from given distribution_x000D_
and the goal is to get programs that meet certain probabilistic objectives_x000D_
(i.e. produce certain outputs with high probability.) Both of the above_x000D_
will require creating and repurposing tools from disciplines like_x000D_
the theory of random graphs and computational learning theory._x000D_
_x000D_
_x000D_
In the context of the five review elements, please _x000D_
evaluate the strengths and weaknesses of the proposal with respect to broader impacts._x000D_
_x000D_
_x000D_
_x000D_
The broader impacts for this proposal include_x000D_
_x000D_
(1) the development of undergraduate and graduate_x000D_
course material in verification and synthesis,_x000D_
including updating functional and logic programming_x000D_
classes with modules on synthesis;_x000D_
_x000D_
(2) outreach in the form of workshops, both for verification_x000D_
community, and also, more broadly, on creating visual art_x000D_
with existing synthesis tools like PROSE and SKETCH-N-SKETCH._x000D_
_x000D_
(3) building upon the PIs strong record mentoring undergraduates,_x000D_
both at the host institution and via activities like organizing_x000D_
the PLMW workshop at POPL 2017._x000D_
_x000D_
Please evaluate the strengths and _x000D_
weaknesses of the proposal with respect to any additional solicitation-specific review criteria, if _x000D_
applicable_x000D_
_x000D_
_x000D_
_x000D_
Summary Statement_x000D_
_x000D_
_x000D_
The PI argues that synthesis procedures are somewhat ad-hoc in that_x000D_
they do not provide quantitative guarantees on the generated programs._x000D_
For example due to their heuristic nature, they can sometimes return_x000D_
orders of magnitude larger programs than are necessary, or consume more_x000D_
input examples in order to be synthesized (trained)._x000D_
_x000D_
The PI proposes to address this problem by developing a framework for_x000D_
synthesis with quantitative and probabilistic guarantees. The specific_x000D_
tasks include combining syntax-guided synthesis with weighted-tree grammars_x000D_
to obtain "small" programs wherever possible, and applying ideas from_x000D_
the theory of random graphs and computational learning theory to obtain_x000D_
probabilistic guarantees (i.e. if the inputs are drawn from some distribution,_x000D_
then the outputs of the synthesize program are correct with some probability.)_x000D_
_x000D_
## Pros  _x000D_
_x000D_
+ This is a compelling and exciting research agenda; if successful the work_x000D_
can drastically open up the space of domains to which synthesis can be_x000D_
applied, e.g. to tackle important problems from networking or data_x000D_
analytics._x000D_
_x000D_
+ The work itself can pioneer the use of a new class of mathematical tools_x000D_
for formal methods, including probabilistic logics, and theory of random_x000D_
graphs and PAC learning._x000D_
_x000D_
+ The PI has a very strong track record, including excellent preliminary_x000D_
work on the proposal's topics, which gives great confidence about the_x000D_
quality of the outcomes._x000D_
_x000D_
## Cons_x000D_
_x000D_
- Due to its very nature (being able to synthesize relatively_x000D_
small programs, given relatively precise specifications)_x000D_
synthesis will likely be limited to niche programming_x000D_
sub-tasks e.g. string processing, or at any rate, will_x000D_
require a great deal of domain specific tuning to work._x000D_
_x000D_
Nevertheless, this proposal outlines a very exciting and compelling_x000D_
research direction, and the PI has an outstanding track record hence_x000D_
and hence I support this work._x000D_
_x000D_
</t>
  </si>
  <si>
    <t xml:space="preserve">In the context of the five review elements, please _x000D_
evaluate the strengths and weaknesses of the proposal with respect to intellectual merit._x000D_
_x000D_
STRENGTHS_x000D_
_x000D_
The project would advance the state of the art in program synthesis by extending work on syntax-guided synthesis to tackle several specific program synthesis problems related by the theme of quantitative guarantees.  The proposed work incorporates some novel and interesting ideas and insights.  Pieecs of the proposed work range from more practically motivated to more theoretical.  The PI has published preliminary work on these problems (see Section 1.2) and is well qualified to conduct the proposed research._x000D_
_x000D_
WEAKNESSES_x000D_
_x000D_
The proposal characterizes the types of programs that it aims to synthesize, but has relatively little discussion of example application domains for which each of the proposed synthesis algorithms is expected to be well-suited and that would be used in the evaluation of it._x000D_
_x000D_
Automated grading of student assignments is discussed as an example application domain for some of the techniques.  This seems reasonable.   Personalized education is also mentioned very briefly, in Section 5._x000D_
_x000D_
Software for network switches is mentioned as an example but does not seem like a good fit.  In Examples 1.1 and 4.1, such software that forwards packets with load balancing is mentioned as an example of a probabilistic program, based on assuming a specific probability distribution over the inputs when synthesizing the program.  This implies that the synthesis needs to be done at run-time whenever the input distribution changes.  This seems unrealistic; simpler approaches work fine.  Example 1.1 also mentions minimizing the size of the synthesized program as an example of a suitable quantitative requirement.  For programs running in switches processing packets at line speed, minimizing execution time is more important than minimizing code size.  More generally, minimizing or reducing execution time is an important quantitative goal in many applications but is not addressed in the proposal, presumably because it is hard to measure syntactically._x000D_
_x000D_
It is unclear that the controller in a thermostat for an air conditioner, and the controller for the TCP congestion window size, mentioned in Section 4.2 as examples of probabilistic programs, are best modeled as probabilistic programs._x000D_
_x000D_
The "Search as learning" paragraph in Section 3.1 discusses designing "probabilistic synthesizers for domains for which we have many examples of good and bad programs (according to some definition)".  An example of such a domain would be helpful, including appropriate definitions of "good" and "bad" that can be expressed in the proposed WTG framework._x000D_
_x000D_
Examples of potential applications for the proposed work on distribution-aware VSA-based synthesis would be helpful.  Also, it is unclear to me what justifies ignoring subsets of cliques._x000D_
_x000D_
_x000D_
In the context of the five review elements, please _x000D_
evaluate the strengths and weaknesses of the proposal with respect to broader impacts._x000D_
_x000D_
STRENGTHS_x000D_
_x000D_
Program synthesis is a promising approach to increasing programmer productivity and expanding the pool of people able to create programs. _x000D_
_x000D_
The PI would incorporate material on program synthesis into the advanced undergraduate course on programming languages at UW-Madison, including some of the techniques proposed in this project._x000D_
_x000D_
The PI has already supervised 5 successful undergraduate research projects.  The project would support the PI's continued efforts to promote undergraduate research to all students and especially to under-represented minorities._x000D_
_x000D_
The PI would develop student workshops on visual art created using program synthesis._x000D_
_x000D_
WEAKNESSES_x000D_
_x000D_
The proposal has relatively little discussion of target application areas of the proposed techniques.  This makes it more difficult to evaluate the likelihood and magnitude of broader impacts of these techniques._x000D_
_x000D_
The connection between program synthesis and visual art is vague._x000D_
_x000D_
Please evaluate the strengths and _x000D_
weaknesses of the proposal with respect to any additional solicitation-specific review criteria, if _x000D_
applicable_x000D_
_x000D_
_x000D_
_x000D_
Summary Statement_x000D_
_x000D_
Program synthesis is a promising approach to increasing programmer productivity and expanding the pool of people able to create programs.  The project would advance the state of the art in program synthesis by tackling several specific problems involving quantitative guarantees, especially guarantees of maximum program size (or similar syntactic metrics) or bounds on output probabilities (for probabilistic programs)._x000D_
_x000D_
_x000D_
</t>
  </si>
  <si>
    <t xml:space="preserve">In the context of the five review elements, please _x000D_
evaluate the strengths and weaknesses of the proposal with respect to intellectual merit._x000D_
_x000D_
The goal of this project is to develop techniques for performing program synthesis in the presence of quantitative/probabilistic objectives while providing quantitative/probabilistic guarantees on the results and on the performance of the synthesis algorithms. This will be achieved by two thrusts. One thrust is develop techniques for quantitative-objective synthesis. The second thrust is to develop techniques for probabilistic-objective synthesis. This is an ambitious proposal that aims at significantly advancing the state of the art on syntax-guided synthesis, building on the PI's expertise and previous accomplishments in this area. _x000D_
_x000D_
The main weakness of the proposal is its laser focus on syntax-guided synthesis. Syntax guided synthesis has attracted a lot of attention over the last few years and the PI's background is from that line of research. But an older line of research  has been on semantics-guided for program synthesis. This line of work started with temporal synthesis (e.g., Pnueli-Rosner), and then expanded to probabilistic temporal synthesis (e.g., Baier), as well as quantitative temporal synthesis (e.g., Henzinger and Raskin). This proposal is solely focused on syntax-guided program synthesis, and does not mention at all semantics-guided program-synthesis. This is disappointing. The two approaches are complementary: syntax-guided synthesis is often more scalable, while semantics-guided synthesis offers complexity bounds and complete algorithms. A project with a focus on syntax-guided synthesis must be aware of of both the advantages and disadvantages of this focus and related it to the advantages and disadvantages of the complementary focus._x000D_
_x000D_
In the context of the five review elements, please _x000D_
evaluate the strengths and weaknesses of the proposal with respect to broader impacts._x000D_
_x000D_
To broaden the impact of his research, the PI is proposing to integrate program synthesis in the software-development curriculum, to organize workshop focusing on using program-synthesis techniques in the visual arts, and to raise awareness of the adverse impact that technology may have on labor. This is a good plan._x000D_
_x000D_
Please evaluate the strengths and _x000D_
weaknesses of the proposal with respect to any additional solicitation-specific review criteria, if _x000D_
applicable_x000D_
_x000D_
_x000D_
_x000D_
Summary Statement_x000D_
_x000D_
This is a strong proposal in the area of quantitative and probabilistic syntax-guided synthesis. It is broadened by a plan to develop curricular material, outreach to the arts, and societal impact awareness raising. The main weakness is completely ignoring much related work in the complementary approach of semantics-guided synthesis._x000D_
_x000D_
</t>
  </si>
  <si>
    <t xml:space="preserve"> Panel Summary       
 SUMMARY OF PROPOSED RESEARCH ACTIVITY_x000D_
_x000D_
This proposal aims to provide a flexible framework for verifying that high-level code can be correctly compiled on to an unreliable platform (e.g., hardware that may include errors).  Compared to prior work, the model of how execution may proceed unreliably is much richer.  The proposal touches many important research areas includes compilers, verification, synthesis, and computer architecture._x000D_
_x000D_
INTELLECTUAL MERIT_x000D_
_x000D_
Strengths:_x000D_
_x000D_
* Excellent use of modern techniques to solve a problem that could be essential to improved computational performance in the years ahead._x000D_
_x000D_
* Elegant techniques to reason about high-level code despite unreliability typically coming from many lower layers of abstraction._x000D_
_x000D_
* Solid body of proposed work of appropriate scope leveraging preliminary work but with much work remaining._x000D_
_x000D_
* PI has demonstrated nearly-unique expertise in the area._x000D_
_x000D_
Weaknesses:_x000D_
_x000D_
* Lack of discussion of (a) control-flow divergence due to unreliable computation and (b) ability to provide probabilistic guarantees._x000D_
_x000D_
* Lack of discussion about how validate the unreliable execution model against particular platforms (i.e., how do you know your execution model correctly describes the platform you care about)._x000D_
_x000D_
Suggestions for improvement_x000D_
_x000D_
* Provide additional context from the hardware/systems community on likely sources of unreliability and how they can be correctly modeled._x000D_
_x000D_
* Additional discussion on the expressiveness around failures and fault models._x000D_
_x000D_
BROADER IMPACTS_x000D_
_x000D_
Strengths_x000D_
_x000D_
* If successful, could be essential to correctly using next-generation systems that may provide additional performance by exposing unreliable computations_x000D_
_x000D_
* Solid course development_x000D_
_x000D_
* Deep commitment to diversity and mentoring minorities_x000D_
_x000D_
Suggestions for improvement_x000D_
_x000D_
* Despite good discussion on disseminating research results, could have discussed more how to find a trajectory to industry impact._x000D_
_x000D_
CAREER SOLICITATION-SPECIFIC REMARKS_x000D_
_x000D_
Solid work on redesigning/creating relevant courses at the undergraduate and graduate levels._x000D_
_x000D_
SUMMARY STATEMENT_x000D_
_x000D_
This proposal involves a substantial, relevant, and deep body of research building on and significantly extending the PI's prior trend-setting work on approximate computing.  While the proposal would have benefited from discussing a couple key complications (see above) and additional context on potential future hardware/system designs, the work has the potential to put on a firm footing how we can write reliable software on unreliable platforms._x000D_
_x000D_
The recommendation of the panel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</si>
  <si>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_x000D_
Pro:_x000D_
_x000D_
- Finding a method to rigorously connect fault-tolerance at the application level (e.g. robust numeric algorithms) with precise fault models at the hardware or system level (e.g. architectures offering memory or functional units with selectable reliability level) seems like a great research problem problem with credible relevance   _x000D_
_x000D_
- To me, the ideas seem quite creative and original. _x000D_
_x000D_
- The scope of the project seems well defined and reasonably attainable._x000D_
_x000D_
- Prior publications speak to the PI's ability to (1) execute the plan and (2) publish the results in respected venues._x000D_
_x000D_
_x000D_
Cons:_x000D_
_x000D_
- While I could get a pretty clear picture of the higher levels of the abstraction stack (applications, language, compiler) it was not quite clear exactly how "real" or "mainstream" the assumed hardware architectures are. This is a potential weakness, as compiling to an "imagined" hardware and fault model runs the risk of wasting research effort on problems that end up not being the real problems._x000D_
_x000D_
In the context of the five review elements, please _x000D_
evaluate the strengths and weaknesses of the proposal with respect to broader impacts._x000D_
_x000D_
_x000D_
Pro:_x000D_
_x000D_
- Connecting fault-tolerance at the application level (e.g. prior research on robust numeric algorithms) with precise fault models at the hardware or system level (e.g. architectures offering memory or functional units with selectable reliability level) is a problem with credible relevance now or in the near future. _x000D_
_x000D_
- The investigation of language abstractions that can be added to existing mainstream languages, rather than focusing purely on a new language, make adoption more likely._x000D_
_x000D_
_x000D_
Please evaluate the strengths and _x000D_
weaknesses of the proposal with respect to any additional solicitation-specific review criteria, if _x000D_
applicable_x000D_
_x000D_
_x000D_
_x000D_
Summary Statement_x000D_
_x000D_
_x000D_
Overall, I believe this is a strong proposal; new ideas are quite rare in computer science. The approach to "compiling" fault models from the application down to the architecture is interesting. While layering of reliability into various abstraction levels itself is not new, building this translation into a programming language has not been done much, to the best of my knowledge. I could imagine many applications of this technique._x000D_
_x000D_
_x000D_
_x000D_
_x000D_
</t>
  </si>
  <si>
    <t xml:space="preserve">In the context of the five review elements, please _x000D_
evaluate the strengths and weaknesses of the proposal with respect to intellectual merit._x000D_
_x000D_
Strengths:_x000D_
_x000D_
* A substantial set of next steps for the PIs work on specification_x000D_
and verification of computations running on unreliable systems of_x000D_
various flavors._x000D_
_x000D_
* Some nice preliminary work with lots of room for growth on_x000D_
specifying an unrelaible execution model._x000D_
_x000D_
* Well-identified major research thrusts on compiler optimizations and_x000D_
synthesizing good-enough execution models._x000D_
_x000D_
* Good synergy with related research efforts/funding._x000D_
_x000D_
* If the predictions are correct w.r.t. grappling with unreliability,_x000D_
this work is essential foundational work not being done elsewhere_x000D_
_x000D_
* Reasonably solid work plan_x000D_
_x000D_
Weaknesses:_x000D_
_x000D_
* The semantics does not consider probability -- it is whether the_x000D_
result is within some error, not whether it is within some error_x000D_
with probability .9999999 or similar.  This may restrict its ability_x000D_
to do the sort of verification that is often desired._x000D_
_x000D_
* The proposal never discusses the issue of control-flow divergence_x000D_
due to unreliability._x000D_
_x000D_
Suggestions for improvement:_x000D_
_x000D_
* The proposal may mislead some readers by referring to "applications"_x000D_
when, in practice, using unreliable substrates is appropriate for_x000D_
resource-intensive kernels that can handle the lack of reliability_x000D_
-- such computations should then abstract the unreliability away_x000D_
from the rest of a large application._x000D_
_x000D_
* The synthesis thrust was the least-explored one but the one I find_x000D_
most exciting for the potential impact and open research areas._x000D_
_x000D_
A couple amusing typos involving the number 2:_x000D_
_x000D_
* Claims BS is from 2002 (should be 2006)_x000D_
* Claims x * 2 == x &lt;&lt; 2 (should be x &lt;&lt; 1)_x000D_
_x000D_
A couple papers that appear not to be cited:_x000D_
_x000D_
* Fault-tolerant typed assembly language. PLDI 2007_x000D_
* Verified peephole optimizations for CompCert. PLDI 2016_x000D_
_x000D_
_x000D_
In the context of the five review elements, please _x000D_
evaluate the strengths and weaknesses of the proposal with respect to broader impacts._x000D_
_x000D_
Strengths:_x000D_
_x000D_
* Ongoing role in MIT EECS diversity admissions_x000D_
* Reasonable dissemination and collaboration on research topics_x000D_
* Modernization of undergrad compilers course_x000D_
* Role model for African-Americans_x000D_
_x000D_
Weaknesses:_x000D_
_x000D_
* Could have promised more w.r.t. industry collaborations/impact_x000D_
and/or connecting the ideas to mainstream programming languages_x000D_
_x000D_
_x000D_
Please evaluate the strengths and _x000D_
weaknesses of the proposal with respect to any additional solicitation-specific review criteria, if _x000D_
applicable_x000D_
_x000D_
_x000D_
_x000D_
Summary Statement_x000D_
_x000D_
An excellent proposal that uses well-disciplined foundations of_x000D_
specification and verification to attack a real-world problem that, if_x000D_
not solved, may limit further advances in computing.  PI is already an_x000D_
expert in this area and has outlined a solid research vision for_x000D_
the coming years._x000D_
_x000D_
_x000D_
</t>
  </si>
  <si>
    <t xml:space="preserve">In the context of the five review elements, please _x000D_
evaluate the strengths and weaknesses of the proposal with respect to intellectual merit._x000D_
_x000D_
_x000D_
This proposal aims to develop techniques for reasoning about programs_x000D_
running on "soft computing" substrates, that is, on computing platforms_x000D_
where errors are possible, or where significant performance gains may_x000D_
be had by relaxing "hard" requirements on computations._x000D_
The proposal makes a convincing argument that we are likely to see more_x000D_
such platforms: they arise both now in the modern data center (with distributed_x000D_
computing), with energy efficient devices (IOT) and are likely to become_x000D_
common as we hit the end of Moore's law._x000D_
The proposal then identifies the key characteristics for writing programs_x000D_
that produce "acceptable" results under such substrates, and presents_x000D_
a compelling vision for developing foundational principles for writing,_x000D_
compiling and executing programs that meet such guarantees._x000D_
_x000D_
_x000D_
In the context of the five review elements, please _x000D_
evaluate the strengths and weaknesses of the proposal with respect to broader impacts._x000D_
_x000D_
_x000D_
The proposal has a strong broader impacts plan. The work itself is extremely_x000D_
broad in scope, touching upon a wide swathe of computing. The PI has gone to_x000D_
great lengths to start workshops, give tutorials and develop expository_x000D_
materials for the ideas upon which this proposal is based and will continue_x000D_
to do so. The PI has first hand knowledge of the diversity problems in computing,_x000D_
and is actively working with their home institution to mentor URM students,_x000D_
including shepherding all the minority applicants to the PhD program,_x000D_
identifying potential advisors, and so on. The PI has also been active_x000D_
outside their department with the PLMW workshop series introducing and_x000D_
mentoring students interested in Programming Languages_x000D_
and Formal Methods._x000D_
_x000D_
_x000D_
Please evaluate the strengths and _x000D_
weaknesses of the proposal with respect to any additional solicitation-specific review criteria, if _x000D_
applicable_x000D_
_x000D_
_x000D_
_x000D_
Summary Statement_x000D_
_x000D_
_x000D_
The PI's key insight is to make the execution model, that is, the failure_x000D_
model "first-class" by allowing developers to directly _specify_ the model_x000D_
in the language. This will allow for three different classes of work that_x000D_
the PI then proposes to undertake:_x000D_
_x000D_
1. Developing verification techniques that will check that a given program_x000D_
meets its acceptability criteria under the given execution/failure model,_x000D_
_x000D_
2. Developing compilation techniques that will exploit the intermediate_x000D_
results of the verification process (assertions relating values in_x000D_
correct and failing executions) to yield new compilation strategies_x000D_
and transforms that are sound for the execution model (since typical_x000D_
algebraic identities used by standard compilers will be unsound in_x000D_
the presence of failures.)_x000D_
_x000D_
3. Developing synthesis techniques that will identify the most general_x000D_
failure models under which a given program meets its given acceptability_x000D_
criteria._x000D_
_x000D_
## Pros  _x000D_
_x000D_
+ The topic is novel and timely, the PI has some_x000D_
of the foundational results in this space._x000D_
_x000D_
+ The proposal is wonderfully written._x000D_
_x000D_
+ The PI demonstrates  that they have a firm grasp on the challenges; including a_x000D_
very nice discussion of the kinds of acceptability, the way the requirements are_x000D_
met in different domains._x000D_
_x000D_
+ The key insight, "reifying" the execution model and then reasoning about it_x000D_
is one of those that sounds obvious and simple in retrospect but is in fact_x000D_
an extremely clever insight that comes only from having thought deeply_x000D_
about the problem._x000D_
_x000D_
+ Each of the individual tracks (verification, compilation, synthesis) that  _x000D_
flow from the central insight are nicely fleshed out; while some tasks_x000D_
depend on each other, the PI has nicely identified sub-problems that_x000D_
seem eminently tractable based on their preliminary work._x000D_
_x000D_
+ I especially appreciated the candor about the difficulty of verifying_x000D_
even small programs, as well as the insights that the PI has about_x000D_
"shared structure" that ought to be exploitable to simplify reasoning._x000D_
_x000D_
## Cons_x000D_
_x000D_
This is really a superb proposal. At a stretch I might argue that the synthesis_x000D_
idea (finding the 'most general' execution model under which a program is acceptable)_x000D_
is a bit "far out", but its a clever consequence of the "reification" and actually_x000D_
in the "pro" column._x000D_
_x000D_
</t>
  </si>
  <si>
    <t xml:space="preserve">In the context of the five review elements, please _x000D_
evaluate the strengths and weaknesses of the proposal with respect to intellectual merit._x000D_
_x000D_
STRENGTHS_x000D_
_x000D_
This project would develop a programming language, program verification system, and compiler for developing software to execute reliably on unreliable hardware.  The verification system would be based on relating faulty executions of the program with non-faulty executions.  The compiler would take advantage of invariants, etc., obtained during verification to produce more efficient code that meets the program's reliability requirements._x000D_
_x000D_
The PI has published preliminary work on this topic and is well qualified to conduct the proposed research._x000D_
_x000D_
WEAKNESSES_x000D_
_x000D_
It would be helpful to discuss more about how application-specific fault-tolerance techniques and general techniques for reliable compilation, will interact in Leto._x000D_
_x000D_
The project proposes a general framework which places no limits on the possible effects of failures, or how different the original semantics and failure semantics of an operation can be.  My general concern is that, without some limits or structure, without focusing on specific failure models, it will be hard to get the leverage that allows specific techniques to be developed that are more effective for this problem than existing frameworks for reasoning about relational properties of programs.  _x000D_
_x000D_
In systems with more severe failures, the differences between the programs faulty and non-faulty executions will be larger, and the proposed approach based on relating faulty executions with non-faulty executions may become less effective._x000D_
_x000D_
The proposal is vague about how the proposed techniques will be evaluated._x000D_
_x000D_
Section 1.0 lists some types of systems that motivate the proposed work.  Regarding "large-scale distributed computations", it is unclear how relevant the proposed work is.  For "Cyber-Physical Systems", sensor noise and actuator noise is mentioned as an issue, but there is a lot of work on this in the CPS and control theory communities, and it's unclear how much value the proposed work would add._x000D_
_x000D_
Section 2.2: "The two executions of a program with a first-class execution model share the same syntax and, therefore typically share the same dynamic execution structure because the overall intention of these two executions is to compute similar results."  If the executions follow different branches in conditionals and have different numbers of loop iterations, do they have the "same dynamic execution structure"?  How important is this property to the proposed approach?  If relational reasoning is done statement-by-statement, without explicit reference to the execution history, then similarity of the execution structure seems less important._x000D_
_x000D_
Section 3.0, last paragraph, says "Namely, in intermediate representations above the low-level IR, we will refine the semantics of each_x000D_
operation with the join of the set of behavioral specifications provided by Leto."  It is unclear to me what this means in the context of LLVM, for example (LLVM is also mentioned in Section 3.0)._x000D_
_x000D_
Section 3.3 discusses two approaches to implementing language abstractions (better known as "compilation"?).  For the Contextual Compilation approach, please clarify what kind of context is taken into account.  The fault model?  An invariant about the current program state?  The program's correctness requirements?_x000D_
_x000D_
In the context of the five review elements, please _x000D_
evaluate the strengths and weaknesses of the proposal with respect to broader impacts._x000D_
_x000D_
STRENGTHS_x000D_
_x000D_
Fault-tolerance is an important problem._x000D_
_x000D_
The project would benefit from synergistic projects that the PI is currently involved in.  The PI would develop a short course, and perhaps also a module in a longer PL course, incorporating some of the proposed work._x000D_
_x000D_
The PI is very active in mentoring, teaching, service to the research community, and promoting diversity in Computer Science.  The project would help support and expand the PI's continued efforts in all these areas._x000D_
_x000D_
WEAKNESSES_x000D_
_x000D_
Evaluating the potential impact of the project on software development practice is difficult.  It will depend on how much the proposed framework facilitates design and verification of application-specific fault-tolerance, and on the project's success in developing general techniques for reliable compilation that generate efficient code, for software of realistic size and complexity._x000D_
_x000D_
_x000D_
Please evaluate the strengths and _x000D_
weaknesses of the proposal with respect to any additional solicitation-specific review criteria, if _x000D_
applicable_x000D_
_x000D_
_x000D_
_x000D_
Summary Statement_x000D_
_x000D_
The project, if successful, would advance the state-of-the-art in formal methods and compilers for development of software resilient to some types of hardware failures.  It is tackling a very difficult problem._x000D_
_x000D_
</t>
  </si>
  <si>
    <t>The landscape of software development has changed as computing platforms have reached the end of Moore's Law. Namely, aggressive scaling of technology sizes in modern computer processor fabrication has been paused as modern processors have become more vulnerable to errors in their manufacture and operation. The search for increased performance by building ever-larger distributed systems has also proposed significant challenges as reduced mean-time-between-failure at scale has caused traditional techniques for designing reliable systems to impose significant performance/energy overheads on computations. As a result, applications executed on emerging systems will need to be specifically designed to execute through faults in the underlying execution platform. To deliver such applications, developers will need to design their implementation in concert with a precise understanding of the execution platform's behavior in order to ensure that the application still delivers acceptable results. To exploit these platforms, there is therefore a need for programming languages and tools that enable the developer to complete this task. In this research program, we will develop Leto, a new programming language with supporting verification system and compiler, that will enable developers to work with a model of the execution platform to deliver provably acceptable computations. Leto will support programmatic, first-class execution models that can capture the semantics of execution platforms that may deliver alternative results for a given operation. Such execution models will be first-class in that the developer can communicate with the verification system to verify correctness properties of the computation that are related to the explicit state of the execution model itself. Leto's domain also creates a new challenge in that optimizing compilers typically rely on algebraic equivalences between operations to produce faster, but semantically equivalent code. Unreliable execution platforms therefore jeopardize the capability for optimizing compilers to perform this task; two operations that are equivalent in their ideal, reliable execution may not be equivalent if one operation is actually prone to producing incorrect results. We will develop a compiler that soundly accounts for the execution model of a given platform. Another challenge in this domain is that a developer may have a variety of different execution platforms at their disposal, each with different specifications. We will investigate techniques to synthesize an execution model specification for a given application, such that the resulting execution model captures the least requirements of the platform, while still guaranteeing that the application delivers acceptable results. This will enable a developer to soundly choose from a variety of platforms by choosing a platform that is consistent with the synthesized execution model. A remaining challenge for this domain is the same as that of all new software methodologies: education. We will develop new coursework on programming unreliable systems for which Leto will be the students' vehicle of exploration and for which the students will provide feedback on Leto's design, thereby broadening the applicability of our results.This work will develop state-of-the-art techniques for reasoning about program behavior that capture the growing availability of soft-computing fabrics, including unreliable computer processors, energy-harvesting systems, and cyber-physical systems. These techniques will produce fundamental advances in programming languages, compilers, and verification systems to support principled reasoning about faults and errors.In a society that is increasingly dependent on computing systems, the proposed work will provide scientists, engineers, and software developers with new tools to build systems that are resilient to error. The PI will use this program to educate researchers in computer architecture, programming languages, and applications through tutorials on its demonstrated results. The PI will also educate the next generation of undergraduate and graduate students through mentoring. Being cognizant that he, himself, is an African-American and therefore in a unique position to mentor members of underrepresented groups, a major focus of the PI?s outreach is in mentoring and developing research opportunities for undergraduates and graduates of underrepresented groups.</t>
  </si>
  <si>
    <t xml:space="preserve"> Panel Summary       
 SUMMARY OF PROPOSED RESEARCH ACTIVITY_x000D_
_x000D_
The PI aims to refactor Java code to use new functional-style streaming APIs and other modern features such as optional types.  Doing so could lead to faster software (potential for parallelization) as well as perhaps less error-prone and easier to extend software written in a more functional style._x000D_
_x000D_
INTELLECTUAL MERIT_x000D_
_x000D_
Strengths_x000D_
_x000D_
* Nice area for applying the proposed techniques to adapt software to Java 8 features._x000D_
_x000D_
* Leverages PI's prior experience with refactorings_x000D_
_x000D_
Weaknesses_x000D_
_x000D_
* Does not adequately consider related work in other languages (notably C#/LINQ, Scala, X10) or on similar topics (e.g., optional types and nullness checking)_x000D_
_x000D_
* Proposed technology for using typestate analysis not well explained_x000D_
_x000D_
* Unclear how much the proposal does/doesn't aim to solve the full problem of automatic parallelization_x000D_
_x000D_
Suggestions for improvement_x000D_
_x000D_
* Aim for more focus throughout on using Java's streaming APIs as the target of refactoring.  In particular, the proposed work on introducing lambdas to avoid unnecessary computation is orthogonal and not as well motivated._x000D_
_x000D_
BROADER IMPACTS_x000D_
_x000D_
Strengths_x000D_
_x000D_
* Courseware related to Java 8 features is valuable and timely._x000D_
_x000D_
Weaknesses_x000D_
_x000D_
* International research collaborations for students are valuable but the proposal needs to identify additional broader impacts._x000D_
_x000D_
CAREER SOLICITATION-SPECIFIC REMARKS_x000D_
_x000D_
Good integration of research and education by using the technology to create course materials relevant to Java 8 features_x000D_
_x000D_
SUMMARY STATEMENT_x000D_
_x000D_
The panel felt this proposal presented work that would be valuable but that the proposal had shortcomings in presenting a compelling path to success and in demonstrating knowledge of related work outside of the refactorings literature._x000D_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</si>
  <si>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seeks to create a general approach to refactoring imperative programs to add functional features.  An ambitious undertaking, the effort poses interesting and foundational questions about efficiency of parallel vs. sequential code, absent values, and side effects.  The proposal outlines reasonable candidate approaches to solving the problems raised._x000D_
_x000D_
I find the applications related to stream parallelization and efficiency, as well as deferred execution, to be very compelling.  To me the Optional refactoring was less compelling; Optional feels like a poor fit in OO languages (null is more idiomatic) and I'm not sure how much it is going to be used outside streaming code (where it is necessary)._x000D_
_x000D_
The PI is well-qualified to perform the research based on his background in refactoring._x000D_
_x000D_
Minor comments:_x000D_
_x000D_
It's slightly odd to call what you propose in section 3 a "typestate" analysis, when objects are not changing state but rather generating new objects._x000D_
_x000D_
In the context of the five review elements, please _x000D_
evaluate the strengths and weaknesses of the proposal with respect to broader impacts._x000D_
_x000D_
Refactorings to help programmers parallelize streaming code safely, or to defer execution where possible, address important performance concerns and could have a positive impact on the quality of future software applications.  While these refactorings are not going to be applicable to every codebase, there is reason to think that use of functional abstractions will increase and so this work will find important applications._x000D_
_x000D_
The proposal's education plan is reasonable, including integration into the PI's courses and (notably!) the distribution of curricular materials as an Open Educational Resource.  The plans to create workshops and to mentor international experiences for US undergrads will also increase the impact of the work._x000D_
_x000D_
Please evaluate the strengths and _x000D_
weaknesses of the proposal with respect to any additional solicitation-specific review criteria, if _x000D_
applicable_x000D_
_x000D_
_x000D_
_x000D_
Summary Statement_x000D_
_x000D_
This is a strong proposal overall, and I think it should be funded if NSF resources permit._x000D_
_x000D_
</t>
  </si>
  <si>
    <t xml:space="preserve">In the context of the five review elements, please _x000D_
evaluate the strengths and weaknesses of the proposal with respect to intellectual merit._x000D_
_x000D_
_x000D_
Pro:_x000D_
_x000D_
- The use of stream operators in mainstream languages (e.g. stream API in Java, LINQ in C#, APIs for distributed streaming systems and analytics) is an interesting and important topic that has not received the attention it deserves in the research community_x000D_
_x000D_
Contra:_x000D_
_x000D_
- There is much room for improvement in the writing. The specific goals are quite unclear in the overview and introduction. E.g. the spin "functional features in imperative programs" does not really mean much, there is no novelty there. Only later does it become clear what is really meant here (stream API in Java)._x000D_
_x000D_
- The proposal touches on many interesting research areas (automatic parallelization, pointer analysis, stream processing) but approaches them from a syntactic Java viewpoint, without connecting to the extensive prior work in these areas._x000D_
_x000D_
- Focus: there are too many ideas; this means significant progress in any one of becomes unlikely. Stream operators are interesting, but I fail to see any connection to refactoring for nullable types._x000D_
_x000D_
In the context of the five review elements, please _x000D_
evaluate the strengths and weaknesses of the proposal with respect to broader impacts._x000D_
_x000D_
_x000D_
Pro:_x000D_
_x000D_
- The goal of publishing certain refactorings withing the Eclipse APIs seems attainable._x000D_
_x000D_
Contra:_x000D_
_x000D_
- Syntactic refactorings are more of a nice-to-have feature of IDE's, and seem a bit unlikely to have transformative impact on a grander scale._x000D_
_x000D_
- Work on syntactic refactorings often lacks the formal rigour required for publishing top-tier conferences. _x000D_
_x000D_
_x000D_
Please evaluate the strengths and _x000D_
weaknesses of the proposal with respect to any additional solicitation-specific review criteria, if _x000D_
applicable_x000D_
_x000D_
_x000D_
_x000D_
Summary Statement_x000D_
_x000D_
_x000D_
Overall, I believe the proposal is not quite ready to be funded. To be more competitive, it would require more focus (pick one specific problem), more language-independence (formulate concepts abstractly, not Java-specific), and better positioning within related work (e.g. automatic parallelization)._x000D_
_x000D_
</t>
  </si>
  <si>
    <t xml:space="preserve">In the context of the five review elements, please _x000D_
evaluate the strengths and weaknesses of the proposal with respect to intellectual merit._x000D_
_x000D_
Strengths:_x000D_
_x000D_
* Nice area of work: refactorings related to new features in Java 8_x000D_
that bring functional-style APIs to Java collections._x000D_
_x000D_
* Approaches the work in a way that can leverage the PI's prior work_x000D_
on refactorings._x000D_
_x000D_
* Reasonable approach to evaluation._x000D_
_x000D_
Weaknesses:_x000D_
_x000D_
* Does not seem ambitious enough for 5 years worth of research._x000D_
_x000D_
* Key ideas, like how typestate analysis would be used to identify_x000D_
opportunities for parallelism in stream computations, are either not_x000D_
explained or poorly explained._x000D_
_x000D_
* The work on optional types seems unaware of /substantial/ work on_x000D_
nullness checking in various languages and how that technology would_x000D_
/much/ more directly apply to solving the problem at hand._x000D_
_x000D_
* Similarly, the work on introducing lambdas for performance reasons_x000D_
would be much better approached either via traditional_x000D_
functional-language techniques or via class compiler techniques like_x000D_
partial redundancy elimination.  In fact, I would conjecture it will_x000D_
be extremely difficult to gain performance this way as Java_x000D_
compilers already can do much inlining, after which, eliminating_x000D_
unnecessary computations is more straightforward.  (And, if callees have_x000D_
side-effects, then neither the PI's proposal nor a traditional_x000D_
compiler can remove the computation.)_x000D_
_x000D_
* Other missing related work includes many years of work on C#'s LINQ_x000D_
design and implementation, work in Scala, etc._x000D_
_x000D_
_x000D_
In the context of the five review elements, please _x000D_
evaluate the strengths and weaknesses of the proposal with respect to broader impacts._x000D_
_x000D_
Strengths:_x000D_
_x000D_
* Courseware using Java 8's functional features would be useful and_x000D_
timely._x000D_
_x000D_
Weaknesses:_x000D_
_x000D_
* I fail to see the value of international visits for undergrad_x000D_
researchers as a broader impact._x000D_
_x000D_
_x000D_
Please evaluate the strengths and _x000D_
weaknesses of the proposal with respect to any additional solicitation-specific review criteria, if _x000D_
applicable_x000D_
_x000D_
_x000D_
_x000D_
Summary Statement_x000D_
_x000D_
Uses variations of refactoring and program analysis to try to automate_x000D_
the use of Java 8's functional collection APIs, Optional types, and_x000D_
lambdas to avoid unnecessary evaluation. I fear that much related work_x000D_
is not considered and the proposed approaches are not well explained_x000D_
and unlikely to succeed._x000D_
_x000D_
_x000D_
</t>
  </si>
  <si>
    <t xml:space="preserve">In the context of the five review elements, please _x000D_
evaluate the strengths and weaknesses of the proposal with respect to intellectual merit._x000D_
_x000D_
The topic of automatically refactoring legacy programs to use newly introduced_x000D_
language features seems practical and valuable.  This proposal targets the_x000D_
particular case of utilizing newly-added functional features, as in Java._x000D_
_x000D_
I had difficulty understanding this proposal and how the different pieces were_x000D_
to fit together.  For example, refactoring to use option types seems desirable,_x000D_
but how does this relate to the work on clients of the Streams API?  The_x000D_
Research Goals laid out in 1.2 form a long list.  I believe that it dilutes the_x000D_
proposal to have separate, loosely connected goals._x000D_
_x000D_
I disagree with the interpretation of programming language history.  For_x000D_
instance the first sentence, about imperative and functional paradigms having_x000D_
been disjoint.  The majority of functional languages have been impure (ML,_x000D_
Scheme, etc), so I don't think the chasm has been so wide.  Accordingly,_x000D_
functional idioms -- including programming with map and fold, even before_x000D_
MapReduce -- typically contended with effects._x000D_
_x000D_
Auto-parallelization has a long history and has been a hard nut to crack.  Thus_x000D_
it seems a bit odd to refer to converting sequential to parallel programs as a_x000D_
recent trend.  But parts of the proposal refer to, e.g., "determining whether it_x000D_
is ideal to run operations either sequentially or in parallel" which sounds like_x000D_
they are proposing to solve the auto-paralellization problem (or perhaps the_x000D_
easier auto-sequentialization scheduling problem for programs that begin with_x000D_
parallel semantics)._x000D_
_x000D_
Are these automated refactors expected to be strictly sound?  (I.e. generate_x000D_
only definitely-equivalent programs.)  It would help understand the ambition_x000D_
level of the approach to understand the answer to that question._x000D_
_x000D_
The proposed work on streaming makes me wish for more related work coverage on_x000D_
the body of work specifically on stream processing (e.g. in the databases and_x000D_
compilers communities).  How does the proposed work on streaming program_x000D_
refactoring relate to the body of work on stream-language compilers_x000D_
(e.g. StreamIt)?_x000D_
_x000D_
Minor:_x000D_
_x000D_
I don't understand the use of "-like" in "monadic-like" and "functional-like"._x000D_
_x000D_
The first occurrence of the word "streams" came out of nowhere and confused me._x000D_
It would be good to clarify early that the Java Streams API is the main focus_x000D_
here._x000D_
_x000D_
_x000D_
In the context of the five review elements, please _x000D_
evaluate the strengths and weaknesses of the proposal with respect to broader impacts._x000D_
_x000D_
The broader impacts on education and outreach seem light._x000D_
_x000D_
Please evaluate the strengths and _x000D_
weaknesses of the proposal with respect to any additional solicitation-specific review criteria, if _x000D_
applicable_x000D_
_x000D_
_x000D_
_x000D_
Summary Statement_x000D_
_x000D_
In its current form, I cannot support the proposed project.  The project aims to_x000D_
automatically refactor programs to improve them in various ways, using various_x000D_
techniques.  But for one not familiar with many of the cited techniques, it is_x000D_
difficult to understand the proposed novel techniques, algorithmically._x000D_
_x000D_
_x000D_
</t>
  </si>
  <si>
    <t>GP0803510</t>
  </si>
  <si>
    <t>Tip</t>
  </si>
  <si>
    <t>f.tip@northeastern.edu</t>
  </si>
  <si>
    <t xml:space="preserve">In the context of the five review elements, please _x000D_
evaluate the strengths and weaknesses of the proposal with respect to intellectual merit._x000D_
_x000D_
STRENGTHS:_x000D_
_x000D_
I am in full agreement with the PI that the increased adoption of functional language features in mainstream programming_x000D_
languages poses significant new challenges for programmers. The construction of automated refactoring tools that _x000D_
aim to make the complexity manageable is a worthwhile and important research task, and given the PI's recent research in this_x000D_
area, I believe that he is very well-qualified to carry out the proposed research. The planned evaluation on real-world_x000D_
software artifacts would provide useful research results._x000D_
_x000D_
Another strength of the proposal is that it is focused on the development of open-source refactoring tools that the_x000D_
Eclipse developer community can benefit from. _x000D_
_x000D_
The educational component of the proposal involves the development of course materials for existing courses and a new_x000D_
specialized course, focusing on the emerging combined imperative/functional programming language paradigm. In my_x000D_
opinion, this is a valuable activity, particularly given that the resulting resources will be shared through an_x000D_
Open Educational Resource._x000D_
_x000D_
WEAKNESSES:_x000D_
_x000D_
The proposal has a number of weaknesses. In particular, there is no detailed workplan that describes the order in which_x000D_
the identified research activities will be carried out, and that identifies dependences between the activities and_x000D_
possible risks if some sub-tasks turn out to be unexpectedly difficult. _x000D_
_x000D_
In addition, I find section 3 on "Generalized and Points-to Enhanced Typestate Analysis" lacking in technical detail._x000D_
What is missing here in particular is an example that illustrates the challenges that arise with existing typestate analyses_x000D_
when applied to the new combined functional/imperative paradigm, and a sketch/outline of how the proposed research_x000D_
would address these challenges._x000D_
_x000D_
Lastly, while I think that Java 8 is a sensible choice for the proposed research given its widespread adoption, the_x000D_
proposal could be strengthened by including some discussion on how the proposed work might be applicable to other_x000D_
languages. I'm thinking in particular of Scala, which provides a deep integration a functional and object-oriented_x000D_
features._x000D_
_x000D_
SUGGESTIONS FOR IMPROVEMENT:_x000D_
_x000D_
The proposal could be strengthened by expanding section 3 by illustrating the proposed technique using a small example,_x000D_
and by adding a work plan that discusses how the various research activities will be sequenced. _x000D_
_x000D_
It would also be useful to illustrate the proposed concept of type ordering constraints with a small example._x000D_
_x000D_
The discussion about refactoring for deferred execution could be clarified by adding an example that shows_x000D_
the code before and after the refactoring._x000D_
_x000D_
While reading the proposal, I spotted a number of minor typos and spelling errors, e.g. "summary salary" in the budget_x000D_
justification, and "syntatical" on page 12. _x000D_
_x000D_
In addition to performance-oriented evaluation criteria, it would be interesting to think of other metrics that_x000D_
aim to measure improvements in the software's quality, e.g. by measuring how many expression evaluations can_x000D_
be avoided when the deferred-execution refactoring is applied_x000D_
_x000D_
In the context of the five review elements, please _x000D_
evaluate the strengths and weaknesses of the proposal with respect to broader impacts._x000D_
_x000D_
Broader impacts of the proposal include the development of curriculum materials to improve existing courses, the_x000D_
development of a new special topics course, providing an international mentoring experience for students involved_x000D_
in the proposed research, making developed educational materials generally available, and releasing developed_x000D_
software as plugins for Eclipse, a widely used programming environment. These are significant broader impacts_x000D_
and they are well-aligned with the proposal's technical research focus._x000D_
_x000D_
Please evaluate the strengths and _x000D_
weaknesses of the proposal with respect to any additional solicitation-specific review criteria, if _x000D_
applicable_x000D_
_x000D_
_x000D_
_x000D_
Summary Statement_x000D_
_x000D_
This proposal is motivated by the fact that functional programming language features have been making significant_x000D_
inroads in mainstream programming languages. For example, version 8 of the Java programming language supports_x000D_
"lambdas", i.e., higher-order functions, and popular libraries such as the Java standard collections are _x000D_
evolving towards a map-reduce-like style, enabling programmers to express operations more succinctly and declaratively._x000D_
This proposal argues that several problems arise in this setting. First, programs that mix imperative and functional styles_x000D_
may exhibit suboptimal performance behavior. Second, unexpected and undesirable program behavior may arise when_x000D_
programs mix functional idioms and shared-memory concurrency. Third, inexperienced programmers may require assistance _x000D_
in migrating legacy code to make use of the new functional idioms. To address these concerns, several threads of_x000D_
research are proposed. This includes the development of automated tool support, based on typestate analysis and _x000D_
pointer analysis, for diagnosing performance problems and assisting programmers with refactorings that either parallellize_x000D_
or sequentialize computations in cases where such transformations are beneficial. To this end, three_x000D_
concrete refactorings are proposed: "Convert Sequential Stream to Parallel", "Optimize Parallel Stream", and "Optimize Complex_x000D_
Mutable Reduction". It is argued that developing these refactorings can be accomplished in a style that is similar_x000D_
to recent work by the PI, though several new research challenges arise as well, such as the fact that traditional_x000D_
typestate analyses need to be generalized to accommodate stream references. A related research task involves a_x000D_
refactoring for introducing optional types, a new feature in Java 8 that aims to prevent NullPointerExceptions by_x000D_
construction. Furthermore, research is proposed that aims to refactor code to take advantage of the fact that_x000D_
Java 8's lambdas enable lazy execution. These research activities are illustrated by various small Java code examples_x000D_
in the proposal, and connections are made to previous work on automated refactoring by the PI himself and others. _x000D_
The proposal has a significant educational component that includes the development of course materials related to_x000D_
the research topics covered, and an international mentoring experience for students involved in the research. The PI_x000D_
plans to make the developed technology available as a plugin for the widely used Eclipse environment._x000D_
_x000D_
</t>
  </si>
  <si>
    <t>Imperative programming uses statements to alter a program's state, while functional programming avoids mutating data. With the recent popularity rise of functional programming, imperative languages are increasingly incorporating new functional features, resulting in a new "hybrid" paradigm where functional style code, like MapReduce, is used alongside traditional imperative constructs. This is effective due to its ease of use by those not previously familiar with functional programming, enabling its benefits like succinct parallel programming._x000D_
_x000D_
Despite the advantages, issues arise from the interplay between the two paradigms. Firstly, subtle considerations are required to write code that is optimally parallelizable, efficient, and reliable, particularly when using MapReduce. The crux of the problem is that MapReduce is traditionally highly distributed with no shared memory, whereas in the hybrid model, it is typically multithreaded, using shared memory. Therefore, care must be taken to write correct yet efficient code. Secondly, new hybrid code is often written alongside legacy imperative code that could also benefit from functional features. It is advantageous to automatically refactor such code as manual semantics-preserving transformation may involve complex interprocedural analysis, a thorough understanding of intricacies, and detailed knowledge of situational API replacements, all of which can be daunting in large software bases._x000D_
_x000D_
The PI will address these problems through investigations on several fronts. First, a theoretical foundation for the analysis and transformation of hybrid functional/imperative programs will be developed and evaluated by identifying code that may be refactored for performance gains. Based on typestate analysis and type constraints, the analysis will determine when it is advantageous to run hybrid code in parallel via a novel ordering constraint inference algorithm. Second, typestate analysis will be generalized to decipher object state at an arbitrary program point and enhanced with points-to analysis to assist with complications resulting from these issues. Third, an automated refactoring approach will be designed and evaluated to retrofit optional types, type safe, functional-like constructs, into legacy software, thereby combating abnormal program terminations. Fourth, infrequently evaluated, long running code fragments will be automatically identified and refactored to lambda expressions with deferred execution._x000D_
_x000D_
Research-related educational activities will include curriculum introducing functional programming and its use in imperative programs. From real-world software, mixed paradigm best practices will be woven into course curricula. Furthermore, open educational resources (OERs) will be made publicly available. As functional programming is used in disciplines outside of CS, the proposed work has potential to transcend traditional CS areas and foster interdisciplinary collaborations. Lastly, the PI will involve US-based undergraduate students, providing them with mentored international research experiences.This work will advance the state-of-the-art of program analysis and automated refactoring for this mixed paradigm via theoretical considerations, algorithm formulation, empirical evaluation, and tool-support. Typestate analysis will be applied in a novel way. Moreover, a new knowledge-base for analyzing and transforming programs in this paradigm will fuel future research.First, course materials as described above will be incorporated into both CUNY undergraduate and graduate courses and will be disseminated via the aforementioned OER. Students will be introduced to functional programming in mainstream languages, thus improving their career prospects. The mentored international experience will also assist in a developing a diverse, globally competitive STEM workforce, as well as strengthen international research collaborations. Second, new analyses, refactorings, evaluation results, and useful tools capable of handling real-world software will be publicly available. Third, the PI will organize both research and industry workshops, shedding light on issues in this new paradigm and facilitating stronger bonds between academia and industry.</t>
  </si>
  <si>
    <t>8</t>
  </si>
  <si>
    <t xml:space="preserve"> Panel Summary       
  SUMMARY OF PROPOSED RESEARCH ACTIVITY_x000D_
_x000D_
  The PI presents an approach to integrating verification_x000D_
  into the workflow of programmers using higher-order functional_x000D_
  languages like Racket._x000D_
_x000D_
  Modern software development makes heavy use of  _x000D_
  higher-order languages, or at least higher-order_x000D_
  features. Thus, verification approaches that can_x000D_
  support modern programming language features can_x000D_
  have a significant impact in practice._x000D_
_x000D_
  The goal of the work is to develop algorithms_x000D_
  and tools to support "gradual" verification,_x000D_
  meaning both checking "partial" correctness_x000D_
  properties (contracts) as well as deferring_x000D_
  checks to run-time if needed. These tools will_x000D_
  also help users understand errors, and will_x000D_
  support rapid incremental verification as_x000D_
  the programmer modifies parts of their program._x000D_
_x000D_
  The verification will proceed by building up recent_x000D_
  advances in (higher order) symbolic execution and abstract_x000D_
  interpretation. Symbolic execution will be used to generate_x000D_
  concrete test cases that demonstrate the error to explain_x000D_
  why verification fails. Incremental computation will be_x000D_
  used to make verification fast after the code is modified._x000D_
_x000D_
INTELLECTUAL MERIT_x000D_
_x000D_
  Strengths_x000D_
_x000D_
  + The proposal is ambitious and takes a holistic view of_x000D_
    the different problems that must be solved to make_x000D_
    verification routine in software development, namely:_x000D_
    expressive programs, transitioning between static and dynamic checking,_x000D_
    incorporating verification into design and applying verification_x000D_
    to a variety of properties._x000D_
_x000D_
  + The proposal builds upon the PI's prior work, including_x000D_
    both abstract interpretation and symbolic execution,_x000D_
    as well as their implementation inside the Racket ecosystem._x000D_
_x000D_
  Weaknesses_x000D_
_x000D_
  - Some panelists felt that the PI proposes to do several_x000D_
    things and that each on its own could be a substantial_x000D_
    proposal, but that together they seemed too ambitious_x000D_
    and not fit very well._x000D_
_x000D_
  - The proposal mentions "gradual" in the sense of "gradual typing"_x000D_
    but discusses dynamic checking very briefly and is really focused_x000D_
    on static verification._x000D_
_x000D_
  Suggestions_x000D_
_x000D_
  The proposal could be improved if the PI could_x000D_
_x000D_
  1. Not overload the word "gradual" -- or make it clear that it was really_x000D_
     about static verification (or if not, flesh out the dynamic part better.)_x000D_
_x000D_
  2. Clarify they really mean they propose to use symbolic execution to_x000D_
     eliminate the dynamic overhead of "gradual typing"._x000D_
_x000D_
  3. Either narrow the scope of the proposal and focus on fewer themes_x000D_
     but explain each in greater detail, or explain better how the themes_x000D_
     connected to each other._x000D_
_x000D_
BROADER IMPACTS_x000D_
_x000D_
  Strengths_x000D_
_x000D_
  + The PI aims to integrate contracts into_x000D_
    programming courses by extending the _x000D_
   "How to Design Programs" (HtDP) curriculum,_x000D_
    and by using the automated verification tools_x000D_
    developed as part of the proposal._x000D_
_x000D_
  + The above is bolstered by the fact that the_x000D_
    PI already has a track record of contributions_x000D_
    to the Racket ecosystem and HtDP curriculum._x000D_
_x000D_
  + The PI and his institution are involved in BRAID and_x000D_
    have several ongoing initiatives aimed towards_x000D_
    mentoring under represented student populations._x000D_
_x000D_
CAREER SOLICITATION-SPECIFIC REMARKS_x000D_
_x000D_
  The educational plan is to use the tools_x000D_
  developed as part of the proposal in undergraduate_x000D_
  programming classes, specifically by enriching_x000D_
  the influential and widely used HtDP_x000D_
  curriculum with contracts that will be gradually verified_x000D_
  using the tools developed as part of the research._x000D_
_x000D_
  Ultimately, the PI aims to codify and disseminate_x000D_
  the above in a companion text: "How to Design Verified Components"._x000D_
_x000D_
SUMMARY STATEMENT_x000D_
_x000D_
  While some panelists felt that the proposal reflected a_x000D_
  compelling holistic vision of how to make verification_x000D_
  of higher-order programs practical, others felt that_x000D_
  the emphasis on "gradual" was somewhat misplaced,_x000D_
  and that the proposal would have been stronger _x000D_
  with a deeper focus on a narrower set of themes._x000D_
_x000D_
  The recommendation of the panel is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</si>
  <si>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proposal's title is misleading, as the main focus is on static verification.  The proposal builds on already-existing dynamically checked systems and describes an approach to static verification for them.  Although it is mentioned that parts of the program that fail to verify statically can be checked dynamically, and that static checks can be used to eliminate dynamic ones, nothing is said about how this works, and none of the usual gradual typing issues are described (e.g. when do you report an error to the user vs. defer checking to run time) nor are there theoretical results related to gradual checking (e.g. the gradual guarantee)--even though all of these gradual typing issues potentially have analogs for gradual verification._x000D_
_x000D_
That said, it's useful to be able to statically check contracts, and this proposal describes promising approaches to improving static verification.  The novel approaches proposed include:_x000D_
* A general approach based on symbolic execution and abstract interpreters that can verify contracts written in the language of programs, and thus supports falling back to dynamic checking for any assertions that fail statically._x000D_
* Improved approaches to reporting contract errors by synthesizing failing test cases_x000D_
* Using incremental computation to provide interactive feedback on errors_x000D_
* A comprehensive pedagogical approach that adds verification to the How to Design Programs curriculum_x000D_
_x000D_
Section 3.1: the argument that the proposed approach might "revive gradual typing" is not sensible.  It relies on fully specifying contracts that subsume typing.  But specifying contracts is harder than specifying types because the former subsumes the latter, and the whole point of gradual typing is that you don't even have to specify all the types.  Of course some contracts could be left unspecified, too, but then all performance overhead can't be eliminated (and will almost certainly be worse, as contracts may include more checks).  Some of the proposed work mentioned at the end of this section is valuable, but the whole setup based on the performance overhead of gradual typing is specious.  It does not reflect well on the proposal that this argument would be put forth._x000D_
_x000D_
There's also a bit of a straw man in section 3.2, complaining about localization of error messages in unification-based type systems; this is in fact why the type systems of usable languages (and the most commercially relevant languages) don't use unification and don't try to do non-local type inference.  Despite this straw man in the setup, generating examples illustrating why verification fails should be extremely useful, and the proposal outlines a solid plan for doing so and for evaluating the results._x000D_
_x000D_
_x000D_
In the context of the five review elements, please _x000D_
evaluate the strengths and weaknesses of the proposal with respect to broader impacts._x000D_
_x000D_
If successful, the approach described would have a significant impact, enabling a new class of verification tools based on contracts written in the language of programs, which in turn has the potential to make verification more incremental and more accessible.  _x000D_
_x000D_
The educational plan laid out in section 3.4 is very strong, building verification into the How to Design Programs curriculum at Maryland and constructing a integrated set of supporting tools (besides the ideas described earlier, the algebraic stepper stood out here).  The plan is very ambitious, but given that there is already HtDP buy-in at UMaryland, it is believable.  Beyond education, the PI and institutions involvement in BRAID and in mentoring underrepresented student populations is admirable._x000D_
_x000D_
Please evaluate the strengths and _x000D_
weaknesses of the proposal with respect to any additional solicitation-specific review criteria, if _x000D_
applicable_x000D_
_x000D_
_x000D_
_x000D_
Summary Statement_x000D_
_x000D_
This is a good proposal that includes a lot of promising ideas, but the thrust of work on "gradual" verification is misleading, and some of the arguments made do not hold up under scrutiny._x000D_
_x000D_
</t>
  </si>
  <si>
    <t xml:space="preserve">In the context of the five review elements, please _x000D_
evaluate the strengths and weaknesses of the proposal with respect to intellectual merit._x000D_
_x000D_
This proposal presents an approach for verification of higher-order functional and object-oriented programming languages. The proposed technical approach involves verification of behavioral contracts using novel symbolic execution techniques that can handle higher-order languages, generation of counter-example behaviors as feedback to programmers, and incremental verification using meta-circular abstract interpreters._x000D_
_x000D_
Proposed work integrates several recent developments in software verification to provide a verification framework that is applicable to higher-order languages. While discussing the presented research vision, the PI underlines the practical challenges, such as difficulty of writing contracts and  the performance overhead incurred at runtime due to gradual typing. Then, the PI outlines the technical approaches that will be used to tackle these challenges. So, the proposed work seems to be grounded in practice and technically feasible at the same time.  _x000D_
_x000D_
_x000D_
In the context of the five review elements, please _x000D_
evaluate the strengths and weaknesses of the proposal with respect to broader impacts._x000D_
_x000D_
Verification approaches that can support modern programming language features can have a significant impact in practice. The proposed approach combines lightweight and heavyweight verification techniques, and it is likely that some of these techniques will have practical impact. _x000D_
_x000D_
Proposal has a well thought educational component. Integration of contracts to programming courses would be a positive development, and the automated verification tools developed within the scope of this project would increase the benefits of writing contracts. This can encourage more developers to use contracts._x000D_
_x000D_
Please evaluate the strengths and _x000D_
weaknesses of the proposal with respect to any additional solicitation-specific review criteria, if _x000D_
applicable_x000D_
_x000D_
_x000D_
_x000D_
Summary Statement_x000D_
_x000D_
This proposal presents gradual verification techniques for higher-order programming languages based on behavioral contracts, symbolic execution and abstract interpretation. The proposed approach builds on existing verification techniques and extends them so that they can be applied to modern programming languages.  The proposal contains a well thought out educational plan._x000D_
_x000D_
</t>
  </si>
  <si>
    <t xml:space="preserve">In the context of the five review elements, please _x000D_
evaluate the strengths and weaknesses of the proposal with respect to intellectual merit._x000D_
_x000D_
_x000D_
The proposal presents a holistic strategy for integrating verification into  _x000D_
the workflow of programmers using higher-order functional languages. This includes,_x000D_
developing a theory of gradual verification -- where gradual refers both to_x000D_
checking partial correctness properties, and deferring checks to runtime --  _x000D_
based on higher-order symbolic execution and abstract interpretation; implementing_x000D_
the above theory as tools usable by non-experts, and developing an pedagogical_x000D_
approach to teaching verification to novices by integrating it with the HTDP,_x000D_
contract-based approach._x000D_
_x000D_
_x000D_
In the context of the five review elements, please _x000D_
evaluate the strengths and weaknesses of the proposal with respect to broader impacts._x000D_
_x000D_
_x000D_
_x000D_
The proposal has a significant curriculum development component that is_x000D_
organically integrated with the research, namely integrating contracts_x000D_
into the widely used and influential HTDP curriculum, which will be_x000D_
made possible using the generated counterexamples, pinpointing blame_x000D_
and rapid re-computation. The PI proposes to encapsulate the results_x000D_
in a companion (to HTDP) text called "How to develop verified components"_x000D_
_x000D_
The PI has a history of helping with initiatives targeted increasing_x000D_
diversity, including participating in the BRAID program (of which UMD_x000D_
is a member), mentoring students and post-docs from URM groups, and_x000D_
helping with the PLMW mentoring workshop series._x000D_
_x000D_
_x000D_
Please evaluate the strengths and _x000D_
weaknesses of the proposal with respect to any additional solicitation-specific review criteria, if _x000D_
applicable_x000D_
_x000D_
_x000D_
_x000D_
Summary Statement_x000D_
_x000D_
_x000D_
The proposal aims to help make formal verification in modern higher-order_x000D_
languages (like Racket) mainstream by developing new usage modes, addressing_x000D_
the problem of the steep learning curve for verification, and by doing_x000D_
the above by developing and implementing fundamental new algorithms for_x000D_
verification based on the combination of symbolic execution and abstract interpretation_x000D_
(for checking contracts), and on incremental computation (to make verification_x000D_
fast enough to be used during development.)_x000D_
_x000D_
I especially agree with the PI's assessment that_x000D_
_x000D_
"These (Agda, Coq, ..) will NOT be languages of the future until_x000D_
overcoming the feedback from failures"_x000D_
_x000D_
Specifically, the PI will look at how to make verification_x000D_
"gradual" in the sense of converting "run-time" checks into "static"_x000D_
checks via the combination of symbolic execution and abstract interpretation,_x000D_
and thus smoothly allowing for (failed) static checks to be deferred to_x000D_
the run-time. By building on the theory of contracts, the PI will be able_x000D_
use the existing language itself (and not some external language) to_x000D_
write specifications, and more importantly, to use existing mechanisms_x000D_
to provide feedback in the form of assigning "blame"._x000D_
_x000D_
Second, the PI will address the "learning curve" problem, i.e. making_x000D_
verifiers accessible to non-experts, by using their prior work on_x000D_
Symbolic Execution to automatically generate counterexamples for_x000D_
contract (and refinement type errors) thereby giving concrete explanations_x000D_
to programmers about why their code fails. While the details of this_x000D_
have not been worked out and are non-trivial, the PI's prior work_x000D_
in this space indicates they are likely to be successful._x000D_
_x000D_
_x000D_
## Pros  _x000D_
_x000D_
- The proposal articulates an important and compelling vision; the_x000D_
idea of making verification gradual and reinforcing is especially_x000D_
compelling, as is the use of the source language to write contracts._x000D_
_x000D_
- The work is grounded firmly in the PI's strong prior work, and clearly_x000D_
and plausibly articulates how the goals will can be achieved via a_x000D_
combination of existing techniques and novel insights._x000D_
_x000D_
- The proposal has a very strong broader impacts and education component_x000D_
that is organically integrated with the research, namely, to incorporate_x000D_
verification during design process (HTDP design recipe), to generate_x000D_
counterexamples for failed verification, and to facilitate incremental_x000D_
verification to make checking rapid during development._x000D_
_x000D_
- Symbolic execution sounds like an especially promising way to deal_x000D_
with inter-language analysis._x000D_
_x000D_
- There has not been a systematic evaluation of incremental computation_x000D_
for incremental/iterative verification; the analysis approach based_x000D_
on the PI's prior ADAPTON work also shows very promising_x000D_
(order-of-magnitude speedups) in preliminary work._x000D_
_x000D_
- Finally the integration of static verification inside HTDP is very compelling;_x000D_
The use of racket makes this smooth and natural to integrate into HDTP,_x000D_
there can be a significant impact if successful on large undergrad class_x000D_
at UMD and the Symbolic Execution based contract checker already used on_x000D_
benchmarks developed in earlier versions makes the claim very plausible._x000D_
_x000D_
- This is a well-thought out proposal where the different tasks fit together_x000D_
nicely and at the same time, each individual task is likely to succeed_x000D_
and is very useful in its own right (e.g. counterexamples, incremental verification,_x000D_
inter-language symbolic execution etc.)_x000D_
_x000D_
## Cons_x000D_
_x000D_
- Lots of prior work on using abs-int/static analysis to eliminate_x000D_
run-time checks, going back to 70s; more recently, soft typing,_x000D_
Henglein-Rehof, Ccured, Hybrid typing etc. Remains to be seen_x000D_
if proposed approach of SymbolicExecution is actually an_x000D_
improvement._x000D_
_x000D_
- Much of the contract checking done in PIs prior work has been "type"_x000D_
contracts (e.g. a value is a number or string) as opposed to "relational"_x000D_
contracts (e.g. a value is between 0 and the size of an array). The latter_x000D_
are significantly harder and it remains to be seen how proposed approach_x000D_
will scale to those. Still, some of the prior work includes relational_x000D_
assertions, and the symbolic execution should at least be useful_x000D_
for generating counterexamples even with relational contracts._x000D_
_x000D_
_x000D_
</t>
  </si>
  <si>
    <t xml:space="preserve">In the context of the five review elements, please _x000D_
evaluate the strengths and weaknesses of the proposal with respect to intellectual merit._x000D_
_x000D_
These proposal weaves together several highly important themes in program verification: (1) Verification of expressive (higher order, object-oriented) programs, (2) Gradual Verification: graceful transition from run-time verification to static verification, (3) Productive Verification: incorporating verification into the program-design process, and (4) Universal Verification: applying the above to a wide variety of programming properties and paradigms._x000D_
_x000D_
In reality, each of these themes covers a weighty issue in program verification theory and practice. Trying to make significant progress on all of them in a 5-year single investigator project seems too ambitious to me. Furthermore, while the proposal does make a strong case that each of these themes is important, it does not make a strong case that they are synergistic._x000D_
_x000D_
In the context of the five review elements, please _x000D_
evaluate the strengths and weaknesses of the proposal with respect to broader impacts._x000D_
_x000D_
I found the broader-impact statement not completely clear. It weaves several themes, but none is stated clearly: (1) Adoption of the well-known HtDP approach by the UMC CS curriculum, (2) Integrating results of these project into HtDP, and (3) Transferring research of these proposal to industry. Each of these would be worthwhile, but none is described in enough details._x000D_
_x000D_
Please evaluate the strengths and _x000D_
weaknesses of the proposal with respect to any additional solicitation-specific review criteria, if _x000D_
applicable_x000D_
_x000D_
_x000D_
_x000D_
Summary Statement_x000D_
_x000D_
This is a well motivated proposal, addressing several important themes in the area of program verification. It suffers from lack of clear focus in both its intellectual merit and broader impact._x000D_
_x000D_
</t>
  </si>
  <si>
    <t>Programmers are rapidly adopting expressive, higher-order functional and object-oriented programming languages for their everyday development tasks. Unfortunately, compared to their first-order counterparts, these language thwart traditional approach to compile-time verification and automated reasoning. Consequently, verification is not being integrated in the everyday lives of programmers and the quality and reliability of software suffers because of it. This represents a tremendous missed opportunity considering the rapid advancement of automated verification techniques that has occurred in recent years for first-order languages. We aim to provide foundational theories, pragmatic tools, and a pedagogical framework for closing the expressivity gap, enabling pathways to verified programming within these modern languages.We propose to investigate the theory and practice of gradual verification techniques for mitigating the expres- sivity disconnect between expressive higher-order programming languages and powerful first-order verifi- cation tools, thereby supporting principled software development practices that integrate verification at each step and removing the impediments to fortified programming. To conduct this research, we plan to:_x000D_
_x000D_
1. develop a foundation theory of gradual verification based on higher-order symbolic execution and abstract interpretation;_x000D_
_x000D_
2. build systems ground in this theory that realize useful tools for programmers who are not verification experts;_x000D_
_x000D_
3. conduct an evaluation of our approach on datasets of existing and newly collected sets of programs;_x000D_
_x000D_
4. and develop an accompanying pedagogical approach to teaching verification to novice programmers.Achieving the PI's vision will change how programmer approach software development and evolution. The proposed work includes three major avenues for broad impact: education, diversity, and technology trans- fer. The pedagogical initiatives have the potential to influence a generation of computer scientists educated at the University of Maryland and throughout the world by leveraging existing, widely used pedagogical frameworks and tools. Through this pedagogical approach and following BRAID beacon institutions, the proposed work will positively affect the recruitment and retention of women and under-represented minorities in computer science. Finally, due to the widespread adoption of these expressive languages and with them, their inherent technical challenges, the proposed research addresses and anticipates problems for major software development efforts currently underway at Microsoft, Google, Facebook, and others._x000D_
By making verification easier to use in a gradual way, the PI anticipates that industrial software developers will be more likely to make use of these techniques, bringing the known benefits of static verification, program understanding, tool support, and performance to more programmers. Overall, this will have a positive impact on the quality and reliability of software on which society relies.</t>
  </si>
  <si>
    <t xml:space="preserve"> Panel Summary       
 SUMMARY OF PROPOSED RESEARCH ACTIVITY_x000D_
_x000D_
This project would develop a Petri-net-based programming model for event-driven network programs, several analysis and synthesis algorithms for network programs expressed in this model, and a compiler to translate these network programs to P4, an open-source programming language for network switches.  Simulated networks and real networks would be used in evaluation._x000D_
_x000D_
INTELLECTUAL MERIT_x000D_
_x000D_
+ The Petri-net-based model would facilitate analysis and verification of network programs._x000D_
_x000D_
+ Learning network programs from traces is an interesting idea._x000D_
_x000D_
- Verification algorithms for Petri nets do not scale well.  The proposal does not address scalability, beyond a brief comment that Petri nets for network programs are expected to be small._x000D_
_x000D_
- Reasoning about network topology is an important aspect of many network programming problems.  It is unclear how this reasoning is represented in the proposed framework._x000D_
_x000D_
BROADER IMPACTS _x000D_
_x000D_
- Limitations of expressiveness of the model and scalability of the analysis algorithms may limit the impact on the practice of network programming._x000D_
_x000D_
+ The PI would develop a new graduate course on verification and synthesis of systems, with focus on device drivers and network programs._x000D_
_x000D_
+ The PI would develop a workshop on Computational Thinking and Concurrency to encourage interest of high-school students in Computer Science._x000D_
_x000D_
CAREER SOLICITATION-SPECIFIC REMARKS_x000D_
_x000D_
The proposed graduate course would incorporate some of the proposed research.  The content of the proposed workshop on Computational Thinking and Concurrency is loosely related to the proposed research._x000D_
_x000D_
SUMMARY STATEMENT_x000D_
_x000D_
The panel felt that the proposal contains some interesting ideas but does not present convincing arguments that the proposed programming model would significantly improve the practice of network programming._x000D_
The panel recommends that the PI address the above concerns about expressiveness, scalability, and network topology._x000D_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</si>
  <si>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_x000D_
Pro: _x000D_
_x000D_
- The proposal conveys deep familiarity with past and current work in formal methods. Solid publications in those venues are likely._x000D_
_x000D_
- Programming networks is steadily gaining relevance, e.g. for datacenters._x000D_
_x000D_
Contra:_x000D_
_x000D_
- Besides using Petri nets, it was not quite clear to me how the proposed work goes significantly beyond prior work on SDN, network programming languages, and synthesis._x000D_
_x000D_
- Besides advancing knowledge in general, through publications, the proposal is not very clear about how progress towards the overarching goal ("transform the way programmers develop, reason about, implement, and deploy event-driven network programs") would be concretely achieved and evaluated. The proposal mentions a "compiler and runtime system", but is very vague about the details._x000D_
_x000D_
_x000D_
In the context of the five review elements, please _x000D_
evaluate the strengths and weaknesses of the proposal with respect to broader impacts._x000D_
_x000D_
_x000D_
Pro:_x000D_
_x000D_
- Formal methods can be a valuable teaching tool, especially in areas involving complications concurrency and faults._x000D_
_x000D_
- Building collaborations between formal methods and systems researchers seems like a promising idea_x000D_
_x000D_
_x000D_
Contra:_x000D_
_x000D_
- Most of the background of the PI seems strongly rooted in formal methods, with little prior experience with systems research. _x000D_
_x000D_
- The education plan seems not very strongly connected to the core research goal._x000D_
_x000D_
- The practical impact seems a quite indirect: the immediate results will be knowledge, to enable tools in the future, which could eventually help programmers._x000D_
_x000D_
_x000D_
_x000D_
Please evaluate the strengths and _x000D_
weaknesses of the proposal with respect to any additional solicitation-specific review criteria, if _x000D_
applicable_x000D_
_x000D_
_x000D_
_x000D_
Summary Statement_x000D_
_x000D_
_x000D_
Overall, the proposed research sounds solid from a formal-methods perspective. However, the link to systems-level network programming is a bit tenuous, and there are not a lot of references to systems conference publications. Finally, the execution plan is a bit vague about concretely measurable achievements._x000D_
_x000D_
_x000D_
_x000D_
_x000D_
</t>
  </si>
  <si>
    <t xml:space="preserve">In the context of the five review elements, please _x000D_
evaluate the strengths and weaknesses of the proposal with respect to intellectual merit._x000D_
_x000D_
_x000D_
The proposal will develop new foundations for programming_x000D_
Software Defined Networks (SDN), specifically, new petri-net_x000D_
models (called "control nets") for the semantics of the event_x000D_
driven SDN programs, and new algorithms for verifying that_x000D_
SDN programs meet qualitative and quantitative requirements,_x000D_
and new algorithms for synthesizing low-level SDN programs_x000D_
that meet important consistency requirements from high-level_x000D_
specifications._x000D_
_x000D_
_x000D_
In the context of the five review elements, please _x000D_
evaluate the strengths and weaknesses of the proposal with respect to broader impacts._x000D_
_x000D_
_x000D_
The PI will incorporate the results in new graduate level  classes on_x000D_
Verification and Synthesis.  In addition, the PI will develop and teach_x000D_
high-school classes on concurrency and computational thinking; these will be_x000D_
incorporated in annual workshops (for high-school students) to be held as part_x000D_
of the host universities CS Education week. The materials will be connected to_x000D_
the research plan as they will comprise lectures, puzzle-solving and programming_x000D_
competitions, devoted to writing concurrent games and apps, and the outcomes_x000D_
will be evaluated using  rubrics developed with university experts (CUSD)._x000D_
_x000D_
_x000D_
Please evaluate the strengths and _x000D_
weaknesses of the proposal with respect to any additional solicitation-specific review criteria, if _x000D_
applicable_x000D_
_x000D_
_x000D_
_x000D_
Summary Statement_x000D_
_x000D_
_x000D_
The proposal aims to develop "control nets" a variant of petri_x000D_
nets as a new foundation for writing event driven SDN programs_x000D_
(controllers)._x000D_
_x000D_
The PI will develop a rigorous semantics for such programs,_x000D_
new algorithms for checking qualitative and quantitative properties_x000D_
of SDN programs against control net specifications, and new algorithms_x000D_
for synthesizing programs from such specifications. Furthermore,_x000D_
the PI will adapt, to the control net setting, existing methods_x000D_
for enforcing consistent update as the network transitions_x000D_
from one control mode to another to react to some external event._x000D_
_x000D_
I did not find "control nets" to be extremely persuasive_x000D_
for two reasons. (a) As described here, they are simply_x000D_
state machines with the usual product composition. Such_x000D_
machines have long been used to specify correctness properties._x000D_
I don't see how their structure can be used_x000D_
to simplify the difficult problems of *verification* or_x000D_
*synthesis*, especially because (b) the real challenge_x000D_
with SDNs is *network topology*. (Put another way, I could_x000D_
not appreciate why control nets would be different/better_x000D_
than any other specification mechanism like LTL or CTL_x000D_
or domain specific approaches like NetKAT.)_x000D_
_x000D_
While the proposal has interesting ideas and tackles an important_x000D_
domain but would be must stronger with some preliminary work that_x000D_
demonstrated that control nets simplified the verification or_x000D_
synthesis of some real application, or made it possible to_x000D_
extract/synthesize specifications from legacy network (traces)._x000D_
_x000D_
## Pros  _x000D_
_x000D_
+ SDNs are an important new application domain that will be critical_x000D_
for the large computing infrastructure of the future._x000D_
_x000D_
+ The PI has a good track record in this space._x000D_
_x000D_
+ Synthesizing control net models (specifications) from_x000D_
legacy networks, using L* etc. sounds like a very promising_x000D_
and plausible, high-impact idea._x000D_
_x000D_
+ It would be interesting to explore how timed automata could   _x000D_
be used to reason about quantitative properties of SDNs._x000D_
_x000D_
## Cons_x000D_
_x000D_
- The "control net" formalism on which the proposal is based,_x000D_
does not appear to at all model network topology, which is_x000D_
a crucial feature for verification and synthesis, especially_x000D_
for the quantitative properties._x000D_
_x000D_
I found it odd that the issue of "surface syntax" has been_x000D_
considered out of scope (and yet, there are discussions of_x000D_
building IDEs and evaluating  incremental verification.)_x000D_
How will the IDEs be evaluated without a concrete_x000D_
language to write the SDN programs in?_x000D_
Is the idea that programmers write control net programs?_x000D_
Again, I am puzzled as to how this will be possible as there_x000D_
is no way to model network topology in the control nets._x000D_
_x000D_
Similarly, I found the lines:_x000D_
_x000D_
"we require the programmer to specify where an event_x000D_
should be detected and where each part of the distributed_x000D_
state should be placed."_x000D_
_x000D_
But that is *exactly* what makes distributed / SDN programs_x000D_
difficult to write, leaving me puzzled by what exactly is_x000D_
being achieved by the control net formalism._x000D_
_x000D_
- Unlike the PIs assertion that checking SDN programs_x000D_
is easier than general software as  _x000D_
_x000D_
"do not need complex features of programming languages,_x000D_
such as pointers and heap, that make it difficult to_x000D_
build general-purpose synthesizers"_x000D_
_x000D_
the real reason why automated verification (and synthesis)_x000D_
are challenging and limited to fixed sized networks_x000D_
(as opposed to "parametric" descriptions),_x000D_
as in Anteater, Header-Space Analysis etc._x000D_
Is the difficulty of modelling network topology,_x000D_
i.e. the port-forwarding structure which, unlike software,_x000D_
is an arbitrary graph that may constantly be changing it "shape"_x000D_
(as opposed to a nice tree-like structure that gets updated in_x000D_
well defined ways.)_x000D_
_x000D_
- Many of the topics discussed here, e.g. handling the transition_x000D_
between network configurations, have been addressed in previous_x000D_
work e.g. [69] ("Abstractions for Consistent Network Updates")_x000D_
The proposal argues that the literature is restricted to_x000D_
consistency for a single packet (and also a single flow) but does_x000D_
not make a compelling argument about how they will do better_x000D_
(beyond appealing to other forms of consistency.)_x000D_
When is per-packet or per-flow consistency not enough?_x000D_
What challenges are involved in bringing those ideas_x000D_
to the "control net" setting?_x000D_
_x000D_
- How are the requirements for event-driven SDN different from_x000D_
other distributed settings (e.g. sensor networks, general_x000D_
consensus algorithms etc.) which also have asynchrony_x000D_
(delays, drops), failures and so on? There have been any number_x000D_
of proposals for macro-programming networks (program a high-level_x000D_
network-level description, synthesize per-node implementations)_x000D_
that did not succeed. What unique insight does the PI have for_x000D_
why SDNs are easier or different?_x000D_
_x000D_
</t>
  </si>
  <si>
    <t xml:space="preserve">In the context of the five review elements, please _x000D_
evaluate the strengths and weaknesses of the proposal with respect to intellectual merit._x000D_
_x000D_
STRENGTHS_x000D_
_x000D_
The project would develop a Petri-net-based programming model for event-driven network programs, a compiler to implement the model on network switches, qualitative analysis and synthesis algorithms, and quantitative analysis and synthesis techniques._x000D_
_x000D_
Evaluation would be done through experiments with a simulated network, a small network set up by the PI, and a larger testing network made available to the PI by Barefoot Networks._x000D_
_x000D_
The PI has published some preliminary work on this topic [55]._x000D_
_x000D_
WEAKNESSES_x000D_
_x000D_
The proposal does not discuss the typical size and complexity of network programs that it expects to be able to handle for analysis, verification, and synthesis, and how this compares with the size and complexity of network programs in practical settings.  Scalability is mentioned briefly in the last sentence of Section 1 but merits more discussion._x000D_
_x000D_
How expressive are finite nets and (finite) parametric nets in this context?  Among the kinds of network programs mentioned as motivation in Section 1, which can be expressed using them?  This seems like an especially important question, since the proposed extension to incorporate NetKAT transformations in the model is uncertain._x000D_
_x000D_
The proposed approach requires the programmer to specify where an event should be detected and where each part of the distributed state should be placed._x000D_
_x000D_
The discussion of implementing the programming model by compilation to P4 does not convey the technical challenges involved, given that existing consistency techniques will be used.  It mentions that the approach will "find the consistency level we can achieve", but does not elaborate on what the consistency levels are, or how the compiler determines which levels are achievable for a given control net.  Does compilation involve solving an optimization problem to maximize efficiency of the generated program, e.g., to minimize the number of messages?_x000D_
_x000D_
The description of the proposed work on synthesis is vague.  What kinds of events are in the traces?  What kinds of nets would the proposed learning algorithm be able to learn?  Would it learn conditions like tp &gt; 500 in the earlier example?  Would it learn parametric nets?  Would it learn consistency requirements, or would it need to be given those requirements?_x000D_
_x000D_
The example of a latency-related problem in Section 3.3 is failure propagation due to low timeouts.  It seems more like a throughput problem than a latency problem to me: if the rate of incoming packets is (continually) too high, the switch will drop packets, causing timeouts._x000D_
_x000D_
In the context of the five review elements, please _x000D_
evaluate the strengths and weaknesses of the proposal with respect to broader impacts._x000D_
_x000D_
STRENGTHS_x000D_
_x000D_
The project would develop a workshop on Computational Thinking and Concurrency for high school students.  The proposal contains a relatively detailed plan for this workshop.  _x000D_
_x000D_
The project would also develop a new graduate course on verification and synthesis of systems._x000D_
_x000D_
The project would help support the PI's mentoring of undergraduate students.  The PI already has an impressive track record in mentoring undergraduate students and getting them involved in research._x000D_
_x000D_
WEAKNESSES_x000D_
_x000D_
The scope of applicability of the proposed techniques to real-world network programs is not completely clear.  More discussion of the expressiveness of the programming model, the capabilities of the proposed synthesis algorithms, and the scalability of the proposed verification and synthesis algorithms would help._x000D_
_x000D_
Please evaluate the strengths and _x000D_
weaknesses of the proposal with respect to any additional solicitation-specific review criteria, if _x000D_
applicable_x000D_
_x000D_
_x000D_
_x000D_
Summary Statement_x000D_
_x000D_
Programming of network devices is currently quite difficult.  The project, if successful, would contribute to an approach and tools that reduce the burden of developing network programs._x000D_
_x000D_
</t>
  </si>
  <si>
    <t xml:space="preserve">In the context of the five review elements, please _x000D_
evaluate the strengths and weaknesses of the proposal with respect to intellectual merit._x000D_
_x000D_
The goal of this project is the development of a formal-methods-based framework for the development event-driven network programs. The project will develop foundations for event-driven network programming: (1) a programming model, (2) qualitative analysis and synthesis algorithms, and (3) quantitative analysis and synthesis techniques. The motivation of the project is compelling, and the research is well outlined. The proposed framework will be based on Petri nets._x000D_
_x000D_
The proposal mentions an objection that Petri net analysis are not scalable. The response is that the control nets for typical_x000D_
network services are expected not to be large. This response is not to compelling. In model-checking research, scalability is a huge issue, in view of the "state-explosion problem". It is surprising to see in this proposal no mention of the issue of scalability._x000D_
_x000D_
In the context of the five review elements, please _x000D_
evaluate the strengths and weaknesses of the proposal with respect to broader impacts._x000D_
_x000D_
Very wisely, the proposal is not trying to connect its research thrust to its outreach thrust, which would be very difficult. Instead, the outreach is focused on taking computational-thinking concepts to high-school students. The weakness of the outreach plan is that it is not clear what problem it is trying to solve. I'd suggest to the PI to formulate a societal challenge that he'd like to address, e.g., under-representation of women in computing._x000D_
_x000D_
Please evaluate the strengths and _x000D_
weaknesses of the proposal with respect to any additional solicitation-specific review criteria, if _x000D_
applicable_x000D_
_x000D_
_x000D_
_x000D_
Summary Statement_x000D_
_x000D_
This is a very well motivated proposal on developing a formal framework for event-driven network programming, accompanied by an outreach plan focused on computational thinking. The research need to pay more attention to the scalability issue, and the outreach plan should try to solve a concrete problem._x000D_
_x000D_
</t>
  </si>
  <si>
    <t>The overarching research goal of the proposed work is to transform the  way programmers develop, reason about, implement, and deploy event-driven network programs. In today's world, where every device is  online and where computation and storage are moving to data centers, network programming is becoming crucial. At the same time, the field of network programming is evolving rapidly, and the right way of programming dynamic network applications that react to events has not been established yet. Now is the right time to develop foundations for event-driven network programs. Event-driven network programs change the global state of the network in response to events. Many of the network services are stateful, both standard services such as distributed stateful firewall and intrusion detection, and the novel highly programmable services, such as isolation of data center tenants, and adaptive bandwidth allocation. The developers of such applications currently have to maintain the global distributed state manually, which is a difficult and error-prone process. Our programming model will enable tools (compiler, runtime system, verifiers and synthesizers) that shield the developers from these difficulties. This project will thus help network programmers to be more productive in developing reliable and efficient programs. _x000D_
_x000D_
There are two education goals of the proposal. The first goal is to encourage interest of high-school students in Computer Science, and STEM fields in general. Towards this goal, the PI will develop a series of workshops for high-school students on Computational Thinking  and Concurrency. Computational thinking is a way of solving problems based on fundamental concepts of computer science. Concurrency is one such concept. It is applicable in many real-life non-technology-related scenarios. It is also at the heart of the research project proposed here. The second education goal is to increase appreciation of formal methods (programming languages and verification) by beginning graduate students. The driving concept for this goal is that  formal methods can help improve performance of programs, in addition to their correctness. While this idea is well-known to specialists, it may be eye-opening to beginning graduate students, and will transform the way that they think about formal methods.We will develop foundations for event-driven network programs: (1) programming model, (2) qualitative analysis and synthesis algorithms, and  (3) quantitative analysis and synthesis techniques. We consider the requirements of a program model for network applications, and then propose a model based on Petri nets. We use foundational results in distributed systems to study what consistency levels can be achieved while maintaining full availability. Building on Petri nets allows us to inherit properties such as compositionality, as well as a number of results and analysis algorithms. For qualitative verification we will extend the classical Petri net verification algorithm based on complete unfolding prefixes to control nets with CEGAR (counterexample-guided abstraction refinement). For quantitative verification, we will investigate decidability of new classes of timed systems that are relevant to network programming. Summarizing, we will  build on and extend foundational results in distributed systems and in formal methods in order to obtain solid foundations for event-driven network programs.The proposed research will have direct impact on society, which relies on critical networked systems. First, it will allow programmers to develop more reliable network programs. Second, it will enable developing compilers that ensure that network programs are run more efficiently. Third, it will enable the network programmers to be more productive. Furthermore, the project will foster development of a community of researchers in the interdisciplinary area in the intersection of programming languages, verification, and systems. The broader impact of the educational efforts will attract talented students to STEM fields in general and to Computer Science in particular.</t>
  </si>
  <si>
    <t>E,E,E/V,G</t>
  </si>
  <si>
    <t>Sheng</t>
  </si>
  <si>
    <t>SHF FM/PL CAREER</t>
  </si>
  <si>
    <t xml:space="preserve"> E,E,E/V,G</t>
  </si>
  <si>
    <t>16 rated projects: 2 HC, 7 C, 7 LC</t>
  </si>
  <si>
    <t>CAREER: Making Type Error Debugging Work</t>
  </si>
  <si>
    <t>SOFTWARE &amp; HARDWARE FOUNDATION</t>
  </si>
  <si>
    <t>Anindya Banerjee</t>
  </si>
  <si>
    <t>1045: CAREER: FACULTY EARLY CAR DEV, 9150: EXP PROG TO STIM COMP RES</t>
  </si>
  <si>
    <t>E,E,E/V,V</t>
  </si>
  <si>
    <t>Loris</t>
  </si>
  <si>
    <t xml:space="preserve"> E,E,E/V,V</t>
  </si>
  <si>
    <t>CAREER: Program Synthesis with Quantitative Guarantees</t>
  </si>
  <si>
    <t>Nina Amla</t>
  </si>
  <si>
    <t>E,E/V,V,G</t>
  </si>
  <si>
    <t>Zachary</t>
  </si>
  <si>
    <t xml:space="preserve"> E,E/V,V,G</t>
  </si>
  <si>
    <t>CAREER: Verifying Distributed System Implementations</t>
  </si>
  <si>
    <t>CAREER: A Programming Language for Developing Software to Execute Reliably on Unreliable Hardware</t>
  </si>
  <si>
    <t>E,V,V/G,G</t>
  </si>
  <si>
    <t>Colin</t>
  </si>
  <si>
    <t xml:space="preserve"> E,V,V/G,G</t>
  </si>
  <si>
    <t>CAREER:Verifying OS Kernels with Modal Abstractions of Systems Concepts</t>
  </si>
  <si>
    <t>E,V,V/G,G,G</t>
  </si>
  <si>
    <t xml:space="preserve"> V</t>
  </si>
  <si>
    <t xml:space="preserve"> E ,V/G,G,G</t>
  </si>
  <si>
    <t>CAREER: Interactive Programming and the POSIX Shell</t>
  </si>
  <si>
    <t>E/V,V,V,V,G</t>
  </si>
  <si>
    <t>Lukasz</t>
  </si>
  <si>
    <t xml:space="preserve"> E/V ,V,V,G</t>
  </si>
  <si>
    <t>CAREER: Enabling Adaptable, Object Oriented, Real-time Systems</t>
  </si>
  <si>
    <t>E/V,V,G,G/F</t>
  </si>
  <si>
    <t>David</t>
  </si>
  <si>
    <t xml:space="preserve"> E/V,V,G,G/F</t>
  </si>
  <si>
    <t>CAREER: Gradual Verification for Expressive Languages</t>
  </si>
  <si>
    <t>Sam</t>
  </si>
  <si>
    <t>CAREER: Gradually Strengthening Software Assurance</t>
  </si>
  <si>
    <t>V,V/G,G,G</t>
  </si>
  <si>
    <t>Geoffrey</t>
  </si>
  <si>
    <t xml:space="preserve"> V,V/G,G,G</t>
  </si>
  <si>
    <t>CAREER: Domain-Specific Languages for Heterogeneous Systems</t>
  </si>
  <si>
    <t>V,V/G,G,F</t>
  </si>
  <si>
    <t>Arjun</t>
  </si>
  <si>
    <t xml:space="preserve"> V,V/G,G,F</t>
  </si>
  <si>
    <t>CAREER: Programming in the Post-PC Era</t>
  </si>
  <si>
    <t>E/V,V,G,F,F</t>
  </si>
  <si>
    <t>Harley</t>
  </si>
  <si>
    <t xml:space="preserve"> E/V,V,G,F,F</t>
  </si>
  <si>
    <t>CAREER: Tenli: A Platform that Takes the Verification of Resource Dependent Systems Seriously</t>
  </si>
  <si>
    <t>Danfeng</t>
  </si>
  <si>
    <t>CAREER: Dependently Typed Low-Level Code for Timing-Sensitive Information Flow Security</t>
  </si>
  <si>
    <t>G,G,G,G</t>
  </si>
  <si>
    <t xml:space="preserve"> G,G,G,G</t>
  </si>
  <si>
    <t>CAREER: Flexible Dynamic Sharing Analysis: From Specialization to Specification</t>
  </si>
  <si>
    <t>V/G,V/G,F,F,F/P</t>
  </si>
  <si>
    <t>Raffi</t>
  </si>
  <si>
    <t xml:space="preserve"> V/G</t>
  </si>
  <si>
    <t xml:space="preserve"> V/G,F,F,F/P</t>
  </si>
  <si>
    <t>CAREER: Analyses and Transformations for Imperative Programs with Functional Features</t>
  </si>
  <si>
    <t>Pavol</t>
  </si>
  <si>
    <t>CAREER: Event-driven network programming</t>
  </si>
  <si>
    <t xml:space="preserve">Germany; Spain; Sweden     </t>
  </si>
  <si>
    <t>269907951</t>
  </si>
  <si>
    <t>269949912</t>
  </si>
  <si>
    <t>0032565000</t>
  </si>
  <si>
    <t>269938225</t>
  </si>
  <si>
    <t>269967120</t>
  </si>
  <si>
    <t>0022210000</t>
  </si>
  <si>
    <t>269912141</t>
  </si>
  <si>
    <t>0015792001</t>
  </si>
  <si>
    <t>269960019</t>
  </si>
  <si>
    <t xml:space="preserve">France; Spain; United Kingdom     </t>
  </si>
  <si>
    <t>0033290000</t>
  </si>
  <si>
    <t>269963396</t>
  </si>
  <si>
    <t>0011734000</t>
  </si>
  <si>
    <t>269997170</t>
  </si>
  <si>
    <t>0022244000</t>
  </si>
  <si>
    <t>269979938</t>
  </si>
  <si>
    <t>0018093000</t>
  </si>
  <si>
    <t>IN</t>
  </si>
  <si>
    <t>269895771</t>
  </si>
  <si>
    <t xml:space="preserve">1045 9150     </t>
  </si>
  <si>
    <t>0020313000</t>
  </si>
  <si>
    <t>269965193</t>
  </si>
  <si>
    <t>269962588</t>
  </si>
  <si>
    <t>269975977</t>
  </si>
  <si>
    <t xml:space="preserve">United Kingdom; Worldwide      </t>
  </si>
  <si>
    <t>0026898000</t>
  </si>
  <si>
    <t>269961722</t>
  </si>
  <si>
    <t>0021030000</t>
  </si>
  <si>
    <t>269868325</t>
  </si>
  <si>
    <t>0013706000</t>
  </si>
  <si>
    <t>269913886</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</si>
  <si>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</si>
  <si>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</si>
  <si>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</si>
  <si>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</si>
  <si>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</si>
  <si>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</si>
  <si>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</si>
  <si>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</si>
  <si>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</si>
  <si>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</si>
  <si>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</si>
  <si>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</si>
  <si>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</si>
  <si>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</si>
  <si>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PI OR CO-PI ID</t>
  </si>
  <si>
    <t>eg: 123456789</t>
  </si>
  <si>
    <t>INSTITUTION ID</t>
  </si>
  <si>
    <t>eg: 0123456789</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</si>
  <si>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</si>
  <si>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</si>
  <si>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</si>
  <si>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</si>
  <si>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</si>
  <si>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</si>
  <si>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</si>
  <si>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</si>
  <si>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</si>
  <si>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</si>
  <si>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</si>
  <si>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</si>
  <si>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</si>
  <si>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</si>
  <si>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</si>
  <si>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</si>
  <si>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</si>
  <si>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</si>
  <si>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</si>
  <si>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</si>
  <si>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</si>
  <si>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</si>
  <si>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</si>
  <si>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</si>
  <si>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</si>
  <si>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</si>
  <si>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</si>
  <si>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eg: 10/1/2016</t>
  </si>
  <si>
    <t>eg: 0501%</t>
  </si>
  <si>
    <t>eg: CSE, ENG</t>
  </si>
  <si>
    <t>eg: 7796</t>
  </si>
  <si>
    <t>eg: ~WTH,RTNR</t>
  </si>
  <si>
    <t>eg: 4110</t>
  </si>
  <si>
    <t>eg: NEW,RNEW,ABR</t>
  </si>
  <si>
    <t>eg: jsnoeyi</t>
  </si>
  <si>
    <t>eg: %BSF%</t>
  </si>
  <si>
    <t>updated</t>
  </si>
  <si>
    <t>sql</t>
  </si>
  <si>
    <t>revtable</t>
  </si>
  <si>
    <t xml:space="preserve">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</si>
  <si>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RA_leads</t>
  </si>
  <si>
    <t xml:space="preserve">INSERT INTO #myPid _x000D_
SELECT DISTINCT CASE WHEN p.lead_prop_id IS NULL THEN 'I' WHEN p.lead_prop_id &lt;&gt; p.prop_id THEN 'N' ELSE 'L' END AS ILN,_x000D_
isnull(p.lead_prop_id,p.prop_id) AS lead, p.prop_id, p.pi_id, p.inst_id_x000D_
FROM #myPid pid_x000D_
JOIN csd.prop p ON p.lead_prop_id = pid.lead_x000D_
WHERE pid.ILN &lt; 'M' AND NOT EXISTS (SELECT * FROM #myPid px WHERE px.prop_id = p.prop_id)_x000D_
_x000D_
-- project leads_x000D_
SELECT p.ILN, p.lead_x000D_
INTO #myLead_x000D_
FROM #myPid p_x000D_
WHERE p.ILN &lt; 'M' _x000D_
CREATE INDEX myLead_idx ON #myLead(lead)_x000D_
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</si>
  <si>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RA_propPRCs</t>
  </si>
  <si>
    <t xml:space="preserve">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</si>
  <si>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RA_prop</t>
  </si>
  <si>
    <t xml:space="preserve">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#myPropBudg_x000D_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_x000D_
-- per-proposal data _x000D_
SELECT pid.lead, pid.ILN, pid.prop_id,_x000D_
pi_last_name as L, pi_frst_name as F, inst_shrt_name as I, pi_emai_addr AS M, rqst_dol as D, _x000D_
prc.R, b.T, b.RN, inst.st_code,_x000D_
id=identity(18), 0 as seq _x000D_
INTO #myProp_x000D_
FROM #myPid pid_x000D_
JOIN csd.prop p ON p.prop_id = pid.prop_id_x000D_
LEFT JOIN csd.pi_vw pi ON pi.pi_id = p.pi_id_x000D_
LEFT JOIN csd.inst inst ON inst.inst_id = p.inst_id_x000D_
LEFT JOIN #myPRCs prc ON prc.prop_id = pid.prop_id_x000D_
LEFT JOIN #myPropBudg b ON b.prop_id = p.prop_id_x000D_
WHERE pi.prim_addr_flag='Y'_x000D_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</si>
  <si>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RA_revs</t>
  </si>
  <si>
    <t xml:space="preserve">declare @adhoc char(7), @olddate datetime_x000D_
SELECT @adhoc = '.ad hoc ',  @olddate = '1/1/2000' -- for formatting dates_x000D_
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#myRevs_x000D_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#myRevMarks_x000D_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#myRevSumm_x000D_
FROM #myRevs r_x000D_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#myRevPanl_x000D_
FROM #myRevs r_x000D_
WHERE confl = 0_x000D_
GROUP BY lead, panl_id_x000D_
CREATE INDEX myRevPanl_ix ON #myRevPanl(lead, panl_id)_x000D_
</t>
  </si>
  <si>
    <t>RA_panl</t>
  </si>
  <si>
    <t xml:space="preserve">SELECT pn.panl_id AS I, panl_name AS PN, panl_end_date AS E, _x000D_
  (SELECT COUNT(DISTINCT revr_id) FROM csd.panl_revr r WHERE r.panl_id = pn.panl_id) AS P,_x000D_
  convert(varchar(126),NULL) AS S_x000D_
INTO #myPanl_x000D_
FROM (SELECT DISTINCT panl_id FROM #myLead pid_x000D_
      JOIN csd.panl_prop pp ON pp.prop_id = pid.lead) pn_x000D_
JOIN csd.panl panl ON panl.panl_id = pn.panl_id_x000D_
CREATE INDEX myPanl_ix ON #myPanl(I)_x000D_
_x000D_
SELECT pp.panl_id, s.RCOM_SEQ_NUM, RCOM_ABBR, Count(s.PROP_ID) AS rtCount_x000D_
INTO #myPanlOutcomes_x000D_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pl_x000D_
DROP TABLE #myPanlOutcomes_x000D_
_x000D_
--per project panel summary DROP TABLE #myProjPanl_x000D_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#myProjPanl_x000D_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_x000D_
SELECT lead, MIN(id) as start INTO #myPStarts FROM #myProjPanl GROUP BY lead_x000D_
UPDATE #myProjPanl SET seq = id-M.start FROM #myProjPanl r, #myPStarts M  WHERE r.lead = M.lead_x000D_
DROP TABLE #myPStarts_x000D_
_x000D_
SELECT lead, count(I) AS nPanl, min(RS)+isnull(min(RK),0)/100.0 AS RecRkMin, nullif(sum(summ_unrls),0) as nPSunrls, _x000D_
    nullif(sum(summ_unmrkd),0) as nPSunmrkd _x000D_
INTO #myPropPanlSum_x000D_
FROM #myProjPanl GROUP BY lead_x000D_
</t>
  </si>
  <si>
    <t>RA_allRAdata</t>
  </si>
  <si>
    <t xml:space="preserve">SELECT getdate() AS pulldate, nsf_rcvd_date, _x000D_
nullif(dd_rcom_date,'1900-01-01') AS dd_rcom_date, ra.RAupdate, _x000D_
cntx_stmt_id, prop.pgm_annc_id, prop.org_code, prop.pgm_ele_code,_x000D_
prop.pm_ibm_logn_id as PO,_x000D_
prop_stts_abbr,natr_rqst.natr_rqst_abbr,prop.obj_clas_code,_x000D_
org.dir_div_abbr as Div, _x000D_
nPanl, isnull(RecRkMin,99) AS RecRkMin, pn0.RA as rec0, pn1.RA as rec1, pn2.RA as rec2, _x000D_
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rs.lead = p.lead_x000D_
LEFT JOIN csd.po_vw po_vw ON po_vw.po_ibm_logn_id = prop.pm_ibm_logn_id_x000D_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retrieved','PO signature name string','Proposal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</si>
  <si>
    <t>RA_PRCglossary</t>
  </si>
  <si>
    <t xml:space="preserve">SELECT p.prop_atr_code AS PRC, prc.pgm_ref_txt AS PRC_Description_x000D_
FROM (SELECT DISTINCT prop_atr_code FROM #myPRCdata) p_x000D_
JOIN csd.pgm_ref prc ON prc.pgm_ref_code = p.prop_atr_code_x000D_
ORDER BY PRC_x000D_
</t>
  </si>
  <si>
    <t>RA_budgInfo</t>
  </si>
  <si>
    <t xml:space="preserve">SELECT prop_id,R,id=identity(18), 0 as 'seq'_x000D_
INTO #myBudgPRCs _x000D_
FROM (SELECT DISTINCT p.prop_id,bpr.pgm_ref_code AS R_x000D_
      FROM #myPid p_x000D_
      JOIN csd.budg_pgm_ref bpr ON bpr.prop_id = p.prop_id) bpr_x000D_
ORDER BY prop_id,R_x000D_
SELECT prop_id,MIN(id) as 'start'_x000D_
INTO #mySt2 _x000D_
FROM #myBudgPRCs _x000D_
GROUP BY prop_id_x000D_
UPDATE #myBudgPRCs set seq = id-M.start FROM #myBudgPRCs rb, #mySt2 M_x000D_
WHERE rb.prop_id = M.prop_id _x000D_
CREATE INDEX myBudgPRCs ON #myBudgPRCs(prop_id, seq)_x000D_
drop table #mySt2_x000D_
_x000D_
SELECT p.prop_id,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#myBudgPRCs bp WHERE bp.prop_id = p.prop_id) AS bPRCs_x000D_
FROM #myPid p_x000D_
order by p.prop_id_x000D_
</t>
  </si>
  <si>
    <t>RA_awdCheck</t>
  </si>
  <si>
    <t xml:space="preserve">SELECT p.prop_id, ctry.ctry_name, id=identity(18), 0 as 'seq' INTO #myCtry_x000D_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p.prop_id,_x000D_
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#myCovrInfo_x000D_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prop.pm_ibm_logn_id as PO, prop_stts_abbr,natr_rqst.natr_rqst_abbr,prop.obj_clas_code,ai.awd_istr_abbr as rcom_istr_abbr,_x000D_
org.dir_div_abbr as Div, p.lead, p.ILN, p.prop_id,_x000D_
p.L AS pi_last_name, p.F AS pi_frst_name, p.I AS inst, p.st_code, p.M as email, 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#myBudgPRCs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</si>
  <si>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RA_propCheck</t>
  </si>
  <si>
    <t xml:space="preserve">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#myDmog_x000D_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#myPropPanlSum pl ON pl.lead = p.prop_id_x000D_
ORDER BY p.lead, p.ILN, p.prop_id_x000D_
_x000D_
DROP TABLE #myDmog DROP TABLE #myPid DROP TABLE #myPRCs DROP TABLE #myCtry DROP TABLE #myRevs DROP TABLE #myPanl_x000D_
</t>
  </si>
  <si>
    <t>PRC Glossary; details on PRCs on proposals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</si>
</sst>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9" formatCode="mm/dd/yy\ hh:mm"/>
    <numFmt numFmtId="170" formatCode="_([$$-409]* #,##0_);_([$$-409]* \(#,##0\);_([$$-409]* &quot;-&quot;??_);_(@_)"/>
    <numFmt numFmtId="171" formatCode=";;;**********"/>
  </numFmts>
  <fonts count="29"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87">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6" fillId="0" borderId="0" xfId="1" applyFont="1"/>
    <xf numFmtId="165" fontId="6" fillId="0" borderId="0" xfId="1" applyNumberFormat="1" applyFont="1"/>
    <xf numFmtId="0" fontId="1" fillId="0" borderId="0" xfId="0" applyFont="1" applyFill="1"/>
    <xf numFmtId="0" fontId="6" fillId="0" borderId="0" xfId="0" applyFont="1" applyFill="1"/>
    <xf numFmtId="166" fontId="6" fillId="0" borderId="0" xfId="2" applyNumberFormat="1" applyFont="1"/>
    <xf numFmtId="0" fontId="6" fillId="0" borderId="1" xfId="1" applyFont="1" applyBorder="1"/>
    <xf numFmtId="166" fontId="6" fillId="0" borderId="0" xfId="2" applyNumberFormat="1" applyFont="1" applyFill="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0" fillId="0" borderId="0" xfId="0" applyNumberFormat="1"/>
    <xf numFmtId="165" fontId="10" fillId="0" borderId="0" xfId="0" applyNumberFormat="1" applyFont="1"/>
    <xf numFmtId="0" fontId="10" fillId="0" borderId="0" xfId="0" applyFont="1"/>
    <xf numFmtId="0" fontId="13" fillId="0" borderId="0" xfId="1" applyFont="1"/>
    <xf numFmtId="0" fontId="0" fillId="0" borderId="0" xfId="0" applyNumberFormat="1"/>
    <xf numFmtId="169"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70"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25" fillId="3" borderId="0" xfId="0" applyFont="1" applyFill="1" applyAlignment="1">
      <alignment horizontal="center" vertical="center"/>
    </xf>
    <xf numFmtId="0" fontId="0" fillId="0" borderId="0" xfId="0" applyProtection="1">
      <protection locked="0"/>
    </xf>
    <xf numFmtId="0" fontId="0" fillId="0" borderId="0" xfId="0" applyAlignment="1" applyProtection="1">
      <alignment horizontal="right"/>
      <protection locked="0"/>
    </xf>
    <xf numFmtId="171" fontId="0" fillId="0" borderId="0" xfId="0" applyNumberFormat="1" applyProtection="1">
      <protection locked="0" hidden="1"/>
    </xf>
    <xf numFmtId="0" fontId="0" fillId="0" borderId="5" xfId="0" applyBorder="1"/>
    <xf numFmtId="0" fontId="0" fillId="0" borderId="6" xfId="0" applyBorder="1"/>
    <xf numFmtId="0" fontId="0" fillId="0" borderId="1" xfId="0" applyBorder="1"/>
    <xf numFmtId="0" fontId="0" fillId="0" borderId="7" xfId="0" applyBorder="1"/>
    <xf numFmtId="0" fontId="0" fillId="0" borderId="8" xfId="0" applyBorder="1"/>
    <xf numFmtId="0" fontId="0" fillId="0" borderId="9" xfId="0" applyBorder="1"/>
    <xf numFmtId="0" fontId="22" fillId="4" borderId="10" xfId="0" applyFont="1" applyFill="1" applyBorder="1"/>
    <xf numFmtId="0" fontId="22" fillId="4" borderId="11" xfId="0" applyFont="1" applyFill="1" applyBorder="1"/>
    <xf numFmtId="0" fontId="22" fillId="4" borderId="12" xfId="0" applyFont="1" applyFill="1" applyBorder="1"/>
    <xf numFmtId="22" fontId="0" fillId="0" borderId="0" xfId="0" applyNumberFormat="1" applyProtection="1">
      <protection locked="0"/>
    </xf>
    <xf numFmtId="0" fontId="0" fillId="0" borderId="0" xfId="0" applyAlignment="1" applyProtection="1">
      <alignment wrapText="1"/>
      <protection locked="0"/>
    </xf>
  </cellXfs>
  <cellStyles count="6">
    <cellStyle name="Currency" xfId="2" builtinId="4"/>
    <cellStyle name="Hyperlink" xfId="1" builtinId="8"/>
    <cellStyle name="Normal" xfId="0" builtinId="0"/>
    <cellStyle name="Percent" xfId="5" builtinId="5"/>
    <cellStyle name="Subtotal" xfId="4"/>
    <cellStyle name="Subtotal Label" xfId="3"/>
  </cellStyles>
  <dxfs count="195">
    <dxf>
      <fill>
        <patternFill>
          <bgColor rgb="FFECF4FA"/>
        </patternFill>
      </fill>
    </dxf>
    <dxf>
      <fill>
        <patternFill>
          <bgColor rgb="FFFEEFE2"/>
        </patternFill>
      </fill>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9" formatCode="mm/dd/yy\ hh:mm"/>
    </dxf>
    <dxf>
      <numFmt numFmtId="165" formatCode="mm/dd/yy;@"/>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9" formatCode="mm/dd/yy\ hh:mm"/>
    </dxf>
    <dxf>
      <numFmt numFmtId="165" formatCode="mm/dd/yy;@"/>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numFmt numFmtId="0" formatCode="General"/>
    </dxf>
    <dxf>
      <numFmt numFmtId="0" formatCode="General"/>
    </dxf>
    <dxf>
      <numFmt numFmtId="27" formatCode="m/d/yyyy\ h:mm"/>
    </dxf>
    <dxf>
      <numFmt numFmtId="165" formatCode="mm/dd/yy;@"/>
    </dxf>
    <dxf>
      <numFmt numFmtId="165" formatCode="mm/dd/yy;@"/>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70" formatCode="_([$$-409]* #,##0_);_([$$-409]* \(#,##0\);_([$$-409]* &quot;-&quot;??_);_(@_)"/>
    </dxf>
    <dxf>
      <numFmt numFmtId="170"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70" formatCode="_([$$-409]* #,##0_);_([$$-409]* \(#,##0\);_([$$-409]* &quot;-&quot;??_);_(@_)"/>
    </dxf>
    <dxf>
      <numFmt numFmtId="170"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9" formatCode="mm/dd/yy\ hh:mm"/>
    </dxf>
    <dxf>
      <numFmt numFmtId="169" formatCode="mm/dd/yy\ hh:mm"/>
    </dxf>
    <dxf>
      <numFmt numFmtId="165" formatCode="mm/dd/yy;@"/>
    </dxf>
    <dxf>
      <fill>
        <patternFill>
          <bgColor rgb="FFFEFECE"/>
        </patternFill>
      </fill>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9" formatCode="mm/dd/yy\ hh:mm"/>
    </dxf>
    <dxf>
      <numFmt numFmtId="165" formatCode="mm/dd/yy;@"/>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194"/>
      <tableStyleElement type="headerRow" dxfId="193"/>
      <tableStyleElement type="totalRow" dxfId="192"/>
      <tableStyleElement type="firstRowStripe" dxfId="191"/>
    </tableStyle>
    <tableStyle name="OmitTableStyle" pivot="0" count="6">
      <tableStyleElement type="wholeTable" dxfId="190"/>
      <tableStyleElement type="headerRow" dxfId="189"/>
      <tableStyleElement type="totalRow" dxfId="188"/>
      <tableStyleElement type="firstColumn" dxfId="187"/>
      <tableStyleElement type="lastColumn" dxfId="186"/>
      <tableStyleElement type="firstRowStripe" dxfId="185"/>
    </tableStyle>
    <tableStyle name="TableFall" pivot="0" count="4">
      <tableStyleElement type="wholeTable" dxfId="184"/>
      <tableStyleElement type="headerRow" dxfId="183"/>
      <tableStyleElement type="totalRow" dxfId="182"/>
      <tableStyleElement type="firstRowStripe" dxfId="181"/>
    </tableStyle>
    <tableStyle name="TableStyleMedium3 2" pivot="0" count="7">
      <tableStyleElement type="wholeTable" dxfId="180"/>
      <tableStyleElement type="headerRow" dxfId="179"/>
      <tableStyleElement type="totalRow" dxfId="178"/>
      <tableStyleElement type="firstColumn" dxfId="177"/>
      <tableStyleElement type="lastColumn" dxfId="176"/>
      <tableStyleElement type="firstRowStripe" dxfId="175"/>
      <tableStyleElement type="firstColumnStripe" dxfId="174"/>
    </tableStyle>
    <tableStyle name="TableStyleMedium7 2" pivot="0" count="7">
      <tableStyleElement type="wholeTable" dxfId="173"/>
      <tableStyleElement type="headerRow" dxfId="172"/>
      <tableStyleElement type="totalRow" dxfId="171"/>
      <tableStyleElement type="firstColumn" dxfId="170"/>
      <tableStyleElement type="lastColumn" dxfId="169"/>
      <tableStyleElement type="firstRowStripe" dxfId="168"/>
      <tableStyleElement type="firstColumnStripe" dxfId="167"/>
    </tableStyle>
  </tableStyles>
  <colors>
    <mruColors>
      <color rgb="FFFEEFE2"/>
      <color rgb="FF6C8B1B"/>
      <color rgb="FFFEFECE"/>
      <color rgb="FFFABDB8"/>
      <color rgb="FFC81E0F"/>
      <color rgb="FFE11E1E"/>
      <color rgb="FFFFC1C1"/>
      <color rgb="FFFFFFD9"/>
      <color rgb="FFFBFEE2"/>
      <color rgb="FFFFE1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3.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3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3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26</xdr:row>
      <xdr:rowOff>55063</xdr:rowOff>
    </xdr:from>
    <xdr:to>
      <xdr:col>4</xdr:col>
      <xdr:colOff>903513</xdr:colOff>
      <xdr:row>28</xdr:row>
      <xdr:rowOff>78170</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26</xdr:row>
      <xdr:rowOff>19208</xdr:rowOff>
    </xdr:from>
    <xdr:to>
      <xdr:col>4</xdr:col>
      <xdr:colOff>209921</xdr:colOff>
      <xdr:row>29</xdr:row>
      <xdr:rowOff>180160</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25</xdr:row>
      <xdr:rowOff>229349</xdr:rowOff>
    </xdr:from>
    <xdr:to>
      <xdr:col>3</xdr:col>
      <xdr:colOff>324113</xdr:colOff>
      <xdr:row>31</xdr:row>
      <xdr:rowOff>32143</xdr:rowOff>
    </xdr:to>
    <xdr:pic macro="[1]!Refresh">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125186</xdr:colOff>
          <xdr:row>0</xdr:row>
          <xdr:rowOff>174171</xdr:rowOff>
        </xdr:from>
        <xdr:to>
          <xdr:col>20</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PD-3PO%20devel\PD-3PO-v1.2-release%20candidate%202017_01_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Projects"/>
      <sheetName val="DB_Projs"/>
      <sheetName val="PersInst"/>
      <sheetName val="DB_PersInst"/>
      <sheetName val="Proposals"/>
      <sheetName val="DB_Props"/>
      <sheetName val="Panels"/>
      <sheetName val="PropsOnPanls"/>
      <sheetName val="ProjSumKey"/>
      <sheetName val="Orphans"/>
      <sheetName val="NewInst"/>
      <sheetName val="SubAwards"/>
      <sheetName val="Transfers"/>
      <sheetName val="SuggRevrs"/>
      <sheetName val="Reviewers"/>
      <sheetName val="Panelists"/>
      <sheetName val="BulkCOI"/>
      <sheetName val="DDOverview"/>
      <sheetName val="DDReviews"/>
      <sheetName val="Help"/>
      <sheetName val="Favorites"/>
      <sheetName val="Settings"/>
      <sheetName val="PD-3PO-v1"/>
    </sheetNames>
    <definedNames>
      <definedName name="Refresh"/>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queryTables/queryTable1.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2.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91">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7" name="pm_ibm_logn_id" tableColumnId="7"/>
      <queryTableField id="68" name="lead" tableColumnId="8"/>
      <queryTableField id="55" dataBound="0" tableColumnId="1"/>
      <queryTableField id="58" dataBound="0" tableColumnId="2"/>
      <queryTableField id="70" name="pi_last_name" tableColumnId="11"/>
      <queryTableField id="71" name="inst_name" tableColumnId="12"/>
      <queryTableField id="72" name="pi_emai_addr" tableColumnId="13"/>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6.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148">
    <queryTableFields count="130">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4" name="RCOM_ABBR0" tableColumnId="14"/>
      <queryTableField id="15" name="RCOM_ABBR1" tableColumnId="15"/>
      <queryTableField id="16" name="RCOM_ABBR2" tableColumnId="16"/>
      <queryTableField id="17" name="reviews" tableColumnId="17"/>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0" name="Nunrlsd" tableColumnId="20"/>
      <queryTableField id="21" name="Nunmkd" tableColumnId="21"/>
      <queryTableField id="22" name="last_rev_date" tableColumnId="22"/>
      <queryTableField id="23" name="nPanl" tableColumnId="23"/>
      <queryTableField id="24" name="nPSrlse" tableColumnId="24"/>
      <queryTableField id="25" name="nPSunmrkd" tableColumnId="25"/>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2" name="panlSumm0" tableColumnId="42"/>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49" name="panlSumm1" tableColumnId="49"/>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6" name="panlSumm2" tableColumnId="56"/>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4" name="org_long_name" tableColumnId="64"/>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2" name="PRCN0" tableColumnId="72"/>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0" name="PRCN1" tableColumnId="80"/>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8" name="PRCN2" tableColumnId="88"/>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6" name="PRCN3" tableColumnId="96"/>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4" name="PRCN4" tableColumnId="104"/>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2" name="PRCN5" tableColumnId="112"/>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0" name="PRCN6" tableColumnId="120"/>
      <queryTableField id="121" name="email" tableColumnId="121"/>
      <queryTableField id="122" name="allPIemail" tableColumnId="12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8" name="AwdPropTable" displayName="AwdPropTable" ref="A12:A31" totalsRowShown="0" dataDxfId="166">
  <autoFilter ref="A12:A31"/>
  <tableColumns count="1">
    <tableColumn id="1" name="prop_id" dataDxfId="16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164">
  <autoFilter ref="D12:D32"/>
  <tableColumns count="1">
    <tableColumn id="1" name="prop_id" dataDxfId="16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62">
  <autoFilter ref="G12:G14"/>
  <tableColumns count="1">
    <tableColumn id="1" name="prop_id" dataDxfId="161"/>
  </tableColumns>
  <tableStyleInfo name="TableStyleMedium3 2" showFirstColumn="0" showLastColumn="0" showRowStripes="1" showColumnStripes="0"/>
</table>
</file>

<file path=xl/tables/table4.xml><?xml version="1.0" encoding="utf-8"?>
<table xmlns="http://schemas.openxmlformats.org/spreadsheetml/2006/main" id="3" name="CodingTable" displayName="CodingTable" ref="A2:AW18" tableType="queryTable" totalsRowShown="0">
  <autoFilter ref="A2:AW18"/>
  <tableColumns count="49">
    <tableColumn id="4" uniqueName="4" name="nsf_rcvd_date" queryTableFieldId="4" dataDxfId="152"/>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_xlfn.XOR(IFERROR(MATCH(CodingTable[[#This Row],[st_code]],EpscorTable[],0)&gt;0,FALSE),IFERROR(FIND("9150",CodingTable[[#This Row],[PRCs]])&gt;0,FALSE))</calculatedColumnFormula>
    </tableColumn>
    <tableColumn id="39" uniqueName="39" name="WMD?9102" queryTableFieldId="265">
      <calculatedColumnFormula>_xlfn.XOR(CodingTable[[#This Row],[WMD]]&lt;&gt;"",IFERROR(FIND("9102",CodingTable[[#This Row],[PRCs]])&gt;0,FALSE))</calculatedColumnFormula>
    </tableColumn>
    <tableColumn id="38" uniqueName="38" name="WMD" queryTableFieldId="264">
      <calculatedColumnFormula>IF(SUM(AT3:AW3)&gt;0,"WMD","")</calculatedColumnFormula>
    </tableColumn>
    <tableColumn id="11" uniqueName="11" name="cntx_stmt_id" queryTableFieldId="11"/>
    <tableColumn id="32" uniqueName="32" name="RAupdate" queryTableFieldId="254" dataDxfId="151"/>
    <tableColumn id="28" uniqueName="28" name="bas_rsch_pct" queryTableFieldId="243" dataDxfId="150" dataCellStyle="Percent"/>
    <tableColumn id="29" uniqueName="29" name="other_pct" queryTableFieldId="244" dataDxfId="149" dataCellStyle="Percent"/>
    <tableColumn id="206" uniqueName="206" name="@pi email" queryTableFieldId="212" dataDxfId="148" dataCellStyle="Hyperlink">
      <calculatedColumnFormula>HYPERLINK("mailto:"&amp;CodingTable[[#This Row],[pi_emai_addr]]&amp;"&amp;subject=Your NSF Proposal:  "&amp;CodingTable[[#This Row],[prop_id]], CodingTable[[#This Row],[pi_emai_addr]])</calculatedColumnFormula>
    </tableColumn>
    <tableColumn id="25" uniqueName="25" name="0" queryTableFieldId="230">
      <calculatedColumnFormula xml:space="preserve"> S2+(CodingTable[ILN]&lt;"M")</calculatedColumnFormula>
    </tableColumn>
    <tableColumn id="2" uniqueName="2" name="ILN" queryTableFieldId="215"/>
    <tableColumn id="3" uniqueName="3" name="lead" queryTableFieldId="216"/>
    <tableColumn id="205" uniqueName="205" name="eJ" queryTableFieldId="213" dataDxfId="147" dataCellStyle="Hyperlink">
      <calculatedColumnFormula>HYPERLINK("https://www.ejacket.nsf.gov/ej/showProposal.do?ID="&amp;CodingTable[[#This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146"/>
    <tableColumn id="16" uniqueName="16" name="rqst_eff_date" queryTableFieldId="16" dataDxfId="145"/>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144" dataCellStyle="Currency"/>
    <tableColumn id="30" uniqueName="30" name="Country" queryTableFieldId="250"/>
    <tableColumn id="200" uniqueName="200" name="pi_emai_addr" queryTableFieldId="200"/>
    <tableColumn id="1" uniqueName="1" name="dd_rcom_date" queryTableFieldId="214" dataDxfId="143"/>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StyleMedium2" showFirstColumn="0" showLastColumn="0" showRowStripes="0" showColumnStripes="0"/>
</table>
</file>

<file path=xl/tables/table5.xml><?xml version="1.0" encoding="utf-8"?>
<table xmlns="http://schemas.openxmlformats.org/spreadsheetml/2006/main" id="7" name="CodingTable8" displayName="CodingTable8" ref="A2:AW18" tableType="queryTable" totalsRowShown="0">
  <autoFilter ref="A2:AW18"/>
  <tableColumns count="49">
    <tableColumn id="4" uniqueName="4" name="nsf_rcvd_date" queryTableFieldId="4" dataDxfId="29"/>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_xlfn.XOR(IFERROR(MATCH(CodingTable8[[#This Row],[st_code]],EpscorTable[],0)&gt;0,FALSE),IFERROR(FIND("9150",CodingTable8[[#This Row],[PRCs]])&gt;0,FALSE))</calculatedColumnFormula>
    </tableColumn>
    <tableColumn id="39" uniqueName="39" name="WMD?9102" queryTableFieldId="265">
      <calculatedColumnFormula>_xlfn.XOR(CodingTable8[[#This Row],[WMD]]&lt;&gt;"",IFERROR(FIND("9102",CodingTable8[[#This Row],[PRCs]])&gt;0,FALSE))</calculatedColumnFormula>
    </tableColumn>
    <tableColumn id="38" uniqueName="38" name="WMD" queryTableFieldId="264">
      <calculatedColumnFormula>IF(SUM(AT3:AW3)&gt;0,"WMD","")</calculatedColumnFormula>
    </tableColumn>
    <tableColumn id="11" uniqueName="11" name="cntx_stmt_id" queryTableFieldId="11"/>
    <tableColumn id="32" uniqueName="32" name="RAupdate" queryTableFieldId="254" dataDxfId="28"/>
    <tableColumn id="28" uniqueName="28" name="bas_rsch_pct" queryTableFieldId="243" dataDxfId="27" dataCellStyle="Percent"/>
    <tableColumn id="29" uniqueName="29" name="other_pct" queryTableFieldId="244" dataDxfId="26" dataCellStyle="Percent"/>
    <tableColumn id="206" uniqueName="206" name="@pi email" queryTableFieldId="212" dataDxfId="25" dataCellStyle="Hyperlink">
      <calculatedColumnFormula>HYPERLINK("mailto:"&amp;CodingTable8[[#This Row],[pi_emai_addr]]&amp;"&amp;subject=Your NSF Proposal:  "&amp;CodingTable8[[#This Row],[prop_id]], CodingTable8[[#This Row],[pi_emai_addr]])</calculatedColumnFormula>
    </tableColumn>
    <tableColumn id="25" uniqueName="25" name="0" queryTableFieldId="230">
      <calculatedColumnFormula xml:space="preserve"> S2+(CodingTable8[ILN]&lt;"M")</calculatedColumnFormula>
    </tableColumn>
    <tableColumn id="2" uniqueName="2" name="ILN" queryTableFieldId="215"/>
    <tableColumn id="3" uniqueName="3" name="lead" queryTableFieldId="216"/>
    <tableColumn id="205" uniqueName="205" name="eJ" queryTableFieldId="213" dataDxfId="24" dataCellStyle="Hyperlink">
      <calculatedColumnFormula>HYPERLINK("https://www.ejacket.nsf.gov/ej/showProposal.do?ID="&amp;CodingTable8[[#This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23"/>
    <tableColumn id="16" uniqueName="16" name="rqst_eff_date" queryTableFieldId="16" dataDxfId="22"/>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21" dataCellStyle="Currency"/>
    <tableColumn id="30" uniqueName="30" name="Country" queryTableFieldId="250"/>
    <tableColumn id="200" uniqueName="200" name="pi_emai_addr" queryTableFieldId="200"/>
    <tableColumn id="1" uniqueName="1" name="dd_rcom_date" queryTableFieldId="214" dataDxfId="20"/>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StyleMedium2" showFirstColumn="0" showLastColumn="0" showRowStripes="0" showColumnStripes="0"/>
</table>
</file>

<file path=xl/tables/table6.xml><?xml version="1.0" encoding="utf-8"?>
<table xmlns="http://schemas.openxmlformats.org/spreadsheetml/2006/main" id="5" name="RAdata6" displayName="RAdata6" ref="A3:Z99" tableType="queryTable" totalsRowShown="0" dataDxfId="122">
  <autoFilter ref="A3:Z99"/>
  <tableColumns count="26">
    <tableColumn id="10" uniqueName="10" name="prop_id" queryTableFieldId="10" dataDxfId="121"/>
    <tableColumn id="9" uniqueName="9" name="ILN" queryTableFieldId="89" dataDxfId="120" dataCellStyle="Hyperlink"/>
    <tableColumn id="3" uniqueName="3" name="nsf_rcvd_date" queryTableFieldId="63" dataDxfId="119" dataCellStyle="Hyperlink"/>
    <tableColumn id="4" uniqueName="4" name="pgm_annc_id" queryTableFieldId="64" dataDxfId="118" dataCellStyle="Hyperlink"/>
    <tableColumn id="5" uniqueName="5" name="org_code" queryTableFieldId="65" dataDxfId="117" dataCellStyle="Hyperlink"/>
    <tableColumn id="6" uniqueName="6" name="pgm_ele_code" queryTableFieldId="66" dataDxfId="116" dataCellStyle="Hyperlink"/>
    <tableColumn id="7" uniqueName="7" name="pm_ibm_logn_id" queryTableFieldId="67" dataDxfId="115" dataCellStyle="Hyperlink"/>
    <tableColumn id="8" uniqueName="8" name="lead" queryTableFieldId="68" dataDxfId="114" dataCellStyle="Hyperlink"/>
    <tableColumn id="1" uniqueName="1" name="eJ" queryTableFieldId="55" dataCellStyle="Hyperlink">
      <calculatedColumnFormula>IF(RAdata6[[#This Row],[pi_last_name]]=" ","",HYPERLINK("https://www.ejacket.nsf.gov/ej/showProposal.do?Continue=Y&amp;ID="&amp;RAdata6[[#This Row],[prop_id]],RAdata6[[#This Row],[prop_id]]))</calculatedColumnFormula>
    </tableColumn>
    <tableColumn id="2" uniqueName="2" name="RA" queryTableFieldId="58" dataCellStyle="Hyperlink">
      <calculatedColumnFormula>IF(RAdata6[[#This Row],[pi_last_name]]=" ","",HYPERLINK("https://www.ejacket.nsf.gov/ej/processReviewAnalysis.do?dispatch=add&amp;uniqId="&amp;RAdata6[[#This Row],[prop_id]]&amp;pm_ibm_logn_id,"&gt;ra"))</calculatedColumnFormula>
    </tableColumn>
    <tableColumn id="11" uniqueName="11" name="pi_last_name" queryTableFieldId="70" dataDxfId="113" dataCellStyle="Hyperlink"/>
    <tableColumn id="12" uniqueName="12" name="inst_name" queryTableFieldId="71" dataDxfId="112" dataCellStyle="Hyperlink"/>
    <tableColumn id="13" uniqueName="13" name="pi_emai_addr" queryTableFieldId="72" dataDxfId="111" dataCellStyle="Hyperlink"/>
    <tableColumn id="14" uniqueName="14" name="sr_pers_cnt" queryTableFieldId="73" dataDxfId="110" dataCellStyle="Hyperlink"/>
    <tableColumn id="15" uniqueName="15" name="sr_summ_mnth_cnt" queryTableFieldId="74" dataDxfId="109" dataCellStyle="Hyperlink"/>
    <tableColumn id="16" uniqueName="16" name="pdoc_grnt_dol" queryTableFieldId="75" dataDxfId="108" dataCellStyle="Currency"/>
    <tableColumn id="17" uniqueName="17" name="frgn_trav_dol" queryTableFieldId="76" dataDxfId="107" dataCellStyle="Currency"/>
    <tableColumn id="18" uniqueName="18" name="part_dol" queryTableFieldId="77" dataDxfId="106" dataCellStyle="Currency"/>
    <tableColumn id="19" uniqueName="19" name="budg_tot_dol" queryTableFieldId="78" dataDxfId="105" dataCellStyle="Currency"/>
    <tableColumn id="20" uniqueName="20" name="revn_num" queryTableFieldId="79" dataDxfId="104" dataCellStyle="Hyperlink"/>
    <tableColumn id="21" uniqueName="21" name="budg_seq_yr" queryTableFieldId="80" dataDxfId="103" dataCellStyle="Hyperlink"/>
    <tableColumn id="26" uniqueName="26" name="Column1" queryTableFieldId="85" dataDxfId="102" dataCellStyle="Hyperlink">
      <calculatedColumnFormula>IF(ISBLANK(RAdata6[[#This Row],[budg_seq_yr]]),"FY"&amp;fiscalyear,"FY"&amp;fiscalyear-1+RAdata6[[#This Row],[budg_seq_yr]])</calculatedColumnFormula>
    </tableColumn>
    <tableColumn id="22" uniqueName="22" name="dol" queryTableFieldId="81" dataDxfId="101" dataCellStyle="Currency"/>
    <tableColumn id="23" uniqueName="23" name="org_code2" queryTableFieldId="82" dataDxfId="100" dataCellStyle="Hyperlink"/>
    <tableColumn id="24" uniqueName="24" name="PEC" queryTableFieldId="83" dataDxfId="99" dataCellStyle="Hyperlink"/>
    <tableColumn id="25" uniqueName="25" name="PRCs" queryTableFieldId="84" dataDxfId="98" dataCellStyle="Hyperlink"/>
  </tableColumns>
  <tableStyleInfo name="AddTableStyle" showFirstColumn="0" showLastColumn="0" showRowStripes="0" showColumnStripes="0"/>
</table>
</file>

<file path=xl/tables/table7.xml><?xml version="1.0" encoding="utf-8"?>
<table xmlns="http://schemas.openxmlformats.org/spreadsheetml/2006/main" id="1" name="ProjTextTable" displayName="ProjTextTable" ref="A1:P101" tableType="queryTable" totalsRowCount="1">
  <autoFilter ref="A1:P100"/>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42" totalsRowDxfId="41"/>
    <tableColumn id="11" uniqueName="11" name="returned" queryTableFieldId="11" dataDxfId="40"/>
    <tableColumn id="14" uniqueName="14" name="nchars" queryTableFieldId="15" dataDxfId="39">
      <calculatedColumnFormula>LEN(ProjTextTable[[#This Row],[text]])</calculatedColumnFormula>
    </tableColumn>
    <tableColumn id="15" uniqueName="15" name="nwords" queryTableFieldId="14" dataDxfId="38">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8.xml><?xml version="1.0" encoding="utf-8"?>
<table xmlns="http://schemas.openxmlformats.org/spreadsheetml/2006/main" id="11" name="PRCGlossary" displayName="PRCGlossary" ref="A2:AW18" tableType="queryTable" totalsRowShown="0">
  <autoFilter ref="A2:AW18"/>
  <tableColumns count="49">
    <tableColumn id="4" uniqueName="4" name="nsf_rcvd_date" queryTableFieldId="4" dataDxfId="19"/>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_xlfn.XOR(IFERROR(MATCH(PRCGlossary[[#This Row],[st_code]],EpscorTable[],0)&gt;0,FALSE),IFERROR(FIND("9150",PRCGlossary[[#This Row],[PRCs]])&gt;0,FALSE))</calculatedColumnFormula>
    </tableColumn>
    <tableColumn id="39" uniqueName="39" name="WMD?9102" queryTableFieldId="265">
      <calculatedColumnFormula>_xlfn.XOR(PRCGlossary[[#This Row],[WMD]]&lt;&gt;"",IFERROR(FIND("9102",PRCGlossary[[#This Row],[PRCs]])&gt;0,FALSE))</calculatedColumnFormula>
    </tableColumn>
    <tableColumn id="38" uniqueName="38" name="WMD" queryTableFieldId="264">
      <calculatedColumnFormula>IF(SUM(AT3:AW3)&gt;0,"WMD","")</calculatedColumnFormula>
    </tableColumn>
    <tableColumn id="11" uniqueName="11" name="cntx_stmt_id" queryTableFieldId="11"/>
    <tableColumn id="32" uniqueName="32" name="RAupdate" queryTableFieldId="254" dataDxfId="18"/>
    <tableColumn id="28" uniqueName="28" name="bas_rsch_pct" queryTableFieldId="243" dataDxfId="17" dataCellStyle="Percent"/>
    <tableColumn id="29" uniqueName="29" name="other_pct" queryTableFieldId="244" dataDxfId="16" dataCellStyle="Percent"/>
    <tableColumn id="206" uniqueName="206" name="@pi email" queryTableFieldId="212" dataDxfId="15" dataCellStyle="Hyperlink">
      <calculatedColumnFormula>HYPERLINK("mailto:"&amp;PRCGlossary[[#This Row],[pi_emai_addr]]&amp;"&amp;subject=Your NSF Proposal:  "&amp;PRCGlossary[[#This Row],[prop_id]], PRCGlossary[[#This Row],[pi_emai_addr]])</calculatedColumnFormula>
    </tableColumn>
    <tableColumn id="25" uniqueName="25" name="0" queryTableFieldId="230">
      <calculatedColumnFormula xml:space="preserve"> S2+(PRCGlossary[ILN]&lt;"M")</calculatedColumnFormula>
    </tableColumn>
    <tableColumn id="2" uniqueName="2" name="ILN" queryTableFieldId="215"/>
    <tableColumn id="3" uniqueName="3" name="lead" queryTableFieldId="216"/>
    <tableColumn id="205" uniqueName="205" name="eJ" queryTableFieldId="213" dataDxfId="14" dataCellStyle="Hyperlink">
      <calculatedColumnFormula>HYPERLINK("https://www.ejacket.nsf.gov/ej/showProposal.do?ID="&amp;PRCGlossary[[#This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13"/>
    <tableColumn id="16" uniqueName="16" name="rqst_eff_date" queryTableFieldId="16" dataDxfId="12"/>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11" dataCellStyle="Currency"/>
    <tableColumn id="30" uniqueName="30" name="Country" queryTableFieldId="250"/>
    <tableColumn id="200" uniqueName="200" name="pi_emai_addr" queryTableFieldId="200"/>
    <tableColumn id="1" uniqueName="1" name="dd_rcom_date" queryTableFieldId="214" dataDxfId="10"/>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Fall" showFirstColumn="0" showLastColumn="0" showRowStripes="1" showColumnStripes="0"/>
</table>
</file>

<file path=xl/tables/table9.xml><?xml version="1.0" encoding="utf-8"?>
<table xmlns="http://schemas.openxmlformats.org/spreadsheetml/2006/main" id="6" name="AvailableTemplates" displayName="AvailableTemplates" ref="I14:I21" totalsRowShown="0" headerRowDxfId="96" dataDxfId="95">
  <autoFilter ref="I14:I21"/>
  <tableColumns count="1">
    <tableColumn id="1" name="Available templates:" dataDxfId="94"/>
  </tableColumns>
  <tableStyleInfo name="TableStyleLight8" showFirstColumn="0" showLastColumn="0" showRowStripes="1" showColumnStripes="0"/>
</table>
</file>

<file path=xl/tables/table10.xml><?xml version="1.0" encoding="utf-8"?>
<table xmlns="http://schemas.openxmlformats.org/spreadsheetml/2006/main" id="4" name="EpscorTable" displayName="EpscorTable" ref="M2:M30" totalsRowShown="0" headerRowDxfId="93" dataDxfId="92">
  <autoFilter ref="M2:M30"/>
  <tableColumns count="1">
    <tableColumn id="1" name="Epscor" dataDxfId="91"/>
  </tableColumns>
  <tableStyleInfo name="TableFall" showFirstColumn="0" showLastColumn="0" showRowStripes="1" showColumnStripes="0"/>
</table>
</file>

<file path=xl/tables/table11.xml><?xml version="1.0" encoding="utf-8"?>
<table xmlns="http://schemas.openxmlformats.org/spreadsheetml/2006/main" id="2" name="AllRACandidatesTable" displayName="AllRACandidatesTable" ref="A1:DZ18" tableType="queryTable" totalsRowShown="0">
  <autoFilter ref="A1:DZ18">
    <filterColumn colId="12">
      <customFilters>
        <customFilter operator="greaterThanOrEqual" val="0"/>
      </customFilters>
    </filterColumn>
  </autoFilter>
  <sortState ref="A2:DZ18">
    <sortCondition ref="M1:M18"/>
  </sortState>
  <tableColumns count="130">
    <tableColumn id="1" uniqueName="1" name="pulldate" queryTableFieldId="1" dataDxfId="89"/>
    <tableColumn id="2" uniqueName="2" name="nsf_rcvd_date" queryTableFieldId="2" dataDxfId="88"/>
    <tableColumn id="3" uniqueName="3" name="RAupdate" queryTableFieldId="3" dataDxfId="87"/>
    <tableColumn id="4" uniqueName="4" name="dd_rcom_date" queryTableFieldId="4" dataDxfId="86"/>
    <tableColumn id="10" uniqueName="10" name="prop_stts_abbr" queryTableFieldId="10" dataDxfId="85"/>
    <tableColumn id="11" uniqueName="11" name="natr_rqst_abbr" queryTableFieldId="11" dataDxfId="84"/>
    <tableColumn id="12" uniqueName="12" name="obj_clas_code" queryTableFieldId="12" dataDxfId="83"/>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82"/>
    <tableColumn id="14" uniqueName="14" name="RCOM_ABBR0" queryTableFieldId="14"/>
    <tableColumn id="15" uniqueName="15" name="RCOM_ABBR1" queryTableFieldId="15"/>
    <tableColumn id="16" uniqueName="16" name="RCOM_ABBR2" queryTableFieldId="16"/>
    <tableColumn id="17" uniqueName="17" name="reviews" queryTableFieldId="17"/>
    <tableColumn id="18" uniqueName="18" name="avg_score" queryTableFieldId="18"/>
    <tableColumn id="134" uniqueName="134" name="RATemplate" queryTableFieldId="137"/>
    <tableColumn id="135" uniqueName="135" name="RAfname" queryTableFieldId="136" dataDxfId="81">
      <calculatedColumnFormula>IFERROR(MID(AllRACandidatesTable[[#This Row],[RATemplate]],1,LEN(AllRACandidatesTable[[#This Row],[RATemplate]])-8),"RA") &amp; " " &amp; AllRACandidatesTable[[#This Row],[prop_id0]] &amp; " " &amp; AllRACandidatesTable[[#This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0" uniqueName="20" name="Nunrlsd" queryTableFieldId="20"/>
    <tableColumn id="21" uniqueName="21" name="Nunmkd" queryTableFieldId="21"/>
    <tableColumn id="22" uniqueName="22" name="last_rev_date" queryTableFieldId="22" dataDxfId="80"/>
    <tableColumn id="23" uniqueName="23" name="nPanl" queryTableFieldId="23"/>
    <tableColumn id="24" uniqueName="24" name="nPSrlse" queryTableFieldId="24"/>
    <tableColumn id="25" uniqueName="25" name="nPSunmrkd" queryTableFieldId="25"/>
    <tableColumn id="139" uniqueName="139" name="eJ" queryTableFieldId="145" dataDxfId="79" dataCellStyle="Hyperlink">
      <calculatedColumnFormula>HYPERLINK("https://www.ejacket.nsf.gov/ej/showProposal.do?Continue=Y&amp;ID="&amp;AllRACandidatesTable[[#This Row],[prop_id0]],"eJ")</calculatedColumnFormula>
    </tableColumn>
    <tableColumn id="140" uniqueName="140" name="@PI" queryTableFieldId="147" dataDxfId="78" dataCellStyle="Hyperlink">
      <calculatedColumnFormula>HYPERLINK("mailto:"&amp;AllRACandidatesTable[[#This Row],[email]]&amp;"&amp;subject=Your NSF Proposal:  "&amp;AllRACandidatesTable[[#This Row],[Div]]&amp;" "&amp;AllRACandidatesTable[[#This Row],[prop_id0]], AllRACandidatesTable[[#This Row],[email]])</calculatedColumnFormula>
    </tableColumn>
    <tableColumn id="141" uniqueName="141" name="@all" queryTableFieldId="146" dataDxfId="77" dataCellStyle="Hyperlink">
      <calculatedColumnFormula>HYPERLINK("mailto:"&amp;AllRACandidatesTable[[#This Row],[allPIemail]]&amp;"&amp;subject=NSF Proposal:  "&amp;AllRACandidatesTable[[#This Row],[Div]]&amp;" "&amp;AllRACandidatesTable[[#This Row],[prop_id0]], "PIs@")</calculatedColumnFormula>
    </tableColumn>
    <tableColumn id="26" uniqueName="26" name="Div" queryTableFieldId="26"/>
    <tableColumn id="27" uniqueName="27" name="prop_id0" queryTableFieldId="27"/>
    <tableColumn id="28" uniqueName="28" name="last0" queryTableFieldId="28" dataDxfId="76"/>
    <tableColumn id="29" uniqueName="29" name="frst0" queryTableFieldId="29"/>
    <tableColumn id="30" uniqueName="30" name="inst0" queryTableFieldId="30"/>
    <tableColumn id="31" uniqueName="31" name="rqst0" queryTableFieldId="31" dataDxfId="75"/>
    <tableColumn id="32" uniqueName="32" name="b0tot" queryTableFieldId="32" dataDxfId="74"/>
    <tableColumn id="33" uniqueName="33" name="AhNrev" queryTableFieldId="33" dataDxfId="73"/>
    <tableColumn id="34" uniqueName="34" name="AhRevs" queryTableFieldId="34"/>
    <tableColumn id="35" uniqueName="35" name="AhLast" queryTableFieldId="35" dataDxfId="72"/>
    <tableColumn id="36" uniqueName="36" name="panl_id0" queryTableFieldId="36"/>
    <tableColumn id="37" uniqueName="37" name="RCOM_TXT0" queryTableFieldId="37"/>
    <tableColumn id="39" uniqueName="39" name="panl_name0" queryTableFieldId="39" dataDxfId="71"/>
    <tableColumn id="40" uniqueName="40" name="panl_end0" queryTableFieldId="40" dataDxfId="70"/>
    <tableColumn id="38" uniqueName="38" name="rank0" queryTableFieldId="38" dataDxfId="69"/>
    <tableColumn id="41" uniqueName="41" name="revs0" queryTableFieldId="41"/>
    <tableColumn id="42" uniqueName="42" name="panlSumm0" queryTableFieldId="42" dataDxfId="68"/>
    <tableColumn id="43" uniqueName="43" name="panl_id1" queryTableFieldId="43"/>
    <tableColumn id="44" uniqueName="44" name="RCOM_TXT1" queryTableFieldId="44" dataDxfId="67"/>
    <tableColumn id="46" uniqueName="46" name="panl_name1" queryTableFieldId="46"/>
    <tableColumn id="47" uniqueName="47" name="panl_end1" queryTableFieldId="47" dataDxfId="66"/>
    <tableColumn id="45" uniqueName="45" name="rank1" queryTableFieldId="45" dataDxfId="65"/>
    <tableColumn id="48" uniqueName="48" name="revs1" queryTableFieldId="48" dataDxfId="64"/>
    <tableColumn id="49" uniqueName="49" name="panlSumm1" queryTableFieldId="49"/>
    <tableColumn id="50" uniqueName="50" name="panl_id2" queryTableFieldId="50"/>
    <tableColumn id="51" uniqueName="51" name="RCOM_TXT2" queryTableFieldId="51" dataDxfId="63"/>
    <tableColumn id="52" uniqueName="52" name="rank2" queryTableFieldId="52"/>
    <tableColumn id="53" uniqueName="53" name="panl_name2" queryTableFieldId="53"/>
    <tableColumn id="54" uniqueName="54" name="panl_end2" queryTableFieldId="54" dataDxfId="62"/>
    <tableColumn id="55" uniqueName="55" name="revs2" queryTableFieldId="55"/>
    <tableColumn id="56" uniqueName="56" name="panlSumm2" queryTableFieldId="56"/>
    <tableColumn id="57" uniqueName="57" name="prop_titl_txt" queryTableFieldId="57"/>
    <tableColumn id="58" uniqueName="58" name="rqst_tot" queryTableFieldId="58" dataDxfId="61"/>
    <tableColumn id="59" uniqueName="59" name="budg_tot" queryTableFieldId="59" dataDxfId="60"/>
    <tableColumn id="60" uniqueName="60" name="budRevnMax" queryTableFieldId="60"/>
    <tableColumn id="61" uniqueName="61" name="rqst_eff_date" queryTableFieldId="61" dataDxfId="59"/>
    <tableColumn id="62" uniqueName="62" name="rqst_mnth_cnt" queryTableFieldId="62"/>
    <tableColumn id="63" uniqueName="63" name="solicitation" queryTableFieldId="63"/>
    <tableColumn id="64" uniqueName="64" name="org_long_name" queryTableFieldId="64"/>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58"/>
    <tableColumn id="69" uniqueName="69" name="Dir" queryTableFieldId="69"/>
    <tableColumn id="70" uniqueName="70" name="Dir_name" queryTableFieldId="70"/>
    <tableColumn id="71" uniqueName="71" name="PRC0" queryTableFieldId="71" dataDxfId="57"/>
    <tableColumn id="72" uniqueName="72" name="PRCN0" queryTableFieldId="72" dataDxfId="56"/>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55"/>
    <tableColumn id="78" uniqueName="78" name="b1tot" queryTableFieldId="78" dataDxfId="54"/>
    <tableColumn id="79" uniqueName="79" name="PRC1" queryTableFieldId="79"/>
    <tableColumn id="80" uniqueName="80" name="PRCN1" queryTableFieldId="80"/>
    <tableColumn id="81" uniqueName="81" name="prop_id2" queryTableFieldId="81"/>
    <tableColumn id="82" uniqueName="82" name="last2" queryTableFieldId="82"/>
    <tableColumn id="83" uniqueName="83" name="frst2" queryTableFieldId="83"/>
    <tableColumn id="84" uniqueName="84" name="inst2" queryTableFieldId="84" dataDxfId="53"/>
    <tableColumn id="85" uniqueName="85" name="rqst2" queryTableFieldId="85" dataDxfId="52"/>
    <tableColumn id="86" uniqueName="86" name="b2tot" queryTableFieldId="86"/>
    <tableColumn id="87" uniqueName="87" name="PRC2" queryTableFieldId="87"/>
    <tableColumn id="88" uniqueName="88" name="PRCN2" queryTableFieldId="88"/>
    <tableColumn id="89" uniqueName="89" name="prop_id3" queryTableFieldId="89"/>
    <tableColumn id="90" uniqueName="90" name="last3" queryTableFieldId="90"/>
    <tableColumn id="91" uniqueName="91" name="frst3" queryTableFieldId="91" dataDxfId="51"/>
    <tableColumn id="92" uniqueName="92" name="inst3" queryTableFieldId="92" dataDxfId="50"/>
    <tableColumn id="93" uniqueName="93" name="rqst3" queryTableFieldId="93"/>
    <tableColumn id="94" uniqueName="94" name="b3tot" queryTableFieldId="94"/>
    <tableColumn id="95" uniqueName="95" name="PRC3" queryTableFieldId="95"/>
    <tableColumn id="96" uniqueName="96" name="PRCN3" queryTableFieldId="96"/>
    <tableColumn id="97" uniqueName="97" name="prop_id4" queryTableFieldId="97"/>
    <tableColumn id="98" uniqueName="98" name="last4" queryTableFieldId="98" dataDxfId="49"/>
    <tableColumn id="99" uniqueName="99" name="frst4" queryTableFieldId="99" dataDxfId="48"/>
    <tableColumn id="100" uniqueName="100" name="inst4" queryTableFieldId="100"/>
    <tableColumn id="101" uniqueName="101" name="rqst4" queryTableFieldId="101"/>
    <tableColumn id="102" uniqueName="102" name="b4tot" queryTableFieldId="102"/>
    <tableColumn id="103" uniqueName="103" name="PRC4" queryTableFieldId="103"/>
    <tableColumn id="104" uniqueName="104" name="PRCN4" queryTableFieldId="104"/>
    <tableColumn id="105" uniqueName="105" name="prop_id5" queryTableFieldId="105" dataDxfId="47"/>
    <tableColumn id="106" uniqueName="106" name="last5" queryTableFieldId="106" dataDxfId="46"/>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2" uniqueName="112" name="PRCN5" queryTableFieldId="112" dataDxfId="45"/>
    <tableColumn id="113" uniqueName="113" name="prop_id6" queryTableFieldId="113" dataDxfId="44"/>
    <tableColumn id="114" uniqueName="114" name="last6" queryTableFieldId="114"/>
    <tableColumn id="115" uniqueName="115" name="frst6" queryTableFieldId="115"/>
    <tableColumn id="116" uniqueName="116" name="inst6" queryTableFieldId="116"/>
    <tableColumn id="117" uniqueName="117" name="rqst6" queryTableFieldId="117" dataDxfId="43"/>
    <tableColumn id="118" uniqueName="118" name="b6tot" queryTableFieldId="118"/>
    <tableColumn id="119" uniqueName="119" name="PRC6" queryTableFieldId="119"/>
    <tableColumn id="120" uniqueName="120" name="PRCN6" queryTableFieldId="120"/>
    <tableColumn id="121" uniqueName="121" name="email" queryTableFieldId="121"/>
    <tableColumn id="122" uniqueName="122" name="allPIemail" queryTableFieldId="122"/>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drawing" Target="../drawings/drawing3.xml"/><Relationship Id="rId7" Type="http://schemas.openxmlformats.org/officeDocument/2006/relationships/table" Target="../tables/table9.xml"/><Relationship Id="rId2" Type="http://schemas.openxmlformats.org/officeDocument/2006/relationships/printerSettings" Target="../printerSettings/printerSettings7.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tabSelected="1" workbookViewId="0">
      <selection activeCell="H38" sqref="H38"/>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45" t="s">
        <v>317</v>
      </c>
      <c r="B1" s="45"/>
      <c r="C1" s="45"/>
      <c r="D1" s="45"/>
      <c r="E1" s="45"/>
      <c r="F1" s="45"/>
      <c r="K1" s="3" t="s">
        <v>305</v>
      </c>
    </row>
    <row r="2" spans="1:12" ht="18" customHeight="1" x14ac:dyDescent="0.4">
      <c r="A2" s="45" t="s">
        <v>307</v>
      </c>
      <c r="B2" s="45"/>
      <c r="C2" s="45"/>
      <c r="D2" s="45"/>
      <c r="E2" s="45"/>
      <c r="F2" s="45"/>
      <c r="H2" s="42"/>
      <c r="I2">
        <v>2</v>
      </c>
    </row>
    <row r="3" spans="1:12" ht="18" customHeight="1" x14ac:dyDescent="0.4">
      <c r="A3" s="3" t="s">
        <v>308</v>
      </c>
      <c r="B3" s="3"/>
      <c r="C3" s="46" t="s">
        <v>309</v>
      </c>
      <c r="D3" s="45"/>
      <c r="E3" s="45"/>
      <c r="H3" s="42"/>
      <c r="I3" t="b">
        <v>0</v>
      </c>
      <c r="K3" s="3" t="s">
        <v>306</v>
      </c>
    </row>
    <row r="4" spans="1:12" ht="18" customHeight="1" x14ac:dyDescent="0.4">
      <c r="A4" s="3"/>
      <c r="B4" s="44" t="s">
        <v>315</v>
      </c>
      <c r="C4" s="47" t="s">
        <v>310</v>
      </c>
      <c r="D4" s="45" t="s">
        <v>320</v>
      </c>
      <c r="E4" s="45"/>
      <c r="H4" s="42"/>
      <c r="I4" t="b">
        <v>0</v>
      </c>
    </row>
    <row r="5" spans="1:12" ht="18" customHeight="1" x14ac:dyDescent="0.4">
      <c r="A5" s="3"/>
      <c r="B5" s="44"/>
      <c r="C5" s="47" t="s">
        <v>311</v>
      </c>
      <c r="D5" s="45" t="s">
        <v>321</v>
      </c>
      <c r="E5" s="45"/>
      <c r="H5" s="42"/>
    </row>
    <row r="6" spans="1:12" ht="18" customHeight="1" x14ac:dyDescent="0.4">
      <c r="A6" s="3"/>
      <c r="B6" s="44" t="s">
        <v>316</v>
      </c>
      <c r="C6" s="47" t="s">
        <v>312</v>
      </c>
      <c r="D6" s="45"/>
      <c r="E6" s="45"/>
    </row>
    <row r="7" spans="1:12" ht="18" customHeight="1" x14ac:dyDescent="0.4">
      <c r="A7" s="3"/>
      <c r="B7" s="44" t="s">
        <v>318</v>
      </c>
      <c r="C7" s="47" t="s">
        <v>313</v>
      </c>
      <c r="D7" s="45"/>
      <c r="E7" s="45"/>
    </row>
    <row r="8" spans="1:12" ht="18" customHeight="1" x14ac:dyDescent="0.4">
      <c r="A8" s="3"/>
      <c r="B8" s="44" t="s">
        <v>319</v>
      </c>
      <c r="C8" s="47" t="s">
        <v>314</v>
      </c>
      <c r="D8" s="45"/>
      <c r="E8" s="45"/>
      <c r="K8" s="53">
        <v>50</v>
      </c>
      <c r="L8" s="54" t="s">
        <v>331</v>
      </c>
    </row>
    <row r="9" spans="1:12" ht="18" customHeight="1" x14ac:dyDescent="0.4">
      <c r="A9" s="3"/>
      <c r="B9" s="44"/>
      <c r="C9" s="47"/>
      <c r="D9" s="45"/>
      <c r="E9" s="45"/>
      <c r="K9" s="3" t="s">
        <v>700</v>
      </c>
    </row>
    <row r="10" spans="1:12" ht="18" customHeight="1" x14ac:dyDescent="0.4">
      <c r="A10" s="3" t="s">
        <v>304</v>
      </c>
      <c r="B10" s="3"/>
      <c r="C10" s="43"/>
      <c r="D10" s="3" t="s">
        <v>303</v>
      </c>
      <c r="E10" s="3"/>
      <c r="F10" s="3"/>
      <c r="G10" s="3" t="s">
        <v>322</v>
      </c>
      <c r="K10" s="71" t="s">
        <v>701</v>
      </c>
      <c r="L10" t="s">
        <v>698</v>
      </c>
    </row>
    <row r="11" spans="1:12" ht="18" customHeight="1" x14ac:dyDescent="0.4">
      <c r="A11" t="s">
        <v>223</v>
      </c>
      <c r="D11" t="s">
        <v>224</v>
      </c>
      <c r="G11" t="s">
        <v>226</v>
      </c>
      <c r="K11" s="71" t="s">
        <v>702</v>
      </c>
      <c r="L11" t="s">
        <v>699</v>
      </c>
    </row>
    <row r="12" spans="1:12" ht="18" customHeight="1" x14ac:dyDescent="0.4">
      <c r="A12" t="s">
        <v>0</v>
      </c>
      <c r="D12" t="s">
        <v>0</v>
      </c>
      <c r="G12" t="s">
        <v>0</v>
      </c>
    </row>
    <row r="13" spans="1:12" x14ac:dyDescent="0.4">
      <c r="A13" s="33"/>
      <c r="D13" s="33"/>
      <c r="G13" s="33">
        <v>1234567</v>
      </c>
    </row>
    <row r="14" spans="1:12" x14ac:dyDescent="0.4">
      <c r="A14" s="33"/>
      <c r="D14" s="33">
        <v>1749173</v>
      </c>
      <c r="G14" s="33">
        <v>1802840</v>
      </c>
    </row>
    <row r="15" spans="1:12" x14ac:dyDescent="0.4">
      <c r="A15" s="33">
        <v>1420750</v>
      </c>
      <c r="D15" s="33">
        <v>1749385</v>
      </c>
    </row>
    <row r="16" spans="1:12" x14ac:dyDescent="0.4">
      <c r="A16" s="33">
        <v>1217462</v>
      </c>
      <c r="D16" s="33">
        <v>1749563</v>
      </c>
    </row>
    <row r="17" spans="1:4" x14ac:dyDescent="0.4">
      <c r="A17" s="33">
        <v>1218620</v>
      </c>
      <c r="D17" s="33">
        <v>1749609</v>
      </c>
    </row>
    <row r="18" spans="1:4" x14ac:dyDescent="0.4">
      <c r="A18" s="33">
        <v>1546098</v>
      </c>
      <c r="D18" s="33">
        <v>1749748</v>
      </c>
    </row>
    <row r="19" spans="1:4" x14ac:dyDescent="0.4">
      <c r="A19" s="33">
        <v>1320835</v>
      </c>
      <c r="D19" s="33">
        <v>1749855</v>
      </c>
    </row>
    <row r="20" spans="1:4" x14ac:dyDescent="0.4">
      <c r="A20" s="33">
        <v>1423560</v>
      </c>
      <c r="D20" s="33">
        <v>1749977</v>
      </c>
    </row>
    <row r="21" spans="1:4" x14ac:dyDescent="0.4">
      <c r="A21" s="33">
        <v>1421161</v>
      </c>
      <c r="B21" s="52"/>
      <c r="D21" s="33">
        <v>1750039</v>
      </c>
    </row>
    <row r="22" spans="1:4" x14ac:dyDescent="0.4">
      <c r="A22" s="33">
        <v>1422102</v>
      </c>
      <c r="D22" s="33">
        <v>1750076</v>
      </c>
    </row>
    <row r="23" spans="1:4" x14ac:dyDescent="0.4">
      <c r="A23" s="33">
        <v>1637564</v>
      </c>
      <c r="D23" s="33">
        <v>1750780</v>
      </c>
    </row>
    <row r="24" spans="1:4" x14ac:dyDescent="0.4">
      <c r="A24" s="33">
        <v>1540634</v>
      </c>
      <c r="D24" s="33">
        <v>1751047</v>
      </c>
    </row>
    <row r="25" spans="1:4" x14ac:dyDescent="0.4">
      <c r="A25" s="33">
        <v>1565641</v>
      </c>
      <c r="D25" s="33">
        <v>1751102</v>
      </c>
    </row>
    <row r="26" spans="1:4" x14ac:dyDescent="0.4">
      <c r="A26" s="33">
        <v>1422668</v>
      </c>
      <c r="D26" s="33">
        <v>1751135</v>
      </c>
    </row>
    <row r="27" spans="1:4" x14ac:dyDescent="0.4">
      <c r="A27" s="33">
        <v>1618657</v>
      </c>
      <c r="D27" s="33">
        <v>1755702</v>
      </c>
    </row>
    <row r="28" spans="1:4" x14ac:dyDescent="0.4">
      <c r="A28" s="33">
        <v>1317143</v>
      </c>
      <c r="D28" s="33">
        <v>1755847</v>
      </c>
    </row>
    <row r="29" spans="1:4" x14ac:dyDescent="0.4">
      <c r="A29" s="33">
        <v>1421163</v>
      </c>
      <c r="D29" s="33">
        <v>1755881</v>
      </c>
    </row>
    <row r="30" spans="1:4" x14ac:dyDescent="0.4">
      <c r="A30" s="33">
        <v>1527822</v>
      </c>
      <c r="D30" s="33">
        <v>1755954</v>
      </c>
    </row>
    <row r="31" spans="1:4" x14ac:dyDescent="0.4">
      <c r="A31" s="33">
        <v>1735569</v>
      </c>
      <c r="D31" s="33">
        <v>1755978</v>
      </c>
    </row>
    <row r="32" spans="1:4" x14ac:dyDescent="0.4">
      <c r="D32" s="33">
        <v>1735569</v>
      </c>
    </row>
    <row r="36" spans="7:7" x14ac:dyDescent="0.4">
      <c r="G36" s="52"/>
    </row>
    <row r="46" spans="7:7" x14ac:dyDescent="0.4">
      <c r="G46" s="52"/>
    </row>
    <row r="47" spans="7:7" x14ac:dyDescent="0.4">
      <c r="G47" s="52"/>
    </row>
    <row r="48" spans="7:7" x14ac:dyDescent="0.4">
      <c r="G48" s="52"/>
    </row>
    <row r="49" spans="7:7" x14ac:dyDescent="0.4">
      <c r="G49" s="52"/>
    </row>
    <row r="50" spans="7:7" x14ac:dyDescent="0.4">
      <c r="G50" s="52"/>
    </row>
    <row r="51" spans="7:7" x14ac:dyDescent="0.4">
      <c r="G51" s="52"/>
    </row>
    <row r="52" spans="7:7" x14ac:dyDescent="0.4">
      <c r="G52" s="52"/>
    </row>
    <row r="53" spans="7:7" x14ac:dyDescent="0.4">
      <c r="G53" s="52"/>
    </row>
    <row r="54" spans="7:7" x14ac:dyDescent="0.4">
      <c r="G54" s="52"/>
    </row>
    <row r="55" spans="7:7" x14ac:dyDescent="0.4">
      <c r="G55" s="52"/>
    </row>
    <row r="56" spans="7:7" x14ac:dyDescent="0.4">
      <c r="G56" s="52"/>
    </row>
    <row r="57" spans="7:7" x14ac:dyDescent="0.4">
      <c r="G57" s="52"/>
    </row>
    <row r="58" spans="7:7" x14ac:dyDescent="0.4">
      <c r="G58" s="52"/>
    </row>
    <row r="59" spans="7:7" x14ac:dyDescent="0.4">
      <c r="G59" s="52"/>
    </row>
    <row r="60" spans="7:7" x14ac:dyDescent="0.4">
      <c r="G60" s="52"/>
    </row>
    <row r="61" spans="7:7" x14ac:dyDescent="0.4">
      <c r="G61" s="52"/>
    </row>
    <row r="62" spans="7:7" x14ac:dyDescent="0.4">
      <c r="G62" s="52"/>
    </row>
    <row r="63" spans="7:7" x14ac:dyDescent="0.4">
      <c r="G63" s="52"/>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CreatefromAwdTable">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eckCoding">
    <tabColor theme="4" tint="0.39997558519241921"/>
  </sheetPr>
  <dimension ref="A1:AW18"/>
  <sheetViews>
    <sheetView workbookViewId="0">
      <selection activeCell="N29" sqref="N29"/>
    </sheetView>
  </sheetViews>
  <sheetFormatPr defaultRowHeight="14.6" x14ac:dyDescent="0.4"/>
  <cols>
    <col min="1" max="1" width="9.3046875" style="21" customWidth="1"/>
    <col min="2" max="2" width="11.15234375" customWidth="1"/>
    <col min="3" max="3" width="11.3828125" bestFit="1" customWidth="1"/>
    <col min="4" max="4" width="5.3828125" customWidth="1"/>
    <col min="6" max="6" width="5.84375" style="22" customWidth="1"/>
    <col min="7" max="7" width="3.3046875" style="22" customWidth="1"/>
    <col min="8" max="8" width="3.53515625" style="22" customWidth="1"/>
    <col min="9" max="9" width="13.53515625" customWidth="1"/>
    <col min="10" max="10" width="3.84375" customWidth="1"/>
    <col min="11" max="12" width="7.3828125" hidden="1" customWidth="1"/>
    <col min="13" max="13" width="5.3828125" customWidth="1"/>
    <col min="14" max="14" width="11" customWidth="1"/>
    <col min="15" max="15" width="14.3046875" style="30" customWidth="1"/>
    <col min="16" max="16" width="5.3046875" style="48" customWidth="1"/>
    <col min="17" max="17" width="4.53515625" style="48" customWidth="1"/>
    <col min="18" max="18" width="11.84375" customWidth="1"/>
    <col min="19" max="19" width="4.3828125" customWidth="1"/>
    <col min="20" max="20" width="3.69140625" customWidth="1"/>
    <col min="21" max="21" width="8.69140625" style="21" customWidth="1"/>
    <col min="22" max="22" width="3.69140625" customWidth="1"/>
    <col min="23" max="23" width="9" style="22"/>
    <col min="24" max="24" width="9.53515625" style="22" customWidth="1"/>
    <col min="25" max="25" width="11.53515625" customWidth="1"/>
    <col min="26" max="26" width="12.15234375" customWidth="1"/>
    <col min="27" max="27" width="9.84375" customWidth="1"/>
    <col min="28" max="28" width="10.15234375" bestFit="1" customWidth="1"/>
    <col min="29" max="29" width="4.3828125" customWidth="1"/>
    <col min="30" max="35" width="3" customWidth="1"/>
    <col min="36" max="36" width="9" style="1"/>
    <col min="38" max="38" width="85.53515625" customWidth="1"/>
    <col min="39" max="39" width="10.3828125" customWidth="1"/>
    <col min="40" max="40" width="9.53515625" style="17"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x14ac:dyDescent="0.4">
      <c r="A1" s="16" t="s">
        <v>324</v>
      </c>
      <c r="F1" s="39"/>
      <c r="G1" s="39"/>
      <c r="H1" s="39"/>
      <c r="R1" s="49" t="s">
        <v>332</v>
      </c>
      <c r="U1" s="39"/>
      <c r="W1" s="39"/>
      <c r="X1" s="39"/>
      <c r="AD1" s="49" t="s">
        <v>325</v>
      </c>
      <c r="AE1" s="49"/>
      <c r="AF1" s="49"/>
      <c r="AG1" s="49"/>
      <c r="AH1" s="49"/>
      <c r="AI1" s="49"/>
      <c r="AJ1" s="50" t="s">
        <v>326</v>
      </c>
      <c r="AK1" s="49"/>
      <c r="AL1" s="49"/>
      <c r="AM1" s="49"/>
      <c r="AN1" s="51" t="s">
        <v>323</v>
      </c>
      <c r="AO1" s="49"/>
      <c r="AP1" s="49"/>
      <c r="AQ1" s="49"/>
      <c r="AR1" s="49"/>
      <c r="AS1" s="49"/>
      <c r="AT1" s="49" t="s">
        <v>327</v>
      </c>
    </row>
    <row r="2" spans="1:49" x14ac:dyDescent="0.4">
      <c r="A2" s="21" t="s">
        <v>8</v>
      </c>
      <c r="B2" t="s">
        <v>9</v>
      </c>
      <c r="C2" t="s">
        <v>6</v>
      </c>
      <c r="D2" t="s">
        <v>5</v>
      </c>
      <c r="E2" t="s">
        <v>112</v>
      </c>
      <c r="F2" t="s">
        <v>113</v>
      </c>
      <c r="G2" t="s">
        <v>114</v>
      </c>
      <c r="H2" t="s">
        <v>115</v>
      </c>
      <c r="I2" t="s">
        <v>24</v>
      </c>
      <c r="J2" t="s">
        <v>117</v>
      </c>
      <c r="K2" t="s">
        <v>155</v>
      </c>
      <c r="L2" t="s">
        <v>170</v>
      </c>
      <c r="M2" t="s">
        <v>169</v>
      </c>
      <c r="N2" t="s">
        <v>30</v>
      </c>
      <c r="O2" s="30" t="s">
        <v>29</v>
      </c>
      <c r="P2" s="48" t="s">
        <v>153</v>
      </c>
      <c r="Q2" s="48" t="s">
        <v>154</v>
      </c>
      <c r="R2" s="18" t="s">
        <v>161</v>
      </c>
      <c r="S2" s="18" t="s">
        <v>127</v>
      </c>
      <c r="T2" t="s">
        <v>108</v>
      </c>
      <c r="U2" t="s">
        <v>10</v>
      </c>
      <c r="V2" t="s">
        <v>1</v>
      </c>
      <c r="W2" t="s">
        <v>0</v>
      </c>
      <c r="X2" t="s">
        <v>11</v>
      </c>
      <c r="Y2" t="s">
        <v>31</v>
      </c>
      <c r="Z2" t="s">
        <v>12</v>
      </c>
      <c r="AA2" s="1" t="s">
        <v>109</v>
      </c>
      <c r="AB2" s="21" t="s">
        <v>32</v>
      </c>
      <c r="AC2" t="s">
        <v>33</v>
      </c>
      <c r="AD2" t="s">
        <v>171</v>
      </c>
      <c r="AE2" t="s">
        <v>172</v>
      </c>
      <c r="AF2" t="s">
        <v>173</v>
      </c>
      <c r="AG2" t="s">
        <v>174</v>
      </c>
      <c r="AH2" t="s">
        <v>175</v>
      </c>
      <c r="AI2" t="s">
        <v>176</v>
      </c>
      <c r="AJ2" t="s">
        <v>110</v>
      </c>
      <c r="AK2" t="s">
        <v>111</v>
      </c>
      <c r="AL2" t="s">
        <v>56</v>
      </c>
      <c r="AM2" t="s">
        <v>163</v>
      </c>
      <c r="AN2" s="17" t="s">
        <v>164</v>
      </c>
      <c r="AO2" t="s">
        <v>162</v>
      </c>
      <c r="AP2" t="s">
        <v>13</v>
      </c>
      <c r="AQ2" t="s">
        <v>107</v>
      </c>
      <c r="AR2" t="s">
        <v>116</v>
      </c>
      <c r="AS2" t="s">
        <v>118</v>
      </c>
      <c r="AT2" t="s">
        <v>165</v>
      </c>
      <c r="AU2" t="s">
        <v>166</v>
      </c>
      <c r="AV2" t="s">
        <v>167</v>
      </c>
      <c r="AW2" t="s">
        <v>168</v>
      </c>
    </row>
    <row r="3" spans="1:49" x14ac:dyDescent="0.4">
      <c r="A3" s="39">
        <v>42933.697916666664</v>
      </c>
      <c r="B3" t="s">
        <v>336</v>
      </c>
      <c r="C3" t="s">
        <v>299</v>
      </c>
      <c r="D3" t="s">
        <v>371</v>
      </c>
      <c r="E3" t="s">
        <v>372</v>
      </c>
      <c r="F3" t="s">
        <v>119</v>
      </c>
      <c r="G3" t="s">
        <v>120</v>
      </c>
      <c r="H3" t="s">
        <v>356</v>
      </c>
      <c r="I3" t="s">
        <v>364</v>
      </c>
      <c r="J3" t="s">
        <v>368</v>
      </c>
      <c r="K3" t="b">
        <f>_xlfn.XOR(IFERROR(MATCH(CodingTable[[#This Row],[st_code]],EpscorTable[],0)&gt;0,FALSE),IFERROR(FIND("9150",CodingTable[[#This Row],[PRCs]])&gt;0,FALSE))</f>
        <v>0</v>
      </c>
      <c r="L3" t="b">
        <f>_xlfn.XOR(CodingTable[[#This Row],[WMD]]&lt;&gt;"",IFERROR(FIND("9102",CodingTable[[#This Row],[PRCs]])&gt;0,FALSE))</f>
        <v>0</v>
      </c>
      <c r="M3" t="str">
        <f t="shared" ref="M3:M18" si="0">IF(SUM(AT3:AW3)&gt;0,"WMD","")</f>
        <v/>
      </c>
      <c r="P3" s="48">
        <v>0</v>
      </c>
      <c r="Q3" s="48">
        <v>0</v>
      </c>
      <c r="R3" s="19" t="str">
        <f>HYPERLINK("mailto:"&amp;CodingTable[[#This Row],[pi_emai_addr]]&amp;"&amp;subject=Your NSF Proposal:  "&amp;CodingTable[[#This Row],[prop_id]], CodingTable[[#This Row],[pi_emai_addr]])</f>
        <v>lziarek@buffalo.edu</v>
      </c>
      <c r="S3">
        <f xml:space="preserve"> S2+(CodingTable[ILN]&lt;"M")</f>
        <v>1</v>
      </c>
      <c r="T3" t="s">
        <v>121</v>
      </c>
      <c r="U3" t="s">
        <v>373</v>
      </c>
      <c r="V3" s="19" t="str">
        <f>HYPERLINK("https://www.ejacket.nsf.gov/ej/showProposal.do?ID="&amp;CodingTable[[#This Row],[prop_id]],"eJ")</f>
        <v>eJ</v>
      </c>
      <c r="W3" t="s">
        <v>373</v>
      </c>
      <c r="X3" t="s">
        <v>374</v>
      </c>
      <c r="Y3" t="s">
        <v>601</v>
      </c>
      <c r="Z3" t="s">
        <v>297</v>
      </c>
      <c r="AA3" s="1">
        <v>561136</v>
      </c>
      <c r="AB3" s="39">
        <v>43101</v>
      </c>
      <c r="AC3">
        <v>60</v>
      </c>
      <c r="AD3">
        <v>5</v>
      </c>
      <c r="AF3">
        <v>5</v>
      </c>
      <c r="AG3">
        <v>1</v>
      </c>
      <c r="AI3">
        <v>1</v>
      </c>
      <c r="AJ3"/>
      <c r="AL3" t="s">
        <v>603</v>
      </c>
      <c r="AN3" s="17">
        <v>20000</v>
      </c>
      <c r="AO3" t="s">
        <v>634</v>
      </c>
      <c r="AP3" t="s">
        <v>375</v>
      </c>
      <c r="AQ3" s="8"/>
      <c r="AR3" t="s">
        <v>367</v>
      </c>
      <c r="AS3" t="s">
        <v>635</v>
      </c>
      <c r="AT3">
        <v>0</v>
      </c>
      <c r="AU3">
        <v>0</v>
      </c>
      <c r="AV3">
        <v>0</v>
      </c>
      <c r="AW3">
        <v>0</v>
      </c>
    </row>
    <row r="4" spans="1:49" x14ac:dyDescent="0.4">
      <c r="A4" s="39">
        <v>42933.719444444447</v>
      </c>
      <c r="B4" t="s">
        <v>336</v>
      </c>
      <c r="C4" t="s">
        <v>299</v>
      </c>
      <c r="D4" t="s">
        <v>371</v>
      </c>
      <c r="E4" t="s">
        <v>376</v>
      </c>
      <c r="F4" t="s">
        <v>119</v>
      </c>
      <c r="G4" t="s">
        <v>120</v>
      </c>
      <c r="H4" t="s">
        <v>356</v>
      </c>
      <c r="I4" t="s">
        <v>364</v>
      </c>
      <c r="J4" t="s">
        <v>362</v>
      </c>
      <c r="K4" t="b">
        <f>_xlfn.XOR(IFERROR(MATCH(CodingTable[[#This Row],[st_code]],EpscorTable[],0)&gt;0,FALSE),IFERROR(FIND("9150",CodingTable[[#This Row],[PRCs]])&gt;0,FALSE))</f>
        <v>0</v>
      </c>
      <c r="L4" t="b">
        <f>_xlfn.XOR(CodingTable[[#This Row],[WMD]]&lt;&gt;"",IFERROR(FIND("9102",CodingTable[[#This Row],[PRCs]])&gt;0,FALSE))</f>
        <v>0</v>
      </c>
      <c r="M4" t="str">
        <f t="shared" si="0"/>
        <v/>
      </c>
      <c r="P4" s="48">
        <v>0</v>
      </c>
      <c r="Q4" s="48">
        <v>0</v>
      </c>
      <c r="R4" s="19" t="str">
        <f>HYPERLINK("mailto:"&amp;CodingTable[[#This Row],[pi_emai_addr]]&amp;"&amp;subject=Your NSF Proposal:  "&amp;CodingTable[[#This Row],[prop_id]], CodingTable[[#This Row],[pi_emai_addr]])</f>
        <v>ztatlock@cs.washington.edu</v>
      </c>
      <c r="S4">
        <f xml:space="preserve"> S3+(CodingTable[ILN]&lt;"M")</f>
        <v>2</v>
      </c>
      <c r="T4" t="s">
        <v>121</v>
      </c>
      <c r="U4" t="s">
        <v>377</v>
      </c>
      <c r="V4" s="19" t="str">
        <f>HYPERLINK("https://www.ejacket.nsf.gov/ej/showProposal.do?ID="&amp;CodingTable[[#This Row],[prop_id]],"eJ")</f>
        <v>eJ</v>
      </c>
      <c r="W4" t="s">
        <v>377</v>
      </c>
      <c r="X4" t="s">
        <v>378</v>
      </c>
      <c r="Y4" t="s">
        <v>588</v>
      </c>
      <c r="Z4" t="s">
        <v>338</v>
      </c>
      <c r="AA4" s="1">
        <v>648665</v>
      </c>
      <c r="AB4" s="39">
        <v>43191</v>
      </c>
      <c r="AC4">
        <v>60</v>
      </c>
      <c r="AD4">
        <v>4</v>
      </c>
      <c r="AF4">
        <v>4</v>
      </c>
      <c r="AG4">
        <v>1</v>
      </c>
      <c r="AI4">
        <v>1</v>
      </c>
      <c r="AJ4"/>
      <c r="AL4" t="s">
        <v>590</v>
      </c>
      <c r="AN4" s="17">
        <v>15000</v>
      </c>
      <c r="AO4" t="s">
        <v>355</v>
      </c>
      <c r="AP4" t="s">
        <v>379</v>
      </c>
      <c r="AQ4" s="8"/>
      <c r="AR4" t="s">
        <v>361</v>
      </c>
      <c r="AS4" t="s">
        <v>636</v>
      </c>
      <c r="AT4">
        <v>0</v>
      </c>
      <c r="AU4">
        <v>0</v>
      </c>
      <c r="AV4">
        <v>0</v>
      </c>
      <c r="AW4">
        <v>0</v>
      </c>
    </row>
    <row r="5" spans="1:49" x14ac:dyDescent="0.4">
      <c r="A5" s="39">
        <v>42933.731249999997</v>
      </c>
      <c r="B5" t="s">
        <v>336</v>
      </c>
      <c r="C5" t="s">
        <v>299</v>
      </c>
      <c r="D5" t="s">
        <v>371</v>
      </c>
      <c r="E5" t="s">
        <v>372</v>
      </c>
      <c r="F5" t="s">
        <v>119</v>
      </c>
      <c r="G5" t="s">
        <v>120</v>
      </c>
      <c r="H5" t="s">
        <v>356</v>
      </c>
      <c r="I5" t="s">
        <v>364</v>
      </c>
      <c r="J5" t="s">
        <v>358</v>
      </c>
      <c r="K5" t="b">
        <f>_xlfn.XOR(IFERROR(MATCH(CodingTable[[#This Row],[st_code]],EpscorTable[],0)&gt;0,FALSE),IFERROR(FIND("9150",CodingTable[[#This Row],[PRCs]])&gt;0,FALSE))</f>
        <v>0</v>
      </c>
      <c r="L5" t="b">
        <f>_xlfn.XOR(CodingTable[[#This Row],[WMD]]&lt;&gt;"",IFERROR(FIND("9102",CodingTable[[#This Row],[PRCs]])&gt;0,FALSE))</f>
        <v>0</v>
      </c>
      <c r="M5" t="str">
        <f t="shared" si="0"/>
        <v/>
      </c>
      <c r="P5" s="48">
        <v>0</v>
      </c>
      <c r="Q5" s="48">
        <v>0</v>
      </c>
      <c r="R5" s="19" t="str">
        <f>HYPERLINK("mailto:"&amp;CodingTable[[#This Row],[pi_emai_addr]]&amp;"&amp;subject=Your NSF Proposal:  "&amp;CodingTable[[#This Row],[prop_id]], CodingTable[[#This Row],[pi_emai_addr]])</f>
        <v>gbm26@drexel.edu</v>
      </c>
      <c r="S5">
        <f xml:space="preserve"> S4+(CodingTable[ILN]&lt;"M")</f>
        <v>3</v>
      </c>
      <c r="T5" t="s">
        <v>121</v>
      </c>
      <c r="U5" t="s">
        <v>380</v>
      </c>
      <c r="V5" s="19" t="str">
        <f>HYPERLINK("https://www.ejacket.nsf.gov/ej/showProposal.do?ID="&amp;CodingTable[[#This Row],[prop_id]],"eJ")</f>
        <v>eJ</v>
      </c>
      <c r="W5" t="s">
        <v>380</v>
      </c>
      <c r="X5" t="s">
        <v>381</v>
      </c>
      <c r="Y5" t="s">
        <v>611</v>
      </c>
      <c r="Z5" t="s">
        <v>382</v>
      </c>
      <c r="AA5" s="1">
        <v>495570</v>
      </c>
      <c r="AB5" s="39">
        <v>43101</v>
      </c>
      <c r="AC5">
        <v>60</v>
      </c>
      <c r="AD5">
        <v>4</v>
      </c>
      <c r="AF5">
        <v>4</v>
      </c>
      <c r="AG5">
        <v>1</v>
      </c>
      <c r="AI5">
        <v>1</v>
      </c>
      <c r="AJ5"/>
      <c r="AL5" t="s">
        <v>613</v>
      </c>
      <c r="AN5" s="17">
        <v>0</v>
      </c>
      <c r="AP5" t="s">
        <v>383</v>
      </c>
      <c r="AQ5" s="8"/>
      <c r="AR5" t="s">
        <v>637</v>
      </c>
      <c r="AS5" t="s">
        <v>638</v>
      </c>
      <c r="AT5">
        <v>0</v>
      </c>
      <c r="AU5">
        <v>0</v>
      </c>
      <c r="AV5">
        <v>0</v>
      </c>
      <c r="AW5">
        <v>0</v>
      </c>
    </row>
    <row r="6" spans="1:49" x14ac:dyDescent="0.4">
      <c r="A6" s="39">
        <v>42934.425000000003</v>
      </c>
      <c r="B6" t="s">
        <v>336</v>
      </c>
      <c r="C6" t="s">
        <v>299</v>
      </c>
      <c r="D6" t="s">
        <v>371</v>
      </c>
      <c r="E6" t="s">
        <v>372</v>
      </c>
      <c r="F6" t="s">
        <v>119</v>
      </c>
      <c r="G6" t="s">
        <v>120</v>
      </c>
      <c r="H6" t="s">
        <v>356</v>
      </c>
      <c r="I6" t="s">
        <v>364</v>
      </c>
      <c r="J6" t="s">
        <v>358</v>
      </c>
      <c r="K6" t="b">
        <f>_xlfn.XOR(IFERROR(MATCH(CodingTable[[#This Row],[st_code]],EpscorTable[],0)&gt;0,FALSE),IFERROR(FIND("9150",CodingTable[[#This Row],[PRCs]])&gt;0,FALSE))</f>
        <v>0</v>
      </c>
      <c r="L6" t="b">
        <f>_xlfn.XOR(CodingTable[[#This Row],[WMD]]&lt;&gt;"",IFERROR(FIND("9102",CodingTable[[#This Row],[PRCs]])&gt;0,FALSE))</f>
        <v>0</v>
      </c>
      <c r="M6" t="str">
        <f t="shared" si="0"/>
        <v/>
      </c>
      <c r="P6" s="48">
        <v>0</v>
      </c>
      <c r="Q6" s="48">
        <v>0</v>
      </c>
      <c r="R6" s="19" t="str">
        <f>HYPERLINK("mailto:"&amp;CodingTable[[#This Row],[pi_emai_addr]]&amp;"&amp;subject=Your NSF Proposal:  "&amp;CodingTable[[#This Row],[prop_id]], CodingTable[[#This Row],[pi_emai_addr]])</f>
        <v>csg63@drexel.edu</v>
      </c>
      <c r="S6">
        <f xml:space="preserve"> S5+(CodingTable[ILN]&lt;"M")</f>
        <v>4</v>
      </c>
      <c r="T6" t="s">
        <v>121</v>
      </c>
      <c r="U6" t="s">
        <v>384</v>
      </c>
      <c r="V6" s="19" t="str">
        <f>HYPERLINK("https://www.ejacket.nsf.gov/ej/showProposal.do?ID="&amp;CodingTable[[#This Row],[prop_id]],"eJ")</f>
        <v>eJ</v>
      </c>
      <c r="W6" t="s">
        <v>384</v>
      </c>
      <c r="X6" t="s">
        <v>385</v>
      </c>
      <c r="Y6" t="s">
        <v>593</v>
      </c>
      <c r="Z6" t="s">
        <v>382</v>
      </c>
      <c r="AA6" s="1">
        <v>622204</v>
      </c>
      <c r="AB6" s="39">
        <v>43344</v>
      </c>
      <c r="AC6">
        <v>60</v>
      </c>
      <c r="AD6">
        <v>4</v>
      </c>
      <c r="AF6">
        <v>4</v>
      </c>
      <c r="AG6">
        <v>1</v>
      </c>
      <c r="AI6">
        <v>1</v>
      </c>
      <c r="AJ6"/>
      <c r="AL6" t="s">
        <v>595</v>
      </c>
      <c r="AN6" s="17">
        <v>28660</v>
      </c>
      <c r="AO6" t="s">
        <v>355</v>
      </c>
      <c r="AP6" t="s">
        <v>386</v>
      </c>
      <c r="AQ6" s="8"/>
      <c r="AR6" t="s">
        <v>637</v>
      </c>
      <c r="AS6" t="s">
        <v>639</v>
      </c>
      <c r="AT6">
        <v>0</v>
      </c>
      <c r="AU6">
        <v>0</v>
      </c>
      <c r="AV6">
        <v>0</v>
      </c>
      <c r="AW6">
        <v>0</v>
      </c>
    </row>
    <row r="7" spans="1:49" x14ac:dyDescent="0.4">
      <c r="A7" s="39">
        <v>42934.681250000001</v>
      </c>
      <c r="B7" t="s">
        <v>336</v>
      </c>
      <c r="C7" t="s">
        <v>299</v>
      </c>
      <c r="D7" t="s">
        <v>371</v>
      </c>
      <c r="E7" t="s">
        <v>372</v>
      </c>
      <c r="F7" t="s">
        <v>119</v>
      </c>
      <c r="G7" t="s">
        <v>120</v>
      </c>
      <c r="H7" t="s">
        <v>356</v>
      </c>
      <c r="I7" t="s">
        <v>364</v>
      </c>
      <c r="J7" t="s">
        <v>366</v>
      </c>
      <c r="K7" t="b">
        <f>_xlfn.XOR(IFERROR(MATCH(CodingTable[[#This Row],[st_code]],EpscorTable[],0)&gt;0,FALSE),IFERROR(FIND("9150",CodingTable[[#This Row],[PRCs]])&gt;0,FALSE))</f>
        <v>0</v>
      </c>
      <c r="L7" t="b">
        <f>_xlfn.XOR(CodingTable[[#This Row],[WMD]]&lt;&gt;"",IFERROR(FIND("9102",CodingTable[[#This Row],[PRCs]])&gt;0,FALSE))</f>
        <v>0</v>
      </c>
      <c r="M7" t="str">
        <f t="shared" si="0"/>
        <v/>
      </c>
      <c r="P7" s="48">
        <v>0</v>
      </c>
      <c r="Q7" s="48">
        <v>0</v>
      </c>
      <c r="R7" s="19" t="str">
        <f>HYPERLINK("mailto:"&amp;CodingTable[[#This Row],[pi_emai_addr]]&amp;"&amp;subject=Your NSF Proposal:  "&amp;CodingTable[[#This Row],[prop_id]], CodingTable[[#This Row],[pi_emai_addr]])</f>
        <v>arjun@cs.umass.edu</v>
      </c>
      <c r="S7">
        <f xml:space="preserve"> S6+(CodingTable[ILN]&lt;"M")</f>
        <v>5</v>
      </c>
      <c r="T7" t="s">
        <v>121</v>
      </c>
      <c r="U7" t="s">
        <v>387</v>
      </c>
      <c r="V7" s="19" t="str">
        <f>HYPERLINK("https://www.ejacket.nsf.gov/ej/showProposal.do?ID="&amp;CodingTable[[#This Row],[prop_id]],"eJ")</f>
        <v>eJ</v>
      </c>
      <c r="W7" t="s">
        <v>387</v>
      </c>
      <c r="X7" t="s">
        <v>388</v>
      </c>
      <c r="Y7" t="s">
        <v>615</v>
      </c>
      <c r="Z7" t="s">
        <v>389</v>
      </c>
      <c r="AA7" s="1">
        <v>532375</v>
      </c>
      <c r="AB7" s="39">
        <v>43101</v>
      </c>
      <c r="AC7">
        <v>60</v>
      </c>
      <c r="AD7">
        <v>4</v>
      </c>
      <c r="AF7">
        <v>4</v>
      </c>
      <c r="AG7">
        <v>1</v>
      </c>
      <c r="AI7">
        <v>1</v>
      </c>
      <c r="AJ7"/>
      <c r="AL7" t="s">
        <v>617</v>
      </c>
      <c r="AN7" s="17">
        <v>0</v>
      </c>
      <c r="AP7" t="s">
        <v>390</v>
      </c>
      <c r="AQ7" s="8"/>
      <c r="AR7" t="s">
        <v>640</v>
      </c>
      <c r="AS7" t="s">
        <v>641</v>
      </c>
      <c r="AT7">
        <v>0</v>
      </c>
      <c r="AU7">
        <v>0</v>
      </c>
      <c r="AV7">
        <v>0</v>
      </c>
      <c r="AW7">
        <v>0</v>
      </c>
    </row>
    <row r="8" spans="1:49" x14ac:dyDescent="0.4">
      <c r="A8" s="39">
        <v>42934.72152777778</v>
      </c>
      <c r="B8" t="s">
        <v>336</v>
      </c>
      <c r="C8" t="s">
        <v>299</v>
      </c>
      <c r="D8" t="s">
        <v>371</v>
      </c>
      <c r="E8" t="s">
        <v>376</v>
      </c>
      <c r="F8" t="s">
        <v>119</v>
      </c>
      <c r="G8" t="s">
        <v>120</v>
      </c>
      <c r="H8" t="s">
        <v>356</v>
      </c>
      <c r="I8" t="s">
        <v>364</v>
      </c>
      <c r="J8" t="s">
        <v>370</v>
      </c>
      <c r="K8" t="b">
        <f>_xlfn.XOR(IFERROR(MATCH(CodingTable[[#This Row],[st_code]],EpscorTable[],0)&gt;0,FALSE),IFERROR(FIND("9150",CodingTable[[#This Row],[PRCs]])&gt;0,FALSE))</f>
        <v>0</v>
      </c>
      <c r="L8" t="b">
        <f>_xlfn.XOR(CodingTable[[#This Row],[WMD]]&lt;&gt;"",IFERROR(FIND("9102",CodingTable[[#This Row],[PRCs]])&gt;0,FALSE))</f>
        <v>0</v>
      </c>
      <c r="M8" t="str">
        <f t="shared" si="0"/>
        <v/>
      </c>
      <c r="P8" s="48">
        <v>0</v>
      </c>
      <c r="Q8" s="48">
        <v>0</v>
      </c>
      <c r="R8" s="19" t="str">
        <f>HYPERLINK("mailto:"&amp;CodingTable[[#This Row],[pi_emai_addr]]&amp;"&amp;subject=Your NSF Proposal:  "&amp;CodingTable[[#This Row],[prop_id]], CodingTable[[#This Row],[pi_emai_addr]])</f>
        <v>heades@augusta.edu</v>
      </c>
      <c r="S8">
        <f xml:space="preserve"> S7+(CodingTable[ILN]&lt;"M")</f>
        <v>6</v>
      </c>
      <c r="T8" t="s">
        <v>121</v>
      </c>
      <c r="U8" t="s">
        <v>391</v>
      </c>
      <c r="V8" s="19" t="str">
        <f>HYPERLINK("https://www.ejacket.nsf.gov/ej/showProposal.do?ID="&amp;CodingTable[[#This Row],[prop_id]],"eJ")</f>
        <v>eJ</v>
      </c>
      <c r="W8" t="s">
        <v>391</v>
      </c>
      <c r="X8" t="s">
        <v>392</v>
      </c>
      <c r="Y8" t="s">
        <v>619</v>
      </c>
      <c r="Z8" t="s">
        <v>393</v>
      </c>
      <c r="AA8" s="1">
        <v>500272</v>
      </c>
      <c r="AB8" s="39">
        <v>43160</v>
      </c>
      <c r="AC8">
        <v>60</v>
      </c>
      <c r="AD8">
        <v>5</v>
      </c>
      <c r="AF8">
        <v>5</v>
      </c>
      <c r="AG8">
        <v>1</v>
      </c>
      <c r="AI8">
        <v>1</v>
      </c>
      <c r="AJ8"/>
      <c r="AL8" t="s">
        <v>621</v>
      </c>
      <c r="AN8" s="17">
        <v>32960</v>
      </c>
      <c r="AO8" t="s">
        <v>355</v>
      </c>
      <c r="AP8" t="s">
        <v>394</v>
      </c>
      <c r="AQ8" s="8"/>
      <c r="AR8" t="s">
        <v>642</v>
      </c>
      <c r="AS8" t="s">
        <v>643</v>
      </c>
      <c r="AT8">
        <v>0</v>
      </c>
      <c r="AU8">
        <v>0</v>
      </c>
      <c r="AV8">
        <v>0</v>
      </c>
      <c r="AW8">
        <v>0</v>
      </c>
    </row>
    <row r="9" spans="1:49" x14ac:dyDescent="0.4">
      <c r="A9" s="39">
        <v>42935.388194444444</v>
      </c>
      <c r="B9" t="s">
        <v>336</v>
      </c>
      <c r="C9" t="s">
        <v>299</v>
      </c>
      <c r="D9" t="s">
        <v>371</v>
      </c>
      <c r="E9" t="s">
        <v>372</v>
      </c>
      <c r="F9" t="s">
        <v>119</v>
      </c>
      <c r="G9" t="s">
        <v>120</v>
      </c>
      <c r="H9" t="s">
        <v>356</v>
      </c>
      <c r="I9" t="s">
        <v>364</v>
      </c>
      <c r="J9" t="s">
        <v>358</v>
      </c>
      <c r="K9" t="b">
        <f>_xlfn.XOR(IFERROR(MATCH(CodingTable[[#This Row],[st_code]],EpscorTable[],0)&gt;0,FALSE),IFERROR(FIND("9150",CodingTable[[#This Row],[PRCs]])&gt;0,FALSE))</f>
        <v>0</v>
      </c>
      <c r="L9" t="b">
        <f>_xlfn.XOR(CodingTable[[#This Row],[WMD]]&lt;&gt;"",IFERROR(FIND("9102",CodingTable[[#This Row],[PRCs]])&gt;0,FALSE))</f>
        <v>0</v>
      </c>
      <c r="M9" t="str">
        <f t="shared" si="0"/>
        <v/>
      </c>
      <c r="P9" s="48">
        <v>0</v>
      </c>
      <c r="Q9" s="48">
        <v>0</v>
      </c>
      <c r="R9" s="19" t="str">
        <f>HYPERLINK("mailto:"&amp;CodingTable[[#This Row],[pi_emai_addr]]&amp;"&amp;subject=Your NSF Proposal:  "&amp;CodingTable[[#This Row],[prop_id]], CodingTable[[#This Row],[pi_emai_addr]])</f>
        <v>zhang@cse.psu.edu</v>
      </c>
      <c r="S9">
        <f xml:space="preserve"> S8+(CodingTable[ILN]&lt;"M")</f>
        <v>7</v>
      </c>
      <c r="T9" t="s">
        <v>121</v>
      </c>
      <c r="U9" t="s">
        <v>395</v>
      </c>
      <c r="V9" s="19" t="str">
        <f>HYPERLINK("https://www.ejacket.nsf.gov/ej/showProposal.do?ID="&amp;CodingTable[[#This Row],[prop_id]],"eJ")</f>
        <v>eJ</v>
      </c>
      <c r="W9" t="s">
        <v>395</v>
      </c>
      <c r="X9" t="s">
        <v>396</v>
      </c>
      <c r="Y9" t="s">
        <v>622</v>
      </c>
      <c r="Z9" t="s">
        <v>397</v>
      </c>
      <c r="AA9" s="1">
        <v>498999</v>
      </c>
      <c r="AB9" s="39">
        <v>43282</v>
      </c>
      <c r="AC9">
        <v>60</v>
      </c>
      <c r="AD9">
        <v>4</v>
      </c>
      <c r="AF9">
        <v>4</v>
      </c>
      <c r="AG9">
        <v>2</v>
      </c>
      <c r="AI9">
        <v>2</v>
      </c>
      <c r="AJ9"/>
      <c r="AL9" t="s">
        <v>623</v>
      </c>
      <c r="AN9" s="17">
        <v>12500</v>
      </c>
      <c r="AO9" t="s">
        <v>644</v>
      </c>
      <c r="AP9" t="s">
        <v>398</v>
      </c>
      <c r="AQ9" s="8"/>
      <c r="AR9" t="s">
        <v>645</v>
      </c>
      <c r="AS9" t="s">
        <v>646</v>
      </c>
      <c r="AT9">
        <v>0</v>
      </c>
      <c r="AU9">
        <v>0</v>
      </c>
      <c r="AV9">
        <v>0</v>
      </c>
      <c r="AW9">
        <v>0</v>
      </c>
    </row>
    <row r="10" spans="1:49" x14ac:dyDescent="0.4">
      <c r="A10" s="39">
        <v>42935.546527777777</v>
      </c>
      <c r="B10" t="s">
        <v>336</v>
      </c>
      <c r="C10" t="s">
        <v>299</v>
      </c>
      <c r="D10" t="s">
        <v>371</v>
      </c>
      <c r="E10" t="s">
        <v>372</v>
      </c>
      <c r="F10" t="s">
        <v>119</v>
      </c>
      <c r="G10" t="s">
        <v>120</v>
      </c>
      <c r="H10" t="s">
        <v>356</v>
      </c>
      <c r="I10" t="s">
        <v>364</v>
      </c>
      <c r="J10" t="s">
        <v>363</v>
      </c>
      <c r="K10" t="b">
        <f>_xlfn.XOR(IFERROR(MATCH(CodingTable[[#This Row],[st_code]],EpscorTable[],0)&gt;0,FALSE),IFERROR(FIND("9150",CodingTable[[#This Row],[PRCs]])&gt;0,FALSE))</f>
        <v>0</v>
      </c>
      <c r="L10" t="b">
        <f>_xlfn.XOR(CodingTable[[#This Row],[WMD]]&lt;&gt;"",IFERROR(FIND("9102",CodingTable[[#This Row],[PRCs]])&gt;0,FALSE))</f>
        <v>0</v>
      </c>
      <c r="M10" t="str">
        <f t="shared" si="0"/>
        <v/>
      </c>
      <c r="P10" s="48">
        <v>0</v>
      </c>
      <c r="Q10" s="48">
        <v>0</v>
      </c>
      <c r="R10" s="19" t="str">
        <f>HYPERLINK("mailto:"&amp;CodingTable[[#This Row],[pi_emai_addr]]&amp;"&amp;subject=Your NSF Proposal:  "&amp;CodingTable[[#This Row],[prop_id]], CodingTable[[#This Row],[pi_emai_addr]])</f>
        <v>michael.greenberg@pomona.edu</v>
      </c>
      <c r="S10">
        <f xml:space="preserve"> S9+(CodingTable[ILN]&lt;"M")</f>
        <v>8</v>
      </c>
      <c r="T10" t="s">
        <v>121</v>
      </c>
      <c r="U10" t="s">
        <v>399</v>
      </c>
      <c r="V10" s="19" t="str">
        <f>HYPERLINK("https://www.ejacket.nsf.gov/ej/showProposal.do?ID="&amp;CodingTable[[#This Row],[prop_id]],"eJ")</f>
        <v>eJ</v>
      </c>
      <c r="W10" t="s">
        <v>399</v>
      </c>
      <c r="X10" t="s">
        <v>400</v>
      </c>
      <c r="Y10" t="s">
        <v>354</v>
      </c>
      <c r="Z10" t="s">
        <v>401</v>
      </c>
      <c r="AA10" s="1">
        <v>430917</v>
      </c>
      <c r="AB10" s="39">
        <v>43191</v>
      </c>
      <c r="AC10">
        <v>60</v>
      </c>
      <c r="AD10">
        <v>5</v>
      </c>
      <c r="AF10">
        <v>5</v>
      </c>
      <c r="AG10">
        <v>1</v>
      </c>
      <c r="AI10">
        <v>1</v>
      </c>
      <c r="AJ10"/>
      <c r="AL10" t="s">
        <v>599</v>
      </c>
      <c r="AN10" s="17">
        <v>40000</v>
      </c>
      <c r="AO10" t="s">
        <v>355</v>
      </c>
      <c r="AP10" t="s">
        <v>402</v>
      </c>
      <c r="AQ10" s="8"/>
      <c r="AR10" t="s">
        <v>647</v>
      </c>
      <c r="AS10" t="s">
        <v>648</v>
      </c>
      <c r="AT10">
        <v>0</v>
      </c>
      <c r="AU10">
        <v>0</v>
      </c>
      <c r="AV10">
        <v>0</v>
      </c>
      <c r="AW10">
        <v>0</v>
      </c>
    </row>
    <row r="11" spans="1:49" x14ac:dyDescent="0.4">
      <c r="A11" s="39">
        <v>42935.551388888889</v>
      </c>
      <c r="B11" t="s">
        <v>336</v>
      </c>
      <c r="C11" t="s">
        <v>299</v>
      </c>
      <c r="D11" t="s">
        <v>371</v>
      </c>
      <c r="E11" t="s">
        <v>372</v>
      </c>
      <c r="F11" t="s">
        <v>119</v>
      </c>
      <c r="G11" t="s">
        <v>120</v>
      </c>
      <c r="H11" t="s">
        <v>356</v>
      </c>
      <c r="I11" t="s">
        <v>364</v>
      </c>
      <c r="J11" t="s">
        <v>366</v>
      </c>
      <c r="K11" t="b">
        <f>_xlfn.XOR(IFERROR(MATCH(CodingTable[[#This Row],[st_code]],EpscorTable[],0)&gt;0,FALSE),IFERROR(FIND("9150",CodingTable[[#This Row],[PRCs]])&gt;0,FALSE))</f>
        <v>0</v>
      </c>
      <c r="L11" t="b">
        <f>_xlfn.XOR(CodingTable[[#This Row],[WMD]]&lt;&gt;"",IFERROR(FIND("9102",CodingTable[[#This Row],[PRCs]])&gt;0,FALSE))</f>
        <v>0</v>
      </c>
      <c r="M11" t="str">
        <f t="shared" si="0"/>
        <v/>
      </c>
      <c r="P11" s="48">
        <v>0</v>
      </c>
      <c r="Q11" s="48">
        <v>0</v>
      </c>
      <c r="R11" s="19" t="str">
        <f>HYPERLINK("mailto:"&amp;CodingTable[[#This Row],[pi_emai_addr]]&amp;"&amp;subject=Your NSF Proposal:  "&amp;CodingTable[[#This Row],[prop_id]], CodingTable[[#This Row],[pi_emai_addr]])</f>
        <v>bwood5@wellesley.edu</v>
      </c>
      <c r="S11">
        <f xml:space="preserve"> S10+(CodingTable[ILN]&lt;"M")</f>
        <v>9</v>
      </c>
      <c r="T11" t="s">
        <v>121</v>
      </c>
      <c r="U11" t="s">
        <v>403</v>
      </c>
      <c r="V11" s="19" t="str">
        <f>HYPERLINK("https://www.ejacket.nsf.gov/ej/showProposal.do?ID="&amp;CodingTable[[#This Row],[prop_id]],"eJ")</f>
        <v>eJ</v>
      </c>
      <c r="W11" t="s">
        <v>403</v>
      </c>
      <c r="X11" t="s">
        <v>404</v>
      </c>
      <c r="Y11" t="s">
        <v>342</v>
      </c>
      <c r="Z11" t="s">
        <v>405</v>
      </c>
      <c r="AA11" s="1">
        <v>475283</v>
      </c>
      <c r="AB11" s="39">
        <v>43191</v>
      </c>
      <c r="AC11">
        <v>60</v>
      </c>
      <c r="AD11">
        <v>4</v>
      </c>
      <c r="AF11">
        <v>4</v>
      </c>
      <c r="AG11">
        <v>1</v>
      </c>
      <c r="AI11">
        <v>1</v>
      </c>
      <c r="AJ11"/>
      <c r="AL11" t="s">
        <v>626</v>
      </c>
      <c r="AN11" s="17">
        <v>17500</v>
      </c>
      <c r="AO11" t="s">
        <v>355</v>
      </c>
      <c r="AP11" t="s">
        <v>406</v>
      </c>
      <c r="AQ11" s="8"/>
      <c r="AR11" t="s">
        <v>649</v>
      </c>
      <c r="AS11" t="s">
        <v>650</v>
      </c>
      <c r="AT11">
        <v>0</v>
      </c>
      <c r="AU11">
        <v>0</v>
      </c>
      <c r="AV11">
        <v>0</v>
      </c>
      <c r="AW11">
        <v>0</v>
      </c>
    </row>
    <row r="12" spans="1:49" x14ac:dyDescent="0.4">
      <c r="A12" s="39">
        <v>42935.561805555553</v>
      </c>
      <c r="B12" t="s">
        <v>336</v>
      </c>
      <c r="C12" t="s">
        <v>299</v>
      </c>
      <c r="D12" t="s">
        <v>371</v>
      </c>
      <c r="E12" t="s">
        <v>372</v>
      </c>
      <c r="F12" t="s">
        <v>119</v>
      </c>
      <c r="G12" t="s">
        <v>120</v>
      </c>
      <c r="H12" t="s">
        <v>356</v>
      </c>
      <c r="I12" t="s">
        <v>364</v>
      </c>
      <c r="J12" t="s">
        <v>652</v>
      </c>
      <c r="K12" t="b">
        <f>_xlfn.XOR(IFERROR(MATCH(CodingTable[[#This Row],[st_code]],EpscorTable[],0)&gt;0,FALSE),IFERROR(FIND("9150",CodingTable[[#This Row],[PRCs]])&gt;0,FALSE))</f>
        <v>0</v>
      </c>
      <c r="L12" t="b">
        <f>_xlfn.XOR(CodingTable[[#This Row],[WMD]]&lt;&gt;"",IFERROR(FIND("9102",CodingTable[[#This Row],[PRCs]])&gt;0,FALSE))</f>
        <v>0</v>
      </c>
      <c r="M12" t="str">
        <f t="shared" si="0"/>
        <v/>
      </c>
      <c r="P12" s="48">
        <v>0</v>
      </c>
      <c r="Q12" s="48">
        <v>0</v>
      </c>
      <c r="R12" s="19" t="str">
        <f>HYPERLINK("mailto:"&amp;CodingTable[[#This Row],[pi_emai_addr]]&amp;"&amp;subject=Your NSF Proposal:  "&amp;CodingTable[[#This Row],[prop_id]], CodingTable[[#This Row],[pi_emai_addr]])</f>
        <v>samth@cs.indiana.edu</v>
      </c>
      <c r="S12">
        <f xml:space="preserve"> S11+(CodingTable[ILN]&lt;"M")</f>
        <v>10</v>
      </c>
      <c r="T12" t="s">
        <v>121</v>
      </c>
      <c r="U12" t="s">
        <v>407</v>
      </c>
      <c r="V12" s="19" t="str">
        <f>HYPERLINK("https://www.ejacket.nsf.gov/ej/showProposal.do?ID="&amp;CodingTable[[#This Row],[prop_id]],"eJ")</f>
        <v>eJ</v>
      </c>
      <c r="W12" t="s">
        <v>407</v>
      </c>
      <c r="X12" t="s">
        <v>408</v>
      </c>
      <c r="Y12" t="s">
        <v>608</v>
      </c>
      <c r="Z12" t="s">
        <v>409</v>
      </c>
      <c r="AA12" s="1">
        <v>501687</v>
      </c>
      <c r="AB12" s="39">
        <v>43282</v>
      </c>
      <c r="AC12">
        <v>60</v>
      </c>
      <c r="AD12">
        <v>4</v>
      </c>
      <c r="AF12">
        <v>4</v>
      </c>
      <c r="AG12">
        <v>1</v>
      </c>
      <c r="AI12">
        <v>1</v>
      </c>
      <c r="AJ12"/>
      <c r="AL12" t="s">
        <v>609</v>
      </c>
      <c r="AN12" s="17">
        <v>20000</v>
      </c>
      <c r="AO12" t="s">
        <v>355</v>
      </c>
      <c r="AP12" t="s">
        <v>410</v>
      </c>
      <c r="AQ12" s="8"/>
      <c r="AR12" t="s">
        <v>651</v>
      </c>
      <c r="AS12" t="s">
        <v>653</v>
      </c>
      <c r="AT12">
        <v>0</v>
      </c>
      <c r="AU12">
        <v>0</v>
      </c>
      <c r="AV12">
        <v>0</v>
      </c>
      <c r="AW12">
        <v>0</v>
      </c>
    </row>
    <row r="13" spans="1:49" x14ac:dyDescent="0.4">
      <c r="A13" s="39">
        <v>42935.652777777781</v>
      </c>
      <c r="B13" t="s">
        <v>336</v>
      </c>
      <c r="C13" t="s">
        <v>299</v>
      </c>
      <c r="D13" t="s">
        <v>371</v>
      </c>
      <c r="E13" t="s">
        <v>372</v>
      </c>
      <c r="F13" t="s">
        <v>119</v>
      </c>
      <c r="G13" t="s">
        <v>120</v>
      </c>
      <c r="H13" t="s">
        <v>356</v>
      </c>
      <c r="I13" t="s">
        <v>654</v>
      </c>
      <c r="J13" t="s">
        <v>135</v>
      </c>
      <c r="K13" t="b">
        <f>_xlfn.XOR(IFERROR(MATCH(CodingTable[[#This Row],[st_code]],EpscorTable[],0)&gt;0,FALSE),IFERROR(FIND("9150",CodingTable[[#This Row],[PRCs]])&gt;0,FALSE))</f>
        <v>0</v>
      </c>
      <c r="L13" t="b">
        <f>_xlfn.XOR(CodingTable[[#This Row],[WMD]]&lt;&gt;"",IFERROR(FIND("9102",CodingTable[[#This Row],[PRCs]])&gt;0,FALSE))</f>
        <v>0</v>
      </c>
      <c r="M13" t="str">
        <f t="shared" si="0"/>
        <v/>
      </c>
      <c r="P13" s="48">
        <v>0</v>
      </c>
      <c r="Q13" s="48">
        <v>0</v>
      </c>
      <c r="R13" s="19" t="str">
        <f>HYPERLINK("mailto:"&amp;CodingTable[[#This Row],[pi_emai_addr]]&amp;"&amp;subject=Your NSF Proposal:  "&amp;CodingTable[[#This Row],[prop_id]], CodingTable[[#This Row],[pi_emai_addr]])</f>
        <v>sxc2311@louisiana.edu</v>
      </c>
      <c r="S13">
        <f xml:space="preserve"> S12+(CodingTable[ILN]&lt;"M")</f>
        <v>11</v>
      </c>
      <c r="T13" t="s">
        <v>121</v>
      </c>
      <c r="U13" t="s">
        <v>411</v>
      </c>
      <c r="V13" s="19" t="str">
        <f>HYPERLINK("https://www.ejacket.nsf.gov/ej/showProposal.do?ID="&amp;CodingTable[[#This Row],[prop_id]],"eJ")</f>
        <v>eJ</v>
      </c>
      <c r="W13" t="s">
        <v>411</v>
      </c>
      <c r="X13" t="s">
        <v>346</v>
      </c>
      <c r="Y13" t="s">
        <v>574</v>
      </c>
      <c r="Z13" t="s">
        <v>412</v>
      </c>
      <c r="AA13" s="1">
        <v>506060</v>
      </c>
      <c r="AB13" s="39">
        <v>43132</v>
      </c>
      <c r="AC13">
        <v>60</v>
      </c>
      <c r="AD13">
        <v>4</v>
      </c>
      <c r="AF13">
        <v>4</v>
      </c>
      <c r="AG13">
        <v>1</v>
      </c>
      <c r="AI13">
        <v>1</v>
      </c>
      <c r="AJ13"/>
      <c r="AL13" t="s">
        <v>578</v>
      </c>
      <c r="AN13" s="17">
        <v>20250</v>
      </c>
      <c r="AO13" t="s">
        <v>355</v>
      </c>
      <c r="AP13" t="s">
        <v>413</v>
      </c>
      <c r="AQ13" s="8"/>
      <c r="AR13" t="s">
        <v>655</v>
      </c>
      <c r="AS13" t="s">
        <v>656</v>
      </c>
      <c r="AT13">
        <v>0</v>
      </c>
      <c r="AU13">
        <v>0</v>
      </c>
      <c r="AV13">
        <v>0</v>
      </c>
      <c r="AW13">
        <v>0</v>
      </c>
    </row>
    <row r="14" spans="1:49" x14ac:dyDescent="0.4">
      <c r="A14" s="39">
        <v>42935.665277777778</v>
      </c>
      <c r="B14" t="s">
        <v>336</v>
      </c>
      <c r="C14" t="s">
        <v>299</v>
      </c>
      <c r="D14" t="s">
        <v>371</v>
      </c>
      <c r="E14" t="s">
        <v>376</v>
      </c>
      <c r="F14" t="s">
        <v>119</v>
      </c>
      <c r="G14" t="s">
        <v>120</v>
      </c>
      <c r="H14" t="s">
        <v>356</v>
      </c>
      <c r="I14" t="s">
        <v>364</v>
      </c>
      <c r="J14" t="s">
        <v>360</v>
      </c>
      <c r="K14" t="b">
        <f>_xlfn.XOR(IFERROR(MATCH(CodingTable[[#This Row],[st_code]],EpscorTable[],0)&gt;0,FALSE),IFERROR(FIND("9150",CodingTable[[#This Row],[PRCs]])&gt;0,FALSE))</f>
        <v>0</v>
      </c>
      <c r="L14" t="b">
        <f>_xlfn.XOR(CodingTable[[#This Row],[WMD]]&lt;&gt;"",IFERROR(FIND("9102",CodingTable[[#This Row],[PRCs]])&gt;0,FALSE))</f>
        <v>0</v>
      </c>
      <c r="M14" t="str">
        <f t="shared" si="0"/>
        <v/>
      </c>
      <c r="P14" s="48">
        <v>0</v>
      </c>
      <c r="Q14" s="48">
        <v>0</v>
      </c>
      <c r="R14" s="19" t="str">
        <f>HYPERLINK("mailto:"&amp;CodingTable[[#This Row],[pi_emai_addr]]&amp;"&amp;subject=Your NSF Proposal:  "&amp;CodingTable[[#This Row],[prop_id]], CodingTable[[#This Row],[pi_emai_addr]])</f>
        <v>loris@cs.wisc.edu</v>
      </c>
      <c r="S14">
        <f xml:space="preserve"> S13+(CodingTable[ILN]&lt;"M")</f>
        <v>12</v>
      </c>
      <c r="T14" t="s">
        <v>121</v>
      </c>
      <c r="U14" t="s">
        <v>415</v>
      </c>
      <c r="V14" s="19" t="str">
        <f>HYPERLINK("https://www.ejacket.nsf.gov/ej/showProposal.do?ID="&amp;CodingTable[[#This Row],[prop_id]],"eJ")</f>
        <v>eJ</v>
      </c>
      <c r="W14" t="s">
        <v>415</v>
      </c>
      <c r="X14" t="s">
        <v>416</v>
      </c>
      <c r="Y14" t="s">
        <v>583</v>
      </c>
      <c r="Z14" t="s">
        <v>341</v>
      </c>
      <c r="AA14" s="1">
        <v>571195</v>
      </c>
      <c r="AB14" s="39">
        <v>43344</v>
      </c>
      <c r="AC14">
        <v>60</v>
      </c>
      <c r="AD14">
        <v>4</v>
      </c>
      <c r="AF14">
        <v>4</v>
      </c>
      <c r="AG14">
        <v>1</v>
      </c>
      <c r="AI14">
        <v>1</v>
      </c>
      <c r="AJ14"/>
      <c r="AL14" t="s">
        <v>585</v>
      </c>
      <c r="AN14" s="17">
        <v>15928</v>
      </c>
      <c r="AO14" t="s">
        <v>355</v>
      </c>
      <c r="AP14" t="s">
        <v>417</v>
      </c>
      <c r="AQ14" s="8"/>
      <c r="AR14" t="s">
        <v>359</v>
      </c>
      <c r="AS14" t="s">
        <v>657</v>
      </c>
      <c r="AT14">
        <v>0</v>
      </c>
      <c r="AU14">
        <v>0</v>
      </c>
      <c r="AV14">
        <v>0</v>
      </c>
      <c r="AW14">
        <v>0</v>
      </c>
    </row>
    <row r="15" spans="1:49" x14ac:dyDescent="0.4">
      <c r="A15" s="39">
        <v>42935.67291666667</v>
      </c>
      <c r="B15" t="s">
        <v>336</v>
      </c>
      <c r="C15" t="s">
        <v>299</v>
      </c>
      <c r="D15" t="s">
        <v>371</v>
      </c>
      <c r="E15" t="s">
        <v>372</v>
      </c>
      <c r="F15" t="s">
        <v>119</v>
      </c>
      <c r="G15" t="s">
        <v>120</v>
      </c>
      <c r="H15" t="s">
        <v>356</v>
      </c>
      <c r="I15" t="s">
        <v>364</v>
      </c>
      <c r="J15" t="s">
        <v>366</v>
      </c>
      <c r="K15" t="b">
        <f>_xlfn.XOR(IFERROR(MATCH(CodingTable[[#This Row],[st_code]],EpscorTable[],0)&gt;0,FALSE),IFERROR(FIND("9150",CodingTable[[#This Row],[PRCs]])&gt;0,FALSE))</f>
        <v>0</v>
      </c>
      <c r="L15" t="b">
        <f>_xlfn.XOR(CodingTable[[#This Row],[WMD]]&lt;&gt;"",IFERROR(FIND("9102",CodingTable[[#This Row],[PRCs]])&gt;0,FALSE))</f>
        <v>0</v>
      </c>
      <c r="M15" t="str">
        <f t="shared" si="0"/>
        <v/>
      </c>
      <c r="P15" s="48">
        <v>0</v>
      </c>
      <c r="Q15" s="48">
        <v>0</v>
      </c>
      <c r="R15" s="19" t="str">
        <f>HYPERLINK("mailto:"&amp;CodingTable[[#This Row],[pi_emai_addr]]&amp;"&amp;subject=Your NSF Proposal:  "&amp;CodingTable[[#This Row],[prop_id]], CodingTable[[#This Row],[pi_emai_addr]])</f>
        <v>mcarbin@csail.mit.edu</v>
      </c>
      <c r="S15">
        <f xml:space="preserve"> S14+(CodingTable[ILN]&lt;"M")</f>
        <v>13</v>
      </c>
      <c r="T15" t="s">
        <v>121</v>
      </c>
      <c r="U15" t="s">
        <v>418</v>
      </c>
      <c r="V15" s="19" t="str">
        <f>HYPERLINK("https://www.ejacket.nsf.gov/ej/showProposal.do?ID="&amp;CodingTable[[#This Row],[prop_id]],"eJ")</f>
        <v>eJ</v>
      </c>
      <c r="W15" t="s">
        <v>418</v>
      </c>
      <c r="X15" t="s">
        <v>419</v>
      </c>
      <c r="Y15" t="s">
        <v>354</v>
      </c>
      <c r="Z15" t="s">
        <v>300</v>
      </c>
      <c r="AA15" s="1">
        <v>525000</v>
      </c>
      <c r="AB15" s="39">
        <v>43282</v>
      </c>
      <c r="AC15">
        <v>60</v>
      </c>
      <c r="AD15">
        <v>4</v>
      </c>
      <c r="AF15">
        <v>4</v>
      </c>
      <c r="AG15">
        <v>1</v>
      </c>
      <c r="AI15">
        <v>1</v>
      </c>
      <c r="AJ15"/>
      <c r="AL15" t="s">
        <v>591</v>
      </c>
      <c r="AN15" s="17">
        <v>0</v>
      </c>
      <c r="AP15" t="s">
        <v>420</v>
      </c>
      <c r="AQ15" s="8"/>
      <c r="AR15" t="s">
        <v>365</v>
      </c>
      <c r="AS15" t="s">
        <v>658</v>
      </c>
      <c r="AT15">
        <v>0</v>
      </c>
      <c r="AU15">
        <v>0</v>
      </c>
      <c r="AV15">
        <v>0</v>
      </c>
      <c r="AW15">
        <v>0</v>
      </c>
    </row>
    <row r="16" spans="1:49" x14ac:dyDescent="0.4">
      <c r="A16" s="39">
        <v>42935.705555555556</v>
      </c>
      <c r="B16" t="s">
        <v>336</v>
      </c>
      <c r="C16" t="s">
        <v>299</v>
      </c>
      <c r="D16" t="s">
        <v>371</v>
      </c>
      <c r="E16" t="s">
        <v>372</v>
      </c>
      <c r="F16" t="s">
        <v>119</v>
      </c>
      <c r="G16" t="s">
        <v>120</v>
      </c>
      <c r="H16" t="s">
        <v>356</v>
      </c>
      <c r="I16" t="s">
        <v>364</v>
      </c>
      <c r="J16" t="s">
        <v>368</v>
      </c>
      <c r="K16" t="b">
        <f>_xlfn.XOR(IFERROR(MATCH(CodingTable[[#This Row],[st_code]],EpscorTable[],0)&gt;0,FALSE),IFERROR(FIND("9150",CodingTable[[#This Row],[PRCs]])&gt;0,FALSE))</f>
        <v>0</v>
      </c>
      <c r="L16" t="b">
        <f>_xlfn.XOR(CodingTable[[#This Row],[WMD]]&lt;&gt;"",IFERROR(FIND("9102",CodingTable[[#This Row],[PRCs]])&gt;0,FALSE))</f>
        <v>0</v>
      </c>
      <c r="M16" t="str">
        <f t="shared" si="0"/>
        <v/>
      </c>
      <c r="P16" s="48">
        <v>0</v>
      </c>
      <c r="Q16" s="48">
        <v>0</v>
      </c>
      <c r="R16" s="19" t="str">
        <f>HYPERLINK("mailto:"&amp;CodingTable[[#This Row],[pi_emai_addr]]&amp;"&amp;subject=Your NSF Proposal:  "&amp;CodingTable[[#This Row],[prop_id]], CodingTable[[#This Row],[pi_emai_addr]])</f>
        <v>raffi.khatchadourian@hunter.cuny.edu</v>
      </c>
      <c r="S16">
        <f xml:space="preserve"> S15+(CodingTable[ILN]&lt;"M")</f>
        <v>14</v>
      </c>
      <c r="T16" t="s">
        <v>121</v>
      </c>
      <c r="U16" t="s">
        <v>421</v>
      </c>
      <c r="V16" s="19" t="str">
        <f>HYPERLINK("https://www.ejacket.nsf.gov/ej/showProposal.do?ID="&amp;CodingTable[[#This Row],[prop_id]],"eJ")</f>
        <v>eJ</v>
      </c>
      <c r="W16" t="s">
        <v>421</v>
      </c>
      <c r="X16" t="s">
        <v>422</v>
      </c>
      <c r="Y16" t="s">
        <v>628</v>
      </c>
      <c r="Z16" t="s">
        <v>423</v>
      </c>
      <c r="AA16" s="1">
        <v>580408</v>
      </c>
      <c r="AB16" s="39">
        <v>43344</v>
      </c>
      <c r="AC16">
        <v>60</v>
      </c>
      <c r="AD16">
        <v>5</v>
      </c>
      <c r="AF16">
        <v>5</v>
      </c>
      <c r="AG16">
        <v>1</v>
      </c>
      <c r="AI16">
        <v>1</v>
      </c>
      <c r="AJ16"/>
      <c r="AL16" t="s">
        <v>631</v>
      </c>
      <c r="AN16" s="17">
        <v>35000</v>
      </c>
      <c r="AO16" t="s">
        <v>659</v>
      </c>
      <c r="AP16" t="s">
        <v>424</v>
      </c>
      <c r="AQ16" s="8"/>
      <c r="AR16" t="s">
        <v>660</v>
      </c>
      <c r="AS16" t="s">
        <v>661</v>
      </c>
      <c r="AT16">
        <v>0</v>
      </c>
      <c r="AU16">
        <v>0</v>
      </c>
      <c r="AV16">
        <v>0</v>
      </c>
      <c r="AW16">
        <v>0</v>
      </c>
    </row>
    <row r="17" spans="1:49" x14ac:dyDescent="0.4">
      <c r="A17" s="39">
        <v>42935.706944444442</v>
      </c>
      <c r="B17" t="s">
        <v>336</v>
      </c>
      <c r="C17" t="s">
        <v>299</v>
      </c>
      <c r="D17" t="s">
        <v>371</v>
      </c>
      <c r="E17" t="s">
        <v>372</v>
      </c>
      <c r="F17" t="s">
        <v>119</v>
      </c>
      <c r="G17" t="s">
        <v>120</v>
      </c>
      <c r="H17" t="s">
        <v>356</v>
      </c>
      <c r="I17" t="s">
        <v>364</v>
      </c>
      <c r="J17" t="s">
        <v>369</v>
      </c>
      <c r="K17" t="b">
        <f>_xlfn.XOR(IFERROR(MATCH(CodingTable[[#This Row],[st_code]],EpscorTable[],0)&gt;0,FALSE),IFERROR(FIND("9150",CodingTable[[#This Row],[PRCs]])&gt;0,FALSE))</f>
        <v>0</v>
      </c>
      <c r="L17" t="b">
        <f>_xlfn.XOR(CodingTable[[#This Row],[WMD]]&lt;&gt;"",IFERROR(FIND("9102",CodingTable[[#This Row],[PRCs]])&gt;0,FALSE))</f>
        <v>0</v>
      </c>
      <c r="M17" t="str">
        <f t="shared" si="0"/>
        <v/>
      </c>
      <c r="P17" s="48">
        <v>0</v>
      </c>
      <c r="Q17" s="48">
        <v>0</v>
      </c>
      <c r="R17" s="19" t="str">
        <f>HYPERLINK("mailto:"&amp;CodingTable[[#This Row],[pi_emai_addr]]&amp;"&amp;subject=Your NSF Proposal:  "&amp;CodingTable[[#This Row],[prop_id]], CodingTable[[#This Row],[pi_emai_addr]])</f>
        <v>dvanhorn@cs.umd.edu</v>
      </c>
      <c r="S17">
        <f xml:space="preserve"> S16+(CodingTable[ILN]&lt;"M")</f>
        <v>15</v>
      </c>
      <c r="T17" t="s">
        <v>121</v>
      </c>
      <c r="U17" t="s">
        <v>425</v>
      </c>
      <c r="V17" s="19" t="str">
        <f>HYPERLINK("https://www.ejacket.nsf.gov/ej/showProposal.do?ID="&amp;CodingTable[[#This Row],[prop_id]],"eJ")</f>
        <v>eJ</v>
      </c>
      <c r="W17" t="s">
        <v>425</v>
      </c>
      <c r="X17" t="s">
        <v>426</v>
      </c>
      <c r="Y17" t="s">
        <v>605</v>
      </c>
      <c r="Z17" t="s">
        <v>427</v>
      </c>
      <c r="AA17" s="1">
        <v>551069</v>
      </c>
      <c r="AB17" s="39">
        <v>43101</v>
      </c>
      <c r="AC17">
        <v>60</v>
      </c>
      <c r="AD17">
        <v>4</v>
      </c>
      <c r="AF17">
        <v>4</v>
      </c>
      <c r="AG17">
        <v>1</v>
      </c>
      <c r="AI17">
        <v>1</v>
      </c>
      <c r="AJ17"/>
      <c r="AL17" t="s">
        <v>607</v>
      </c>
      <c r="AN17" s="17">
        <v>15000</v>
      </c>
      <c r="AO17" t="s">
        <v>355</v>
      </c>
      <c r="AP17" t="s">
        <v>428</v>
      </c>
      <c r="AQ17" s="8"/>
      <c r="AR17" t="s">
        <v>662</v>
      </c>
      <c r="AS17" t="s">
        <v>663</v>
      </c>
      <c r="AT17">
        <v>0</v>
      </c>
      <c r="AU17">
        <v>0</v>
      </c>
      <c r="AV17">
        <v>0</v>
      </c>
      <c r="AW17">
        <v>0</v>
      </c>
    </row>
    <row r="18" spans="1:49" x14ac:dyDescent="0.4">
      <c r="A18" s="39">
        <v>42935.757638888892</v>
      </c>
      <c r="B18" t="s">
        <v>336</v>
      </c>
      <c r="C18" t="s">
        <v>299</v>
      </c>
      <c r="D18" t="s">
        <v>371</v>
      </c>
      <c r="E18" t="s">
        <v>376</v>
      </c>
      <c r="F18" t="s">
        <v>119</v>
      </c>
      <c r="G18" t="s">
        <v>120</v>
      </c>
      <c r="H18" t="s">
        <v>356</v>
      </c>
      <c r="I18" t="s">
        <v>364</v>
      </c>
      <c r="J18" t="s">
        <v>357</v>
      </c>
      <c r="K18" t="b">
        <f>_xlfn.XOR(IFERROR(MATCH(CodingTable[[#This Row],[st_code]],EpscorTable[],0)&gt;0,FALSE),IFERROR(FIND("9150",CodingTable[[#This Row],[PRCs]])&gt;0,FALSE))</f>
        <v>0</v>
      </c>
      <c r="L18" t="b">
        <f>_xlfn.XOR(CodingTable[[#This Row],[WMD]]&lt;&gt;"",IFERROR(FIND("9102",CodingTable[[#This Row],[PRCs]])&gt;0,FALSE))</f>
        <v>0</v>
      </c>
      <c r="M18" t="str">
        <f t="shared" si="0"/>
        <v/>
      </c>
      <c r="P18" s="48">
        <v>0</v>
      </c>
      <c r="Q18" s="48">
        <v>0</v>
      </c>
      <c r="R18" s="19" t="str">
        <f>HYPERLINK("mailto:"&amp;CodingTable[[#This Row],[pi_emai_addr]]&amp;"&amp;subject=Your NSF Proposal:  "&amp;CodingTable[[#This Row],[prop_id]], CodingTable[[#This Row],[pi_emai_addr]])</f>
        <v>pavol.cerny@colorado.edu</v>
      </c>
      <c r="S18">
        <f xml:space="preserve"> S17+(CodingTable[ILN]&lt;"M")</f>
        <v>16</v>
      </c>
      <c r="T18" t="s">
        <v>121</v>
      </c>
      <c r="U18" t="s">
        <v>429</v>
      </c>
      <c r="V18" s="19" t="str">
        <f>HYPERLINK("https://www.ejacket.nsf.gov/ej/showProposal.do?ID="&amp;CodingTable[[#This Row],[prop_id]],"eJ")</f>
        <v>eJ</v>
      </c>
      <c r="W18" t="s">
        <v>429</v>
      </c>
      <c r="X18" t="s">
        <v>430</v>
      </c>
      <c r="Y18" t="s">
        <v>632</v>
      </c>
      <c r="Z18" t="s">
        <v>431</v>
      </c>
      <c r="AA18" s="1">
        <v>542402</v>
      </c>
      <c r="AB18" s="39">
        <v>43282</v>
      </c>
      <c r="AC18">
        <v>60</v>
      </c>
      <c r="AD18">
        <v>4</v>
      </c>
      <c r="AF18">
        <v>4</v>
      </c>
      <c r="AG18">
        <v>1</v>
      </c>
      <c r="AI18">
        <v>1</v>
      </c>
      <c r="AJ18"/>
      <c r="AL18" t="s">
        <v>633</v>
      </c>
      <c r="AN18" s="17">
        <v>0</v>
      </c>
      <c r="AP18" t="s">
        <v>432</v>
      </c>
      <c r="AQ18" s="8"/>
      <c r="AR18" t="s">
        <v>664</v>
      </c>
      <c r="AS18" t="s">
        <v>665</v>
      </c>
      <c r="AT18">
        <v>0</v>
      </c>
      <c r="AU18">
        <v>0</v>
      </c>
      <c r="AV18">
        <v>0</v>
      </c>
      <c r="AW18">
        <v>0</v>
      </c>
    </row>
  </sheetData>
  <conditionalFormatting sqref="A3:AW18">
    <cfRule type="expression" dxfId="160" priority="423">
      <formula>MOD($S3,2)</formula>
    </cfRule>
  </conditionalFormatting>
  <conditionalFormatting sqref="J3:J18">
    <cfRule type="expression" dxfId="159" priority="5">
      <formula>$K3</formula>
    </cfRule>
  </conditionalFormatting>
  <conditionalFormatting sqref="M3:M18">
    <cfRule type="expression" dxfId="158" priority="4">
      <formula>$L3</formula>
    </cfRule>
  </conditionalFormatting>
  <conditionalFormatting sqref="AF3:AF18 AI3:AI18">
    <cfRule type="expression" dxfId="157" priority="3">
      <formula>AF3&gt;0</formula>
    </cfRule>
  </conditionalFormatting>
  <conditionalFormatting sqref="AD3:AE18">
    <cfRule type="expression" dxfId="156" priority="2">
      <formula>$AD3&lt;$AE3+3</formula>
    </cfRule>
  </conditionalFormatting>
  <conditionalFormatting sqref="B3:H17 AB3:AO17">
    <cfRule type="expression" dxfId="155" priority="675">
      <formula>AND($T3="N", B3&lt;&gt;B1048533)</formula>
    </cfRule>
  </conditionalFormatting>
  <conditionalFormatting sqref="B18:H18 AB18:AO18">
    <cfRule type="expression" dxfId="154" priority="676">
      <formula>AND($T18="N", B18&lt;&gt;B2)</formula>
    </cfRule>
  </conditionalFormatting>
  <conditionalFormatting sqref="P3:Q18">
    <cfRule type="expression" dxfId="153" priority="1">
      <formula>$P3+$Q3&lt;&gt;1</formula>
    </cfRule>
  </conditionalFormatting>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eckCoding1">
    <tabColor rgb="FF6C8B1B"/>
  </sheetPr>
  <dimension ref="A1:AW18"/>
  <sheetViews>
    <sheetView workbookViewId="0">
      <selection activeCell="N29" sqref="N29"/>
    </sheetView>
  </sheetViews>
  <sheetFormatPr defaultRowHeight="14.6" x14ac:dyDescent="0.4"/>
  <cols>
    <col min="1" max="1" width="9.3046875" style="39" customWidth="1"/>
    <col min="2" max="2" width="11.15234375" customWidth="1"/>
    <col min="3" max="3" width="11.3828125" customWidth="1"/>
    <col min="4" max="4" width="5.3828125" customWidth="1"/>
    <col min="6" max="6" width="5.84375" style="39" customWidth="1"/>
    <col min="7" max="7" width="3.3046875" style="39" customWidth="1"/>
    <col min="8" max="8" width="3.53515625" style="39" customWidth="1"/>
    <col min="9" max="9" width="13.53515625" customWidth="1"/>
    <col min="10" max="10" width="3.84375" customWidth="1"/>
    <col min="11" max="12" width="7.3828125" hidden="1" customWidth="1"/>
    <col min="13" max="13" width="5.3828125" customWidth="1"/>
    <col min="14" max="14" width="11" customWidth="1"/>
    <col min="15" max="15" width="14.3046875" style="30" customWidth="1"/>
    <col min="16" max="16" width="5.3046875" style="48" customWidth="1"/>
    <col min="17" max="17" width="4.53515625" style="48" customWidth="1"/>
    <col min="18" max="18" width="11.84375" customWidth="1"/>
    <col min="19" max="19" width="4.3828125" customWidth="1"/>
    <col min="20" max="20" width="3.69140625" customWidth="1"/>
    <col min="21" max="21" width="8.69140625" style="39" customWidth="1"/>
    <col min="22" max="22" width="3.69140625" customWidth="1"/>
    <col min="23" max="23" width="9.23046875" style="39"/>
    <col min="24" max="24" width="9.53515625" style="39" customWidth="1"/>
    <col min="25" max="25" width="11.53515625" customWidth="1"/>
    <col min="26" max="26" width="12.15234375" customWidth="1"/>
    <col min="27" max="27" width="9.84375" customWidth="1"/>
    <col min="28" max="28" width="10.15234375" customWidth="1"/>
    <col min="29" max="29" width="4.3828125" customWidth="1"/>
    <col min="30" max="35" width="3" customWidth="1"/>
    <col min="36" max="36" width="9.23046875" style="1"/>
    <col min="38" max="38" width="85.53515625" customWidth="1"/>
    <col min="39" max="39" width="10.3828125" customWidth="1"/>
    <col min="40" max="40" width="9.53515625" style="17"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x14ac:dyDescent="0.4">
      <c r="A1" s="16" t="s">
        <v>324</v>
      </c>
      <c r="R1" s="49" t="s">
        <v>332</v>
      </c>
      <c r="AD1" s="49" t="s">
        <v>325</v>
      </c>
      <c r="AE1" s="49"/>
      <c r="AF1" s="49"/>
      <c r="AG1" s="49"/>
      <c r="AH1" s="49"/>
      <c r="AI1" s="49"/>
      <c r="AJ1" s="50" t="s">
        <v>326</v>
      </c>
      <c r="AK1" s="49"/>
      <c r="AL1" s="49"/>
      <c r="AM1" s="49"/>
      <c r="AN1" s="51" t="s">
        <v>323</v>
      </c>
      <c r="AO1" s="49"/>
      <c r="AP1" s="49"/>
      <c r="AQ1" s="49"/>
      <c r="AR1" s="49"/>
      <c r="AS1" s="49"/>
      <c r="AT1" s="49" t="s">
        <v>327</v>
      </c>
    </row>
    <row r="2" spans="1:49" x14ac:dyDescent="0.4">
      <c r="A2" s="39" t="s">
        <v>8</v>
      </c>
      <c r="B2" t="s">
        <v>9</v>
      </c>
      <c r="C2" t="s">
        <v>6</v>
      </c>
      <c r="D2" t="s">
        <v>5</v>
      </c>
      <c r="E2" t="s">
        <v>112</v>
      </c>
      <c r="F2" t="s">
        <v>113</v>
      </c>
      <c r="G2" t="s">
        <v>114</v>
      </c>
      <c r="H2" t="s">
        <v>115</v>
      </c>
      <c r="I2" t="s">
        <v>24</v>
      </c>
      <c r="J2" t="s">
        <v>117</v>
      </c>
      <c r="K2" t="s">
        <v>155</v>
      </c>
      <c r="L2" t="s">
        <v>170</v>
      </c>
      <c r="M2" t="s">
        <v>169</v>
      </c>
      <c r="N2" t="s">
        <v>30</v>
      </c>
      <c r="O2" s="30" t="s">
        <v>29</v>
      </c>
      <c r="P2" s="48" t="s">
        <v>153</v>
      </c>
      <c r="Q2" s="48" t="s">
        <v>154</v>
      </c>
      <c r="R2" s="18" t="s">
        <v>161</v>
      </c>
      <c r="S2" s="18" t="s">
        <v>127</v>
      </c>
      <c r="T2" t="s">
        <v>108</v>
      </c>
      <c r="U2" t="s">
        <v>10</v>
      </c>
      <c r="V2" t="s">
        <v>1</v>
      </c>
      <c r="W2" t="s">
        <v>0</v>
      </c>
      <c r="X2" t="s">
        <v>11</v>
      </c>
      <c r="Y2" t="s">
        <v>31</v>
      </c>
      <c r="Z2" t="s">
        <v>12</v>
      </c>
      <c r="AA2" s="1" t="s">
        <v>109</v>
      </c>
      <c r="AB2" s="39" t="s">
        <v>32</v>
      </c>
      <c r="AC2" t="s">
        <v>33</v>
      </c>
      <c r="AD2" t="s">
        <v>171</v>
      </c>
      <c r="AE2" t="s">
        <v>172</v>
      </c>
      <c r="AF2" t="s">
        <v>173</v>
      </c>
      <c r="AG2" t="s">
        <v>174</v>
      </c>
      <c r="AH2" t="s">
        <v>175</v>
      </c>
      <c r="AI2" t="s">
        <v>176</v>
      </c>
      <c r="AJ2" t="s">
        <v>110</v>
      </c>
      <c r="AK2" t="s">
        <v>111</v>
      </c>
      <c r="AL2" t="s">
        <v>56</v>
      </c>
      <c r="AM2" t="s">
        <v>163</v>
      </c>
      <c r="AN2" s="17" t="s">
        <v>164</v>
      </c>
      <c r="AO2" t="s">
        <v>162</v>
      </c>
      <c r="AP2" t="s">
        <v>13</v>
      </c>
      <c r="AQ2" t="s">
        <v>107</v>
      </c>
      <c r="AR2" t="s">
        <v>116</v>
      </c>
      <c r="AS2" t="s">
        <v>118</v>
      </c>
      <c r="AT2" t="s">
        <v>165</v>
      </c>
      <c r="AU2" t="s">
        <v>166</v>
      </c>
      <c r="AV2" t="s">
        <v>167</v>
      </c>
      <c r="AW2" t="s">
        <v>168</v>
      </c>
    </row>
    <row r="3" spans="1:49" x14ac:dyDescent="0.4">
      <c r="A3" s="39">
        <v>42933.697916666664</v>
      </c>
      <c r="B3" t="s">
        <v>336</v>
      </c>
      <c r="C3" t="s">
        <v>299</v>
      </c>
      <c r="D3" t="s">
        <v>371</v>
      </c>
      <c r="E3" t="s">
        <v>372</v>
      </c>
      <c r="F3" t="s">
        <v>119</v>
      </c>
      <c r="G3" t="s">
        <v>120</v>
      </c>
      <c r="H3" t="s">
        <v>356</v>
      </c>
      <c r="I3" t="s">
        <v>364</v>
      </c>
      <c r="J3" t="s">
        <v>368</v>
      </c>
      <c r="K3" t="b">
        <f>_xlfn.XOR(IFERROR(MATCH(CodingTable8[[#This Row],[st_code]],EpscorTable[],0)&gt;0,FALSE),IFERROR(FIND("9150",CodingTable8[[#This Row],[PRCs]])&gt;0,FALSE))</f>
        <v>0</v>
      </c>
      <c r="L3" t="b">
        <f>_xlfn.XOR(CodingTable8[[#This Row],[WMD]]&lt;&gt;"",IFERROR(FIND("9102",CodingTable8[[#This Row],[PRCs]])&gt;0,FALSE))</f>
        <v>0</v>
      </c>
      <c r="M3" t="str">
        <f t="shared" ref="M3:M18" si="0">IF(SUM(AT3:AW3)&gt;0,"WMD","")</f>
        <v/>
      </c>
      <c r="P3" s="48">
        <v>0</v>
      </c>
      <c r="Q3" s="48">
        <v>0</v>
      </c>
      <c r="R3" s="19" t="str">
        <f>HYPERLINK("mailto:"&amp;CodingTable8[[#This Row],[pi_emai_addr]]&amp;"&amp;subject=Your NSF Proposal:  "&amp;CodingTable8[[#This Row],[prop_id]], CodingTable8[[#This Row],[pi_emai_addr]])</f>
        <v>lziarek@buffalo.edu</v>
      </c>
      <c r="S3">
        <f xml:space="preserve"> S2+(CodingTable8[ILN]&lt;"M")</f>
        <v>1</v>
      </c>
      <c r="T3" t="s">
        <v>121</v>
      </c>
      <c r="U3" t="s">
        <v>373</v>
      </c>
      <c r="V3" s="19" t="str">
        <f>HYPERLINK("https://www.ejacket.nsf.gov/ej/showProposal.do?ID="&amp;CodingTable8[[#This Row],[prop_id]],"eJ")</f>
        <v>eJ</v>
      </c>
      <c r="W3" t="s">
        <v>373</v>
      </c>
      <c r="X3" t="s">
        <v>374</v>
      </c>
      <c r="Y3" t="s">
        <v>601</v>
      </c>
      <c r="Z3" t="s">
        <v>297</v>
      </c>
      <c r="AA3" s="1">
        <v>561136</v>
      </c>
      <c r="AB3" s="39">
        <v>43101</v>
      </c>
      <c r="AC3">
        <v>60</v>
      </c>
      <c r="AD3">
        <v>5</v>
      </c>
      <c r="AF3">
        <v>5</v>
      </c>
      <c r="AG3">
        <v>1</v>
      </c>
      <c r="AI3">
        <v>1</v>
      </c>
      <c r="AJ3"/>
      <c r="AL3" t="s">
        <v>603</v>
      </c>
      <c r="AN3" s="17">
        <v>20000</v>
      </c>
      <c r="AO3" t="s">
        <v>634</v>
      </c>
      <c r="AP3" t="s">
        <v>375</v>
      </c>
      <c r="AQ3" s="8"/>
      <c r="AR3" t="s">
        <v>367</v>
      </c>
      <c r="AS3" t="s">
        <v>635</v>
      </c>
      <c r="AT3">
        <v>0</v>
      </c>
      <c r="AU3">
        <v>0</v>
      </c>
      <c r="AV3">
        <v>0</v>
      </c>
      <c r="AW3">
        <v>0</v>
      </c>
    </row>
    <row r="4" spans="1:49" x14ac:dyDescent="0.4">
      <c r="A4" s="39">
        <v>42933.719444444447</v>
      </c>
      <c r="B4" t="s">
        <v>336</v>
      </c>
      <c r="C4" t="s">
        <v>299</v>
      </c>
      <c r="D4" t="s">
        <v>371</v>
      </c>
      <c r="E4" t="s">
        <v>376</v>
      </c>
      <c r="F4" t="s">
        <v>119</v>
      </c>
      <c r="G4" t="s">
        <v>120</v>
      </c>
      <c r="H4" t="s">
        <v>356</v>
      </c>
      <c r="I4" t="s">
        <v>364</v>
      </c>
      <c r="J4" t="s">
        <v>362</v>
      </c>
      <c r="K4" t="b">
        <f>_xlfn.XOR(IFERROR(MATCH(CodingTable8[[#This Row],[st_code]],EpscorTable[],0)&gt;0,FALSE),IFERROR(FIND("9150",CodingTable8[[#This Row],[PRCs]])&gt;0,FALSE))</f>
        <v>0</v>
      </c>
      <c r="L4" t="b">
        <f>_xlfn.XOR(CodingTable8[[#This Row],[WMD]]&lt;&gt;"",IFERROR(FIND("9102",CodingTable8[[#This Row],[PRCs]])&gt;0,FALSE))</f>
        <v>0</v>
      </c>
      <c r="M4" t="str">
        <f t="shared" si="0"/>
        <v/>
      </c>
      <c r="P4" s="48">
        <v>0</v>
      </c>
      <c r="Q4" s="48">
        <v>0</v>
      </c>
      <c r="R4" s="19" t="str">
        <f>HYPERLINK("mailto:"&amp;CodingTable8[[#This Row],[pi_emai_addr]]&amp;"&amp;subject=Your NSF Proposal:  "&amp;CodingTable8[[#This Row],[prop_id]], CodingTable8[[#This Row],[pi_emai_addr]])</f>
        <v>ztatlock@cs.washington.edu</v>
      </c>
      <c r="S4">
        <f xml:space="preserve"> S3+(CodingTable8[ILN]&lt;"M")</f>
        <v>2</v>
      </c>
      <c r="T4" t="s">
        <v>121</v>
      </c>
      <c r="U4" t="s">
        <v>377</v>
      </c>
      <c r="V4" s="19" t="str">
        <f>HYPERLINK("https://www.ejacket.nsf.gov/ej/showProposal.do?ID="&amp;CodingTable8[[#This Row],[prop_id]],"eJ")</f>
        <v>eJ</v>
      </c>
      <c r="W4" t="s">
        <v>377</v>
      </c>
      <c r="X4" t="s">
        <v>378</v>
      </c>
      <c r="Y4" t="s">
        <v>588</v>
      </c>
      <c r="Z4" t="s">
        <v>338</v>
      </c>
      <c r="AA4" s="1">
        <v>648665</v>
      </c>
      <c r="AB4" s="39">
        <v>43191</v>
      </c>
      <c r="AC4">
        <v>60</v>
      </c>
      <c r="AD4">
        <v>4</v>
      </c>
      <c r="AF4">
        <v>4</v>
      </c>
      <c r="AG4">
        <v>1</v>
      </c>
      <c r="AI4">
        <v>1</v>
      </c>
      <c r="AJ4"/>
      <c r="AL4" t="s">
        <v>590</v>
      </c>
      <c r="AN4" s="17">
        <v>15000</v>
      </c>
      <c r="AO4" t="s">
        <v>355</v>
      </c>
      <c r="AP4" t="s">
        <v>379</v>
      </c>
      <c r="AQ4" s="8"/>
      <c r="AR4" t="s">
        <v>361</v>
      </c>
      <c r="AS4" t="s">
        <v>636</v>
      </c>
      <c r="AT4">
        <v>0</v>
      </c>
      <c r="AU4">
        <v>0</v>
      </c>
      <c r="AV4">
        <v>0</v>
      </c>
      <c r="AW4">
        <v>0</v>
      </c>
    </row>
    <row r="5" spans="1:49" x14ac:dyDescent="0.4">
      <c r="A5" s="39">
        <v>42933.731249999997</v>
      </c>
      <c r="B5" t="s">
        <v>336</v>
      </c>
      <c r="C5" t="s">
        <v>299</v>
      </c>
      <c r="D5" t="s">
        <v>371</v>
      </c>
      <c r="E5" t="s">
        <v>372</v>
      </c>
      <c r="F5" t="s">
        <v>119</v>
      </c>
      <c r="G5" t="s">
        <v>120</v>
      </c>
      <c r="H5" t="s">
        <v>356</v>
      </c>
      <c r="I5" t="s">
        <v>364</v>
      </c>
      <c r="J5" t="s">
        <v>358</v>
      </c>
      <c r="K5" t="b">
        <f>_xlfn.XOR(IFERROR(MATCH(CodingTable8[[#This Row],[st_code]],EpscorTable[],0)&gt;0,FALSE),IFERROR(FIND("9150",CodingTable8[[#This Row],[PRCs]])&gt;0,FALSE))</f>
        <v>0</v>
      </c>
      <c r="L5" t="b">
        <f>_xlfn.XOR(CodingTable8[[#This Row],[WMD]]&lt;&gt;"",IFERROR(FIND("9102",CodingTable8[[#This Row],[PRCs]])&gt;0,FALSE))</f>
        <v>0</v>
      </c>
      <c r="M5" t="str">
        <f t="shared" si="0"/>
        <v/>
      </c>
      <c r="P5" s="48">
        <v>0</v>
      </c>
      <c r="Q5" s="48">
        <v>0</v>
      </c>
      <c r="R5" s="19" t="str">
        <f>HYPERLINK("mailto:"&amp;CodingTable8[[#This Row],[pi_emai_addr]]&amp;"&amp;subject=Your NSF Proposal:  "&amp;CodingTable8[[#This Row],[prop_id]], CodingTable8[[#This Row],[pi_emai_addr]])</f>
        <v>gbm26@drexel.edu</v>
      </c>
      <c r="S5">
        <f xml:space="preserve"> S4+(CodingTable8[ILN]&lt;"M")</f>
        <v>3</v>
      </c>
      <c r="T5" t="s">
        <v>121</v>
      </c>
      <c r="U5" t="s">
        <v>380</v>
      </c>
      <c r="V5" s="19" t="str">
        <f>HYPERLINK("https://www.ejacket.nsf.gov/ej/showProposal.do?ID="&amp;CodingTable8[[#This Row],[prop_id]],"eJ")</f>
        <v>eJ</v>
      </c>
      <c r="W5" t="s">
        <v>380</v>
      </c>
      <c r="X5" t="s">
        <v>381</v>
      </c>
      <c r="Y5" t="s">
        <v>611</v>
      </c>
      <c r="Z5" t="s">
        <v>382</v>
      </c>
      <c r="AA5" s="1">
        <v>495570</v>
      </c>
      <c r="AB5" s="39">
        <v>43101</v>
      </c>
      <c r="AC5">
        <v>60</v>
      </c>
      <c r="AD5">
        <v>4</v>
      </c>
      <c r="AF5">
        <v>4</v>
      </c>
      <c r="AG5">
        <v>1</v>
      </c>
      <c r="AI5">
        <v>1</v>
      </c>
      <c r="AJ5"/>
      <c r="AL5" t="s">
        <v>613</v>
      </c>
      <c r="AN5" s="17">
        <v>0</v>
      </c>
      <c r="AP5" t="s">
        <v>383</v>
      </c>
      <c r="AQ5" s="8"/>
      <c r="AR5" t="s">
        <v>637</v>
      </c>
      <c r="AS5" t="s">
        <v>638</v>
      </c>
      <c r="AT5">
        <v>0</v>
      </c>
      <c r="AU5">
        <v>0</v>
      </c>
      <c r="AV5">
        <v>0</v>
      </c>
      <c r="AW5">
        <v>0</v>
      </c>
    </row>
    <row r="6" spans="1:49" x14ac:dyDescent="0.4">
      <c r="A6" s="39">
        <v>42934.425000000003</v>
      </c>
      <c r="B6" t="s">
        <v>336</v>
      </c>
      <c r="C6" t="s">
        <v>299</v>
      </c>
      <c r="D6" t="s">
        <v>371</v>
      </c>
      <c r="E6" t="s">
        <v>372</v>
      </c>
      <c r="F6" t="s">
        <v>119</v>
      </c>
      <c r="G6" t="s">
        <v>120</v>
      </c>
      <c r="H6" t="s">
        <v>356</v>
      </c>
      <c r="I6" t="s">
        <v>364</v>
      </c>
      <c r="J6" t="s">
        <v>358</v>
      </c>
      <c r="K6" t="b">
        <f>_xlfn.XOR(IFERROR(MATCH(CodingTable8[[#This Row],[st_code]],EpscorTable[],0)&gt;0,FALSE),IFERROR(FIND("9150",CodingTable8[[#This Row],[PRCs]])&gt;0,FALSE))</f>
        <v>0</v>
      </c>
      <c r="L6" t="b">
        <f>_xlfn.XOR(CodingTable8[[#This Row],[WMD]]&lt;&gt;"",IFERROR(FIND("9102",CodingTable8[[#This Row],[PRCs]])&gt;0,FALSE))</f>
        <v>0</v>
      </c>
      <c r="M6" t="str">
        <f t="shared" si="0"/>
        <v/>
      </c>
      <c r="P6" s="48">
        <v>0</v>
      </c>
      <c r="Q6" s="48">
        <v>0</v>
      </c>
      <c r="R6" s="19" t="str">
        <f>HYPERLINK("mailto:"&amp;CodingTable8[[#This Row],[pi_emai_addr]]&amp;"&amp;subject=Your NSF Proposal:  "&amp;CodingTable8[[#This Row],[prop_id]], CodingTable8[[#This Row],[pi_emai_addr]])</f>
        <v>csg63@drexel.edu</v>
      </c>
      <c r="S6">
        <f xml:space="preserve"> S5+(CodingTable8[ILN]&lt;"M")</f>
        <v>4</v>
      </c>
      <c r="T6" t="s">
        <v>121</v>
      </c>
      <c r="U6" t="s">
        <v>384</v>
      </c>
      <c r="V6" s="19" t="str">
        <f>HYPERLINK("https://www.ejacket.nsf.gov/ej/showProposal.do?ID="&amp;CodingTable8[[#This Row],[prop_id]],"eJ")</f>
        <v>eJ</v>
      </c>
      <c r="W6" t="s">
        <v>384</v>
      </c>
      <c r="X6" t="s">
        <v>385</v>
      </c>
      <c r="Y6" t="s">
        <v>593</v>
      </c>
      <c r="Z6" t="s">
        <v>382</v>
      </c>
      <c r="AA6" s="1">
        <v>622204</v>
      </c>
      <c r="AB6" s="39">
        <v>43344</v>
      </c>
      <c r="AC6">
        <v>60</v>
      </c>
      <c r="AD6">
        <v>4</v>
      </c>
      <c r="AF6">
        <v>4</v>
      </c>
      <c r="AG6">
        <v>1</v>
      </c>
      <c r="AI6">
        <v>1</v>
      </c>
      <c r="AJ6"/>
      <c r="AL6" t="s">
        <v>595</v>
      </c>
      <c r="AN6" s="17">
        <v>28660</v>
      </c>
      <c r="AO6" t="s">
        <v>355</v>
      </c>
      <c r="AP6" t="s">
        <v>386</v>
      </c>
      <c r="AQ6" s="8"/>
      <c r="AR6" t="s">
        <v>637</v>
      </c>
      <c r="AS6" t="s">
        <v>639</v>
      </c>
      <c r="AT6">
        <v>0</v>
      </c>
      <c r="AU6">
        <v>0</v>
      </c>
      <c r="AV6">
        <v>0</v>
      </c>
      <c r="AW6">
        <v>0</v>
      </c>
    </row>
    <row r="7" spans="1:49" x14ac:dyDescent="0.4">
      <c r="A7" s="39">
        <v>42934.681250000001</v>
      </c>
      <c r="B7" t="s">
        <v>336</v>
      </c>
      <c r="C7" t="s">
        <v>299</v>
      </c>
      <c r="D7" t="s">
        <v>371</v>
      </c>
      <c r="E7" t="s">
        <v>372</v>
      </c>
      <c r="F7" t="s">
        <v>119</v>
      </c>
      <c r="G7" t="s">
        <v>120</v>
      </c>
      <c r="H7" t="s">
        <v>356</v>
      </c>
      <c r="I7" t="s">
        <v>364</v>
      </c>
      <c r="J7" t="s">
        <v>366</v>
      </c>
      <c r="K7" t="b">
        <f>_xlfn.XOR(IFERROR(MATCH(CodingTable8[[#This Row],[st_code]],EpscorTable[],0)&gt;0,FALSE),IFERROR(FIND("9150",CodingTable8[[#This Row],[PRCs]])&gt;0,FALSE))</f>
        <v>0</v>
      </c>
      <c r="L7" t="b">
        <f>_xlfn.XOR(CodingTable8[[#This Row],[WMD]]&lt;&gt;"",IFERROR(FIND("9102",CodingTable8[[#This Row],[PRCs]])&gt;0,FALSE))</f>
        <v>0</v>
      </c>
      <c r="M7" t="str">
        <f t="shared" si="0"/>
        <v/>
      </c>
      <c r="P7" s="48">
        <v>0</v>
      </c>
      <c r="Q7" s="48">
        <v>0</v>
      </c>
      <c r="R7" s="19" t="str">
        <f>HYPERLINK("mailto:"&amp;CodingTable8[[#This Row],[pi_emai_addr]]&amp;"&amp;subject=Your NSF Proposal:  "&amp;CodingTable8[[#This Row],[prop_id]], CodingTable8[[#This Row],[pi_emai_addr]])</f>
        <v>arjun@cs.umass.edu</v>
      </c>
      <c r="S7">
        <f xml:space="preserve"> S6+(CodingTable8[ILN]&lt;"M")</f>
        <v>5</v>
      </c>
      <c r="T7" t="s">
        <v>121</v>
      </c>
      <c r="U7" t="s">
        <v>387</v>
      </c>
      <c r="V7" s="19" t="str">
        <f>HYPERLINK("https://www.ejacket.nsf.gov/ej/showProposal.do?ID="&amp;CodingTable8[[#This Row],[prop_id]],"eJ")</f>
        <v>eJ</v>
      </c>
      <c r="W7" t="s">
        <v>387</v>
      </c>
      <c r="X7" t="s">
        <v>388</v>
      </c>
      <c r="Y7" t="s">
        <v>615</v>
      </c>
      <c r="Z7" t="s">
        <v>389</v>
      </c>
      <c r="AA7" s="1">
        <v>532375</v>
      </c>
      <c r="AB7" s="39">
        <v>43101</v>
      </c>
      <c r="AC7">
        <v>60</v>
      </c>
      <c r="AD7">
        <v>4</v>
      </c>
      <c r="AF7">
        <v>4</v>
      </c>
      <c r="AG7">
        <v>1</v>
      </c>
      <c r="AI7">
        <v>1</v>
      </c>
      <c r="AJ7"/>
      <c r="AL7" t="s">
        <v>617</v>
      </c>
      <c r="AN7" s="17">
        <v>0</v>
      </c>
      <c r="AP7" t="s">
        <v>390</v>
      </c>
      <c r="AQ7" s="8"/>
      <c r="AR7" t="s">
        <v>640</v>
      </c>
      <c r="AS7" t="s">
        <v>641</v>
      </c>
      <c r="AT7">
        <v>0</v>
      </c>
      <c r="AU7">
        <v>0</v>
      </c>
      <c r="AV7">
        <v>0</v>
      </c>
      <c r="AW7">
        <v>0</v>
      </c>
    </row>
    <row r="8" spans="1:49" x14ac:dyDescent="0.4">
      <c r="A8" s="39">
        <v>42934.72152777778</v>
      </c>
      <c r="B8" t="s">
        <v>336</v>
      </c>
      <c r="C8" t="s">
        <v>299</v>
      </c>
      <c r="D8" t="s">
        <v>371</v>
      </c>
      <c r="E8" t="s">
        <v>376</v>
      </c>
      <c r="F8" t="s">
        <v>119</v>
      </c>
      <c r="G8" t="s">
        <v>120</v>
      </c>
      <c r="H8" t="s">
        <v>356</v>
      </c>
      <c r="I8" t="s">
        <v>364</v>
      </c>
      <c r="J8" t="s">
        <v>370</v>
      </c>
      <c r="K8" t="b">
        <f>_xlfn.XOR(IFERROR(MATCH(CodingTable8[[#This Row],[st_code]],EpscorTable[],0)&gt;0,FALSE),IFERROR(FIND("9150",CodingTable8[[#This Row],[PRCs]])&gt;0,FALSE))</f>
        <v>0</v>
      </c>
      <c r="L8" t="b">
        <f>_xlfn.XOR(CodingTable8[[#This Row],[WMD]]&lt;&gt;"",IFERROR(FIND("9102",CodingTable8[[#This Row],[PRCs]])&gt;0,FALSE))</f>
        <v>0</v>
      </c>
      <c r="M8" t="str">
        <f t="shared" si="0"/>
        <v/>
      </c>
      <c r="P8" s="48">
        <v>0</v>
      </c>
      <c r="Q8" s="48">
        <v>0</v>
      </c>
      <c r="R8" s="19" t="str">
        <f>HYPERLINK("mailto:"&amp;CodingTable8[[#This Row],[pi_emai_addr]]&amp;"&amp;subject=Your NSF Proposal:  "&amp;CodingTable8[[#This Row],[prop_id]], CodingTable8[[#This Row],[pi_emai_addr]])</f>
        <v>heades@augusta.edu</v>
      </c>
      <c r="S8">
        <f xml:space="preserve"> S7+(CodingTable8[ILN]&lt;"M")</f>
        <v>6</v>
      </c>
      <c r="T8" t="s">
        <v>121</v>
      </c>
      <c r="U8" t="s">
        <v>391</v>
      </c>
      <c r="V8" s="19" t="str">
        <f>HYPERLINK("https://www.ejacket.nsf.gov/ej/showProposal.do?ID="&amp;CodingTable8[[#This Row],[prop_id]],"eJ")</f>
        <v>eJ</v>
      </c>
      <c r="W8" t="s">
        <v>391</v>
      </c>
      <c r="X8" t="s">
        <v>392</v>
      </c>
      <c r="Y8" t="s">
        <v>619</v>
      </c>
      <c r="Z8" t="s">
        <v>393</v>
      </c>
      <c r="AA8" s="1">
        <v>500272</v>
      </c>
      <c r="AB8" s="39">
        <v>43160</v>
      </c>
      <c r="AC8">
        <v>60</v>
      </c>
      <c r="AD8">
        <v>5</v>
      </c>
      <c r="AF8">
        <v>5</v>
      </c>
      <c r="AG8">
        <v>1</v>
      </c>
      <c r="AI8">
        <v>1</v>
      </c>
      <c r="AJ8"/>
      <c r="AL8" t="s">
        <v>621</v>
      </c>
      <c r="AN8" s="17">
        <v>32960</v>
      </c>
      <c r="AO8" t="s">
        <v>355</v>
      </c>
      <c r="AP8" t="s">
        <v>394</v>
      </c>
      <c r="AQ8" s="8"/>
      <c r="AR8" t="s">
        <v>642</v>
      </c>
      <c r="AS8" t="s">
        <v>643</v>
      </c>
      <c r="AT8">
        <v>0</v>
      </c>
      <c r="AU8">
        <v>0</v>
      </c>
      <c r="AV8">
        <v>0</v>
      </c>
      <c r="AW8">
        <v>0</v>
      </c>
    </row>
    <row r="9" spans="1:49" x14ac:dyDescent="0.4">
      <c r="A9" s="39">
        <v>42935.388194444444</v>
      </c>
      <c r="B9" t="s">
        <v>336</v>
      </c>
      <c r="C9" t="s">
        <v>299</v>
      </c>
      <c r="D9" t="s">
        <v>371</v>
      </c>
      <c r="E9" t="s">
        <v>372</v>
      </c>
      <c r="F9" t="s">
        <v>119</v>
      </c>
      <c r="G9" t="s">
        <v>120</v>
      </c>
      <c r="H9" t="s">
        <v>356</v>
      </c>
      <c r="I9" t="s">
        <v>364</v>
      </c>
      <c r="J9" t="s">
        <v>358</v>
      </c>
      <c r="K9" t="b">
        <f>_xlfn.XOR(IFERROR(MATCH(CodingTable8[[#This Row],[st_code]],EpscorTable[],0)&gt;0,FALSE),IFERROR(FIND("9150",CodingTable8[[#This Row],[PRCs]])&gt;0,FALSE))</f>
        <v>0</v>
      </c>
      <c r="L9" t="b">
        <f>_xlfn.XOR(CodingTable8[[#This Row],[WMD]]&lt;&gt;"",IFERROR(FIND("9102",CodingTable8[[#This Row],[PRCs]])&gt;0,FALSE))</f>
        <v>0</v>
      </c>
      <c r="M9" t="str">
        <f t="shared" si="0"/>
        <v/>
      </c>
      <c r="P9" s="48">
        <v>0</v>
      </c>
      <c r="Q9" s="48">
        <v>0</v>
      </c>
      <c r="R9" s="19" t="str">
        <f>HYPERLINK("mailto:"&amp;CodingTable8[[#This Row],[pi_emai_addr]]&amp;"&amp;subject=Your NSF Proposal:  "&amp;CodingTable8[[#This Row],[prop_id]], CodingTable8[[#This Row],[pi_emai_addr]])</f>
        <v>zhang@cse.psu.edu</v>
      </c>
      <c r="S9">
        <f xml:space="preserve"> S8+(CodingTable8[ILN]&lt;"M")</f>
        <v>7</v>
      </c>
      <c r="T9" t="s">
        <v>121</v>
      </c>
      <c r="U9" t="s">
        <v>395</v>
      </c>
      <c r="V9" s="19" t="str">
        <f>HYPERLINK("https://www.ejacket.nsf.gov/ej/showProposal.do?ID="&amp;CodingTable8[[#This Row],[prop_id]],"eJ")</f>
        <v>eJ</v>
      </c>
      <c r="W9" t="s">
        <v>395</v>
      </c>
      <c r="X9" t="s">
        <v>396</v>
      </c>
      <c r="Y9" t="s">
        <v>622</v>
      </c>
      <c r="Z9" t="s">
        <v>397</v>
      </c>
      <c r="AA9" s="1">
        <v>498999</v>
      </c>
      <c r="AB9" s="39">
        <v>43282</v>
      </c>
      <c r="AC9">
        <v>60</v>
      </c>
      <c r="AD9">
        <v>4</v>
      </c>
      <c r="AF9">
        <v>4</v>
      </c>
      <c r="AG9">
        <v>2</v>
      </c>
      <c r="AI9">
        <v>2</v>
      </c>
      <c r="AJ9"/>
      <c r="AL9" t="s">
        <v>623</v>
      </c>
      <c r="AN9" s="17">
        <v>12500</v>
      </c>
      <c r="AO9" t="s">
        <v>644</v>
      </c>
      <c r="AP9" t="s">
        <v>398</v>
      </c>
      <c r="AQ9" s="8"/>
      <c r="AR9" t="s">
        <v>645</v>
      </c>
      <c r="AS9" t="s">
        <v>646</v>
      </c>
      <c r="AT9">
        <v>0</v>
      </c>
      <c r="AU9">
        <v>0</v>
      </c>
      <c r="AV9">
        <v>0</v>
      </c>
      <c r="AW9">
        <v>0</v>
      </c>
    </row>
    <row r="10" spans="1:49" x14ac:dyDescent="0.4">
      <c r="A10" s="39">
        <v>42935.546527777777</v>
      </c>
      <c r="B10" t="s">
        <v>336</v>
      </c>
      <c r="C10" t="s">
        <v>299</v>
      </c>
      <c r="D10" t="s">
        <v>371</v>
      </c>
      <c r="E10" t="s">
        <v>372</v>
      </c>
      <c r="F10" t="s">
        <v>119</v>
      </c>
      <c r="G10" t="s">
        <v>120</v>
      </c>
      <c r="H10" t="s">
        <v>356</v>
      </c>
      <c r="I10" t="s">
        <v>364</v>
      </c>
      <c r="J10" t="s">
        <v>363</v>
      </c>
      <c r="K10" t="b">
        <f>_xlfn.XOR(IFERROR(MATCH(CodingTable8[[#This Row],[st_code]],EpscorTable[],0)&gt;0,FALSE),IFERROR(FIND("9150",CodingTable8[[#This Row],[PRCs]])&gt;0,FALSE))</f>
        <v>0</v>
      </c>
      <c r="L10" t="b">
        <f>_xlfn.XOR(CodingTable8[[#This Row],[WMD]]&lt;&gt;"",IFERROR(FIND("9102",CodingTable8[[#This Row],[PRCs]])&gt;0,FALSE))</f>
        <v>0</v>
      </c>
      <c r="M10" t="str">
        <f t="shared" si="0"/>
        <v/>
      </c>
      <c r="P10" s="48">
        <v>0</v>
      </c>
      <c r="Q10" s="48">
        <v>0</v>
      </c>
      <c r="R10" s="19" t="str">
        <f>HYPERLINK("mailto:"&amp;CodingTable8[[#This Row],[pi_emai_addr]]&amp;"&amp;subject=Your NSF Proposal:  "&amp;CodingTable8[[#This Row],[prop_id]], CodingTable8[[#This Row],[pi_emai_addr]])</f>
        <v>michael.greenberg@pomona.edu</v>
      </c>
      <c r="S10">
        <f xml:space="preserve"> S9+(CodingTable8[ILN]&lt;"M")</f>
        <v>8</v>
      </c>
      <c r="T10" t="s">
        <v>121</v>
      </c>
      <c r="U10" t="s">
        <v>399</v>
      </c>
      <c r="V10" s="19" t="str">
        <f>HYPERLINK("https://www.ejacket.nsf.gov/ej/showProposal.do?ID="&amp;CodingTable8[[#This Row],[prop_id]],"eJ")</f>
        <v>eJ</v>
      </c>
      <c r="W10" t="s">
        <v>399</v>
      </c>
      <c r="X10" t="s">
        <v>400</v>
      </c>
      <c r="Y10" t="s">
        <v>354</v>
      </c>
      <c r="Z10" t="s">
        <v>401</v>
      </c>
      <c r="AA10" s="1">
        <v>430917</v>
      </c>
      <c r="AB10" s="39">
        <v>43191</v>
      </c>
      <c r="AC10">
        <v>60</v>
      </c>
      <c r="AD10">
        <v>5</v>
      </c>
      <c r="AF10">
        <v>5</v>
      </c>
      <c r="AG10">
        <v>1</v>
      </c>
      <c r="AI10">
        <v>1</v>
      </c>
      <c r="AJ10"/>
      <c r="AL10" t="s">
        <v>599</v>
      </c>
      <c r="AN10" s="17">
        <v>40000</v>
      </c>
      <c r="AO10" t="s">
        <v>355</v>
      </c>
      <c r="AP10" t="s">
        <v>402</v>
      </c>
      <c r="AQ10" s="8"/>
      <c r="AR10" t="s">
        <v>647</v>
      </c>
      <c r="AS10" t="s">
        <v>648</v>
      </c>
      <c r="AT10">
        <v>0</v>
      </c>
      <c r="AU10">
        <v>0</v>
      </c>
      <c r="AV10">
        <v>0</v>
      </c>
      <c r="AW10">
        <v>0</v>
      </c>
    </row>
    <row r="11" spans="1:49" x14ac:dyDescent="0.4">
      <c r="A11" s="39">
        <v>42935.551388888889</v>
      </c>
      <c r="B11" t="s">
        <v>336</v>
      </c>
      <c r="C11" t="s">
        <v>299</v>
      </c>
      <c r="D11" t="s">
        <v>371</v>
      </c>
      <c r="E11" t="s">
        <v>372</v>
      </c>
      <c r="F11" t="s">
        <v>119</v>
      </c>
      <c r="G11" t="s">
        <v>120</v>
      </c>
      <c r="H11" t="s">
        <v>356</v>
      </c>
      <c r="I11" t="s">
        <v>364</v>
      </c>
      <c r="J11" t="s">
        <v>366</v>
      </c>
      <c r="K11" t="b">
        <f>_xlfn.XOR(IFERROR(MATCH(CodingTable8[[#This Row],[st_code]],EpscorTable[],0)&gt;0,FALSE),IFERROR(FIND("9150",CodingTable8[[#This Row],[PRCs]])&gt;0,FALSE))</f>
        <v>0</v>
      </c>
      <c r="L11" t="b">
        <f>_xlfn.XOR(CodingTable8[[#This Row],[WMD]]&lt;&gt;"",IFERROR(FIND("9102",CodingTable8[[#This Row],[PRCs]])&gt;0,FALSE))</f>
        <v>0</v>
      </c>
      <c r="M11" t="str">
        <f t="shared" si="0"/>
        <v/>
      </c>
      <c r="P11" s="48">
        <v>0</v>
      </c>
      <c r="Q11" s="48">
        <v>0</v>
      </c>
      <c r="R11" s="19" t="str">
        <f>HYPERLINK("mailto:"&amp;CodingTable8[[#This Row],[pi_emai_addr]]&amp;"&amp;subject=Your NSF Proposal:  "&amp;CodingTable8[[#This Row],[prop_id]], CodingTable8[[#This Row],[pi_emai_addr]])</f>
        <v>bwood5@wellesley.edu</v>
      </c>
      <c r="S11">
        <f xml:space="preserve"> S10+(CodingTable8[ILN]&lt;"M")</f>
        <v>9</v>
      </c>
      <c r="T11" t="s">
        <v>121</v>
      </c>
      <c r="U11" t="s">
        <v>403</v>
      </c>
      <c r="V11" s="19" t="str">
        <f>HYPERLINK("https://www.ejacket.nsf.gov/ej/showProposal.do?ID="&amp;CodingTable8[[#This Row],[prop_id]],"eJ")</f>
        <v>eJ</v>
      </c>
      <c r="W11" t="s">
        <v>403</v>
      </c>
      <c r="X11" t="s">
        <v>404</v>
      </c>
      <c r="Y11" t="s">
        <v>342</v>
      </c>
      <c r="Z11" t="s">
        <v>405</v>
      </c>
      <c r="AA11" s="1">
        <v>475283</v>
      </c>
      <c r="AB11" s="39">
        <v>43191</v>
      </c>
      <c r="AC11">
        <v>60</v>
      </c>
      <c r="AD11">
        <v>4</v>
      </c>
      <c r="AF11">
        <v>4</v>
      </c>
      <c r="AG11">
        <v>1</v>
      </c>
      <c r="AI11">
        <v>1</v>
      </c>
      <c r="AJ11"/>
      <c r="AL11" t="s">
        <v>626</v>
      </c>
      <c r="AN11" s="17">
        <v>17500</v>
      </c>
      <c r="AO11" t="s">
        <v>355</v>
      </c>
      <c r="AP11" t="s">
        <v>406</v>
      </c>
      <c r="AQ11" s="8"/>
      <c r="AR11" t="s">
        <v>649</v>
      </c>
      <c r="AS11" t="s">
        <v>650</v>
      </c>
      <c r="AT11">
        <v>0</v>
      </c>
      <c r="AU11">
        <v>0</v>
      </c>
      <c r="AV11">
        <v>0</v>
      </c>
      <c r="AW11">
        <v>0</v>
      </c>
    </row>
    <row r="12" spans="1:49" x14ac:dyDescent="0.4">
      <c r="A12" s="39">
        <v>42935.561805555553</v>
      </c>
      <c r="B12" t="s">
        <v>336</v>
      </c>
      <c r="C12" t="s">
        <v>299</v>
      </c>
      <c r="D12" t="s">
        <v>371</v>
      </c>
      <c r="E12" t="s">
        <v>372</v>
      </c>
      <c r="F12" t="s">
        <v>119</v>
      </c>
      <c r="G12" t="s">
        <v>120</v>
      </c>
      <c r="H12" t="s">
        <v>356</v>
      </c>
      <c r="I12" t="s">
        <v>364</v>
      </c>
      <c r="J12" t="s">
        <v>652</v>
      </c>
      <c r="K12" t="b">
        <f>_xlfn.XOR(IFERROR(MATCH(CodingTable8[[#This Row],[st_code]],EpscorTable[],0)&gt;0,FALSE),IFERROR(FIND("9150",CodingTable8[[#This Row],[PRCs]])&gt;0,FALSE))</f>
        <v>0</v>
      </c>
      <c r="L12" t="b">
        <f>_xlfn.XOR(CodingTable8[[#This Row],[WMD]]&lt;&gt;"",IFERROR(FIND("9102",CodingTable8[[#This Row],[PRCs]])&gt;0,FALSE))</f>
        <v>0</v>
      </c>
      <c r="M12" t="str">
        <f t="shared" si="0"/>
        <v/>
      </c>
      <c r="P12" s="48">
        <v>0</v>
      </c>
      <c r="Q12" s="48">
        <v>0</v>
      </c>
      <c r="R12" s="19" t="str">
        <f>HYPERLINK("mailto:"&amp;CodingTable8[[#This Row],[pi_emai_addr]]&amp;"&amp;subject=Your NSF Proposal:  "&amp;CodingTable8[[#This Row],[prop_id]], CodingTable8[[#This Row],[pi_emai_addr]])</f>
        <v>samth@cs.indiana.edu</v>
      </c>
      <c r="S12">
        <f xml:space="preserve"> S11+(CodingTable8[ILN]&lt;"M")</f>
        <v>10</v>
      </c>
      <c r="T12" t="s">
        <v>121</v>
      </c>
      <c r="U12" t="s">
        <v>407</v>
      </c>
      <c r="V12" s="19" t="str">
        <f>HYPERLINK("https://www.ejacket.nsf.gov/ej/showProposal.do?ID="&amp;CodingTable8[[#This Row],[prop_id]],"eJ")</f>
        <v>eJ</v>
      </c>
      <c r="W12" t="s">
        <v>407</v>
      </c>
      <c r="X12" t="s">
        <v>408</v>
      </c>
      <c r="Y12" t="s">
        <v>608</v>
      </c>
      <c r="Z12" t="s">
        <v>409</v>
      </c>
      <c r="AA12" s="1">
        <v>501687</v>
      </c>
      <c r="AB12" s="39">
        <v>43282</v>
      </c>
      <c r="AC12">
        <v>60</v>
      </c>
      <c r="AD12">
        <v>4</v>
      </c>
      <c r="AF12">
        <v>4</v>
      </c>
      <c r="AG12">
        <v>1</v>
      </c>
      <c r="AI12">
        <v>1</v>
      </c>
      <c r="AJ12"/>
      <c r="AL12" t="s">
        <v>609</v>
      </c>
      <c r="AN12" s="17">
        <v>20000</v>
      </c>
      <c r="AO12" t="s">
        <v>355</v>
      </c>
      <c r="AP12" t="s">
        <v>410</v>
      </c>
      <c r="AQ12" s="8"/>
      <c r="AR12" t="s">
        <v>651</v>
      </c>
      <c r="AS12" t="s">
        <v>653</v>
      </c>
      <c r="AT12">
        <v>0</v>
      </c>
      <c r="AU12">
        <v>0</v>
      </c>
      <c r="AV12">
        <v>0</v>
      </c>
      <c r="AW12">
        <v>0</v>
      </c>
    </row>
    <row r="13" spans="1:49" x14ac:dyDescent="0.4">
      <c r="A13" s="39">
        <v>42935.652777777781</v>
      </c>
      <c r="B13" t="s">
        <v>336</v>
      </c>
      <c r="C13" t="s">
        <v>299</v>
      </c>
      <c r="D13" t="s">
        <v>371</v>
      </c>
      <c r="E13" t="s">
        <v>372</v>
      </c>
      <c r="F13" t="s">
        <v>119</v>
      </c>
      <c r="G13" t="s">
        <v>120</v>
      </c>
      <c r="H13" t="s">
        <v>356</v>
      </c>
      <c r="I13" t="s">
        <v>654</v>
      </c>
      <c r="J13" t="s">
        <v>135</v>
      </c>
      <c r="K13" t="b">
        <f>_xlfn.XOR(IFERROR(MATCH(CodingTable8[[#This Row],[st_code]],EpscorTable[],0)&gt;0,FALSE),IFERROR(FIND("9150",CodingTable8[[#This Row],[PRCs]])&gt;0,FALSE))</f>
        <v>0</v>
      </c>
      <c r="L13" t="b">
        <f>_xlfn.XOR(CodingTable8[[#This Row],[WMD]]&lt;&gt;"",IFERROR(FIND("9102",CodingTable8[[#This Row],[PRCs]])&gt;0,FALSE))</f>
        <v>0</v>
      </c>
      <c r="M13" t="str">
        <f t="shared" si="0"/>
        <v/>
      </c>
      <c r="P13" s="48">
        <v>0</v>
      </c>
      <c r="Q13" s="48">
        <v>0</v>
      </c>
      <c r="R13" s="19" t="str">
        <f>HYPERLINK("mailto:"&amp;CodingTable8[[#This Row],[pi_emai_addr]]&amp;"&amp;subject=Your NSF Proposal:  "&amp;CodingTable8[[#This Row],[prop_id]], CodingTable8[[#This Row],[pi_emai_addr]])</f>
        <v>sxc2311@louisiana.edu</v>
      </c>
      <c r="S13">
        <f xml:space="preserve"> S12+(CodingTable8[ILN]&lt;"M")</f>
        <v>11</v>
      </c>
      <c r="T13" t="s">
        <v>121</v>
      </c>
      <c r="U13" t="s">
        <v>411</v>
      </c>
      <c r="V13" s="19" t="str">
        <f>HYPERLINK("https://www.ejacket.nsf.gov/ej/showProposal.do?ID="&amp;CodingTable8[[#This Row],[prop_id]],"eJ")</f>
        <v>eJ</v>
      </c>
      <c r="W13" t="s">
        <v>411</v>
      </c>
      <c r="X13" t="s">
        <v>346</v>
      </c>
      <c r="Y13" t="s">
        <v>574</v>
      </c>
      <c r="Z13" t="s">
        <v>412</v>
      </c>
      <c r="AA13" s="1">
        <v>506060</v>
      </c>
      <c r="AB13" s="39">
        <v>43132</v>
      </c>
      <c r="AC13">
        <v>60</v>
      </c>
      <c r="AD13">
        <v>4</v>
      </c>
      <c r="AF13">
        <v>4</v>
      </c>
      <c r="AG13">
        <v>1</v>
      </c>
      <c r="AI13">
        <v>1</v>
      </c>
      <c r="AJ13"/>
      <c r="AL13" t="s">
        <v>578</v>
      </c>
      <c r="AN13" s="17">
        <v>20250</v>
      </c>
      <c r="AO13" t="s">
        <v>355</v>
      </c>
      <c r="AP13" t="s">
        <v>413</v>
      </c>
      <c r="AQ13" s="8"/>
      <c r="AR13" t="s">
        <v>655</v>
      </c>
      <c r="AS13" t="s">
        <v>656</v>
      </c>
      <c r="AT13">
        <v>0</v>
      </c>
      <c r="AU13">
        <v>0</v>
      </c>
      <c r="AV13">
        <v>0</v>
      </c>
      <c r="AW13">
        <v>0</v>
      </c>
    </row>
    <row r="14" spans="1:49" x14ac:dyDescent="0.4">
      <c r="A14" s="39">
        <v>42935.665277777778</v>
      </c>
      <c r="B14" t="s">
        <v>336</v>
      </c>
      <c r="C14" t="s">
        <v>299</v>
      </c>
      <c r="D14" t="s">
        <v>371</v>
      </c>
      <c r="E14" t="s">
        <v>376</v>
      </c>
      <c r="F14" t="s">
        <v>119</v>
      </c>
      <c r="G14" t="s">
        <v>120</v>
      </c>
      <c r="H14" t="s">
        <v>356</v>
      </c>
      <c r="I14" t="s">
        <v>364</v>
      </c>
      <c r="J14" t="s">
        <v>360</v>
      </c>
      <c r="K14" t="b">
        <f>_xlfn.XOR(IFERROR(MATCH(CodingTable8[[#This Row],[st_code]],EpscorTable[],0)&gt;0,FALSE),IFERROR(FIND("9150",CodingTable8[[#This Row],[PRCs]])&gt;0,FALSE))</f>
        <v>0</v>
      </c>
      <c r="L14" t="b">
        <f>_xlfn.XOR(CodingTable8[[#This Row],[WMD]]&lt;&gt;"",IFERROR(FIND("9102",CodingTable8[[#This Row],[PRCs]])&gt;0,FALSE))</f>
        <v>0</v>
      </c>
      <c r="M14" t="str">
        <f t="shared" si="0"/>
        <v/>
      </c>
      <c r="P14" s="48">
        <v>0</v>
      </c>
      <c r="Q14" s="48">
        <v>0</v>
      </c>
      <c r="R14" s="19" t="str">
        <f>HYPERLINK("mailto:"&amp;CodingTable8[[#This Row],[pi_emai_addr]]&amp;"&amp;subject=Your NSF Proposal:  "&amp;CodingTable8[[#This Row],[prop_id]], CodingTable8[[#This Row],[pi_emai_addr]])</f>
        <v>loris@cs.wisc.edu</v>
      </c>
      <c r="S14">
        <f xml:space="preserve"> S13+(CodingTable8[ILN]&lt;"M")</f>
        <v>12</v>
      </c>
      <c r="T14" t="s">
        <v>121</v>
      </c>
      <c r="U14" t="s">
        <v>415</v>
      </c>
      <c r="V14" s="19" t="str">
        <f>HYPERLINK("https://www.ejacket.nsf.gov/ej/showProposal.do?ID="&amp;CodingTable8[[#This Row],[prop_id]],"eJ")</f>
        <v>eJ</v>
      </c>
      <c r="W14" t="s">
        <v>415</v>
      </c>
      <c r="X14" t="s">
        <v>416</v>
      </c>
      <c r="Y14" t="s">
        <v>583</v>
      </c>
      <c r="Z14" t="s">
        <v>341</v>
      </c>
      <c r="AA14" s="1">
        <v>571195</v>
      </c>
      <c r="AB14" s="39">
        <v>43344</v>
      </c>
      <c r="AC14">
        <v>60</v>
      </c>
      <c r="AD14">
        <v>4</v>
      </c>
      <c r="AF14">
        <v>4</v>
      </c>
      <c r="AG14">
        <v>1</v>
      </c>
      <c r="AI14">
        <v>1</v>
      </c>
      <c r="AJ14"/>
      <c r="AL14" t="s">
        <v>585</v>
      </c>
      <c r="AN14" s="17">
        <v>15928</v>
      </c>
      <c r="AO14" t="s">
        <v>355</v>
      </c>
      <c r="AP14" t="s">
        <v>417</v>
      </c>
      <c r="AQ14" s="8"/>
      <c r="AR14" t="s">
        <v>359</v>
      </c>
      <c r="AS14" t="s">
        <v>657</v>
      </c>
      <c r="AT14">
        <v>0</v>
      </c>
      <c r="AU14">
        <v>0</v>
      </c>
      <c r="AV14">
        <v>0</v>
      </c>
      <c r="AW14">
        <v>0</v>
      </c>
    </row>
    <row r="15" spans="1:49" x14ac:dyDescent="0.4">
      <c r="A15" s="39">
        <v>42935.67291666667</v>
      </c>
      <c r="B15" t="s">
        <v>336</v>
      </c>
      <c r="C15" t="s">
        <v>299</v>
      </c>
      <c r="D15" t="s">
        <v>371</v>
      </c>
      <c r="E15" t="s">
        <v>372</v>
      </c>
      <c r="F15" t="s">
        <v>119</v>
      </c>
      <c r="G15" t="s">
        <v>120</v>
      </c>
      <c r="H15" t="s">
        <v>356</v>
      </c>
      <c r="I15" t="s">
        <v>364</v>
      </c>
      <c r="J15" t="s">
        <v>366</v>
      </c>
      <c r="K15" t="b">
        <f>_xlfn.XOR(IFERROR(MATCH(CodingTable8[[#This Row],[st_code]],EpscorTable[],0)&gt;0,FALSE),IFERROR(FIND("9150",CodingTable8[[#This Row],[PRCs]])&gt;0,FALSE))</f>
        <v>0</v>
      </c>
      <c r="L15" t="b">
        <f>_xlfn.XOR(CodingTable8[[#This Row],[WMD]]&lt;&gt;"",IFERROR(FIND("9102",CodingTable8[[#This Row],[PRCs]])&gt;0,FALSE))</f>
        <v>0</v>
      </c>
      <c r="M15" t="str">
        <f t="shared" si="0"/>
        <v/>
      </c>
      <c r="P15" s="48">
        <v>0</v>
      </c>
      <c r="Q15" s="48">
        <v>0</v>
      </c>
      <c r="R15" s="19" t="str">
        <f>HYPERLINK("mailto:"&amp;CodingTable8[[#This Row],[pi_emai_addr]]&amp;"&amp;subject=Your NSF Proposal:  "&amp;CodingTable8[[#This Row],[prop_id]], CodingTable8[[#This Row],[pi_emai_addr]])</f>
        <v>mcarbin@csail.mit.edu</v>
      </c>
      <c r="S15">
        <f xml:space="preserve"> S14+(CodingTable8[ILN]&lt;"M")</f>
        <v>13</v>
      </c>
      <c r="T15" t="s">
        <v>121</v>
      </c>
      <c r="U15" t="s">
        <v>418</v>
      </c>
      <c r="V15" s="19" t="str">
        <f>HYPERLINK("https://www.ejacket.nsf.gov/ej/showProposal.do?ID="&amp;CodingTable8[[#This Row],[prop_id]],"eJ")</f>
        <v>eJ</v>
      </c>
      <c r="W15" t="s">
        <v>418</v>
      </c>
      <c r="X15" t="s">
        <v>419</v>
      </c>
      <c r="Y15" t="s">
        <v>354</v>
      </c>
      <c r="Z15" t="s">
        <v>300</v>
      </c>
      <c r="AA15" s="1">
        <v>525000</v>
      </c>
      <c r="AB15" s="39">
        <v>43282</v>
      </c>
      <c r="AC15">
        <v>60</v>
      </c>
      <c r="AD15">
        <v>4</v>
      </c>
      <c r="AF15">
        <v>4</v>
      </c>
      <c r="AG15">
        <v>1</v>
      </c>
      <c r="AI15">
        <v>1</v>
      </c>
      <c r="AJ15"/>
      <c r="AL15" t="s">
        <v>591</v>
      </c>
      <c r="AN15" s="17">
        <v>0</v>
      </c>
      <c r="AP15" t="s">
        <v>420</v>
      </c>
      <c r="AQ15" s="8"/>
      <c r="AR15" t="s">
        <v>365</v>
      </c>
      <c r="AS15" t="s">
        <v>658</v>
      </c>
      <c r="AT15">
        <v>0</v>
      </c>
      <c r="AU15">
        <v>0</v>
      </c>
      <c r="AV15">
        <v>0</v>
      </c>
      <c r="AW15">
        <v>0</v>
      </c>
    </row>
    <row r="16" spans="1:49" x14ac:dyDescent="0.4">
      <c r="A16" s="39">
        <v>42935.705555555556</v>
      </c>
      <c r="B16" t="s">
        <v>336</v>
      </c>
      <c r="C16" t="s">
        <v>299</v>
      </c>
      <c r="D16" t="s">
        <v>371</v>
      </c>
      <c r="E16" t="s">
        <v>372</v>
      </c>
      <c r="F16" t="s">
        <v>119</v>
      </c>
      <c r="G16" t="s">
        <v>120</v>
      </c>
      <c r="H16" t="s">
        <v>356</v>
      </c>
      <c r="I16" t="s">
        <v>364</v>
      </c>
      <c r="J16" t="s">
        <v>368</v>
      </c>
      <c r="K16" t="b">
        <f>_xlfn.XOR(IFERROR(MATCH(CodingTable8[[#This Row],[st_code]],EpscorTable[],0)&gt;0,FALSE),IFERROR(FIND("9150",CodingTable8[[#This Row],[PRCs]])&gt;0,FALSE))</f>
        <v>0</v>
      </c>
      <c r="L16" t="b">
        <f>_xlfn.XOR(CodingTable8[[#This Row],[WMD]]&lt;&gt;"",IFERROR(FIND("9102",CodingTable8[[#This Row],[PRCs]])&gt;0,FALSE))</f>
        <v>0</v>
      </c>
      <c r="M16" t="str">
        <f t="shared" si="0"/>
        <v/>
      </c>
      <c r="P16" s="48">
        <v>0</v>
      </c>
      <c r="Q16" s="48">
        <v>0</v>
      </c>
      <c r="R16" s="19" t="str">
        <f>HYPERLINK("mailto:"&amp;CodingTable8[[#This Row],[pi_emai_addr]]&amp;"&amp;subject=Your NSF Proposal:  "&amp;CodingTable8[[#This Row],[prop_id]], CodingTable8[[#This Row],[pi_emai_addr]])</f>
        <v>raffi.khatchadourian@hunter.cuny.edu</v>
      </c>
      <c r="S16">
        <f xml:space="preserve"> S15+(CodingTable8[ILN]&lt;"M")</f>
        <v>14</v>
      </c>
      <c r="T16" t="s">
        <v>121</v>
      </c>
      <c r="U16" t="s">
        <v>421</v>
      </c>
      <c r="V16" s="19" t="str">
        <f>HYPERLINK("https://www.ejacket.nsf.gov/ej/showProposal.do?ID="&amp;CodingTable8[[#This Row],[prop_id]],"eJ")</f>
        <v>eJ</v>
      </c>
      <c r="W16" t="s">
        <v>421</v>
      </c>
      <c r="X16" t="s">
        <v>422</v>
      </c>
      <c r="Y16" t="s">
        <v>628</v>
      </c>
      <c r="Z16" t="s">
        <v>423</v>
      </c>
      <c r="AA16" s="1">
        <v>580408</v>
      </c>
      <c r="AB16" s="39">
        <v>43344</v>
      </c>
      <c r="AC16">
        <v>60</v>
      </c>
      <c r="AD16">
        <v>5</v>
      </c>
      <c r="AF16">
        <v>5</v>
      </c>
      <c r="AG16">
        <v>1</v>
      </c>
      <c r="AI16">
        <v>1</v>
      </c>
      <c r="AJ16"/>
      <c r="AL16" t="s">
        <v>631</v>
      </c>
      <c r="AN16" s="17">
        <v>35000</v>
      </c>
      <c r="AO16" t="s">
        <v>659</v>
      </c>
      <c r="AP16" t="s">
        <v>424</v>
      </c>
      <c r="AQ16" s="8"/>
      <c r="AR16" t="s">
        <v>660</v>
      </c>
      <c r="AS16" t="s">
        <v>661</v>
      </c>
      <c r="AT16">
        <v>0</v>
      </c>
      <c r="AU16">
        <v>0</v>
      </c>
      <c r="AV16">
        <v>0</v>
      </c>
      <c r="AW16">
        <v>0</v>
      </c>
    </row>
    <row r="17" spans="1:49" x14ac:dyDescent="0.4">
      <c r="A17" s="39">
        <v>42935.706944444442</v>
      </c>
      <c r="B17" t="s">
        <v>336</v>
      </c>
      <c r="C17" t="s">
        <v>299</v>
      </c>
      <c r="D17" t="s">
        <v>371</v>
      </c>
      <c r="E17" t="s">
        <v>372</v>
      </c>
      <c r="F17" t="s">
        <v>119</v>
      </c>
      <c r="G17" t="s">
        <v>120</v>
      </c>
      <c r="H17" t="s">
        <v>356</v>
      </c>
      <c r="I17" t="s">
        <v>364</v>
      </c>
      <c r="J17" t="s">
        <v>369</v>
      </c>
      <c r="K17" t="b">
        <f>_xlfn.XOR(IFERROR(MATCH(CodingTable8[[#This Row],[st_code]],EpscorTable[],0)&gt;0,FALSE),IFERROR(FIND("9150",CodingTable8[[#This Row],[PRCs]])&gt;0,FALSE))</f>
        <v>0</v>
      </c>
      <c r="L17" t="b">
        <f>_xlfn.XOR(CodingTable8[[#This Row],[WMD]]&lt;&gt;"",IFERROR(FIND("9102",CodingTable8[[#This Row],[PRCs]])&gt;0,FALSE))</f>
        <v>0</v>
      </c>
      <c r="M17" t="str">
        <f t="shared" si="0"/>
        <v/>
      </c>
      <c r="P17" s="48">
        <v>0</v>
      </c>
      <c r="Q17" s="48">
        <v>0</v>
      </c>
      <c r="R17" s="19" t="str">
        <f>HYPERLINK("mailto:"&amp;CodingTable8[[#This Row],[pi_emai_addr]]&amp;"&amp;subject=Your NSF Proposal:  "&amp;CodingTable8[[#This Row],[prop_id]], CodingTable8[[#This Row],[pi_emai_addr]])</f>
        <v>dvanhorn@cs.umd.edu</v>
      </c>
      <c r="S17">
        <f xml:space="preserve"> S16+(CodingTable8[ILN]&lt;"M")</f>
        <v>15</v>
      </c>
      <c r="T17" t="s">
        <v>121</v>
      </c>
      <c r="U17" t="s">
        <v>425</v>
      </c>
      <c r="V17" s="19" t="str">
        <f>HYPERLINK("https://www.ejacket.nsf.gov/ej/showProposal.do?ID="&amp;CodingTable8[[#This Row],[prop_id]],"eJ")</f>
        <v>eJ</v>
      </c>
      <c r="W17" t="s">
        <v>425</v>
      </c>
      <c r="X17" t="s">
        <v>426</v>
      </c>
      <c r="Y17" t="s">
        <v>605</v>
      </c>
      <c r="Z17" t="s">
        <v>427</v>
      </c>
      <c r="AA17" s="1">
        <v>551069</v>
      </c>
      <c r="AB17" s="39">
        <v>43101</v>
      </c>
      <c r="AC17">
        <v>60</v>
      </c>
      <c r="AD17">
        <v>4</v>
      </c>
      <c r="AF17">
        <v>4</v>
      </c>
      <c r="AG17">
        <v>1</v>
      </c>
      <c r="AI17">
        <v>1</v>
      </c>
      <c r="AJ17"/>
      <c r="AL17" t="s">
        <v>607</v>
      </c>
      <c r="AN17" s="17">
        <v>15000</v>
      </c>
      <c r="AO17" t="s">
        <v>355</v>
      </c>
      <c r="AP17" t="s">
        <v>428</v>
      </c>
      <c r="AQ17" s="8"/>
      <c r="AR17" t="s">
        <v>662</v>
      </c>
      <c r="AS17" t="s">
        <v>663</v>
      </c>
      <c r="AT17">
        <v>0</v>
      </c>
      <c r="AU17">
        <v>0</v>
      </c>
      <c r="AV17">
        <v>0</v>
      </c>
      <c r="AW17">
        <v>0</v>
      </c>
    </row>
    <row r="18" spans="1:49" x14ac:dyDescent="0.4">
      <c r="A18" s="39">
        <v>42935.757638888892</v>
      </c>
      <c r="B18" t="s">
        <v>336</v>
      </c>
      <c r="C18" t="s">
        <v>299</v>
      </c>
      <c r="D18" t="s">
        <v>371</v>
      </c>
      <c r="E18" t="s">
        <v>376</v>
      </c>
      <c r="F18" t="s">
        <v>119</v>
      </c>
      <c r="G18" t="s">
        <v>120</v>
      </c>
      <c r="H18" t="s">
        <v>356</v>
      </c>
      <c r="I18" t="s">
        <v>364</v>
      </c>
      <c r="J18" t="s">
        <v>357</v>
      </c>
      <c r="K18" t="b">
        <f>_xlfn.XOR(IFERROR(MATCH(CodingTable8[[#This Row],[st_code]],EpscorTable[],0)&gt;0,FALSE),IFERROR(FIND("9150",CodingTable8[[#This Row],[PRCs]])&gt;0,FALSE))</f>
        <v>0</v>
      </c>
      <c r="L18" t="b">
        <f>_xlfn.XOR(CodingTable8[[#This Row],[WMD]]&lt;&gt;"",IFERROR(FIND("9102",CodingTable8[[#This Row],[PRCs]])&gt;0,FALSE))</f>
        <v>0</v>
      </c>
      <c r="M18" t="str">
        <f t="shared" si="0"/>
        <v/>
      </c>
      <c r="P18" s="48">
        <v>0</v>
      </c>
      <c r="Q18" s="48">
        <v>0</v>
      </c>
      <c r="R18" s="19" t="str">
        <f>HYPERLINK("mailto:"&amp;CodingTable8[[#This Row],[pi_emai_addr]]&amp;"&amp;subject=Your NSF Proposal:  "&amp;CodingTable8[[#This Row],[prop_id]], CodingTable8[[#This Row],[pi_emai_addr]])</f>
        <v>pavol.cerny@colorado.edu</v>
      </c>
      <c r="S18">
        <f xml:space="preserve"> S17+(CodingTable8[ILN]&lt;"M")</f>
        <v>16</v>
      </c>
      <c r="T18" t="s">
        <v>121</v>
      </c>
      <c r="U18" t="s">
        <v>429</v>
      </c>
      <c r="V18" s="19" t="str">
        <f>HYPERLINK("https://www.ejacket.nsf.gov/ej/showProposal.do?ID="&amp;CodingTable8[[#This Row],[prop_id]],"eJ")</f>
        <v>eJ</v>
      </c>
      <c r="W18" t="s">
        <v>429</v>
      </c>
      <c r="X18" t="s">
        <v>430</v>
      </c>
      <c r="Y18" t="s">
        <v>632</v>
      </c>
      <c r="Z18" t="s">
        <v>431</v>
      </c>
      <c r="AA18" s="1">
        <v>542402</v>
      </c>
      <c r="AB18" s="39">
        <v>43282</v>
      </c>
      <c r="AC18">
        <v>60</v>
      </c>
      <c r="AD18">
        <v>4</v>
      </c>
      <c r="AF18">
        <v>4</v>
      </c>
      <c r="AG18">
        <v>1</v>
      </c>
      <c r="AI18">
        <v>1</v>
      </c>
      <c r="AJ18"/>
      <c r="AL18" t="s">
        <v>633</v>
      </c>
      <c r="AN18" s="17">
        <v>0</v>
      </c>
      <c r="AP18" t="s">
        <v>432</v>
      </c>
      <c r="AQ18" s="8"/>
      <c r="AR18" t="s">
        <v>664</v>
      </c>
      <c r="AS18" t="s">
        <v>665</v>
      </c>
      <c r="AT18">
        <v>0</v>
      </c>
      <c r="AU18">
        <v>0</v>
      </c>
      <c r="AV18">
        <v>0</v>
      </c>
      <c r="AW18">
        <v>0</v>
      </c>
    </row>
  </sheetData>
  <conditionalFormatting sqref="A3:AW18">
    <cfRule type="expression" dxfId="37" priority="6">
      <formula>MOD($S3,2)</formula>
    </cfRule>
  </conditionalFormatting>
  <conditionalFormatting sqref="J3:J18">
    <cfRule type="expression" dxfId="36" priority="5">
      <formula>$K3</formula>
    </cfRule>
  </conditionalFormatting>
  <conditionalFormatting sqref="M3:M18">
    <cfRule type="expression" dxfId="35" priority="4">
      <formula>$L3</formula>
    </cfRule>
  </conditionalFormatting>
  <conditionalFormatting sqref="AF3:AF18 AI3:AI18">
    <cfRule type="expression" dxfId="34" priority="3">
      <formula>AF3&gt;0</formula>
    </cfRule>
  </conditionalFormatting>
  <conditionalFormatting sqref="AD3:AE18">
    <cfRule type="expression" dxfId="33" priority="2">
      <formula>$AD3&lt;$AE3+3</formula>
    </cfRule>
  </conditionalFormatting>
  <conditionalFormatting sqref="B3:H17 AB3:AO17">
    <cfRule type="expression" dxfId="32" priority="7">
      <formula>AND($T3="N", B3&lt;&gt;B1048533)</formula>
    </cfRule>
  </conditionalFormatting>
  <conditionalFormatting sqref="B18:H18 AB18:AO18">
    <cfRule type="expression" dxfId="31" priority="8">
      <formula>AND($T18="N", B18&lt;&gt;B2)</formula>
    </cfRule>
  </conditionalFormatting>
  <conditionalFormatting sqref="P3:Q18">
    <cfRule type="expression" dxfId="30" priority="1">
      <formula>$P3+$Q3&lt;&gt;1</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Blocks">
    <tabColor theme="6" tint="-0.249977111117893"/>
    <pageSetUpPr fitToPage="1"/>
  </sheetPr>
  <dimension ref="A1:Z99"/>
  <sheetViews>
    <sheetView topLeftCell="C1" workbookViewId="0">
      <selection activeCell="I9" sqref="I9"/>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25"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4" width="11" customWidth="1"/>
    <col min="25" max="25" width="6.53515625" customWidth="1"/>
    <col min="26" max="26" width="16.53515625" customWidth="1"/>
  </cols>
  <sheetData>
    <row r="1" spans="1:26" x14ac:dyDescent="0.4">
      <c r="A1" s="6" t="s">
        <v>160</v>
      </c>
      <c r="L1" s="3"/>
    </row>
    <row r="2" spans="1:26" x14ac:dyDescent="0.4">
      <c r="D2" s="26" t="s">
        <v>28</v>
      </c>
      <c r="G2" s="4" t="s">
        <v>156</v>
      </c>
      <c r="H2" s="16" t="str">
        <f>LOWER($G$4)</f>
        <v>abanerj</v>
      </c>
      <c r="I2" s="4" t="s">
        <v>27</v>
      </c>
      <c r="J2">
        <f ca="1">YEAR(NOW())+(MONTH(NOW())&gt;9)-2000</f>
        <v>18</v>
      </c>
      <c r="L2" s="4"/>
      <c r="M2" s="25"/>
      <c r="N2" s="26" t="s">
        <v>157</v>
      </c>
      <c r="O2" s="25"/>
      <c r="P2" s="25"/>
      <c r="S2" s="27" t="s">
        <v>158</v>
      </c>
      <c r="V2" s="27" t="s">
        <v>159</v>
      </c>
    </row>
    <row r="3" spans="1:26" x14ac:dyDescent="0.4">
      <c r="A3" s="6" t="s">
        <v>0</v>
      </c>
      <c r="B3" t="s">
        <v>108</v>
      </c>
      <c r="C3" s="25" t="s">
        <v>8</v>
      </c>
      <c r="D3" t="s">
        <v>9</v>
      </c>
      <c r="E3" t="s">
        <v>6</v>
      </c>
      <c r="F3" t="s">
        <v>5</v>
      </c>
      <c r="G3" t="s">
        <v>3</v>
      </c>
      <c r="H3" t="s">
        <v>10</v>
      </c>
      <c r="I3" t="s">
        <v>1</v>
      </c>
      <c r="J3" t="s">
        <v>2</v>
      </c>
      <c r="K3" t="s">
        <v>11</v>
      </c>
      <c r="L3" t="s">
        <v>12</v>
      </c>
      <c r="M3" t="s">
        <v>13</v>
      </c>
      <c r="N3" t="s">
        <v>14</v>
      </c>
      <c r="O3" t="s">
        <v>15</v>
      </c>
      <c r="P3" t="s">
        <v>16</v>
      </c>
      <c r="Q3" t="s">
        <v>17</v>
      </c>
      <c r="R3" t="s">
        <v>18</v>
      </c>
      <c r="S3" s="6" t="s">
        <v>19</v>
      </c>
      <c r="T3" t="s">
        <v>20</v>
      </c>
      <c r="U3" t="s">
        <v>21</v>
      </c>
      <c r="V3" t="s">
        <v>7</v>
      </c>
      <c r="W3" t="s">
        <v>22</v>
      </c>
      <c r="X3" t="s">
        <v>26</v>
      </c>
      <c r="Y3" t="s">
        <v>23</v>
      </c>
      <c r="Z3" t="s">
        <v>24</v>
      </c>
    </row>
    <row r="4" spans="1:26" x14ac:dyDescent="0.4">
      <c r="A4" s="12" t="s">
        <v>373</v>
      </c>
      <c r="B4" s="28" t="s">
        <v>121</v>
      </c>
      <c r="C4" s="10">
        <v>42933.697916666664</v>
      </c>
      <c r="D4" s="9" t="s">
        <v>336</v>
      </c>
      <c r="E4" s="9" t="s">
        <v>299</v>
      </c>
      <c r="F4" s="9" t="s">
        <v>371</v>
      </c>
      <c r="G4" s="9" t="s">
        <v>372</v>
      </c>
      <c r="H4" s="9" t="s">
        <v>373</v>
      </c>
      <c r="I4" s="7" t="str">
        <f>IF(RAdata6[[#This Row],[pi_last_name]]=" ","",HYPERLINK("https://www.ejacket.nsf.gov/ej/showProposal.do?Continue=Y&amp;ID="&amp;RAdata6[[#This Row],[prop_id]],RAdata6[[#This Row],[prop_id]]))</f>
        <v>1749539</v>
      </c>
      <c r="J4" s="7" t="str">
        <f>IF(RAdata6[[#This Row],[pi_last_name]]=" ","",HYPERLINK("https://www.ejacket.nsf.gov/ej/processReviewAnalysis.do?dispatch=add&amp;uniqId="&amp;RAdata6[[#This Row],[prop_id]]&amp;pm_ibm_logn_id,"&gt;ra"))</f>
        <v>&gt;ra</v>
      </c>
      <c r="K4" s="9" t="s">
        <v>374</v>
      </c>
      <c r="L4" s="9" t="s">
        <v>297</v>
      </c>
      <c r="M4" s="9" t="s">
        <v>375</v>
      </c>
      <c r="N4" s="9"/>
      <c r="O4" s="9"/>
      <c r="P4" s="13"/>
      <c r="Q4" s="13"/>
      <c r="R4" s="13"/>
      <c r="S4" s="15"/>
      <c r="T4" s="9">
        <v>0</v>
      </c>
      <c r="U4" s="9"/>
      <c r="V4" s="14" t="str">
        <f ca="1">IF(ISBLANK(RAdata6[[#This Row],[budg_seq_yr]]),"FY"&amp;fiscalyear,"FY"&amp;fiscalyear-1+RAdata6[[#This Row],[budg_seq_yr]])</f>
        <v>FY18</v>
      </c>
      <c r="W4" s="13">
        <v>561136</v>
      </c>
      <c r="X4" s="9" t="s">
        <v>299</v>
      </c>
      <c r="Y4" s="9" t="s">
        <v>371</v>
      </c>
      <c r="Z4" s="9" t="s">
        <v>345</v>
      </c>
    </row>
    <row r="5" spans="1:26" x14ac:dyDescent="0.4">
      <c r="A5" s="12" t="s">
        <v>373</v>
      </c>
      <c r="B5" s="28" t="s">
        <v>121</v>
      </c>
      <c r="C5" s="10">
        <v>42933.697916666664</v>
      </c>
      <c r="D5" s="9" t="s">
        <v>336</v>
      </c>
      <c r="E5" s="9" t="s">
        <v>299</v>
      </c>
      <c r="F5" s="9" t="s">
        <v>371</v>
      </c>
      <c r="G5" s="9" t="s">
        <v>372</v>
      </c>
      <c r="H5" s="9" t="s">
        <v>373</v>
      </c>
      <c r="I5" s="7" t="str">
        <f>IF(RAdata6[[#This Row],[pi_last_name]]=" ","",HYPERLINK("https://www.ejacket.nsf.gov/ej/showProposal.do?Continue=Y&amp;ID="&amp;RAdata6[[#This Row],[prop_id]],RAdata6[[#This Row],[prop_id]]))</f>
        <v/>
      </c>
      <c r="J5" s="7" t="str">
        <f>IF(RAdata6[[#This Row],[pi_last_name]]=" ","",HYPERLINK("https://www.ejacket.nsf.gov/ej/processReviewAnalysis.do?dispatch=add&amp;uniqId="&amp;RAdata6[[#This Row],[prop_id]]&amp;pm_ibm_logn_id,"&gt;ra"))</f>
        <v/>
      </c>
      <c r="K5" s="9" t="s">
        <v>25</v>
      </c>
      <c r="L5" s="9" t="s">
        <v>25</v>
      </c>
      <c r="M5" s="9" t="s">
        <v>25</v>
      </c>
      <c r="N5" s="9">
        <v>1</v>
      </c>
      <c r="O5" s="9">
        <v>0.5</v>
      </c>
      <c r="P5" s="13">
        <v>0</v>
      </c>
      <c r="Q5" s="13">
        <v>4000</v>
      </c>
      <c r="R5" s="13">
        <v>0</v>
      </c>
      <c r="S5" s="15">
        <v>108189</v>
      </c>
      <c r="T5" s="9">
        <v>0</v>
      </c>
      <c r="U5" s="9">
        <v>1</v>
      </c>
      <c r="V5" s="14" t="str">
        <f ca="1">IF(ISBLANK(RAdata6[[#This Row],[budg_seq_yr]]),"FY"&amp;fiscalyear,"FY"&amp;fiscalyear-1+RAdata6[[#This Row],[budg_seq_yr]])</f>
        <v>FY18</v>
      </c>
      <c r="W5" s="13">
        <v>108189</v>
      </c>
      <c r="X5" s="9" t="s">
        <v>299</v>
      </c>
      <c r="Y5" s="9" t="s">
        <v>371</v>
      </c>
      <c r="Z5" s="9" t="s">
        <v>345</v>
      </c>
    </row>
    <row r="6" spans="1:26" x14ac:dyDescent="0.4">
      <c r="A6" s="12" t="s">
        <v>373</v>
      </c>
      <c r="B6" s="28" t="s">
        <v>121</v>
      </c>
      <c r="C6" s="10">
        <v>42933.697916666664</v>
      </c>
      <c r="D6" s="9" t="s">
        <v>336</v>
      </c>
      <c r="E6" s="9" t="s">
        <v>299</v>
      </c>
      <c r="F6" s="9" t="s">
        <v>371</v>
      </c>
      <c r="G6" s="9" t="s">
        <v>372</v>
      </c>
      <c r="H6" s="9" t="s">
        <v>373</v>
      </c>
      <c r="I6" s="7" t="str">
        <f>IF(RAdata6[[#This Row],[pi_last_name]]=" ","",HYPERLINK("https://www.ejacket.nsf.gov/ej/showProposal.do?Continue=Y&amp;ID="&amp;RAdata6[[#This Row],[prop_id]],RAdata6[[#This Row],[prop_id]]))</f>
        <v/>
      </c>
      <c r="J6" s="7" t="str">
        <f>IF(RAdata6[[#This Row],[pi_last_name]]=" ","",HYPERLINK("https://www.ejacket.nsf.gov/ej/processReviewAnalysis.do?dispatch=add&amp;uniqId="&amp;RAdata6[[#This Row],[prop_id]]&amp;pm_ibm_logn_id,"&gt;ra"))</f>
        <v/>
      </c>
      <c r="K6" s="9" t="s">
        <v>25</v>
      </c>
      <c r="L6" s="9" t="s">
        <v>25</v>
      </c>
      <c r="M6" s="9" t="s">
        <v>25</v>
      </c>
      <c r="N6" s="9">
        <v>1</v>
      </c>
      <c r="O6" s="9">
        <v>1</v>
      </c>
      <c r="P6" s="13">
        <v>0</v>
      </c>
      <c r="Q6" s="13">
        <v>4000</v>
      </c>
      <c r="R6" s="13">
        <v>0</v>
      </c>
      <c r="S6" s="15">
        <v>113309</v>
      </c>
      <c r="T6" s="9">
        <v>0</v>
      </c>
      <c r="U6" s="9">
        <v>2</v>
      </c>
      <c r="V6" s="14" t="str">
        <f ca="1">IF(ISBLANK(RAdata6[[#This Row],[budg_seq_yr]]),"FY"&amp;fiscalyear,"FY"&amp;fiscalyear-1+RAdata6[[#This Row],[budg_seq_yr]])</f>
        <v>FY19</v>
      </c>
      <c r="W6" s="13">
        <v>113309</v>
      </c>
      <c r="X6" s="9" t="s">
        <v>299</v>
      </c>
      <c r="Y6" s="9" t="s">
        <v>371</v>
      </c>
      <c r="Z6" s="9" t="s">
        <v>345</v>
      </c>
    </row>
    <row r="7" spans="1:26" x14ac:dyDescent="0.4">
      <c r="A7" s="12" t="s">
        <v>373</v>
      </c>
      <c r="B7" s="28" t="s">
        <v>121</v>
      </c>
      <c r="C7" s="10">
        <v>42933.697916666664</v>
      </c>
      <c r="D7" s="9" t="s">
        <v>336</v>
      </c>
      <c r="E7" s="9" t="s">
        <v>299</v>
      </c>
      <c r="F7" s="9" t="s">
        <v>371</v>
      </c>
      <c r="G7" s="9" t="s">
        <v>372</v>
      </c>
      <c r="H7" s="9" t="s">
        <v>373</v>
      </c>
      <c r="I7" s="7" t="str">
        <f>IF(RAdata6[[#This Row],[pi_last_name]]=" ","",HYPERLINK("https://www.ejacket.nsf.gov/ej/showProposal.do?Continue=Y&amp;ID="&amp;RAdata6[[#This Row],[prop_id]],RAdata6[[#This Row],[prop_id]]))</f>
        <v/>
      </c>
      <c r="J7" s="7" t="str">
        <f>IF(RAdata6[[#This Row],[pi_last_name]]=" ","",HYPERLINK("https://www.ejacket.nsf.gov/ej/processReviewAnalysis.do?dispatch=add&amp;uniqId="&amp;RAdata6[[#This Row],[prop_id]]&amp;pm_ibm_logn_id,"&gt;ra"))</f>
        <v/>
      </c>
      <c r="K7" s="9" t="s">
        <v>25</v>
      </c>
      <c r="L7" s="9" t="s">
        <v>25</v>
      </c>
      <c r="M7" s="9" t="s">
        <v>25</v>
      </c>
      <c r="N7" s="9">
        <v>1</v>
      </c>
      <c r="O7" s="9">
        <v>2</v>
      </c>
      <c r="P7" s="13">
        <v>0</v>
      </c>
      <c r="Q7" s="13">
        <v>4000</v>
      </c>
      <c r="R7" s="13">
        <v>0</v>
      </c>
      <c r="S7" s="15">
        <v>122389</v>
      </c>
      <c r="T7" s="9">
        <v>0</v>
      </c>
      <c r="U7" s="9">
        <v>3</v>
      </c>
      <c r="V7" s="14" t="str">
        <f ca="1">IF(ISBLANK(RAdata6[[#This Row],[budg_seq_yr]]),"FY"&amp;fiscalyear,"FY"&amp;fiscalyear-1+RAdata6[[#This Row],[budg_seq_yr]])</f>
        <v>FY20</v>
      </c>
      <c r="W7" s="13">
        <v>122389</v>
      </c>
      <c r="X7" s="9" t="s">
        <v>299</v>
      </c>
      <c r="Y7" s="9" t="s">
        <v>371</v>
      </c>
      <c r="Z7" s="9" t="s">
        <v>345</v>
      </c>
    </row>
    <row r="8" spans="1:26" x14ac:dyDescent="0.4">
      <c r="A8" s="12" t="s">
        <v>373</v>
      </c>
      <c r="B8" s="28" t="s">
        <v>121</v>
      </c>
      <c r="C8" s="10">
        <v>42933.697916666664</v>
      </c>
      <c r="D8" s="9" t="s">
        <v>336</v>
      </c>
      <c r="E8" s="9" t="s">
        <v>299</v>
      </c>
      <c r="F8" s="9" t="s">
        <v>371</v>
      </c>
      <c r="G8" s="9" t="s">
        <v>372</v>
      </c>
      <c r="H8" s="9" t="s">
        <v>373</v>
      </c>
      <c r="I8" s="7" t="str">
        <f>IF(RAdata6[[#This Row],[pi_last_name]]=" ","",HYPERLINK("https://www.ejacket.nsf.gov/ej/showProposal.do?Continue=Y&amp;ID="&amp;RAdata6[[#This Row],[prop_id]],RAdata6[[#This Row],[prop_id]]))</f>
        <v/>
      </c>
      <c r="J8" s="7" t="str">
        <f>IF(RAdata6[[#This Row],[pi_last_name]]=" ","",HYPERLINK("https://www.ejacket.nsf.gov/ej/processReviewAnalysis.do?dispatch=add&amp;uniqId="&amp;RAdata6[[#This Row],[prop_id]]&amp;pm_ibm_logn_id,"&gt;ra"))</f>
        <v/>
      </c>
      <c r="K8" s="9" t="s">
        <v>25</v>
      </c>
      <c r="L8" s="9" t="s">
        <v>25</v>
      </c>
      <c r="M8" s="9" t="s">
        <v>25</v>
      </c>
      <c r="N8" s="9">
        <v>1</v>
      </c>
      <c r="O8" s="9">
        <v>1</v>
      </c>
      <c r="P8" s="13">
        <v>0</v>
      </c>
      <c r="Q8" s="13">
        <v>4000</v>
      </c>
      <c r="R8" s="13">
        <v>0</v>
      </c>
      <c r="S8" s="15">
        <v>111723</v>
      </c>
      <c r="T8" s="9">
        <v>0</v>
      </c>
      <c r="U8" s="9">
        <v>4</v>
      </c>
      <c r="V8" s="14" t="str">
        <f ca="1">IF(ISBLANK(RAdata6[[#This Row],[budg_seq_yr]]),"FY"&amp;fiscalyear,"FY"&amp;fiscalyear-1+RAdata6[[#This Row],[budg_seq_yr]])</f>
        <v>FY21</v>
      </c>
      <c r="W8" s="13">
        <v>111723</v>
      </c>
      <c r="X8" s="9" t="s">
        <v>299</v>
      </c>
      <c r="Y8" s="9" t="s">
        <v>371</v>
      </c>
      <c r="Z8" s="9" t="s">
        <v>345</v>
      </c>
    </row>
    <row r="9" spans="1:26" x14ac:dyDescent="0.4">
      <c r="A9" s="12" t="s">
        <v>373</v>
      </c>
      <c r="B9" s="28" t="s">
        <v>121</v>
      </c>
      <c r="C9" s="10">
        <v>42933.697916666664</v>
      </c>
      <c r="D9" s="9" t="s">
        <v>336</v>
      </c>
      <c r="E9" s="9" t="s">
        <v>299</v>
      </c>
      <c r="F9" s="9" t="s">
        <v>371</v>
      </c>
      <c r="G9" s="9" t="s">
        <v>372</v>
      </c>
      <c r="H9" s="9" t="s">
        <v>373</v>
      </c>
      <c r="I9" s="7" t="str">
        <f>IF(RAdata6[[#This Row],[pi_last_name]]=" ","",HYPERLINK("https://www.ejacket.nsf.gov/ej/showProposal.do?Continue=Y&amp;ID="&amp;RAdata6[[#This Row],[prop_id]],RAdata6[[#This Row],[prop_id]]))</f>
        <v/>
      </c>
      <c r="J9" s="7" t="str">
        <f>IF(RAdata6[[#This Row],[pi_last_name]]=" ","",HYPERLINK("https://www.ejacket.nsf.gov/ej/processReviewAnalysis.do?dispatch=add&amp;uniqId="&amp;RAdata6[[#This Row],[prop_id]]&amp;pm_ibm_logn_id,"&gt;ra"))</f>
        <v/>
      </c>
      <c r="K9" s="9" t="s">
        <v>25</v>
      </c>
      <c r="L9" s="9" t="s">
        <v>25</v>
      </c>
      <c r="M9" s="9" t="s">
        <v>25</v>
      </c>
      <c r="N9" s="9">
        <v>1</v>
      </c>
      <c r="O9" s="9">
        <v>1</v>
      </c>
      <c r="P9" s="13">
        <v>0</v>
      </c>
      <c r="Q9" s="13">
        <v>4000</v>
      </c>
      <c r="R9" s="13">
        <v>0</v>
      </c>
      <c r="S9" s="15">
        <v>105526</v>
      </c>
      <c r="T9" s="9">
        <v>0</v>
      </c>
      <c r="U9" s="9">
        <v>5</v>
      </c>
      <c r="V9" s="14" t="str">
        <f ca="1">IF(ISBLANK(RAdata6[[#This Row],[budg_seq_yr]]),"FY"&amp;fiscalyear,"FY"&amp;fiscalyear-1+RAdata6[[#This Row],[budg_seq_yr]])</f>
        <v>FY22</v>
      </c>
      <c r="W9" s="13">
        <v>105526</v>
      </c>
      <c r="X9" s="9" t="s">
        <v>299</v>
      </c>
      <c r="Y9" s="9" t="s">
        <v>371</v>
      </c>
      <c r="Z9" s="9" t="s">
        <v>345</v>
      </c>
    </row>
    <row r="10" spans="1:26" x14ac:dyDescent="0.4">
      <c r="A10" s="12" t="s">
        <v>377</v>
      </c>
      <c r="B10" s="28" t="s">
        <v>121</v>
      </c>
      <c r="C10" s="10">
        <v>42933.719444444447</v>
      </c>
      <c r="D10" s="9" t="s">
        <v>336</v>
      </c>
      <c r="E10" s="9" t="s">
        <v>299</v>
      </c>
      <c r="F10" s="9" t="s">
        <v>371</v>
      </c>
      <c r="G10" s="9" t="s">
        <v>376</v>
      </c>
      <c r="H10" s="9" t="s">
        <v>377</v>
      </c>
      <c r="I10" s="7" t="str">
        <f>IF(RAdata6[[#This Row],[pi_last_name]]=" ","",HYPERLINK("https://www.ejacket.nsf.gov/ej/showProposal.do?Continue=Y&amp;ID="&amp;RAdata6[[#This Row],[prop_id]],RAdata6[[#This Row],[prop_id]]))</f>
        <v>1749570</v>
      </c>
      <c r="J10" s="7" t="str">
        <f>IF(RAdata6[[#This Row],[pi_last_name]]=" ","",HYPERLINK("https://www.ejacket.nsf.gov/ej/processReviewAnalysis.do?dispatch=add&amp;uniqId="&amp;RAdata6[[#This Row],[prop_id]]&amp;pm_ibm_logn_id,"&gt;ra"))</f>
        <v>&gt;ra</v>
      </c>
      <c r="K10" s="9" t="s">
        <v>378</v>
      </c>
      <c r="L10" s="9" t="s">
        <v>338</v>
      </c>
      <c r="M10" s="9" t="s">
        <v>379</v>
      </c>
      <c r="N10" s="9"/>
      <c r="O10" s="9"/>
      <c r="P10" s="13"/>
      <c r="Q10" s="13"/>
      <c r="R10" s="13"/>
      <c r="S10" s="15"/>
      <c r="T10" s="9">
        <v>0</v>
      </c>
      <c r="U10" s="9"/>
      <c r="V10" s="14" t="str">
        <f ca="1">IF(ISBLANK(RAdata6[[#This Row],[budg_seq_yr]]),"FY"&amp;fiscalyear,"FY"&amp;fiscalyear-1+RAdata6[[#This Row],[budg_seq_yr]])</f>
        <v>FY18</v>
      </c>
      <c r="W10" s="13">
        <v>648665</v>
      </c>
      <c r="X10" s="9" t="s">
        <v>299</v>
      </c>
      <c r="Y10" s="9" t="s">
        <v>371</v>
      </c>
      <c r="Z10" s="9" t="s">
        <v>345</v>
      </c>
    </row>
    <row r="11" spans="1:26" x14ac:dyDescent="0.4">
      <c r="A11" s="12" t="s">
        <v>377</v>
      </c>
      <c r="B11" s="28" t="s">
        <v>121</v>
      </c>
      <c r="C11" s="10">
        <v>42933.719444444447</v>
      </c>
      <c r="D11" s="9" t="s">
        <v>336</v>
      </c>
      <c r="E11" s="9" t="s">
        <v>299</v>
      </c>
      <c r="F11" s="9" t="s">
        <v>371</v>
      </c>
      <c r="G11" s="9" t="s">
        <v>376</v>
      </c>
      <c r="H11" s="9" t="s">
        <v>377</v>
      </c>
      <c r="I11" s="7" t="str">
        <f>IF(RAdata6[[#This Row],[pi_last_name]]=" ","",HYPERLINK("https://www.ejacket.nsf.gov/ej/showProposal.do?Continue=Y&amp;ID="&amp;RAdata6[[#This Row],[prop_id]],RAdata6[[#This Row],[prop_id]]))</f>
        <v/>
      </c>
      <c r="J11" s="7" t="str">
        <f>IF(RAdata6[[#This Row],[pi_last_name]]=" ","",HYPERLINK("https://www.ejacket.nsf.gov/ej/processReviewAnalysis.do?dispatch=add&amp;uniqId="&amp;RAdata6[[#This Row],[prop_id]]&amp;pm_ibm_logn_id,"&gt;ra"))</f>
        <v/>
      </c>
      <c r="K11" s="9" t="s">
        <v>25</v>
      </c>
      <c r="L11" s="9" t="s">
        <v>25</v>
      </c>
      <c r="M11" s="9" t="s">
        <v>25</v>
      </c>
      <c r="N11" s="9">
        <v>1</v>
      </c>
      <c r="O11" s="9">
        <v>0</v>
      </c>
      <c r="P11" s="13">
        <v>0</v>
      </c>
      <c r="Q11" s="13">
        <v>3000</v>
      </c>
      <c r="R11" s="13">
        <v>0</v>
      </c>
      <c r="S11" s="15">
        <v>120782</v>
      </c>
      <c r="T11" s="9">
        <v>0</v>
      </c>
      <c r="U11" s="9">
        <v>1</v>
      </c>
      <c r="V11" s="14" t="str">
        <f ca="1">IF(ISBLANK(RAdata6[[#This Row],[budg_seq_yr]]),"FY"&amp;fiscalyear,"FY"&amp;fiscalyear-1+RAdata6[[#This Row],[budg_seq_yr]])</f>
        <v>FY18</v>
      </c>
      <c r="W11" s="13">
        <v>120782</v>
      </c>
      <c r="X11" s="9" t="s">
        <v>299</v>
      </c>
      <c r="Y11" s="9" t="s">
        <v>371</v>
      </c>
      <c r="Z11" s="9" t="s">
        <v>345</v>
      </c>
    </row>
    <row r="12" spans="1:26" x14ac:dyDescent="0.4">
      <c r="A12" s="12" t="s">
        <v>377</v>
      </c>
      <c r="B12" s="28" t="s">
        <v>121</v>
      </c>
      <c r="C12" s="10">
        <v>42933.719444444447</v>
      </c>
      <c r="D12" s="9" t="s">
        <v>336</v>
      </c>
      <c r="E12" s="9" t="s">
        <v>299</v>
      </c>
      <c r="F12" s="9" t="s">
        <v>371</v>
      </c>
      <c r="G12" s="9" t="s">
        <v>376</v>
      </c>
      <c r="H12" s="9" t="s">
        <v>377</v>
      </c>
      <c r="I12" s="7" t="str">
        <f>IF(RAdata6[[#This Row],[pi_last_name]]=" ","",HYPERLINK("https://www.ejacket.nsf.gov/ej/showProposal.do?Continue=Y&amp;ID="&amp;RAdata6[[#This Row],[prop_id]],RAdata6[[#This Row],[prop_id]]))</f>
        <v/>
      </c>
      <c r="J12" s="7" t="str">
        <f>IF(RAdata6[[#This Row],[pi_last_name]]=" ","",HYPERLINK("https://www.ejacket.nsf.gov/ej/processReviewAnalysis.do?dispatch=add&amp;uniqId="&amp;RAdata6[[#This Row],[prop_id]]&amp;pm_ibm_logn_id,"&gt;ra"))</f>
        <v/>
      </c>
      <c r="K12" s="9" t="s">
        <v>25</v>
      </c>
      <c r="L12" s="9" t="s">
        <v>25</v>
      </c>
      <c r="M12" s="9" t="s">
        <v>25</v>
      </c>
      <c r="N12" s="9">
        <v>1</v>
      </c>
      <c r="O12" s="9">
        <v>0</v>
      </c>
      <c r="P12" s="13">
        <v>0</v>
      </c>
      <c r="Q12" s="13">
        <v>3000</v>
      </c>
      <c r="R12" s="13">
        <v>0</v>
      </c>
      <c r="S12" s="15">
        <v>125260</v>
      </c>
      <c r="T12" s="9">
        <v>0</v>
      </c>
      <c r="U12" s="9">
        <v>2</v>
      </c>
      <c r="V12" s="14" t="str">
        <f ca="1">IF(ISBLANK(RAdata6[[#This Row],[budg_seq_yr]]),"FY"&amp;fiscalyear,"FY"&amp;fiscalyear-1+RAdata6[[#This Row],[budg_seq_yr]])</f>
        <v>FY19</v>
      </c>
      <c r="W12" s="13">
        <v>125260</v>
      </c>
      <c r="X12" s="9" t="s">
        <v>299</v>
      </c>
      <c r="Y12" s="9" t="s">
        <v>371</v>
      </c>
      <c r="Z12" s="9" t="s">
        <v>345</v>
      </c>
    </row>
    <row r="13" spans="1:26" x14ac:dyDescent="0.4">
      <c r="A13" s="12" t="s">
        <v>377</v>
      </c>
      <c r="B13" s="28" t="s">
        <v>121</v>
      </c>
      <c r="C13" s="10">
        <v>42933.719444444447</v>
      </c>
      <c r="D13" s="9" t="s">
        <v>336</v>
      </c>
      <c r="E13" s="9" t="s">
        <v>299</v>
      </c>
      <c r="F13" s="9" t="s">
        <v>371</v>
      </c>
      <c r="G13" s="9" t="s">
        <v>376</v>
      </c>
      <c r="H13" s="9" t="s">
        <v>377</v>
      </c>
      <c r="I13" s="7" t="str">
        <f>IF(RAdata6[[#This Row],[pi_last_name]]=" ","",HYPERLINK("https://www.ejacket.nsf.gov/ej/showProposal.do?Continue=Y&amp;ID="&amp;RAdata6[[#This Row],[prop_id]],RAdata6[[#This Row],[prop_id]]))</f>
        <v/>
      </c>
      <c r="J13" s="7" t="str">
        <f>IF(RAdata6[[#This Row],[pi_last_name]]=" ","",HYPERLINK("https://www.ejacket.nsf.gov/ej/processReviewAnalysis.do?dispatch=add&amp;uniqId="&amp;RAdata6[[#This Row],[prop_id]]&amp;pm_ibm_logn_id,"&gt;ra"))</f>
        <v/>
      </c>
      <c r="K13" s="9" t="s">
        <v>25</v>
      </c>
      <c r="L13" s="9" t="s">
        <v>25</v>
      </c>
      <c r="M13" s="9" t="s">
        <v>25</v>
      </c>
      <c r="N13" s="9">
        <v>1</v>
      </c>
      <c r="O13" s="9">
        <v>0</v>
      </c>
      <c r="P13" s="13">
        <v>0</v>
      </c>
      <c r="Q13" s="13">
        <v>3000</v>
      </c>
      <c r="R13" s="13">
        <v>0</v>
      </c>
      <c r="S13" s="15">
        <v>129595</v>
      </c>
      <c r="T13" s="9">
        <v>0</v>
      </c>
      <c r="U13" s="9">
        <v>3</v>
      </c>
      <c r="V13" s="14" t="str">
        <f ca="1">IF(ISBLANK(RAdata6[[#This Row],[budg_seq_yr]]),"FY"&amp;fiscalyear,"FY"&amp;fiscalyear-1+RAdata6[[#This Row],[budg_seq_yr]])</f>
        <v>FY20</v>
      </c>
      <c r="W13" s="13">
        <v>129595</v>
      </c>
      <c r="X13" s="9" t="s">
        <v>299</v>
      </c>
      <c r="Y13" s="9" t="s">
        <v>371</v>
      </c>
      <c r="Z13" s="9" t="s">
        <v>345</v>
      </c>
    </row>
    <row r="14" spans="1:26" x14ac:dyDescent="0.4">
      <c r="A14" s="12" t="s">
        <v>377</v>
      </c>
      <c r="B14" s="28" t="s">
        <v>121</v>
      </c>
      <c r="C14" s="10">
        <v>42933.719444444447</v>
      </c>
      <c r="D14" s="9" t="s">
        <v>336</v>
      </c>
      <c r="E14" s="9" t="s">
        <v>299</v>
      </c>
      <c r="F14" s="9" t="s">
        <v>371</v>
      </c>
      <c r="G14" s="9" t="s">
        <v>376</v>
      </c>
      <c r="H14" s="9" t="s">
        <v>377</v>
      </c>
      <c r="I14" s="7" t="str">
        <f>IF(RAdata6[[#This Row],[pi_last_name]]=" ","",HYPERLINK("https://www.ejacket.nsf.gov/ej/showProposal.do?Continue=Y&amp;ID="&amp;RAdata6[[#This Row],[prop_id]],RAdata6[[#This Row],[prop_id]]))</f>
        <v/>
      </c>
      <c r="J14" s="7" t="str">
        <f>IF(RAdata6[[#This Row],[pi_last_name]]=" ","",HYPERLINK("https://www.ejacket.nsf.gov/ej/processReviewAnalysis.do?dispatch=add&amp;uniqId="&amp;RAdata6[[#This Row],[prop_id]]&amp;pm_ibm_logn_id,"&gt;ra"))</f>
        <v/>
      </c>
      <c r="K14" s="9" t="s">
        <v>25</v>
      </c>
      <c r="L14" s="9" t="s">
        <v>25</v>
      </c>
      <c r="M14" s="9" t="s">
        <v>25</v>
      </c>
      <c r="N14" s="9">
        <v>1</v>
      </c>
      <c r="O14" s="9">
        <v>0</v>
      </c>
      <c r="P14" s="13">
        <v>0</v>
      </c>
      <c r="Q14" s="13">
        <v>3000</v>
      </c>
      <c r="R14" s="13">
        <v>0</v>
      </c>
      <c r="S14" s="15">
        <v>134136</v>
      </c>
      <c r="T14" s="9">
        <v>0</v>
      </c>
      <c r="U14" s="9">
        <v>4</v>
      </c>
      <c r="V14" s="14" t="str">
        <f ca="1">IF(ISBLANK(RAdata6[[#This Row],[budg_seq_yr]]),"FY"&amp;fiscalyear,"FY"&amp;fiscalyear-1+RAdata6[[#This Row],[budg_seq_yr]])</f>
        <v>FY21</v>
      </c>
      <c r="W14" s="13">
        <v>134136</v>
      </c>
      <c r="X14" s="9" t="s">
        <v>299</v>
      </c>
      <c r="Y14" s="9" t="s">
        <v>371</v>
      </c>
      <c r="Z14" s="9" t="s">
        <v>345</v>
      </c>
    </row>
    <row r="15" spans="1:26" x14ac:dyDescent="0.4">
      <c r="A15" s="12" t="s">
        <v>377</v>
      </c>
      <c r="B15" s="28" t="s">
        <v>121</v>
      </c>
      <c r="C15" s="10">
        <v>42933.719444444447</v>
      </c>
      <c r="D15" s="9" t="s">
        <v>336</v>
      </c>
      <c r="E15" s="9" t="s">
        <v>299</v>
      </c>
      <c r="F15" s="9" t="s">
        <v>371</v>
      </c>
      <c r="G15" s="9" t="s">
        <v>376</v>
      </c>
      <c r="H15" s="9" t="s">
        <v>377</v>
      </c>
      <c r="I15" s="7" t="str">
        <f>IF(RAdata6[[#This Row],[pi_last_name]]=" ","",HYPERLINK("https://www.ejacket.nsf.gov/ej/showProposal.do?Continue=Y&amp;ID="&amp;RAdata6[[#This Row],[prop_id]],RAdata6[[#This Row],[prop_id]]))</f>
        <v/>
      </c>
      <c r="J15" s="7" t="str">
        <f>IF(RAdata6[[#This Row],[pi_last_name]]=" ","",HYPERLINK("https://www.ejacket.nsf.gov/ej/processReviewAnalysis.do?dispatch=add&amp;uniqId="&amp;RAdata6[[#This Row],[prop_id]]&amp;pm_ibm_logn_id,"&gt;ra"))</f>
        <v/>
      </c>
      <c r="K15" s="9" t="s">
        <v>25</v>
      </c>
      <c r="L15" s="9" t="s">
        <v>25</v>
      </c>
      <c r="M15" s="9" t="s">
        <v>25</v>
      </c>
      <c r="N15" s="9">
        <v>1</v>
      </c>
      <c r="O15" s="9">
        <v>0</v>
      </c>
      <c r="P15" s="13">
        <v>0</v>
      </c>
      <c r="Q15" s="13">
        <v>3000</v>
      </c>
      <c r="R15" s="13">
        <v>0</v>
      </c>
      <c r="S15" s="15">
        <v>138892</v>
      </c>
      <c r="T15" s="9">
        <v>0</v>
      </c>
      <c r="U15" s="9">
        <v>5</v>
      </c>
      <c r="V15" s="14" t="str">
        <f ca="1">IF(ISBLANK(RAdata6[[#This Row],[budg_seq_yr]]),"FY"&amp;fiscalyear,"FY"&amp;fiscalyear-1+RAdata6[[#This Row],[budg_seq_yr]])</f>
        <v>FY22</v>
      </c>
      <c r="W15" s="13">
        <v>138892</v>
      </c>
      <c r="X15" s="9" t="s">
        <v>299</v>
      </c>
      <c r="Y15" s="9" t="s">
        <v>371</v>
      </c>
      <c r="Z15" s="9" t="s">
        <v>345</v>
      </c>
    </row>
    <row r="16" spans="1:26" x14ac:dyDescent="0.4">
      <c r="A16" s="12" t="s">
        <v>380</v>
      </c>
      <c r="B16" s="28" t="s">
        <v>121</v>
      </c>
      <c r="C16" s="10">
        <v>42933.731249999997</v>
      </c>
      <c r="D16" s="9" t="s">
        <v>336</v>
      </c>
      <c r="E16" s="9" t="s">
        <v>299</v>
      </c>
      <c r="F16" s="9" t="s">
        <v>371</v>
      </c>
      <c r="G16" s="9" t="s">
        <v>372</v>
      </c>
      <c r="H16" s="9" t="s">
        <v>380</v>
      </c>
      <c r="I16" s="7" t="str">
        <f>IF(RAdata6[[#This Row],[pi_last_name]]=" ","",HYPERLINK("https://www.ejacket.nsf.gov/ej/showProposal.do?Continue=Y&amp;ID="&amp;RAdata6[[#This Row],[prop_id]],RAdata6[[#This Row],[prop_id]]))</f>
        <v>1749576</v>
      </c>
      <c r="J16" s="7" t="str">
        <f>IF(RAdata6[[#This Row],[pi_last_name]]=" ","",HYPERLINK("https://www.ejacket.nsf.gov/ej/processReviewAnalysis.do?dispatch=add&amp;uniqId="&amp;RAdata6[[#This Row],[prop_id]]&amp;pm_ibm_logn_id,"&gt;ra"))</f>
        <v>&gt;ra</v>
      </c>
      <c r="K16" s="9" t="s">
        <v>381</v>
      </c>
      <c r="L16" s="9" t="s">
        <v>382</v>
      </c>
      <c r="M16" s="9" t="s">
        <v>383</v>
      </c>
      <c r="N16" s="9"/>
      <c r="O16" s="9"/>
      <c r="P16" s="13"/>
      <c r="Q16" s="13"/>
      <c r="R16" s="13"/>
      <c r="S16" s="15"/>
      <c r="T16" s="9">
        <v>0</v>
      </c>
      <c r="U16" s="9"/>
      <c r="V16" s="14" t="str">
        <f ca="1">IF(ISBLANK(RAdata6[[#This Row],[budg_seq_yr]]),"FY"&amp;fiscalyear,"FY"&amp;fiscalyear-1+RAdata6[[#This Row],[budg_seq_yr]])</f>
        <v>FY18</v>
      </c>
      <c r="W16" s="13">
        <v>495570</v>
      </c>
      <c r="X16" s="9" t="s">
        <v>299</v>
      </c>
      <c r="Y16" s="9" t="s">
        <v>371</v>
      </c>
      <c r="Z16" s="9" t="s">
        <v>345</v>
      </c>
    </row>
    <row r="17" spans="1:26" x14ac:dyDescent="0.4">
      <c r="A17" s="12" t="s">
        <v>380</v>
      </c>
      <c r="B17" s="28" t="s">
        <v>121</v>
      </c>
      <c r="C17" s="10">
        <v>42933.731249999997</v>
      </c>
      <c r="D17" s="9" t="s">
        <v>336</v>
      </c>
      <c r="E17" s="9" t="s">
        <v>299</v>
      </c>
      <c r="F17" s="9" t="s">
        <v>371</v>
      </c>
      <c r="G17" s="9" t="s">
        <v>372</v>
      </c>
      <c r="H17" s="9" t="s">
        <v>380</v>
      </c>
      <c r="I17" s="7" t="str">
        <f>IF(RAdata6[[#This Row],[pi_last_name]]=" ","",HYPERLINK("https://www.ejacket.nsf.gov/ej/showProposal.do?Continue=Y&amp;ID="&amp;RAdata6[[#This Row],[prop_id]],RAdata6[[#This Row],[prop_id]]))</f>
        <v/>
      </c>
      <c r="J17" s="7" t="str">
        <f>IF(RAdata6[[#This Row],[pi_last_name]]=" ","",HYPERLINK("https://www.ejacket.nsf.gov/ej/processReviewAnalysis.do?dispatch=add&amp;uniqId="&amp;RAdata6[[#This Row],[prop_id]]&amp;pm_ibm_logn_id,"&gt;ra"))</f>
        <v/>
      </c>
      <c r="K17" s="9" t="s">
        <v>25</v>
      </c>
      <c r="L17" s="9" t="s">
        <v>25</v>
      </c>
      <c r="M17" s="9" t="s">
        <v>25</v>
      </c>
      <c r="N17" s="9">
        <v>1</v>
      </c>
      <c r="O17" s="9">
        <v>0.5</v>
      </c>
      <c r="P17" s="13">
        <v>0</v>
      </c>
      <c r="Q17" s="13">
        <v>0</v>
      </c>
      <c r="R17" s="13">
        <v>0</v>
      </c>
      <c r="S17" s="15">
        <v>115672</v>
      </c>
      <c r="T17" s="9">
        <v>0</v>
      </c>
      <c r="U17" s="9">
        <v>1</v>
      </c>
      <c r="V17" s="14" t="str">
        <f ca="1">IF(ISBLANK(RAdata6[[#This Row],[budg_seq_yr]]),"FY"&amp;fiscalyear,"FY"&amp;fiscalyear-1+RAdata6[[#This Row],[budg_seq_yr]])</f>
        <v>FY18</v>
      </c>
      <c r="W17" s="13">
        <v>115672</v>
      </c>
      <c r="X17" s="9" t="s">
        <v>299</v>
      </c>
      <c r="Y17" s="9" t="s">
        <v>371</v>
      </c>
      <c r="Z17" s="9" t="s">
        <v>345</v>
      </c>
    </row>
    <row r="18" spans="1:26" x14ac:dyDescent="0.4">
      <c r="A18" s="12" t="s">
        <v>380</v>
      </c>
      <c r="B18" s="28" t="s">
        <v>121</v>
      </c>
      <c r="C18" s="10">
        <v>42933.731249999997</v>
      </c>
      <c r="D18" s="9" t="s">
        <v>336</v>
      </c>
      <c r="E18" s="9" t="s">
        <v>299</v>
      </c>
      <c r="F18" s="9" t="s">
        <v>371</v>
      </c>
      <c r="G18" s="9" t="s">
        <v>372</v>
      </c>
      <c r="H18" s="9" t="s">
        <v>380</v>
      </c>
      <c r="I18" s="7" t="str">
        <f>IF(RAdata6[[#This Row],[pi_last_name]]=" ","",HYPERLINK("https://www.ejacket.nsf.gov/ej/showProposal.do?Continue=Y&amp;ID="&amp;RAdata6[[#This Row],[prop_id]],RAdata6[[#This Row],[prop_id]]))</f>
        <v/>
      </c>
      <c r="J18" s="7" t="str">
        <f>IF(RAdata6[[#This Row],[pi_last_name]]=" ","",HYPERLINK("https://www.ejacket.nsf.gov/ej/processReviewAnalysis.do?dispatch=add&amp;uniqId="&amp;RAdata6[[#This Row],[prop_id]]&amp;pm_ibm_logn_id,"&gt;ra"))</f>
        <v/>
      </c>
      <c r="K18" s="9" t="s">
        <v>25</v>
      </c>
      <c r="L18" s="9" t="s">
        <v>25</v>
      </c>
      <c r="M18" s="9" t="s">
        <v>25</v>
      </c>
      <c r="N18" s="9">
        <v>1</v>
      </c>
      <c r="O18" s="9">
        <v>0.5</v>
      </c>
      <c r="P18" s="13">
        <v>0</v>
      </c>
      <c r="Q18" s="13">
        <v>0</v>
      </c>
      <c r="R18" s="13">
        <v>0</v>
      </c>
      <c r="S18" s="15">
        <v>119142</v>
      </c>
      <c r="T18" s="9">
        <v>0</v>
      </c>
      <c r="U18" s="9">
        <v>2</v>
      </c>
      <c r="V18" s="14" t="str">
        <f ca="1">IF(ISBLANK(RAdata6[[#This Row],[budg_seq_yr]]),"FY"&amp;fiscalyear,"FY"&amp;fiscalyear-1+RAdata6[[#This Row],[budg_seq_yr]])</f>
        <v>FY19</v>
      </c>
      <c r="W18" s="13">
        <v>119142</v>
      </c>
      <c r="X18" s="9" t="s">
        <v>299</v>
      </c>
      <c r="Y18" s="9" t="s">
        <v>371</v>
      </c>
      <c r="Z18" s="9" t="s">
        <v>345</v>
      </c>
    </row>
    <row r="19" spans="1:26" x14ac:dyDescent="0.4">
      <c r="A19" s="12" t="s">
        <v>380</v>
      </c>
      <c r="B19" s="28" t="s">
        <v>121</v>
      </c>
      <c r="C19" s="10">
        <v>42933.731249999997</v>
      </c>
      <c r="D19" s="9" t="s">
        <v>336</v>
      </c>
      <c r="E19" s="9" t="s">
        <v>299</v>
      </c>
      <c r="F19" s="9" t="s">
        <v>371</v>
      </c>
      <c r="G19" s="9" t="s">
        <v>372</v>
      </c>
      <c r="H19" s="9" t="s">
        <v>380</v>
      </c>
      <c r="I19" s="7" t="str">
        <f>IF(RAdata6[[#This Row],[pi_last_name]]=" ","",HYPERLINK("https://www.ejacket.nsf.gov/ej/showProposal.do?Continue=Y&amp;ID="&amp;RAdata6[[#This Row],[prop_id]],RAdata6[[#This Row],[prop_id]]))</f>
        <v/>
      </c>
      <c r="J19" s="7" t="str">
        <f>IF(RAdata6[[#This Row],[pi_last_name]]=" ","",HYPERLINK("https://www.ejacket.nsf.gov/ej/processReviewAnalysis.do?dispatch=add&amp;uniqId="&amp;RAdata6[[#This Row],[prop_id]]&amp;pm_ibm_logn_id,"&gt;ra"))</f>
        <v/>
      </c>
      <c r="K19" s="9" t="s">
        <v>25</v>
      </c>
      <c r="L19" s="9" t="s">
        <v>25</v>
      </c>
      <c r="M19" s="9" t="s">
        <v>25</v>
      </c>
      <c r="N19" s="9">
        <v>1</v>
      </c>
      <c r="O19" s="9">
        <v>0.5</v>
      </c>
      <c r="P19" s="13">
        <v>0</v>
      </c>
      <c r="Q19" s="13">
        <v>0</v>
      </c>
      <c r="R19" s="13">
        <v>0</v>
      </c>
      <c r="S19" s="15">
        <v>84362</v>
      </c>
      <c r="T19" s="9">
        <v>0</v>
      </c>
      <c r="U19" s="9">
        <v>3</v>
      </c>
      <c r="V19" s="14" t="str">
        <f ca="1">IF(ISBLANK(RAdata6[[#This Row],[budg_seq_yr]]),"FY"&amp;fiscalyear,"FY"&amp;fiscalyear-1+RAdata6[[#This Row],[budg_seq_yr]])</f>
        <v>FY20</v>
      </c>
      <c r="W19" s="13">
        <v>84362</v>
      </c>
      <c r="X19" s="9" t="s">
        <v>299</v>
      </c>
      <c r="Y19" s="9" t="s">
        <v>371</v>
      </c>
      <c r="Z19" s="9" t="s">
        <v>345</v>
      </c>
    </row>
    <row r="20" spans="1:26" x14ac:dyDescent="0.4">
      <c r="A20" s="12" t="s">
        <v>380</v>
      </c>
      <c r="B20" s="28" t="s">
        <v>121</v>
      </c>
      <c r="C20" s="10">
        <v>42933.731249999997</v>
      </c>
      <c r="D20" s="9" t="s">
        <v>336</v>
      </c>
      <c r="E20" s="9" t="s">
        <v>299</v>
      </c>
      <c r="F20" s="9" t="s">
        <v>371</v>
      </c>
      <c r="G20" s="9" t="s">
        <v>372</v>
      </c>
      <c r="H20" s="9" t="s">
        <v>380</v>
      </c>
      <c r="I20" s="7" t="str">
        <f>IF(RAdata6[[#This Row],[pi_last_name]]=" ","",HYPERLINK("https://www.ejacket.nsf.gov/ej/showProposal.do?Continue=Y&amp;ID="&amp;RAdata6[[#This Row],[prop_id]],RAdata6[[#This Row],[prop_id]]))</f>
        <v/>
      </c>
      <c r="J20" s="7" t="str">
        <f>IF(RAdata6[[#This Row],[pi_last_name]]=" ","",HYPERLINK("https://www.ejacket.nsf.gov/ej/processReviewAnalysis.do?dispatch=add&amp;uniqId="&amp;RAdata6[[#This Row],[prop_id]]&amp;pm_ibm_logn_id,"&gt;ra"))</f>
        <v/>
      </c>
      <c r="K20" s="9" t="s">
        <v>25</v>
      </c>
      <c r="L20" s="9" t="s">
        <v>25</v>
      </c>
      <c r="M20" s="9" t="s">
        <v>25</v>
      </c>
      <c r="N20" s="9">
        <v>1</v>
      </c>
      <c r="O20" s="9">
        <v>0.5</v>
      </c>
      <c r="P20" s="13">
        <v>0</v>
      </c>
      <c r="Q20" s="13">
        <v>0</v>
      </c>
      <c r="R20" s="13">
        <v>0</v>
      </c>
      <c r="S20" s="15">
        <v>86894</v>
      </c>
      <c r="T20" s="9">
        <v>0</v>
      </c>
      <c r="U20" s="9">
        <v>4</v>
      </c>
      <c r="V20" s="14" t="str">
        <f ca="1">IF(ISBLANK(RAdata6[[#This Row],[budg_seq_yr]]),"FY"&amp;fiscalyear,"FY"&amp;fiscalyear-1+RAdata6[[#This Row],[budg_seq_yr]])</f>
        <v>FY21</v>
      </c>
      <c r="W20" s="13">
        <v>86894</v>
      </c>
      <c r="X20" s="9" t="s">
        <v>299</v>
      </c>
      <c r="Y20" s="9" t="s">
        <v>371</v>
      </c>
      <c r="Z20" s="9" t="s">
        <v>345</v>
      </c>
    </row>
    <row r="21" spans="1:26" x14ac:dyDescent="0.4">
      <c r="A21" s="12" t="s">
        <v>380</v>
      </c>
      <c r="B21" s="28" t="s">
        <v>121</v>
      </c>
      <c r="C21" s="10">
        <v>42933.731249999997</v>
      </c>
      <c r="D21" s="9" t="s">
        <v>336</v>
      </c>
      <c r="E21" s="9" t="s">
        <v>299</v>
      </c>
      <c r="F21" s="9" t="s">
        <v>371</v>
      </c>
      <c r="G21" s="9" t="s">
        <v>372</v>
      </c>
      <c r="H21" s="9" t="s">
        <v>380</v>
      </c>
      <c r="I21" s="7" t="str">
        <f>IF(RAdata6[[#This Row],[pi_last_name]]=" ","",HYPERLINK("https://www.ejacket.nsf.gov/ej/showProposal.do?Continue=Y&amp;ID="&amp;RAdata6[[#This Row],[prop_id]],RAdata6[[#This Row],[prop_id]]))</f>
        <v/>
      </c>
      <c r="J21" s="7" t="str">
        <f>IF(RAdata6[[#This Row],[pi_last_name]]=" ","",HYPERLINK("https://www.ejacket.nsf.gov/ej/processReviewAnalysis.do?dispatch=add&amp;uniqId="&amp;RAdata6[[#This Row],[prop_id]]&amp;pm_ibm_logn_id,"&gt;ra"))</f>
        <v/>
      </c>
      <c r="K21" s="9" t="s">
        <v>25</v>
      </c>
      <c r="L21" s="9" t="s">
        <v>25</v>
      </c>
      <c r="M21" s="9" t="s">
        <v>25</v>
      </c>
      <c r="N21" s="9">
        <v>1</v>
      </c>
      <c r="O21" s="9">
        <v>0.5</v>
      </c>
      <c r="P21" s="13">
        <v>0</v>
      </c>
      <c r="Q21" s="13">
        <v>0</v>
      </c>
      <c r="R21" s="13">
        <v>0</v>
      </c>
      <c r="S21" s="15">
        <v>89500</v>
      </c>
      <c r="T21" s="9">
        <v>0</v>
      </c>
      <c r="U21" s="9">
        <v>5</v>
      </c>
      <c r="V21" s="14" t="str">
        <f ca="1">IF(ISBLANK(RAdata6[[#This Row],[budg_seq_yr]]),"FY"&amp;fiscalyear,"FY"&amp;fiscalyear-1+RAdata6[[#This Row],[budg_seq_yr]])</f>
        <v>FY22</v>
      </c>
      <c r="W21" s="13">
        <v>89500</v>
      </c>
      <c r="X21" s="9" t="s">
        <v>299</v>
      </c>
      <c r="Y21" s="9" t="s">
        <v>371</v>
      </c>
      <c r="Z21" s="9" t="s">
        <v>345</v>
      </c>
    </row>
    <row r="22" spans="1:26" x14ac:dyDescent="0.4">
      <c r="A22" s="12" t="s">
        <v>384</v>
      </c>
      <c r="B22" s="28" t="s">
        <v>121</v>
      </c>
      <c r="C22" s="10">
        <v>42934.425000000003</v>
      </c>
      <c r="D22" s="9" t="s">
        <v>336</v>
      </c>
      <c r="E22" s="9" t="s">
        <v>299</v>
      </c>
      <c r="F22" s="9" t="s">
        <v>371</v>
      </c>
      <c r="G22" s="9" t="s">
        <v>372</v>
      </c>
      <c r="H22" s="9" t="s">
        <v>384</v>
      </c>
      <c r="I22" s="7" t="str">
        <f>IF(RAdata6[[#This Row],[pi_last_name]]=" ","",HYPERLINK("https://www.ejacket.nsf.gov/ej/showProposal.do?Continue=Y&amp;ID="&amp;RAdata6[[#This Row],[prop_id]],RAdata6[[#This Row],[prop_id]]))</f>
        <v>1749654</v>
      </c>
      <c r="J22" s="7" t="str">
        <f>IF(RAdata6[[#This Row],[pi_last_name]]=" ","",HYPERLINK("https://www.ejacket.nsf.gov/ej/processReviewAnalysis.do?dispatch=add&amp;uniqId="&amp;RAdata6[[#This Row],[prop_id]]&amp;pm_ibm_logn_id,"&gt;ra"))</f>
        <v>&gt;ra</v>
      </c>
      <c r="K22" s="9" t="s">
        <v>385</v>
      </c>
      <c r="L22" s="9" t="s">
        <v>382</v>
      </c>
      <c r="M22" s="9" t="s">
        <v>386</v>
      </c>
      <c r="N22" s="9"/>
      <c r="O22" s="9"/>
      <c r="P22" s="13"/>
      <c r="Q22" s="13"/>
      <c r="R22" s="13"/>
      <c r="S22" s="15"/>
      <c r="T22" s="9">
        <v>0</v>
      </c>
      <c r="U22" s="9"/>
      <c r="V22" s="14" t="str">
        <f ca="1">IF(ISBLANK(RAdata6[[#This Row],[budg_seq_yr]]),"FY"&amp;fiscalyear,"FY"&amp;fiscalyear-1+RAdata6[[#This Row],[budg_seq_yr]])</f>
        <v>FY18</v>
      </c>
      <c r="W22" s="13">
        <v>622204</v>
      </c>
      <c r="X22" s="9" t="s">
        <v>299</v>
      </c>
      <c r="Y22" s="9" t="s">
        <v>371</v>
      </c>
      <c r="Z22" s="9" t="s">
        <v>345</v>
      </c>
    </row>
    <row r="23" spans="1:26" x14ac:dyDescent="0.4">
      <c r="A23" s="12" t="s">
        <v>384</v>
      </c>
      <c r="B23" s="28" t="s">
        <v>121</v>
      </c>
      <c r="C23" s="10">
        <v>42934.425000000003</v>
      </c>
      <c r="D23" s="9" t="s">
        <v>336</v>
      </c>
      <c r="E23" s="9" t="s">
        <v>299</v>
      </c>
      <c r="F23" s="9" t="s">
        <v>371</v>
      </c>
      <c r="G23" s="9" t="s">
        <v>372</v>
      </c>
      <c r="H23" s="9" t="s">
        <v>384</v>
      </c>
      <c r="I23" s="7" t="str">
        <f>IF(RAdata6[[#This Row],[pi_last_name]]=" ","",HYPERLINK("https://www.ejacket.nsf.gov/ej/showProposal.do?Continue=Y&amp;ID="&amp;RAdata6[[#This Row],[prop_id]],RAdata6[[#This Row],[prop_id]]))</f>
        <v/>
      </c>
      <c r="J23" s="7" t="str">
        <f>IF(RAdata6[[#This Row],[pi_last_name]]=" ","",HYPERLINK("https://www.ejacket.nsf.gov/ej/processReviewAnalysis.do?dispatch=add&amp;uniqId="&amp;RAdata6[[#This Row],[prop_id]]&amp;pm_ibm_logn_id,"&gt;ra"))</f>
        <v/>
      </c>
      <c r="K23" s="9" t="s">
        <v>25</v>
      </c>
      <c r="L23" s="9" t="s">
        <v>25</v>
      </c>
      <c r="M23" s="9" t="s">
        <v>25</v>
      </c>
      <c r="N23" s="9">
        <v>1</v>
      </c>
      <c r="O23" s="9">
        <v>1</v>
      </c>
      <c r="P23" s="13">
        <v>0</v>
      </c>
      <c r="Q23" s="13">
        <v>5732</v>
      </c>
      <c r="R23" s="13">
        <v>0</v>
      </c>
      <c r="S23" s="15">
        <v>137028</v>
      </c>
      <c r="T23" s="9">
        <v>0</v>
      </c>
      <c r="U23" s="9">
        <v>1</v>
      </c>
      <c r="V23" s="14" t="str">
        <f ca="1">IF(ISBLANK(RAdata6[[#This Row],[budg_seq_yr]]),"FY"&amp;fiscalyear,"FY"&amp;fiscalyear-1+RAdata6[[#This Row],[budg_seq_yr]])</f>
        <v>FY18</v>
      </c>
      <c r="W23" s="13">
        <v>137028</v>
      </c>
      <c r="X23" s="9" t="s">
        <v>299</v>
      </c>
      <c r="Y23" s="9" t="s">
        <v>371</v>
      </c>
      <c r="Z23" s="9" t="s">
        <v>345</v>
      </c>
    </row>
    <row r="24" spans="1:26" x14ac:dyDescent="0.4">
      <c r="A24" s="12" t="s">
        <v>384</v>
      </c>
      <c r="B24" s="28" t="s">
        <v>121</v>
      </c>
      <c r="C24" s="10">
        <v>42934.425000000003</v>
      </c>
      <c r="D24" s="9" t="s">
        <v>336</v>
      </c>
      <c r="E24" s="9" t="s">
        <v>299</v>
      </c>
      <c r="F24" s="9" t="s">
        <v>371</v>
      </c>
      <c r="G24" s="9" t="s">
        <v>372</v>
      </c>
      <c r="H24" s="9" t="s">
        <v>384</v>
      </c>
      <c r="I24" s="7" t="str">
        <f>IF(RAdata6[[#This Row],[pi_last_name]]=" ","",HYPERLINK("https://www.ejacket.nsf.gov/ej/showProposal.do?Continue=Y&amp;ID="&amp;RAdata6[[#This Row],[prop_id]],RAdata6[[#This Row],[prop_id]]))</f>
        <v/>
      </c>
      <c r="J24" s="7" t="str">
        <f>IF(RAdata6[[#This Row],[pi_last_name]]=" ","",HYPERLINK("https://www.ejacket.nsf.gov/ej/processReviewAnalysis.do?dispatch=add&amp;uniqId="&amp;RAdata6[[#This Row],[prop_id]]&amp;pm_ibm_logn_id,"&gt;ra"))</f>
        <v/>
      </c>
      <c r="K24" s="9" t="s">
        <v>25</v>
      </c>
      <c r="L24" s="9" t="s">
        <v>25</v>
      </c>
      <c r="M24" s="9" t="s">
        <v>25</v>
      </c>
      <c r="N24" s="9">
        <v>1</v>
      </c>
      <c r="O24" s="9">
        <v>1</v>
      </c>
      <c r="P24" s="13">
        <v>0</v>
      </c>
      <c r="Q24" s="13">
        <v>5732</v>
      </c>
      <c r="R24" s="13">
        <v>0</v>
      </c>
      <c r="S24" s="15">
        <v>132556</v>
      </c>
      <c r="T24" s="9">
        <v>0</v>
      </c>
      <c r="U24" s="9">
        <v>2</v>
      </c>
      <c r="V24" s="14" t="str">
        <f ca="1">IF(ISBLANK(RAdata6[[#This Row],[budg_seq_yr]]),"FY"&amp;fiscalyear,"FY"&amp;fiscalyear-1+RAdata6[[#This Row],[budg_seq_yr]])</f>
        <v>FY19</v>
      </c>
      <c r="W24" s="13">
        <v>132556</v>
      </c>
      <c r="X24" s="9" t="s">
        <v>299</v>
      </c>
      <c r="Y24" s="9" t="s">
        <v>371</v>
      </c>
      <c r="Z24" s="9" t="s">
        <v>345</v>
      </c>
    </row>
    <row r="25" spans="1:26" x14ac:dyDescent="0.4">
      <c r="A25" s="12" t="s">
        <v>384</v>
      </c>
      <c r="B25" s="28" t="s">
        <v>121</v>
      </c>
      <c r="C25" s="10">
        <v>42934.425000000003</v>
      </c>
      <c r="D25" s="9" t="s">
        <v>336</v>
      </c>
      <c r="E25" s="9" t="s">
        <v>299</v>
      </c>
      <c r="F25" s="9" t="s">
        <v>371</v>
      </c>
      <c r="G25" s="9" t="s">
        <v>372</v>
      </c>
      <c r="H25" s="9" t="s">
        <v>384</v>
      </c>
      <c r="I25" s="7" t="str">
        <f>IF(RAdata6[[#This Row],[pi_last_name]]=" ","",HYPERLINK("https://www.ejacket.nsf.gov/ej/showProposal.do?Continue=Y&amp;ID="&amp;RAdata6[[#This Row],[prop_id]],RAdata6[[#This Row],[prop_id]]))</f>
        <v/>
      </c>
      <c r="J25" s="7" t="str">
        <f>IF(RAdata6[[#This Row],[pi_last_name]]=" ","",HYPERLINK("https://www.ejacket.nsf.gov/ej/processReviewAnalysis.do?dispatch=add&amp;uniqId="&amp;RAdata6[[#This Row],[prop_id]]&amp;pm_ibm_logn_id,"&gt;ra"))</f>
        <v/>
      </c>
      <c r="K25" s="9" t="s">
        <v>25</v>
      </c>
      <c r="L25" s="9" t="s">
        <v>25</v>
      </c>
      <c r="M25" s="9" t="s">
        <v>25</v>
      </c>
      <c r="N25" s="9">
        <v>1</v>
      </c>
      <c r="O25" s="9">
        <v>1</v>
      </c>
      <c r="P25" s="13">
        <v>0</v>
      </c>
      <c r="Q25" s="13">
        <v>5732</v>
      </c>
      <c r="R25" s="13">
        <v>0</v>
      </c>
      <c r="S25" s="15">
        <v>134001</v>
      </c>
      <c r="T25" s="9">
        <v>0</v>
      </c>
      <c r="U25" s="9">
        <v>3</v>
      </c>
      <c r="V25" s="14" t="str">
        <f ca="1">IF(ISBLANK(RAdata6[[#This Row],[budg_seq_yr]]),"FY"&amp;fiscalyear,"FY"&amp;fiscalyear-1+RAdata6[[#This Row],[budg_seq_yr]])</f>
        <v>FY20</v>
      </c>
      <c r="W25" s="13">
        <v>134001</v>
      </c>
      <c r="X25" s="9" t="s">
        <v>299</v>
      </c>
      <c r="Y25" s="9" t="s">
        <v>371</v>
      </c>
      <c r="Z25" s="9" t="s">
        <v>345</v>
      </c>
    </row>
    <row r="26" spans="1:26" x14ac:dyDescent="0.4">
      <c r="A26" s="12" t="s">
        <v>384</v>
      </c>
      <c r="B26" s="28" t="s">
        <v>121</v>
      </c>
      <c r="C26" s="10">
        <v>42934.425000000003</v>
      </c>
      <c r="D26" s="9" t="s">
        <v>336</v>
      </c>
      <c r="E26" s="9" t="s">
        <v>299</v>
      </c>
      <c r="F26" s="9" t="s">
        <v>371</v>
      </c>
      <c r="G26" s="9" t="s">
        <v>372</v>
      </c>
      <c r="H26" s="9" t="s">
        <v>384</v>
      </c>
      <c r="I26" s="7" t="str">
        <f>IF(RAdata6[[#This Row],[pi_last_name]]=" ","",HYPERLINK("https://www.ejacket.nsf.gov/ej/showProposal.do?Continue=Y&amp;ID="&amp;RAdata6[[#This Row],[prop_id]],RAdata6[[#This Row],[prop_id]]))</f>
        <v/>
      </c>
      <c r="J26" s="7" t="str">
        <f>IF(RAdata6[[#This Row],[pi_last_name]]=" ","",HYPERLINK("https://www.ejacket.nsf.gov/ej/processReviewAnalysis.do?dispatch=add&amp;uniqId="&amp;RAdata6[[#This Row],[prop_id]]&amp;pm_ibm_logn_id,"&gt;ra"))</f>
        <v/>
      </c>
      <c r="K26" s="9" t="s">
        <v>25</v>
      </c>
      <c r="L26" s="9" t="s">
        <v>25</v>
      </c>
      <c r="M26" s="9" t="s">
        <v>25</v>
      </c>
      <c r="N26" s="9">
        <v>1</v>
      </c>
      <c r="O26" s="9">
        <v>1</v>
      </c>
      <c r="P26" s="13">
        <v>0</v>
      </c>
      <c r="Q26" s="13">
        <v>5732</v>
      </c>
      <c r="R26" s="13">
        <v>0</v>
      </c>
      <c r="S26" s="15">
        <v>108543</v>
      </c>
      <c r="T26" s="9">
        <v>0</v>
      </c>
      <c r="U26" s="9">
        <v>4</v>
      </c>
      <c r="V26" s="14" t="str">
        <f ca="1">IF(ISBLANK(RAdata6[[#This Row],[budg_seq_yr]]),"FY"&amp;fiscalyear,"FY"&amp;fiscalyear-1+RAdata6[[#This Row],[budg_seq_yr]])</f>
        <v>FY21</v>
      </c>
      <c r="W26" s="13">
        <v>108543</v>
      </c>
      <c r="X26" s="9" t="s">
        <v>299</v>
      </c>
      <c r="Y26" s="9" t="s">
        <v>371</v>
      </c>
      <c r="Z26" s="9" t="s">
        <v>345</v>
      </c>
    </row>
    <row r="27" spans="1:26" x14ac:dyDescent="0.4">
      <c r="A27" s="12" t="s">
        <v>384</v>
      </c>
      <c r="B27" s="28" t="s">
        <v>121</v>
      </c>
      <c r="C27" s="10">
        <v>42934.425000000003</v>
      </c>
      <c r="D27" s="9" t="s">
        <v>336</v>
      </c>
      <c r="E27" s="9" t="s">
        <v>299</v>
      </c>
      <c r="F27" s="9" t="s">
        <v>371</v>
      </c>
      <c r="G27" s="9" t="s">
        <v>372</v>
      </c>
      <c r="H27" s="9" t="s">
        <v>384</v>
      </c>
      <c r="I27" s="7" t="str">
        <f>IF(RAdata6[[#This Row],[pi_last_name]]=" ","",HYPERLINK("https://www.ejacket.nsf.gov/ej/showProposal.do?Continue=Y&amp;ID="&amp;RAdata6[[#This Row],[prop_id]],RAdata6[[#This Row],[prop_id]]))</f>
        <v/>
      </c>
      <c r="J27" s="7" t="str">
        <f>IF(RAdata6[[#This Row],[pi_last_name]]=" ","",HYPERLINK("https://www.ejacket.nsf.gov/ej/processReviewAnalysis.do?dispatch=add&amp;uniqId="&amp;RAdata6[[#This Row],[prop_id]]&amp;pm_ibm_logn_id,"&gt;ra"))</f>
        <v/>
      </c>
      <c r="K27" s="9" t="s">
        <v>25</v>
      </c>
      <c r="L27" s="9" t="s">
        <v>25</v>
      </c>
      <c r="M27" s="9" t="s">
        <v>25</v>
      </c>
      <c r="N27" s="9">
        <v>1</v>
      </c>
      <c r="O27" s="9">
        <v>1</v>
      </c>
      <c r="P27" s="13">
        <v>0</v>
      </c>
      <c r="Q27" s="13">
        <v>5732</v>
      </c>
      <c r="R27" s="13">
        <v>0</v>
      </c>
      <c r="S27" s="15">
        <v>110076</v>
      </c>
      <c r="T27" s="9">
        <v>0</v>
      </c>
      <c r="U27" s="9">
        <v>5</v>
      </c>
      <c r="V27" s="14" t="str">
        <f ca="1">IF(ISBLANK(RAdata6[[#This Row],[budg_seq_yr]]),"FY"&amp;fiscalyear,"FY"&amp;fiscalyear-1+RAdata6[[#This Row],[budg_seq_yr]])</f>
        <v>FY22</v>
      </c>
      <c r="W27" s="13">
        <v>110076</v>
      </c>
      <c r="X27" s="9" t="s">
        <v>299</v>
      </c>
      <c r="Y27" s="9" t="s">
        <v>371</v>
      </c>
      <c r="Z27" s="9" t="s">
        <v>345</v>
      </c>
    </row>
    <row r="28" spans="1:26" x14ac:dyDescent="0.4">
      <c r="A28" s="12" t="s">
        <v>387</v>
      </c>
      <c r="B28" s="28" t="s">
        <v>121</v>
      </c>
      <c r="C28" s="10">
        <v>42934.681250000001</v>
      </c>
      <c r="D28" s="9" t="s">
        <v>336</v>
      </c>
      <c r="E28" s="9" t="s">
        <v>299</v>
      </c>
      <c r="F28" s="9" t="s">
        <v>371</v>
      </c>
      <c r="G28" s="9" t="s">
        <v>372</v>
      </c>
      <c r="H28" s="9" t="s">
        <v>387</v>
      </c>
      <c r="I28" s="7" t="str">
        <f>IF(RAdata6[[#This Row],[pi_last_name]]=" ","",HYPERLINK("https://www.ejacket.nsf.gov/ej/showProposal.do?Continue=Y&amp;ID="&amp;RAdata6[[#This Row],[prop_id]],RAdata6[[#This Row],[prop_id]]))</f>
        <v>1749960</v>
      </c>
      <c r="J28" s="7" t="str">
        <f>IF(RAdata6[[#This Row],[pi_last_name]]=" ","",HYPERLINK("https://www.ejacket.nsf.gov/ej/processReviewAnalysis.do?dispatch=add&amp;uniqId="&amp;RAdata6[[#This Row],[prop_id]]&amp;pm_ibm_logn_id,"&gt;ra"))</f>
        <v>&gt;ra</v>
      </c>
      <c r="K28" s="9" t="s">
        <v>388</v>
      </c>
      <c r="L28" s="9" t="s">
        <v>389</v>
      </c>
      <c r="M28" s="9" t="s">
        <v>390</v>
      </c>
      <c r="N28" s="9"/>
      <c r="O28" s="9"/>
      <c r="P28" s="13"/>
      <c r="Q28" s="13"/>
      <c r="R28" s="13"/>
      <c r="S28" s="15"/>
      <c r="T28" s="9">
        <v>0</v>
      </c>
      <c r="U28" s="9"/>
      <c r="V28" s="14" t="str">
        <f ca="1">IF(ISBLANK(RAdata6[[#This Row],[budg_seq_yr]]),"FY"&amp;fiscalyear,"FY"&amp;fiscalyear-1+RAdata6[[#This Row],[budg_seq_yr]])</f>
        <v>FY18</v>
      </c>
      <c r="W28" s="13">
        <v>532375</v>
      </c>
      <c r="X28" s="9" t="s">
        <v>299</v>
      </c>
      <c r="Y28" s="9" t="s">
        <v>371</v>
      </c>
      <c r="Z28" s="9" t="s">
        <v>345</v>
      </c>
    </row>
    <row r="29" spans="1:26" x14ac:dyDescent="0.4">
      <c r="A29" s="12" t="s">
        <v>387</v>
      </c>
      <c r="B29" s="28" t="s">
        <v>121</v>
      </c>
      <c r="C29" s="10">
        <v>42934.681250000001</v>
      </c>
      <c r="D29" s="9" t="s">
        <v>336</v>
      </c>
      <c r="E29" s="9" t="s">
        <v>299</v>
      </c>
      <c r="F29" s="9" t="s">
        <v>371</v>
      </c>
      <c r="G29" s="9" t="s">
        <v>372</v>
      </c>
      <c r="H29" s="9" t="s">
        <v>387</v>
      </c>
      <c r="I29" s="7" t="str">
        <f>IF(RAdata6[[#This Row],[pi_last_name]]=" ","",HYPERLINK("https://www.ejacket.nsf.gov/ej/showProposal.do?Continue=Y&amp;ID="&amp;RAdata6[[#This Row],[prop_id]],RAdata6[[#This Row],[prop_id]]))</f>
        <v/>
      </c>
      <c r="J29" s="7" t="str">
        <f>IF(RAdata6[[#This Row],[pi_last_name]]=" ","",HYPERLINK("https://www.ejacket.nsf.gov/ej/processReviewAnalysis.do?dispatch=add&amp;uniqId="&amp;RAdata6[[#This Row],[prop_id]]&amp;pm_ibm_logn_id,"&gt;ra"))</f>
        <v/>
      </c>
      <c r="K29" s="9" t="s">
        <v>25</v>
      </c>
      <c r="L29" s="9" t="s">
        <v>25</v>
      </c>
      <c r="M29" s="9" t="s">
        <v>25</v>
      </c>
      <c r="N29" s="9">
        <v>1</v>
      </c>
      <c r="O29" s="9">
        <v>1</v>
      </c>
      <c r="P29" s="13">
        <v>0</v>
      </c>
      <c r="Q29" s="13">
        <v>0</v>
      </c>
      <c r="R29" s="13">
        <v>9489</v>
      </c>
      <c r="S29" s="15">
        <v>113699</v>
      </c>
      <c r="T29" s="9">
        <v>0</v>
      </c>
      <c r="U29" s="9">
        <v>1</v>
      </c>
      <c r="V29" s="14" t="str">
        <f ca="1">IF(ISBLANK(RAdata6[[#This Row],[budg_seq_yr]]),"FY"&amp;fiscalyear,"FY"&amp;fiscalyear-1+RAdata6[[#This Row],[budg_seq_yr]])</f>
        <v>FY18</v>
      </c>
      <c r="W29" s="13">
        <v>113699</v>
      </c>
      <c r="X29" s="9" t="s">
        <v>299</v>
      </c>
      <c r="Y29" s="9" t="s">
        <v>371</v>
      </c>
      <c r="Z29" s="9" t="s">
        <v>345</v>
      </c>
    </row>
    <row r="30" spans="1:26" x14ac:dyDescent="0.4">
      <c r="A30" s="12" t="s">
        <v>387</v>
      </c>
      <c r="B30" s="28" t="s">
        <v>121</v>
      </c>
      <c r="C30" s="10">
        <v>42934.681250000001</v>
      </c>
      <c r="D30" s="9" t="s">
        <v>336</v>
      </c>
      <c r="E30" s="9" t="s">
        <v>299</v>
      </c>
      <c r="F30" s="9" t="s">
        <v>371</v>
      </c>
      <c r="G30" s="9" t="s">
        <v>372</v>
      </c>
      <c r="H30" s="9" t="s">
        <v>387</v>
      </c>
      <c r="I30" s="7" t="str">
        <f>IF(RAdata6[[#This Row],[pi_last_name]]=" ","",HYPERLINK("https://www.ejacket.nsf.gov/ej/showProposal.do?Continue=Y&amp;ID="&amp;RAdata6[[#This Row],[prop_id]],RAdata6[[#This Row],[prop_id]]))</f>
        <v/>
      </c>
      <c r="J30" s="7" t="str">
        <f>IF(RAdata6[[#This Row],[pi_last_name]]=" ","",HYPERLINK("https://www.ejacket.nsf.gov/ej/processReviewAnalysis.do?dispatch=add&amp;uniqId="&amp;RAdata6[[#This Row],[prop_id]]&amp;pm_ibm_logn_id,"&gt;ra"))</f>
        <v/>
      </c>
      <c r="K30" s="9" t="s">
        <v>25</v>
      </c>
      <c r="L30" s="9" t="s">
        <v>25</v>
      </c>
      <c r="M30" s="9" t="s">
        <v>25</v>
      </c>
      <c r="N30" s="9">
        <v>1</v>
      </c>
      <c r="O30" s="9">
        <v>1</v>
      </c>
      <c r="P30" s="13">
        <v>0</v>
      </c>
      <c r="Q30" s="13">
        <v>0</v>
      </c>
      <c r="R30" s="13">
        <v>514</v>
      </c>
      <c r="S30" s="15">
        <v>108749</v>
      </c>
      <c r="T30" s="9">
        <v>0</v>
      </c>
      <c r="U30" s="9">
        <v>2</v>
      </c>
      <c r="V30" s="14" t="str">
        <f ca="1">IF(ISBLANK(RAdata6[[#This Row],[budg_seq_yr]]),"FY"&amp;fiscalyear,"FY"&amp;fiscalyear-1+RAdata6[[#This Row],[budg_seq_yr]])</f>
        <v>FY19</v>
      </c>
      <c r="W30" s="13">
        <v>108749</v>
      </c>
      <c r="X30" s="9" t="s">
        <v>299</v>
      </c>
      <c r="Y30" s="9" t="s">
        <v>371</v>
      </c>
      <c r="Z30" s="9" t="s">
        <v>345</v>
      </c>
    </row>
    <row r="31" spans="1:26" x14ac:dyDescent="0.4">
      <c r="A31" s="12" t="s">
        <v>387</v>
      </c>
      <c r="B31" s="28" t="s">
        <v>121</v>
      </c>
      <c r="C31" s="10">
        <v>42934.681250000001</v>
      </c>
      <c r="D31" s="9" t="s">
        <v>336</v>
      </c>
      <c r="E31" s="9" t="s">
        <v>299</v>
      </c>
      <c r="F31" s="9" t="s">
        <v>371</v>
      </c>
      <c r="G31" s="9" t="s">
        <v>372</v>
      </c>
      <c r="H31" s="9" t="s">
        <v>387</v>
      </c>
      <c r="I31" s="7" t="str">
        <f>IF(RAdata6[[#This Row],[pi_last_name]]=" ","",HYPERLINK("https://www.ejacket.nsf.gov/ej/showProposal.do?Continue=Y&amp;ID="&amp;RAdata6[[#This Row],[prop_id]],RAdata6[[#This Row],[prop_id]]))</f>
        <v/>
      </c>
      <c r="J31" s="7" t="str">
        <f>IF(RAdata6[[#This Row],[pi_last_name]]=" ","",HYPERLINK("https://www.ejacket.nsf.gov/ej/processReviewAnalysis.do?dispatch=add&amp;uniqId="&amp;RAdata6[[#This Row],[prop_id]]&amp;pm_ibm_logn_id,"&gt;ra"))</f>
        <v/>
      </c>
      <c r="K31" s="9" t="s">
        <v>25</v>
      </c>
      <c r="L31" s="9" t="s">
        <v>25</v>
      </c>
      <c r="M31" s="9" t="s">
        <v>25</v>
      </c>
      <c r="N31" s="9">
        <v>1</v>
      </c>
      <c r="O31" s="9">
        <v>1</v>
      </c>
      <c r="P31" s="13">
        <v>0</v>
      </c>
      <c r="Q31" s="13">
        <v>0</v>
      </c>
      <c r="R31" s="13">
        <v>514</v>
      </c>
      <c r="S31" s="15">
        <v>112880</v>
      </c>
      <c r="T31" s="9">
        <v>0</v>
      </c>
      <c r="U31" s="9">
        <v>3</v>
      </c>
      <c r="V31" s="14" t="str">
        <f ca="1">IF(ISBLANK(RAdata6[[#This Row],[budg_seq_yr]]),"FY"&amp;fiscalyear,"FY"&amp;fiscalyear-1+RAdata6[[#This Row],[budg_seq_yr]])</f>
        <v>FY20</v>
      </c>
      <c r="W31" s="13">
        <v>112880</v>
      </c>
      <c r="X31" s="9" t="s">
        <v>299</v>
      </c>
      <c r="Y31" s="9" t="s">
        <v>371</v>
      </c>
      <c r="Z31" s="9" t="s">
        <v>345</v>
      </c>
    </row>
    <row r="32" spans="1:26" x14ac:dyDescent="0.4">
      <c r="A32" s="12" t="s">
        <v>387</v>
      </c>
      <c r="B32" s="28" t="s">
        <v>121</v>
      </c>
      <c r="C32" s="10">
        <v>42934.681250000001</v>
      </c>
      <c r="D32" s="9" t="s">
        <v>336</v>
      </c>
      <c r="E32" s="9" t="s">
        <v>299</v>
      </c>
      <c r="F32" s="9" t="s">
        <v>371</v>
      </c>
      <c r="G32" s="9" t="s">
        <v>372</v>
      </c>
      <c r="H32" s="9" t="s">
        <v>387</v>
      </c>
      <c r="I32" s="7" t="str">
        <f>IF(RAdata6[[#This Row],[pi_last_name]]=" ","",HYPERLINK("https://www.ejacket.nsf.gov/ej/showProposal.do?Continue=Y&amp;ID="&amp;RAdata6[[#This Row],[prop_id]],RAdata6[[#This Row],[prop_id]]))</f>
        <v/>
      </c>
      <c r="J32" s="7" t="str">
        <f>IF(RAdata6[[#This Row],[pi_last_name]]=" ","",HYPERLINK("https://www.ejacket.nsf.gov/ej/processReviewAnalysis.do?dispatch=add&amp;uniqId="&amp;RAdata6[[#This Row],[prop_id]]&amp;pm_ibm_logn_id,"&gt;ra"))</f>
        <v/>
      </c>
      <c r="K32" s="9" t="s">
        <v>25</v>
      </c>
      <c r="L32" s="9" t="s">
        <v>25</v>
      </c>
      <c r="M32" s="9" t="s">
        <v>25</v>
      </c>
      <c r="N32" s="9">
        <v>1</v>
      </c>
      <c r="O32" s="9">
        <v>1</v>
      </c>
      <c r="P32" s="13">
        <v>0</v>
      </c>
      <c r="Q32" s="13">
        <v>0</v>
      </c>
      <c r="R32" s="13">
        <v>514</v>
      </c>
      <c r="S32" s="15">
        <v>96690</v>
      </c>
      <c r="T32" s="9">
        <v>0</v>
      </c>
      <c r="U32" s="9">
        <v>4</v>
      </c>
      <c r="V32" s="14" t="str">
        <f ca="1">IF(ISBLANK(RAdata6[[#This Row],[budg_seq_yr]]),"FY"&amp;fiscalyear,"FY"&amp;fiscalyear-1+RAdata6[[#This Row],[budg_seq_yr]])</f>
        <v>FY21</v>
      </c>
      <c r="W32" s="13">
        <v>96690</v>
      </c>
      <c r="X32" s="9" t="s">
        <v>299</v>
      </c>
      <c r="Y32" s="9" t="s">
        <v>371</v>
      </c>
      <c r="Z32" s="9" t="s">
        <v>345</v>
      </c>
    </row>
    <row r="33" spans="1:26" x14ac:dyDescent="0.4">
      <c r="A33" s="12" t="s">
        <v>387</v>
      </c>
      <c r="B33" s="28" t="s">
        <v>121</v>
      </c>
      <c r="C33" s="10">
        <v>42934.681250000001</v>
      </c>
      <c r="D33" s="9" t="s">
        <v>336</v>
      </c>
      <c r="E33" s="9" t="s">
        <v>299</v>
      </c>
      <c r="F33" s="9" t="s">
        <v>371</v>
      </c>
      <c r="G33" s="9" t="s">
        <v>372</v>
      </c>
      <c r="H33" s="9" t="s">
        <v>387</v>
      </c>
      <c r="I33" s="7" t="str">
        <f>IF(RAdata6[[#This Row],[pi_last_name]]=" ","",HYPERLINK("https://www.ejacket.nsf.gov/ej/showProposal.do?Continue=Y&amp;ID="&amp;RAdata6[[#This Row],[prop_id]],RAdata6[[#This Row],[prop_id]]))</f>
        <v/>
      </c>
      <c r="J33" s="7" t="str">
        <f>IF(RAdata6[[#This Row],[pi_last_name]]=" ","",HYPERLINK("https://www.ejacket.nsf.gov/ej/processReviewAnalysis.do?dispatch=add&amp;uniqId="&amp;RAdata6[[#This Row],[prop_id]]&amp;pm_ibm_logn_id,"&gt;ra"))</f>
        <v/>
      </c>
      <c r="K33" s="9" t="s">
        <v>25</v>
      </c>
      <c r="L33" s="9" t="s">
        <v>25</v>
      </c>
      <c r="M33" s="9" t="s">
        <v>25</v>
      </c>
      <c r="N33" s="9">
        <v>1</v>
      </c>
      <c r="O33" s="9">
        <v>1</v>
      </c>
      <c r="P33" s="13">
        <v>0</v>
      </c>
      <c r="Q33" s="13">
        <v>0</v>
      </c>
      <c r="R33" s="13">
        <v>514</v>
      </c>
      <c r="S33" s="15">
        <v>100357</v>
      </c>
      <c r="T33" s="9">
        <v>0</v>
      </c>
      <c r="U33" s="9">
        <v>5</v>
      </c>
      <c r="V33" s="14" t="str">
        <f ca="1">IF(ISBLANK(RAdata6[[#This Row],[budg_seq_yr]]),"FY"&amp;fiscalyear,"FY"&amp;fiscalyear-1+RAdata6[[#This Row],[budg_seq_yr]])</f>
        <v>FY22</v>
      </c>
      <c r="W33" s="13">
        <v>100357</v>
      </c>
      <c r="X33" s="9" t="s">
        <v>299</v>
      </c>
      <c r="Y33" s="9" t="s">
        <v>371</v>
      </c>
      <c r="Z33" s="9" t="s">
        <v>345</v>
      </c>
    </row>
    <row r="34" spans="1:26" x14ac:dyDescent="0.4">
      <c r="A34" s="12" t="s">
        <v>391</v>
      </c>
      <c r="B34" s="28" t="s">
        <v>121</v>
      </c>
      <c r="C34" s="10">
        <v>42934.72152777778</v>
      </c>
      <c r="D34" s="9" t="s">
        <v>336</v>
      </c>
      <c r="E34" s="9" t="s">
        <v>299</v>
      </c>
      <c r="F34" s="9" t="s">
        <v>371</v>
      </c>
      <c r="G34" s="9" t="s">
        <v>376</v>
      </c>
      <c r="H34" s="9" t="s">
        <v>391</v>
      </c>
      <c r="I34" s="7" t="str">
        <f>IF(RAdata6[[#This Row],[pi_last_name]]=" ","",HYPERLINK("https://www.ejacket.nsf.gov/ej/showProposal.do?Continue=Y&amp;ID="&amp;RAdata6[[#This Row],[prop_id]],RAdata6[[#This Row],[prop_id]]))</f>
        <v>1750019</v>
      </c>
      <c r="J34" s="7" t="str">
        <f>IF(RAdata6[[#This Row],[pi_last_name]]=" ","",HYPERLINK("https://www.ejacket.nsf.gov/ej/processReviewAnalysis.do?dispatch=add&amp;uniqId="&amp;RAdata6[[#This Row],[prop_id]]&amp;pm_ibm_logn_id,"&gt;ra"))</f>
        <v>&gt;ra</v>
      </c>
      <c r="K34" s="9" t="s">
        <v>392</v>
      </c>
      <c r="L34" s="9" t="s">
        <v>393</v>
      </c>
      <c r="M34" s="9" t="s">
        <v>394</v>
      </c>
      <c r="N34" s="9"/>
      <c r="O34" s="9"/>
      <c r="P34" s="13"/>
      <c r="Q34" s="13"/>
      <c r="R34" s="13"/>
      <c r="S34" s="15"/>
      <c r="T34" s="9">
        <v>0</v>
      </c>
      <c r="U34" s="9"/>
      <c r="V34" s="14" t="str">
        <f ca="1">IF(ISBLANK(RAdata6[[#This Row],[budg_seq_yr]]),"FY"&amp;fiscalyear,"FY"&amp;fiscalyear-1+RAdata6[[#This Row],[budg_seq_yr]])</f>
        <v>FY18</v>
      </c>
      <c r="W34" s="13">
        <v>500272</v>
      </c>
      <c r="X34" s="9" t="s">
        <v>299</v>
      </c>
      <c r="Y34" s="9" t="s">
        <v>371</v>
      </c>
      <c r="Z34" s="9" t="s">
        <v>345</v>
      </c>
    </row>
    <row r="35" spans="1:26" x14ac:dyDescent="0.4">
      <c r="A35" s="12" t="s">
        <v>391</v>
      </c>
      <c r="B35" s="28" t="s">
        <v>121</v>
      </c>
      <c r="C35" s="10">
        <v>42934.72152777778</v>
      </c>
      <c r="D35" s="9" t="s">
        <v>336</v>
      </c>
      <c r="E35" s="9" t="s">
        <v>299</v>
      </c>
      <c r="F35" s="9" t="s">
        <v>371</v>
      </c>
      <c r="G35" s="9" t="s">
        <v>376</v>
      </c>
      <c r="H35" s="9" t="s">
        <v>391</v>
      </c>
      <c r="I35" s="7" t="str">
        <f>IF(RAdata6[[#This Row],[pi_last_name]]=" ","",HYPERLINK("https://www.ejacket.nsf.gov/ej/showProposal.do?Continue=Y&amp;ID="&amp;RAdata6[[#This Row],[prop_id]],RAdata6[[#This Row],[prop_id]]))</f>
        <v/>
      </c>
      <c r="J35" s="7" t="str">
        <f>IF(RAdata6[[#This Row],[pi_last_name]]=" ","",HYPERLINK("https://www.ejacket.nsf.gov/ej/processReviewAnalysis.do?dispatch=add&amp;uniqId="&amp;RAdata6[[#This Row],[prop_id]]&amp;pm_ibm_logn_id,"&gt;ra"))</f>
        <v/>
      </c>
      <c r="K35" s="9" t="s">
        <v>25</v>
      </c>
      <c r="L35" s="9" t="s">
        <v>25</v>
      </c>
      <c r="M35" s="9" t="s">
        <v>25</v>
      </c>
      <c r="N35" s="9">
        <v>1</v>
      </c>
      <c r="O35" s="9">
        <v>1</v>
      </c>
      <c r="P35" s="13">
        <v>0</v>
      </c>
      <c r="Q35" s="13">
        <v>4120</v>
      </c>
      <c r="R35" s="13">
        <v>0</v>
      </c>
      <c r="S35" s="15">
        <v>44486</v>
      </c>
      <c r="T35" s="9">
        <v>0</v>
      </c>
      <c r="U35" s="9">
        <v>1</v>
      </c>
      <c r="V35" s="14" t="str">
        <f ca="1">IF(ISBLANK(RAdata6[[#This Row],[budg_seq_yr]]),"FY"&amp;fiscalyear,"FY"&amp;fiscalyear-1+RAdata6[[#This Row],[budg_seq_yr]])</f>
        <v>FY18</v>
      </c>
      <c r="W35" s="13">
        <v>44486</v>
      </c>
      <c r="X35" s="9" t="s">
        <v>299</v>
      </c>
      <c r="Y35" s="9" t="s">
        <v>371</v>
      </c>
      <c r="Z35" s="9" t="s">
        <v>345</v>
      </c>
    </row>
    <row r="36" spans="1:26" x14ac:dyDescent="0.4">
      <c r="A36" s="12" t="s">
        <v>391</v>
      </c>
      <c r="B36" s="28" t="s">
        <v>121</v>
      </c>
      <c r="C36" s="10">
        <v>42934.72152777778</v>
      </c>
      <c r="D36" s="9" t="s">
        <v>336</v>
      </c>
      <c r="E36" s="9" t="s">
        <v>299</v>
      </c>
      <c r="F36" s="9" t="s">
        <v>371</v>
      </c>
      <c r="G36" s="9" t="s">
        <v>376</v>
      </c>
      <c r="H36" s="9" t="s">
        <v>391</v>
      </c>
      <c r="I36" s="7" t="str">
        <f>IF(RAdata6[[#This Row],[pi_last_name]]=" ","",HYPERLINK("https://www.ejacket.nsf.gov/ej/showProposal.do?Continue=Y&amp;ID="&amp;RAdata6[[#This Row],[prop_id]],RAdata6[[#This Row],[prop_id]]))</f>
        <v/>
      </c>
      <c r="J36" s="7" t="str">
        <f>IF(RAdata6[[#This Row],[pi_last_name]]=" ","",HYPERLINK("https://www.ejacket.nsf.gov/ej/processReviewAnalysis.do?dispatch=add&amp;uniqId="&amp;RAdata6[[#This Row],[prop_id]]&amp;pm_ibm_logn_id,"&gt;ra"))</f>
        <v/>
      </c>
      <c r="K36" s="9" t="s">
        <v>25</v>
      </c>
      <c r="L36" s="9" t="s">
        <v>25</v>
      </c>
      <c r="M36" s="9" t="s">
        <v>25</v>
      </c>
      <c r="N36" s="9">
        <v>1</v>
      </c>
      <c r="O36" s="9">
        <v>1</v>
      </c>
      <c r="P36" s="13">
        <v>0</v>
      </c>
      <c r="Q36" s="13">
        <v>4120</v>
      </c>
      <c r="R36" s="13">
        <v>0</v>
      </c>
      <c r="S36" s="15">
        <v>44486</v>
      </c>
      <c r="T36" s="9">
        <v>0</v>
      </c>
      <c r="U36" s="9">
        <v>2</v>
      </c>
      <c r="V36" s="14" t="str">
        <f ca="1">IF(ISBLANK(RAdata6[[#This Row],[budg_seq_yr]]),"FY"&amp;fiscalyear,"FY"&amp;fiscalyear-1+RAdata6[[#This Row],[budg_seq_yr]])</f>
        <v>FY19</v>
      </c>
      <c r="W36" s="13">
        <v>44486</v>
      </c>
      <c r="X36" s="9" t="s">
        <v>299</v>
      </c>
      <c r="Y36" s="9" t="s">
        <v>371</v>
      </c>
      <c r="Z36" s="9" t="s">
        <v>345</v>
      </c>
    </row>
    <row r="37" spans="1:26" x14ac:dyDescent="0.4">
      <c r="A37" s="12" t="s">
        <v>391</v>
      </c>
      <c r="B37" s="28" t="s">
        <v>121</v>
      </c>
      <c r="C37" s="10">
        <v>42934.72152777778</v>
      </c>
      <c r="D37" s="9" t="s">
        <v>336</v>
      </c>
      <c r="E37" s="9" t="s">
        <v>299</v>
      </c>
      <c r="F37" s="9" t="s">
        <v>371</v>
      </c>
      <c r="G37" s="9" t="s">
        <v>376</v>
      </c>
      <c r="H37" s="9" t="s">
        <v>391</v>
      </c>
      <c r="I37" s="7" t="str">
        <f>IF(RAdata6[[#This Row],[pi_last_name]]=" ","",HYPERLINK("https://www.ejacket.nsf.gov/ej/showProposal.do?Continue=Y&amp;ID="&amp;RAdata6[[#This Row],[prop_id]],RAdata6[[#This Row],[prop_id]]))</f>
        <v/>
      </c>
      <c r="J37" s="7" t="str">
        <f>IF(RAdata6[[#This Row],[pi_last_name]]=" ","",HYPERLINK("https://www.ejacket.nsf.gov/ej/processReviewAnalysis.do?dispatch=add&amp;uniqId="&amp;RAdata6[[#This Row],[prop_id]]&amp;pm_ibm_logn_id,"&gt;ra"))</f>
        <v/>
      </c>
      <c r="K37" s="9" t="s">
        <v>25</v>
      </c>
      <c r="L37" s="9" t="s">
        <v>25</v>
      </c>
      <c r="M37" s="9" t="s">
        <v>25</v>
      </c>
      <c r="N37" s="9">
        <v>1</v>
      </c>
      <c r="O37" s="9">
        <v>2</v>
      </c>
      <c r="P37" s="13">
        <v>56000</v>
      </c>
      <c r="Q37" s="13">
        <v>8240</v>
      </c>
      <c r="R37" s="13">
        <v>0</v>
      </c>
      <c r="S37" s="15">
        <v>179787</v>
      </c>
      <c r="T37" s="9">
        <v>0</v>
      </c>
      <c r="U37" s="9">
        <v>3</v>
      </c>
      <c r="V37" s="14" t="str">
        <f ca="1">IF(ISBLANK(RAdata6[[#This Row],[budg_seq_yr]]),"FY"&amp;fiscalyear,"FY"&amp;fiscalyear-1+RAdata6[[#This Row],[budg_seq_yr]])</f>
        <v>FY20</v>
      </c>
      <c r="W37" s="13">
        <v>179787</v>
      </c>
      <c r="X37" s="9" t="s">
        <v>299</v>
      </c>
      <c r="Y37" s="9" t="s">
        <v>371</v>
      </c>
      <c r="Z37" s="9" t="s">
        <v>345</v>
      </c>
    </row>
    <row r="38" spans="1:26" x14ac:dyDescent="0.4">
      <c r="A38" s="12" t="s">
        <v>391</v>
      </c>
      <c r="B38" s="28" t="s">
        <v>121</v>
      </c>
      <c r="C38" s="10">
        <v>42934.72152777778</v>
      </c>
      <c r="D38" s="9" t="s">
        <v>336</v>
      </c>
      <c r="E38" s="9" t="s">
        <v>299</v>
      </c>
      <c r="F38" s="9" t="s">
        <v>371</v>
      </c>
      <c r="G38" s="9" t="s">
        <v>376</v>
      </c>
      <c r="H38" s="9" t="s">
        <v>391</v>
      </c>
      <c r="I38" s="7" t="str">
        <f>IF(RAdata6[[#This Row],[pi_last_name]]=" ","",HYPERLINK("https://www.ejacket.nsf.gov/ej/showProposal.do?Continue=Y&amp;ID="&amp;RAdata6[[#This Row],[prop_id]],RAdata6[[#This Row],[prop_id]]))</f>
        <v/>
      </c>
      <c r="J38" s="7" t="str">
        <f>IF(RAdata6[[#This Row],[pi_last_name]]=" ","",HYPERLINK("https://www.ejacket.nsf.gov/ej/processReviewAnalysis.do?dispatch=add&amp;uniqId="&amp;RAdata6[[#This Row],[prop_id]]&amp;pm_ibm_logn_id,"&gt;ra"))</f>
        <v/>
      </c>
      <c r="K38" s="9" t="s">
        <v>25</v>
      </c>
      <c r="L38" s="9" t="s">
        <v>25</v>
      </c>
      <c r="M38" s="9" t="s">
        <v>25</v>
      </c>
      <c r="N38" s="9">
        <v>1</v>
      </c>
      <c r="O38" s="9">
        <v>2</v>
      </c>
      <c r="P38" s="13">
        <v>56000</v>
      </c>
      <c r="Q38" s="13">
        <v>8240</v>
      </c>
      <c r="R38" s="13">
        <v>0</v>
      </c>
      <c r="S38" s="15">
        <v>179787</v>
      </c>
      <c r="T38" s="9">
        <v>0</v>
      </c>
      <c r="U38" s="9">
        <v>4</v>
      </c>
      <c r="V38" s="14" t="str">
        <f ca="1">IF(ISBLANK(RAdata6[[#This Row],[budg_seq_yr]]),"FY"&amp;fiscalyear,"FY"&amp;fiscalyear-1+RAdata6[[#This Row],[budg_seq_yr]])</f>
        <v>FY21</v>
      </c>
      <c r="W38" s="13">
        <v>179787</v>
      </c>
      <c r="X38" s="9" t="s">
        <v>299</v>
      </c>
      <c r="Y38" s="9" t="s">
        <v>371</v>
      </c>
      <c r="Z38" s="9" t="s">
        <v>345</v>
      </c>
    </row>
    <row r="39" spans="1:26" x14ac:dyDescent="0.4">
      <c r="A39" s="12" t="s">
        <v>391</v>
      </c>
      <c r="B39" s="28" t="s">
        <v>121</v>
      </c>
      <c r="C39" s="10">
        <v>42934.72152777778</v>
      </c>
      <c r="D39" s="9" t="s">
        <v>336</v>
      </c>
      <c r="E39" s="9" t="s">
        <v>299</v>
      </c>
      <c r="F39" s="9" t="s">
        <v>371</v>
      </c>
      <c r="G39" s="9" t="s">
        <v>376</v>
      </c>
      <c r="H39" s="9" t="s">
        <v>391</v>
      </c>
      <c r="I39" s="7" t="str">
        <f>IF(RAdata6[[#This Row],[pi_last_name]]=" ","",HYPERLINK("https://www.ejacket.nsf.gov/ej/showProposal.do?Continue=Y&amp;ID="&amp;RAdata6[[#This Row],[prop_id]],RAdata6[[#This Row],[prop_id]]))</f>
        <v/>
      </c>
      <c r="J39" s="7" t="str">
        <f>IF(RAdata6[[#This Row],[pi_last_name]]=" ","",HYPERLINK("https://www.ejacket.nsf.gov/ej/processReviewAnalysis.do?dispatch=add&amp;uniqId="&amp;RAdata6[[#This Row],[prop_id]]&amp;pm_ibm_logn_id,"&gt;ra"))</f>
        <v/>
      </c>
      <c r="K39" s="9" t="s">
        <v>25</v>
      </c>
      <c r="L39" s="9" t="s">
        <v>25</v>
      </c>
      <c r="M39" s="9" t="s">
        <v>25</v>
      </c>
      <c r="N39" s="9">
        <v>1</v>
      </c>
      <c r="O39" s="9">
        <v>2</v>
      </c>
      <c r="P39" s="13">
        <v>0</v>
      </c>
      <c r="Q39" s="13">
        <v>8240</v>
      </c>
      <c r="R39" s="13">
        <v>0</v>
      </c>
      <c r="S39" s="15">
        <v>51726</v>
      </c>
      <c r="T39" s="9">
        <v>0</v>
      </c>
      <c r="U39" s="9">
        <v>5</v>
      </c>
      <c r="V39" s="14" t="str">
        <f ca="1">IF(ISBLANK(RAdata6[[#This Row],[budg_seq_yr]]),"FY"&amp;fiscalyear,"FY"&amp;fiscalyear-1+RAdata6[[#This Row],[budg_seq_yr]])</f>
        <v>FY22</v>
      </c>
      <c r="W39" s="13">
        <v>51726</v>
      </c>
      <c r="X39" s="9" t="s">
        <v>299</v>
      </c>
      <c r="Y39" s="9" t="s">
        <v>371</v>
      </c>
      <c r="Z39" s="9" t="s">
        <v>345</v>
      </c>
    </row>
    <row r="40" spans="1:26" x14ac:dyDescent="0.4">
      <c r="A40" s="12" t="s">
        <v>395</v>
      </c>
      <c r="B40" s="28" t="s">
        <v>121</v>
      </c>
      <c r="C40" s="10">
        <v>42935.388194444444</v>
      </c>
      <c r="D40" s="9" t="s">
        <v>336</v>
      </c>
      <c r="E40" s="9" t="s">
        <v>299</v>
      </c>
      <c r="F40" s="9" t="s">
        <v>371</v>
      </c>
      <c r="G40" s="9" t="s">
        <v>372</v>
      </c>
      <c r="H40" s="9" t="s">
        <v>395</v>
      </c>
      <c r="I40" s="7" t="str">
        <f>IF(RAdata6[[#This Row],[pi_last_name]]=" ","",HYPERLINK("https://www.ejacket.nsf.gov/ej/showProposal.do?Continue=Y&amp;ID="&amp;RAdata6[[#This Row],[prop_id]],RAdata6[[#This Row],[prop_id]]))</f>
        <v>1750142</v>
      </c>
      <c r="J40" s="7" t="str">
        <f>IF(RAdata6[[#This Row],[pi_last_name]]=" ","",HYPERLINK("https://www.ejacket.nsf.gov/ej/processReviewAnalysis.do?dispatch=add&amp;uniqId="&amp;RAdata6[[#This Row],[prop_id]]&amp;pm_ibm_logn_id,"&gt;ra"))</f>
        <v>&gt;ra</v>
      </c>
      <c r="K40" s="9" t="s">
        <v>396</v>
      </c>
      <c r="L40" s="9" t="s">
        <v>397</v>
      </c>
      <c r="M40" s="9" t="s">
        <v>398</v>
      </c>
      <c r="N40" s="9"/>
      <c r="O40" s="9"/>
      <c r="P40" s="13"/>
      <c r="Q40" s="13"/>
      <c r="R40" s="13"/>
      <c r="S40" s="15"/>
      <c r="T40" s="9">
        <v>0</v>
      </c>
      <c r="U40" s="9"/>
      <c r="V40" s="14" t="str">
        <f ca="1">IF(ISBLANK(RAdata6[[#This Row],[budg_seq_yr]]),"FY"&amp;fiscalyear,"FY"&amp;fiscalyear-1+RAdata6[[#This Row],[budg_seq_yr]])</f>
        <v>FY18</v>
      </c>
      <c r="W40" s="13">
        <v>498999</v>
      </c>
      <c r="X40" s="9" t="s">
        <v>299</v>
      </c>
      <c r="Y40" s="9" t="s">
        <v>371</v>
      </c>
      <c r="Z40" s="9" t="s">
        <v>345</v>
      </c>
    </row>
    <row r="41" spans="1:26" x14ac:dyDescent="0.4">
      <c r="A41" s="12" t="s">
        <v>395</v>
      </c>
      <c r="B41" s="28" t="s">
        <v>121</v>
      </c>
      <c r="C41" s="10">
        <v>42935.388194444444</v>
      </c>
      <c r="D41" s="9" t="s">
        <v>336</v>
      </c>
      <c r="E41" s="9" t="s">
        <v>299</v>
      </c>
      <c r="F41" s="9" t="s">
        <v>371</v>
      </c>
      <c r="G41" s="9" t="s">
        <v>372</v>
      </c>
      <c r="H41" s="9" t="s">
        <v>395</v>
      </c>
      <c r="I41" s="7" t="str">
        <f>IF(RAdata6[[#This Row],[pi_last_name]]=" ","",HYPERLINK("https://www.ejacket.nsf.gov/ej/showProposal.do?Continue=Y&amp;ID="&amp;RAdata6[[#This Row],[prop_id]],RAdata6[[#This Row],[prop_id]]))</f>
        <v/>
      </c>
      <c r="J41" s="7" t="str">
        <f>IF(RAdata6[[#This Row],[pi_last_name]]=" ","",HYPERLINK("https://www.ejacket.nsf.gov/ej/processReviewAnalysis.do?dispatch=add&amp;uniqId="&amp;RAdata6[[#This Row],[prop_id]]&amp;pm_ibm_logn_id,"&gt;ra"))</f>
        <v/>
      </c>
      <c r="K41" s="9" t="s">
        <v>25</v>
      </c>
      <c r="L41" s="9" t="s">
        <v>25</v>
      </c>
      <c r="M41" s="9" t="s">
        <v>25</v>
      </c>
      <c r="N41" s="9">
        <v>1</v>
      </c>
      <c r="O41" s="9">
        <v>1</v>
      </c>
      <c r="P41" s="13">
        <v>0</v>
      </c>
      <c r="Q41" s="13">
        <v>2500</v>
      </c>
      <c r="R41" s="13">
        <v>0</v>
      </c>
      <c r="S41" s="15">
        <v>101541</v>
      </c>
      <c r="T41" s="9">
        <v>0</v>
      </c>
      <c r="U41" s="9">
        <v>1</v>
      </c>
      <c r="V41" s="14" t="str">
        <f ca="1">IF(ISBLANK(RAdata6[[#This Row],[budg_seq_yr]]),"FY"&amp;fiscalyear,"FY"&amp;fiscalyear-1+RAdata6[[#This Row],[budg_seq_yr]])</f>
        <v>FY18</v>
      </c>
      <c r="W41" s="13">
        <v>101541</v>
      </c>
      <c r="X41" s="9" t="s">
        <v>299</v>
      </c>
      <c r="Y41" s="9" t="s">
        <v>371</v>
      </c>
      <c r="Z41" s="9" t="s">
        <v>345</v>
      </c>
    </row>
    <row r="42" spans="1:26" x14ac:dyDescent="0.4">
      <c r="A42" s="12" t="s">
        <v>395</v>
      </c>
      <c r="B42" s="28" t="s">
        <v>121</v>
      </c>
      <c r="C42" s="10">
        <v>42935.388194444444</v>
      </c>
      <c r="D42" s="9" t="s">
        <v>336</v>
      </c>
      <c r="E42" s="9" t="s">
        <v>299</v>
      </c>
      <c r="F42" s="9" t="s">
        <v>371</v>
      </c>
      <c r="G42" s="9" t="s">
        <v>372</v>
      </c>
      <c r="H42" s="9" t="s">
        <v>395</v>
      </c>
      <c r="I42" s="7" t="str">
        <f>IF(RAdata6[[#This Row],[pi_last_name]]=" ","",HYPERLINK("https://www.ejacket.nsf.gov/ej/showProposal.do?Continue=Y&amp;ID="&amp;RAdata6[[#This Row],[prop_id]],RAdata6[[#This Row],[prop_id]]))</f>
        <v/>
      </c>
      <c r="J42" s="7" t="str">
        <f>IF(RAdata6[[#This Row],[pi_last_name]]=" ","",HYPERLINK("https://www.ejacket.nsf.gov/ej/processReviewAnalysis.do?dispatch=add&amp;uniqId="&amp;RAdata6[[#This Row],[prop_id]]&amp;pm_ibm_logn_id,"&gt;ra"))</f>
        <v/>
      </c>
      <c r="K42" s="9" t="s">
        <v>25</v>
      </c>
      <c r="L42" s="9" t="s">
        <v>25</v>
      </c>
      <c r="M42" s="9" t="s">
        <v>25</v>
      </c>
      <c r="N42" s="9">
        <v>1</v>
      </c>
      <c r="O42" s="9">
        <v>1</v>
      </c>
      <c r="P42" s="13">
        <v>0</v>
      </c>
      <c r="Q42" s="13">
        <v>2500</v>
      </c>
      <c r="R42" s="13">
        <v>0</v>
      </c>
      <c r="S42" s="15">
        <v>103772</v>
      </c>
      <c r="T42" s="9">
        <v>0</v>
      </c>
      <c r="U42" s="9">
        <v>2</v>
      </c>
      <c r="V42" s="14" t="str">
        <f ca="1">IF(ISBLANK(RAdata6[[#This Row],[budg_seq_yr]]),"FY"&amp;fiscalyear,"FY"&amp;fiscalyear-1+RAdata6[[#This Row],[budg_seq_yr]])</f>
        <v>FY19</v>
      </c>
      <c r="W42" s="13">
        <v>103772</v>
      </c>
      <c r="X42" s="9" t="s">
        <v>299</v>
      </c>
      <c r="Y42" s="9" t="s">
        <v>371</v>
      </c>
      <c r="Z42" s="9" t="s">
        <v>345</v>
      </c>
    </row>
    <row r="43" spans="1:26" x14ac:dyDescent="0.4">
      <c r="A43" s="12" t="s">
        <v>395</v>
      </c>
      <c r="B43" s="28" t="s">
        <v>121</v>
      </c>
      <c r="C43" s="10">
        <v>42935.388194444444</v>
      </c>
      <c r="D43" s="9" t="s">
        <v>336</v>
      </c>
      <c r="E43" s="9" t="s">
        <v>299</v>
      </c>
      <c r="F43" s="9" t="s">
        <v>371</v>
      </c>
      <c r="G43" s="9" t="s">
        <v>372</v>
      </c>
      <c r="H43" s="9" t="s">
        <v>395</v>
      </c>
      <c r="I43" s="7" t="str">
        <f>IF(RAdata6[[#This Row],[pi_last_name]]=" ","",HYPERLINK("https://www.ejacket.nsf.gov/ej/showProposal.do?Continue=Y&amp;ID="&amp;RAdata6[[#This Row],[prop_id]],RAdata6[[#This Row],[prop_id]]))</f>
        <v/>
      </c>
      <c r="J43" s="7" t="str">
        <f>IF(RAdata6[[#This Row],[pi_last_name]]=" ","",HYPERLINK("https://www.ejacket.nsf.gov/ej/processReviewAnalysis.do?dispatch=add&amp;uniqId="&amp;RAdata6[[#This Row],[prop_id]]&amp;pm_ibm_logn_id,"&gt;ra"))</f>
        <v/>
      </c>
      <c r="K43" s="9" t="s">
        <v>25</v>
      </c>
      <c r="L43" s="9" t="s">
        <v>25</v>
      </c>
      <c r="M43" s="9" t="s">
        <v>25</v>
      </c>
      <c r="N43" s="9">
        <v>1</v>
      </c>
      <c r="O43" s="9">
        <v>1</v>
      </c>
      <c r="P43" s="13">
        <v>0</v>
      </c>
      <c r="Q43" s="13">
        <v>2500</v>
      </c>
      <c r="R43" s="13">
        <v>0</v>
      </c>
      <c r="S43" s="15">
        <v>106064</v>
      </c>
      <c r="T43" s="9">
        <v>0</v>
      </c>
      <c r="U43" s="9">
        <v>3</v>
      </c>
      <c r="V43" s="14" t="str">
        <f ca="1">IF(ISBLANK(RAdata6[[#This Row],[budg_seq_yr]]),"FY"&amp;fiscalyear,"FY"&amp;fiscalyear-1+RAdata6[[#This Row],[budg_seq_yr]])</f>
        <v>FY20</v>
      </c>
      <c r="W43" s="13">
        <v>106064</v>
      </c>
      <c r="X43" s="9" t="s">
        <v>299</v>
      </c>
      <c r="Y43" s="9" t="s">
        <v>371</v>
      </c>
      <c r="Z43" s="9" t="s">
        <v>345</v>
      </c>
    </row>
    <row r="44" spans="1:26" x14ac:dyDescent="0.4">
      <c r="A44" s="12" t="s">
        <v>395</v>
      </c>
      <c r="B44" s="28" t="s">
        <v>121</v>
      </c>
      <c r="C44" s="10">
        <v>42935.388194444444</v>
      </c>
      <c r="D44" s="9" t="s">
        <v>336</v>
      </c>
      <c r="E44" s="9" t="s">
        <v>299</v>
      </c>
      <c r="F44" s="9" t="s">
        <v>371</v>
      </c>
      <c r="G44" s="9" t="s">
        <v>372</v>
      </c>
      <c r="H44" s="9" t="s">
        <v>395</v>
      </c>
      <c r="I44" s="7" t="str">
        <f>IF(RAdata6[[#This Row],[pi_last_name]]=" ","",HYPERLINK("https://www.ejacket.nsf.gov/ej/showProposal.do?Continue=Y&amp;ID="&amp;RAdata6[[#This Row],[prop_id]],RAdata6[[#This Row],[prop_id]]))</f>
        <v/>
      </c>
      <c r="J44" s="7" t="str">
        <f>IF(RAdata6[[#This Row],[pi_last_name]]=" ","",HYPERLINK("https://www.ejacket.nsf.gov/ej/processReviewAnalysis.do?dispatch=add&amp;uniqId="&amp;RAdata6[[#This Row],[prop_id]]&amp;pm_ibm_logn_id,"&gt;ra"))</f>
        <v/>
      </c>
      <c r="K44" s="9" t="s">
        <v>25</v>
      </c>
      <c r="L44" s="9" t="s">
        <v>25</v>
      </c>
      <c r="M44" s="9" t="s">
        <v>25</v>
      </c>
      <c r="N44" s="9">
        <v>1</v>
      </c>
      <c r="O44" s="9">
        <v>1</v>
      </c>
      <c r="P44" s="13">
        <v>0</v>
      </c>
      <c r="Q44" s="13">
        <v>2500</v>
      </c>
      <c r="R44" s="13">
        <v>0</v>
      </c>
      <c r="S44" s="15">
        <v>92869</v>
      </c>
      <c r="T44" s="9">
        <v>0</v>
      </c>
      <c r="U44" s="9">
        <v>4</v>
      </c>
      <c r="V44" s="14" t="str">
        <f ca="1">IF(ISBLANK(RAdata6[[#This Row],[budg_seq_yr]]),"FY"&amp;fiscalyear,"FY"&amp;fiscalyear-1+RAdata6[[#This Row],[budg_seq_yr]])</f>
        <v>FY21</v>
      </c>
      <c r="W44" s="13">
        <v>92869</v>
      </c>
      <c r="X44" s="9" t="s">
        <v>299</v>
      </c>
      <c r="Y44" s="9" t="s">
        <v>371</v>
      </c>
      <c r="Z44" s="9" t="s">
        <v>345</v>
      </c>
    </row>
    <row r="45" spans="1:26" x14ac:dyDescent="0.4">
      <c r="A45" s="12" t="s">
        <v>395</v>
      </c>
      <c r="B45" s="28" t="s">
        <v>121</v>
      </c>
      <c r="C45" s="10">
        <v>42935.388194444444</v>
      </c>
      <c r="D45" s="9" t="s">
        <v>336</v>
      </c>
      <c r="E45" s="9" t="s">
        <v>299</v>
      </c>
      <c r="F45" s="9" t="s">
        <v>371</v>
      </c>
      <c r="G45" s="9" t="s">
        <v>372</v>
      </c>
      <c r="H45" s="9" t="s">
        <v>395</v>
      </c>
      <c r="I45" s="7" t="str">
        <f>IF(RAdata6[[#This Row],[pi_last_name]]=" ","",HYPERLINK("https://www.ejacket.nsf.gov/ej/showProposal.do?Continue=Y&amp;ID="&amp;RAdata6[[#This Row],[prop_id]],RAdata6[[#This Row],[prop_id]]))</f>
        <v/>
      </c>
      <c r="J45" s="7" t="str">
        <f>IF(RAdata6[[#This Row],[pi_last_name]]=" ","",HYPERLINK("https://www.ejacket.nsf.gov/ej/processReviewAnalysis.do?dispatch=add&amp;uniqId="&amp;RAdata6[[#This Row],[prop_id]]&amp;pm_ibm_logn_id,"&gt;ra"))</f>
        <v/>
      </c>
      <c r="K45" s="9" t="s">
        <v>25</v>
      </c>
      <c r="L45" s="9" t="s">
        <v>25</v>
      </c>
      <c r="M45" s="9" t="s">
        <v>25</v>
      </c>
      <c r="N45" s="9">
        <v>1</v>
      </c>
      <c r="O45" s="9">
        <v>1</v>
      </c>
      <c r="P45" s="13">
        <v>0</v>
      </c>
      <c r="Q45" s="13">
        <v>2500</v>
      </c>
      <c r="R45" s="13">
        <v>0</v>
      </c>
      <c r="S45" s="15">
        <v>94753</v>
      </c>
      <c r="T45" s="9">
        <v>0</v>
      </c>
      <c r="U45" s="9">
        <v>5</v>
      </c>
      <c r="V45" s="14" t="str">
        <f ca="1">IF(ISBLANK(RAdata6[[#This Row],[budg_seq_yr]]),"FY"&amp;fiscalyear,"FY"&amp;fiscalyear-1+RAdata6[[#This Row],[budg_seq_yr]])</f>
        <v>FY22</v>
      </c>
      <c r="W45" s="13">
        <v>94753</v>
      </c>
      <c r="X45" s="9" t="s">
        <v>299</v>
      </c>
      <c r="Y45" s="9" t="s">
        <v>371</v>
      </c>
      <c r="Z45" s="9" t="s">
        <v>345</v>
      </c>
    </row>
    <row r="46" spans="1:26" x14ac:dyDescent="0.4">
      <c r="A46" s="12" t="s">
        <v>399</v>
      </c>
      <c r="B46" s="28" t="s">
        <v>121</v>
      </c>
      <c r="C46" s="10">
        <v>42935.546527777777</v>
      </c>
      <c r="D46" s="9" t="s">
        <v>336</v>
      </c>
      <c r="E46" s="9" t="s">
        <v>299</v>
      </c>
      <c r="F46" s="9" t="s">
        <v>371</v>
      </c>
      <c r="G46" s="9" t="s">
        <v>372</v>
      </c>
      <c r="H46" s="9" t="s">
        <v>399</v>
      </c>
      <c r="I46" s="7" t="str">
        <f>IF(RAdata6[[#This Row],[pi_last_name]]=" ","",HYPERLINK("https://www.ejacket.nsf.gov/ej/showProposal.do?Continue=Y&amp;ID="&amp;RAdata6[[#This Row],[prop_id]],RAdata6[[#This Row],[prop_id]]))</f>
        <v>1750465</v>
      </c>
      <c r="J46" s="7" t="str">
        <f>IF(RAdata6[[#This Row],[pi_last_name]]=" ","",HYPERLINK("https://www.ejacket.nsf.gov/ej/processReviewAnalysis.do?dispatch=add&amp;uniqId="&amp;RAdata6[[#This Row],[prop_id]]&amp;pm_ibm_logn_id,"&gt;ra"))</f>
        <v>&gt;ra</v>
      </c>
      <c r="K46" s="9" t="s">
        <v>400</v>
      </c>
      <c r="L46" s="9" t="s">
        <v>401</v>
      </c>
      <c r="M46" s="9" t="s">
        <v>402</v>
      </c>
      <c r="N46" s="9"/>
      <c r="O46" s="9"/>
      <c r="P46" s="13"/>
      <c r="Q46" s="13"/>
      <c r="R46" s="13"/>
      <c r="S46" s="15"/>
      <c r="T46" s="9">
        <v>0</v>
      </c>
      <c r="U46" s="9"/>
      <c r="V46" s="14" t="str">
        <f ca="1">IF(ISBLANK(RAdata6[[#This Row],[budg_seq_yr]]),"FY"&amp;fiscalyear,"FY"&amp;fiscalyear-1+RAdata6[[#This Row],[budg_seq_yr]])</f>
        <v>FY18</v>
      </c>
      <c r="W46" s="13">
        <v>430917</v>
      </c>
      <c r="X46" s="9" t="s">
        <v>299</v>
      </c>
      <c r="Y46" s="9" t="s">
        <v>371</v>
      </c>
      <c r="Z46" s="9" t="s">
        <v>345</v>
      </c>
    </row>
    <row r="47" spans="1:26" x14ac:dyDescent="0.4">
      <c r="A47" s="12" t="s">
        <v>399</v>
      </c>
      <c r="B47" s="28" t="s">
        <v>121</v>
      </c>
      <c r="C47" s="10">
        <v>42935.546527777777</v>
      </c>
      <c r="D47" s="9" t="s">
        <v>336</v>
      </c>
      <c r="E47" s="9" t="s">
        <v>299</v>
      </c>
      <c r="F47" s="9" t="s">
        <v>371</v>
      </c>
      <c r="G47" s="9" t="s">
        <v>372</v>
      </c>
      <c r="H47" s="9" t="s">
        <v>399</v>
      </c>
      <c r="I47" s="7" t="str">
        <f>IF(RAdata6[[#This Row],[pi_last_name]]=" ","",HYPERLINK("https://www.ejacket.nsf.gov/ej/showProposal.do?Continue=Y&amp;ID="&amp;RAdata6[[#This Row],[prop_id]],RAdata6[[#This Row],[prop_id]]))</f>
        <v/>
      </c>
      <c r="J47" s="7" t="str">
        <f>IF(RAdata6[[#This Row],[pi_last_name]]=" ","",HYPERLINK("https://www.ejacket.nsf.gov/ej/processReviewAnalysis.do?dispatch=add&amp;uniqId="&amp;RAdata6[[#This Row],[prop_id]]&amp;pm_ibm_logn_id,"&gt;ra"))</f>
        <v/>
      </c>
      <c r="K47" s="9" t="s">
        <v>25</v>
      </c>
      <c r="L47" s="9" t="s">
        <v>25</v>
      </c>
      <c r="M47" s="9" t="s">
        <v>25</v>
      </c>
      <c r="N47" s="9">
        <v>1</v>
      </c>
      <c r="O47" s="9">
        <v>2</v>
      </c>
      <c r="P47" s="13">
        <v>0</v>
      </c>
      <c r="Q47" s="13">
        <v>8000</v>
      </c>
      <c r="R47" s="13">
        <v>0</v>
      </c>
      <c r="S47" s="15">
        <v>93718</v>
      </c>
      <c r="T47" s="9">
        <v>0</v>
      </c>
      <c r="U47" s="9">
        <v>1</v>
      </c>
      <c r="V47" s="14" t="str">
        <f ca="1">IF(ISBLANK(RAdata6[[#This Row],[budg_seq_yr]]),"FY"&amp;fiscalyear,"FY"&amp;fiscalyear-1+RAdata6[[#This Row],[budg_seq_yr]])</f>
        <v>FY18</v>
      </c>
      <c r="W47" s="13">
        <v>93718</v>
      </c>
      <c r="X47" s="9" t="s">
        <v>299</v>
      </c>
      <c r="Y47" s="9" t="s">
        <v>371</v>
      </c>
      <c r="Z47" s="9" t="s">
        <v>345</v>
      </c>
    </row>
    <row r="48" spans="1:26" x14ac:dyDescent="0.4">
      <c r="A48" s="12" t="s">
        <v>399</v>
      </c>
      <c r="B48" s="28" t="s">
        <v>121</v>
      </c>
      <c r="C48" s="10">
        <v>42935.546527777777</v>
      </c>
      <c r="D48" s="9" t="s">
        <v>336</v>
      </c>
      <c r="E48" s="9" t="s">
        <v>299</v>
      </c>
      <c r="F48" s="9" t="s">
        <v>371</v>
      </c>
      <c r="G48" s="9" t="s">
        <v>372</v>
      </c>
      <c r="H48" s="9" t="s">
        <v>399</v>
      </c>
      <c r="I48" s="7" t="str">
        <f>IF(RAdata6[[#This Row],[pi_last_name]]=" ","",HYPERLINK("https://www.ejacket.nsf.gov/ej/showProposal.do?Continue=Y&amp;ID="&amp;RAdata6[[#This Row],[prop_id]],RAdata6[[#This Row],[prop_id]]))</f>
        <v/>
      </c>
      <c r="J48" s="7" t="str">
        <f>IF(RAdata6[[#This Row],[pi_last_name]]=" ","",HYPERLINK("https://www.ejacket.nsf.gov/ej/processReviewAnalysis.do?dispatch=add&amp;uniqId="&amp;RAdata6[[#This Row],[prop_id]]&amp;pm_ibm_logn_id,"&gt;ra"))</f>
        <v/>
      </c>
      <c r="K48" s="9" t="s">
        <v>25</v>
      </c>
      <c r="L48" s="9" t="s">
        <v>25</v>
      </c>
      <c r="M48" s="9" t="s">
        <v>25</v>
      </c>
      <c r="N48" s="9">
        <v>1</v>
      </c>
      <c r="O48" s="9">
        <v>2</v>
      </c>
      <c r="P48" s="13">
        <v>0</v>
      </c>
      <c r="Q48" s="13">
        <v>8000</v>
      </c>
      <c r="R48" s="13">
        <v>0</v>
      </c>
      <c r="S48" s="15">
        <v>74976</v>
      </c>
      <c r="T48" s="9">
        <v>0</v>
      </c>
      <c r="U48" s="9">
        <v>2</v>
      </c>
      <c r="V48" s="14" t="str">
        <f ca="1">IF(ISBLANK(RAdata6[[#This Row],[budg_seq_yr]]),"FY"&amp;fiscalyear,"FY"&amp;fiscalyear-1+RAdata6[[#This Row],[budg_seq_yr]])</f>
        <v>FY19</v>
      </c>
      <c r="W48" s="13">
        <v>74976</v>
      </c>
      <c r="X48" s="9" t="s">
        <v>299</v>
      </c>
      <c r="Y48" s="9" t="s">
        <v>371</v>
      </c>
      <c r="Z48" s="9" t="s">
        <v>345</v>
      </c>
    </row>
    <row r="49" spans="1:26" x14ac:dyDescent="0.4">
      <c r="A49" s="12" t="s">
        <v>399</v>
      </c>
      <c r="B49" s="28" t="s">
        <v>121</v>
      </c>
      <c r="C49" s="10">
        <v>42935.546527777777</v>
      </c>
      <c r="D49" s="9" t="s">
        <v>336</v>
      </c>
      <c r="E49" s="9" t="s">
        <v>299</v>
      </c>
      <c r="F49" s="9" t="s">
        <v>371</v>
      </c>
      <c r="G49" s="9" t="s">
        <v>372</v>
      </c>
      <c r="H49" s="9" t="s">
        <v>399</v>
      </c>
      <c r="I49" s="7" t="str">
        <f>IF(RAdata6[[#This Row],[pi_last_name]]=" ","",HYPERLINK("https://www.ejacket.nsf.gov/ej/showProposal.do?Continue=Y&amp;ID="&amp;RAdata6[[#This Row],[prop_id]],RAdata6[[#This Row],[prop_id]]))</f>
        <v/>
      </c>
      <c r="J49" s="7" t="str">
        <f>IF(RAdata6[[#This Row],[pi_last_name]]=" ","",HYPERLINK("https://www.ejacket.nsf.gov/ej/processReviewAnalysis.do?dispatch=add&amp;uniqId="&amp;RAdata6[[#This Row],[prop_id]]&amp;pm_ibm_logn_id,"&gt;ra"))</f>
        <v/>
      </c>
      <c r="K49" s="9" t="s">
        <v>25</v>
      </c>
      <c r="L49" s="9" t="s">
        <v>25</v>
      </c>
      <c r="M49" s="9" t="s">
        <v>25</v>
      </c>
      <c r="N49" s="9">
        <v>1</v>
      </c>
      <c r="O49" s="9">
        <v>2</v>
      </c>
      <c r="P49" s="13">
        <v>0</v>
      </c>
      <c r="Q49" s="13">
        <v>8000</v>
      </c>
      <c r="R49" s="13">
        <v>0</v>
      </c>
      <c r="S49" s="15">
        <v>76273</v>
      </c>
      <c r="T49" s="9">
        <v>0</v>
      </c>
      <c r="U49" s="9">
        <v>3</v>
      </c>
      <c r="V49" s="14" t="str">
        <f ca="1">IF(ISBLANK(RAdata6[[#This Row],[budg_seq_yr]]),"FY"&amp;fiscalyear,"FY"&amp;fiscalyear-1+RAdata6[[#This Row],[budg_seq_yr]])</f>
        <v>FY20</v>
      </c>
      <c r="W49" s="13">
        <v>76273</v>
      </c>
      <c r="X49" s="9" t="s">
        <v>299</v>
      </c>
      <c r="Y49" s="9" t="s">
        <v>371</v>
      </c>
      <c r="Z49" s="9" t="s">
        <v>345</v>
      </c>
    </row>
    <row r="50" spans="1:26" x14ac:dyDescent="0.4">
      <c r="A50" s="12" t="s">
        <v>399</v>
      </c>
      <c r="B50" s="28" t="s">
        <v>121</v>
      </c>
      <c r="C50" s="10">
        <v>42935.546527777777</v>
      </c>
      <c r="D50" s="9" t="s">
        <v>336</v>
      </c>
      <c r="E50" s="9" t="s">
        <v>299</v>
      </c>
      <c r="F50" s="9" t="s">
        <v>371</v>
      </c>
      <c r="G50" s="9" t="s">
        <v>372</v>
      </c>
      <c r="H50" s="9" t="s">
        <v>399</v>
      </c>
      <c r="I50" s="7" t="str">
        <f>IF(RAdata6[[#This Row],[pi_last_name]]=" ","",HYPERLINK("https://www.ejacket.nsf.gov/ej/showProposal.do?Continue=Y&amp;ID="&amp;RAdata6[[#This Row],[prop_id]],RAdata6[[#This Row],[prop_id]]))</f>
        <v/>
      </c>
      <c r="J50" s="7" t="str">
        <f>IF(RAdata6[[#This Row],[pi_last_name]]=" ","",HYPERLINK("https://www.ejacket.nsf.gov/ej/processReviewAnalysis.do?dispatch=add&amp;uniqId="&amp;RAdata6[[#This Row],[prop_id]]&amp;pm_ibm_logn_id,"&gt;ra"))</f>
        <v/>
      </c>
      <c r="K50" s="9" t="s">
        <v>25</v>
      </c>
      <c r="L50" s="9" t="s">
        <v>25</v>
      </c>
      <c r="M50" s="9" t="s">
        <v>25</v>
      </c>
      <c r="N50" s="9">
        <v>1</v>
      </c>
      <c r="O50" s="9">
        <v>2</v>
      </c>
      <c r="P50" s="13">
        <v>0</v>
      </c>
      <c r="Q50" s="13">
        <v>8000</v>
      </c>
      <c r="R50" s="13">
        <v>0</v>
      </c>
      <c r="S50" s="15">
        <v>92609</v>
      </c>
      <c r="T50" s="9">
        <v>0</v>
      </c>
      <c r="U50" s="9">
        <v>4</v>
      </c>
      <c r="V50" s="14" t="str">
        <f ca="1">IF(ISBLANK(RAdata6[[#This Row],[budg_seq_yr]]),"FY"&amp;fiscalyear,"FY"&amp;fiscalyear-1+RAdata6[[#This Row],[budg_seq_yr]])</f>
        <v>FY21</v>
      </c>
      <c r="W50" s="13">
        <v>92609</v>
      </c>
      <c r="X50" s="9" t="s">
        <v>299</v>
      </c>
      <c r="Y50" s="9" t="s">
        <v>371</v>
      </c>
      <c r="Z50" s="9" t="s">
        <v>345</v>
      </c>
    </row>
    <row r="51" spans="1:26" x14ac:dyDescent="0.4">
      <c r="A51" s="12" t="s">
        <v>399</v>
      </c>
      <c r="B51" s="28" t="s">
        <v>121</v>
      </c>
      <c r="C51" s="10">
        <v>42935.546527777777</v>
      </c>
      <c r="D51" s="9" t="s">
        <v>336</v>
      </c>
      <c r="E51" s="9" t="s">
        <v>299</v>
      </c>
      <c r="F51" s="9" t="s">
        <v>371</v>
      </c>
      <c r="G51" s="9" t="s">
        <v>372</v>
      </c>
      <c r="H51" s="9" t="s">
        <v>399</v>
      </c>
      <c r="I51" s="7" t="str">
        <f>IF(RAdata6[[#This Row],[pi_last_name]]=" ","",HYPERLINK("https://www.ejacket.nsf.gov/ej/showProposal.do?Continue=Y&amp;ID="&amp;RAdata6[[#This Row],[prop_id]],RAdata6[[#This Row],[prop_id]]))</f>
        <v/>
      </c>
      <c r="J51" s="7" t="str">
        <f>IF(RAdata6[[#This Row],[pi_last_name]]=" ","",HYPERLINK("https://www.ejacket.nsf.gov/ej/processReviewAnalysis.do?dispatch=add&amp;uniqId="&amp;RAdata6[[#This Row],[prop_id]]&amp;pm_ibm_logn_id,"&gt;ra"))</f>
        <v/>
      </c>
      <c r="K51" s="9" t="s">
        <v>25</v>
      </c>
      <c r="L51" s="9" t="s">
        <v>25</v>
      </c>
      <c r="M51" s="9" t="s">
        <v>25</v>
      </c>
      <c r="N51" s="9">
        <v>1</v>
      </c>
      <c r="O51" s="9">
        <v>2</v>
      </c>
      <c r="P51" s="13">
        <v>0</v>
      </c>
      <c r="Q51" s="13">
        <v>8000</v>
      </c>
      <c r="R51" s="13">
        <v>0</v>
      </c>
      <c r="S51" s="15">
        <v>93341</v>
      </c>
      <c r="T51" s="9">
        <v>0</v>
      </c>
      <c r="U51" s="9">
        <v>5</v>
      </c>
      <c r="V51" s="14" t="str">
        <f ca="1">IF(ISBLANK(RAdata6[[#This Row],[budg_seq_yr]]),"FY"&amp;fiscalyear,"FY"&amp;fiscalyear-1+RAdata6[[#This Row],[budg_seq_yr]])</f>
        <v>FY22</v>
      </c>
      <c r="W51" s="13">
        <v>93341</v>
      </c>
      <c r="X51" s="9" t="s">
        <v>299</v>
      </c>
      <c r="Y51" s="9" t="s">
        <v>371</v>
      </c>
      <c r="Z51" s="9" t="s">
        <v>345</v>
      </c>
    </row>
    <row r="52" spans="1:26" x14ac:dyDescent="0.4">
      <c r="A52" s="12" t="s">
        <v>403</v>
      </c>
      <c r="B52" s="28" t="s">
        <v>121</v>
      </c>
      <c r="C52" s="10">
        <v>42935.551388888889</v>
      </c>
      <c r="D52" s="9" t="s">
        <v>336</v>
      </c>
      <c r="E52" s="9" t="s">
        <v>299</v>
      </c>
      <c r="F52" s="9" t="s">
        <v>371</v>
      </c>
      <c r="G52" s="9" t="s">
        <v>372</v>
      </c>
      <c r="H52" s="9" t="s">
        <v>403</v>
      </c>
      <c r="I52" s="7" t="str">
        <f>IF(RAdata6[[#This Row],[pi_last_name]]=" ","",HYPERLINK("https://www.ejacket.nsf.gov/ej/showProposal.do?Continue=Y&amp;ID="&amp;RAdata6[[#This Row],[prop_id]],RAdata6[[#This Row],[prop_id]]))</f>
        <v>1750482</v>
      </c>
      <c r="J52" s="7" t="str">
        <f>IF(RAdata6[[#This Row],[pi_last_name]]=" ","",HYPERLINK("https://www.ejacket.nsf.gov/ej/processReviewAnalysis.do?dispatch=add&amp;uniqId="&amp;RAdata6[[#This Row],[prop_id]]&amp;pm_ibm_logn_id,"&gt;ra"))</f>
        <v>&gt;ra</v>
      </c>
      <c r="K52" s="9" t="s">
        <v>404</v>
      </c>
      <c r="L52" s="9" t="s">
        <v>405</v>
      </c>
      <c r="M52" s="9" t="s">
        <v>406</v>
      </c>
      <c r="N52" s="9"/>
      <c r="O52" s="9"/>
      <c r="P52" s="13"/>
      <c r="Q52" s="13"/>
      <c r="R52" s="13"/>
      <c r="S52" s="15"/>
      <c r="T52" s="9">
        <v>0</v>
      </c>
      <c r="U52" s="9"/>
      <c r="V52" s="14" t="str">
        <f ca="1">IF(ISBLANK(RAdata6[[#This Row],[budg_seq_yr]]),"FY"&amp;fiscalyear,"FY"&amp;fiscalyear-1+RAdata6[[#This Row],[budg_seq_yr]])</f>
        <v>FY18</v>
      </c>
      <c r="W52" s="13">
        <v>475283</v>
      </c>
      <c r="X52" s="9" t="s">
        <v>299</v>
      </c>
      <c r="Y52" s="9" t="s">
        <v>371</v>
      </c>
      <c r="Z52" s="9" t="s">
        <v>345</v>
      </c>
    </row>
    <row r="53" spans="1:26" x14ac:dyDescent="0.4">
      <c r="A53" s="12" t="s">
        <v>403</v>
      </c>
      <c r="B53" s="28" t="s">
        <v>121</v>
      </c>
      <c r="C53" s="10">
        <v>42935.551388888889</v>
      </c>
      <c r="D53" s="9" t="s">
        <v>336</v>
      </c>
      <c r="E53" s="9" t="s">
        <v>299</v>
      </c>
      <c r="F53" s="9" t="s">
        <v>371</v>
      </c>
      <c r="G53" s="9" t="s">
        <v>372</v>
      </c>
      <c r="H53" s="9" t="s">
        <v>403</v>
      </c>
      <c r="I53" s="7" t="str">
        <f>IF(RAdata6[[#This Row],[pi_last_name]]=" ","",HYPERLINK("https://www.ejacket.nsf.gov/ej/showProposal.do?Continue=Y&amp;ID="&amp;RAdata6[[#This Row],[prop_id]],RAdata6[[#This Row],[prop_id]]))</f>
        <v/>
      </c>
      <c r="J53" s="7" t="str">
        <f>IF(RAdata6[[#This Row],[pi_last_name]]=" ","",HYPERLINK("https://www.ejacket.nsf.gov/ej/processReviewAnalysis.do?dispatch=add&amp;uniqId="&amp;RAdata6[[#This Row],[prop_id]]&amp;pm_ibm_logn_id,"&gt;ra"))</f>
        <v/>
      </c>
      <c r="K53" s="9" t="s">
        <v>25</v>
      </c>
      <c r="L53" s="9" t="s">
        <v>25</v>
      </c>
      <c r="M53" s="9" t="s">
        <v>25</v>
      </c>
      <c r="N53" s="9">
        <v>1</v>
      </c>
      <c r="O53" s="9">
        <v>0</v>
      </c>
      <c r="P53" s="13">
        <v>50000</v>
      </c>
      <c r="Q53" s="13">
        <v>5000</v>
      </c>
      <c r="R53" s="13">
        <v>0</v>
      </c>
      <c r="S53" s="15">
        <v>144290</v>
      </c>
      <c r="T53" s="9">
        <v>0</v>
      </c>
      <c r="U53" s="9">
        <v>1</v>
      </c>
      <c r="V53" s="14" t="str">
        <f ca="1">IF(ISBLANK(RAdata6[[#This Row],[budg_seq_yr]]),"FY"&amp;fiscalyear,"FY"&amp;fiscalyear-1+RAdata6[[#This Row],[budg_seq_yr]])</f>
        <v>FY18</v>
      </c>
      <c r="W53" s="13">
        <v>144290</v>
      </c>
      <c r="X53" s="9" t="s">
        <v>299</v>
      </c>
      <c r="Y53" s="9" t="s">
        <v>371</v>
      </c>
      <c r="Z53" s="9" t="s">
        <v>345</v>
      </c>
    </row>
    <row r="54" spans="1:26" x14ac:dyDescent="0.4">
      <c r="A54" s="12" t="s">
        <v>403</v>
      </c>
      <c r="B54" s="28" t="s">
        <v>121</v>
      </c>
      <c r="C54" s="10">
        <v>42935.551388888889</v>
      </c>
      <c r="D54" s="9" t="s">
        <v>336</v>
      </c>
      <c r="E54" s="9" t="s">
        <v>299</v>
      </c>
      <c r="F54" s="9" t="s">
        <v>371</v>
      </c>
      <c r="G54" s="9" t="s">
        <v>372</v>
      </c>
      <c r="H54" s="9" t="s">
        <v>403</v>
      </c>
      <c r="I54" s="7" t="str">
        <f>IF(RAdata6[[#This Row],[pi_last_name]]=" ","",HYPERLINK("https://www.ejacket.nsf.gov/ej/showProposal.do?Continue=Y&amp;ID="&amp;RAdata6[[#This Row],[prop_id]],RAdata6[[#This Row],[prop_id]]))</f>
        <v/>
      </c>
      <c r="J54" s="7" t="str">
        <f>IF(RAdata6[[#This Row],[pi_last_name]]=" ","",HYPERLINK("https://www.ejacket.nsf.gov/ej/processReviewAnalysis.do?dispatch=add&amp;uniqId="&amp;RAdata6[[#This Row],[prop_id]]&amp;pm_ibm_logn_id,"&gt;ra"))</f>
        <v/>
      </c>
      <c r="K54" s="9" t="s">
        <v>25</v>
      </c>
      <c r="L54" s="9" t="s">
        <v>25</v>
      </c>
      <c r="M54" s="9" t="s">
        <v>25</v>
      </c>
      <c r="N54" s="9">
        <v>1</v>
      </c>
      <c r="O54" s="9">
        <v>1</v>
      </c>
      <c r="P54" s="13">
        <v>51500</v>
      </c>
      <c r="Q54" s="13">
        <v>5000</v>
      </c>
      <c r="R54" s="13">
        <v>0</v>
      </c>
      <c r="S54" s="15">
        <v>159214</v>
      </c>
      <c r="T54" s="9">
        <v>0</v>
      </c>
      <c r="U54" s="9">
        <v>2</v>
      </c>
      <c r="V54" s="14" t="str">
        <f ca="1">IF(ISBLANK(RAdata6[[#This Row],[budg_seq_yr]]),"FY"&amp;fiscalyear,"FY"&amp;fiscalyear-1+RAdata6[[#This Row],[budg_seq_yr]])</f>
        <v>FY19</v>
      </c>
      <c r="W54" s="13">
        <v>159214</v>
      </c>
      <c r="X54" s="9" t="s">
        <v>299</v>
      </c>
      <c r="Y54" s="9" t="s">
        <v>371</v>
      </c>
      <c r="Z54" s="9" t="s">
        <v>345</v>
      </c>
    </row>
    <row r="55" spans="1:26" x14ac:dyDescent="0.4">
      <c r="A55" s="12" t="s">
        <v>403</v>
      </c>
      <c r="B55" s="28" t="s">
        <v>121</v>
      </c>
      <c r="C55" s="10">
        <v>42935.551388888889</v>
      </c>
      <c r="D55" s="9" t="s">
        <v>336</v>
      </c>
      <c r="E55" s="9" t="s">
        <v>299</v>
      </c>
      <c r="F55" s="9" t="s">
        <v>371</v>
      </c>
      <c r="G55" s="9" t="s">
        <v>372</v>
      </c>
      <c r="H55" s="9" t="s">
        <v>403</v>
      </c>
      <c r="I55" s="7" t="str">
        <f>IF(RAdata6[[#This Row],[pi_last_name]]=" ","",HYPERLINK("https://www.ejacket.nsf.gov/ej/showProposal.do?Continue=Y&amp;ID="&amp;RAdata6[[#This Row],[prop_id]],RAdata6[[#This Row],[prop_id]]))</f>
        <v/>
      </c>
      <c r="J55" s="7" t="str">
        <f>IF(RAdata6[[#This Row],[pi_last_name]]=" ","",HYPERLINK("https://www.ejacket.nsf.gov/ej/processReviewAnalysis.do?dispatch=add&amp;uniqId="&amp;RAdata6[[#This Row],[prop_id]]&amp;pm_ibm_logn_id,"&gt;ra"))</f>
        <v/>
      </c>
      <c r="K55" s="9" t="s">
        <v>25</v>
      </c>
      <c r="L55" s="9" t="s">
        <v>25</v>
      </c>
      <c r="M55" s="9" t="s">
        <v>25</v>
      </c>
      <c r="N55" s="9">
        <v>1</v>
      </c>
      <c r="O55" s="9">
        <v>1</v>
      </c>
      <c r="P55" s="13">
        <v>0</v>
      </c>
      <c r="Q55" s="13">
        <v>2500</v>
      </c>
      <c r="R55" s="13">
        <v>0</v>
      </c>
      <c r="S55" s="15">
        <v>46138</v>
      </c>
      <c r="T55" s="9">
        <v>0</v>
      </c>
      <c r="U55" s="9">
        <v>3</v>
      </c>
      <c r="V55" s="14" t="str">
        <f ca="1">IF(ISBLANK(RAdata6[[#This Row],[budg_seq_yr]]),"FY"&amp;fiscalyear,"FY"&amp;fiscalyear-1+RAdata6[[#This Row],[budg_seq_yr]])</f>
        <v>FY20</v>
      </c>
      <c r="W55" s="13">
        <v>46138</v>
      </c>
      <c r="X55" s="9" t="s">
        <v>299</v>
      </c>
      <c r="Y55" s="9" t="s">
        <v>371</v>
      </c>
      <c r="Z55" s="9" t="s">
        <v>345</v>
      </c>
    </row>
    <row r="56" spans="1:26" x14ac:dyDescent="0.4">
      <c r="A56" s="12" t="s">
        <v>403</v>
      </c>
      <c r="B56" s="28" t="s">
        <v>121</v>
      </c>
      <c r="C56" s="10">
        <v>42935.551388888889</v>
      </c>
      <c r="D56" s="9" t="s">
        <v>336</v>
      </c>
      <c r="E56" s="9" t="s">
        <v>299</v>
      </c>
      <c r="F56" s="9" t="s">
        <v>371</v>
      </c>
      <c r="G56" s="9" t="s">
        <v>372</v>
      </c>
      <c r="H56" s="9" t="s">
        <v>403</v>
      </c>
      <c r="I56" s="7" t="str">
        <f>IF(RAdata6[[#This Row],[pi_last_name]]=" ","",HYPERLINK("https://www.ejacket.nsf.gov/ej/showProposal.do?Continue=Y&amp;ID="&amp;RAdata6[[#This Row],[prop_id]],RAdata6[[#This Row],[prop_id]]))</f>
        <v/>
      </c>
      <c r="J56" s="7" t="str">
        <f>IF(RAdata6[[#This Row],[pi_last_name]]=" ","",HYPERLINK("https://www.ejacket.nsf.gov/ej/processReviewAnalysis.do?dispatch=add&amp;uniqId="&amp;RAdata6[[#This Row],[prop_id]]&amp;pm_ibm_logn_id,"&gt;ra"))</f>
        <v/>
      </c>
      <c r="K56" s="9" t="s">
        <v>25</v>
      </c>
      <c r="L56" s="9" t="s">
        <v>25</v>
      </c>
      <c r="M56" s="9" t="s">
        <v>25</v>
      </c>
      <c r="N56" s="9">
        <v>1</v>
      </c>
      <c r="O56" s="9">
        <v>1</v>
      </c>
      <c r="P56" s="13">
        <v>0</v>
      </c>
      <c r="Q56" s="13">
        <v>2500</v>
      </c>
      <c r="R56" s="13">
        <v>0</v>
      </c>
      <c r="S56" s="15">
        <v>61995</v>
      </c>
      <c r="T56" s="9">
        <v>0</v>
      </c>
      <c r="U56" s="9">
        <v>4</v>
      </c>
      <c r="V56" s="14" t="str">
        <f ca="1">IF(ISBLANK(RAdata6[[#This Row],[budg_seq_yr]]),"FY"&amp;fiscalyear,"FY"&amp;fiscalyear-1+RAdata6[[#This Row],[budg_seq_yr]])</f>
        <v>FY21</v>
      </c>
      <c r="W56" s="13">
        <v>61995</v>
      </c>
      <c r="X56" s="9" t="s">
        <v>299</v>
      </c>
      <c r="Y56" s="9" t="s">
        <v>371</v>
      </c>
      <c r="Z56" s="9" t="s">
        <v>345</v>
      </c>
    </row>
    <row r="57" spans="1:26" x14ac:dyDescent="0.4">
      <c r="A57" s="12" t="s">
        <v>403</v>
      </c>
      <c r="B57" s="28" t="s">
        <v>121</v>
      </c>
      <c r="C57" s="10">
        <v>42935.551388888889</v>
      </c>
      <c r="D57" s="9" t="s">
        <v>336</v>
      </c>
      <c r="E57" s="9" t="s">
        <v>299</v>
      </c>
      <c r="F57" s="9" t="s">
        <v>371</v>
      </c>
      <c r="G57" s="9" t="s">
        <v>372</v>
      </c>
      <c r="H57" s="9" t="s">
        <v>403</v>
      </c>
      <c r="I57" s="7" t="str">
        <f>IF(RAdata6[[#This Row],[pi_last_name]]=" ","",HYPERLINK("https://www.ejacket.nsf.gov/ej/showProposal.do?Continue=Y&amp;ID="&amp;RAdata6[[#This Row],[prop_id]],RAdata6[[#This Row],[prop_id]]))</f>
        <v/>
      </c>
      <c r="J57" s="7" t="str">
        <f>IF(RAdata6[[#This Row],[pi_last_name]]=" ","",HYPERLINK("https://www.ejacket.nsf.gov/ej/processReviewAnalysis.do?dispatch=add&amp;uniqId="&amp;RAdata6[[#This Row],[prop_id]]&amp;pm_ibm_logn_id,"&gt;ra"))</f>
        <v/>
      </c>
      <c r="K57" s="9" t="s">
        <v>25</v>
      </c>
      <c r="L57" s="9" t="s">
        <v>25</v>
      </c>
      <c r="M57" s="9" t="s">
        <v>25</v>
      </c>
      <c r="N57" s="9">
        <v>1</v>
      </c>
      <c r="O57" s="9">
        <v>1</v>
      </c>
      <c r="P57" s="13">
        <v>0</v>
      </c>
      <c r="Q57" s="13">
        <v>2500</v>
      </c>
      <c r="R57" s="13">
        <v>0</v>
      </c>
      <c r="S57" s="15">
        <v>63646</v>
      </c>
      <c r="T57" s="9">
        <v>0</v>
      </c>
      <c r="U57" s="9">
        <v>5</v>
      </c>
      <c r="V57" s="14" t="str">
        <f ca="1">IF(ISBLANK(RAdata6[[#This Row],[budg_seq_yr]]),"FY"&amp;fiscalyear,"FY"&amp;fiscalyear-1+RAdata6[[#This Row],[budg_seq_yr]])</f>
        <v>FY22</v>
      </c>
      <c r="W57" s="13">
        <v>63646</v>
      </c>
      <c r="X57" s="9" t="s">
        <v>299</v>
      </c>
      <c r="Y57" s="9" t="s">
        <v>371</v>
      </c>
      <c r="Z57" s="9" t="s">
        <v>345</v>
      </c>
    </row>
    <row r="58" spans="1:26" x14ac:dyDescent="0.4">
      <c r="A58" s="12" t="s">
        <v>407</v>
      </c>
      <c r="B58" s="28" t="s">
        <v>121</v>
      </c>
      <c r="C58" s="10">
        <v>42935.561805555553</v>
      </c>
      <c r="D58" s="9" t="s">
        <v>336</v>
      </c>
      <c r="E58" s="9" t="s">
        <v>299</v>
      </c>
      <c r="F58" s="9" t="s">
        <v>371</v>
      </c>
      <c r="G58" s="9" t="s">
        <v>372</v>
      </c>
      <c r="H58" s="9" t="s">
        <v>407</v>
      </c>
      <c r="I58" s="7" t="str">
        <f>IF(RAdata6[[#This Row],[pi_last_name]]=" ","",HYPERLINK("https://www.ejacket.nsf.gov/ej/showProposal.do?Continue=Y&amp;ID="&amp;RAdata6[[#This Row],[prop_id]],RAdata6[[#This Row],[prop_id]]))</f>
        <v>1750514</v>
      </c>
      <c r="J58" s="7" t="str">
        <f>IF(RAdata6[[#This Row],[pi_last_name]]=" ","",HYPERLINK("https://www.ejacket.nsf.gov/ej/processReviewAnalysis.do?dispatch=add&amp;uniqId="&amp;RAdata6[[#This Row],[prop_id]]&amp;pm_ibm_logn_id,"&gt;ra"))</f>
        <v>&gt;ra</v>
      </c>
      <c r="K58" s="9" t="s">
        <v>408</v>
      </c>
      <c r="L58" s="9" t="s">
        <v>409</v>
      </c>
      <c r="M58" s="9" t="s">
        <v>410</v>
      </c>
      <c r="N58" s="9"/>
      <c r="O58" s="9"/>
      <c r="P58" s="13"/>
      <c r="Q58" s="13"/>
      <c r="R58" s="13"/>
      <c r="S58" s="15"/>
      <c r="T58" s="9">
        <v>0</v>
      </c>
      <c r="U58" s="9"/>
      <c r="V58" s="14" t="str">
        <f ca="1">IF(ISBLANK(RAdata6[[#This Row],[budg_seq_yr]]),"FY"&amp;fiscalyear,"FY"&amp;fiscalyear-1+RAdata6[[#This Row],[budg_seq_yr]])</f>
        <v>FY18</v>
      </c>
      <c r="W58" s="13">
        <v>501687</v>
      </c>
      <c r="X58" s="9" t="s">
        <v>299</v>
      </c>
      <c r="Y58" s="9" t="s">
        <v>371</v>
      </c>
      <c r="Z58" s="9" t="s">
        <v>345</v>
      </c>
    </row>
    <row r="59" spans="1:26" x14ac:dyDescent="0.4">
      <c r="A59" s="12" t="s">
        <v>407</v>
      </c>
      <c r="B59" s="28" t="s">
        <v>121</v>
      </c>
      <c r="C59" s="10">
        <v>42935.561805555553</v>
      </c>
      <c r="D59" s="9" t="s">
        <v>336</v>
      </c>
      <c r="E59" s="9" t="s">
        <v>299</v>
      </c>
      <c r="F59" s="9" t="s">
        <v>371</v>
      </c>
      <c r="G59" s="9" t="s">
        <v>372</v>
      </c>
      <c r="H59" s="9" t="s">
        <v>407</v>
      </c>
      <c r="I59" s="7" t="str">
        <f>IF(RAdata6[[#This Row],[pi_last_name]]=" ","",HYPERLINK("https://www.ejacket.nsf.gov/ej/showProposal.do?Continue=Y&amp;ID="&amp;RAdata6[[#This Row],[prop_id]],RAdata6[[#This Row],[prop_id]]))</f>
        <v/>
      </c>
      <c r="J59" s="7" t="str">
        <f>IF(RAdata6[[#This Row],[pi_last_name]]=" ","",HYPERLINK("https://www.ejacket.nsf.gov/ej/processReviewAnalysis.do?dispatch=add&amp;uniqId="&amp;RAdata6[[#This Row],[prop_id]]&amp;pm_ibm_logn_id,"&gt;ra"))</f>
        <v/>
      </c>
      <c r="K59" s="9" t="s">
        <v>25</v>
      </c>
      <c r="L59" s="9" t="s">
        <v>25</v>
      </c>
      <c r="M59" s="9" t="s">
        <v>25</v>
      </c>
      <c r="N59" s="9">
        <v>1</v>
      </c>
      <c r="O59" s="9">
        <v>1</v>
      </c>
      <c r="P59" s="13">
        <v>0</v>
      </c>
      <c r="Q59" s="13">
        <v>4000</v>
      </c>
      <c r="R59" s="13">
        <v>0</v>
      </c>
      <c r="S59" s="15">
        <v>94272</v>
      </c>
      <c r="T59" s="9">
        <v>0</v>
      </c>
      <c r="U59" s="9">
        <v>1</v>
      </c>
      <c r="V59" s="14" t="str">
        <f ca="1">IF(ISBLANK(RAdata6[[#This Row],[budg_seq_yr]]),"FY"&amp;fiscalyear,"FY"&amp;fiscalyear-1+RAdata6[[#This Row],[budg_seq_yr]])</f>
        <v>FY18</v>
      </c>
      <c r="W59" s="13">
        <v>94272</v>
      </c>
      <c r="X59" s="9" t="s">
        <v>299</v>
      </c>
      <c r="Y59" s="9" t="s">
        <v>371</v>
      </c>
      <c r="Z59" s="9" t="s">
        <v>345</v>
      </c>
    </row>
    <row r="60" spans="1:26" x14ac:dyDescent="0.4">
      <c r="A60" s="12" t="s">
        <v>407</v>
      </c>
      <c r="B60" s="28" t="s">
        <v>121</v>
      </c>
      <c r="C60" s="10">
        <v>42935.561805555553</v>
      </c>
      <c r="D60" s="9" t="s">
        <v>336</v>
      </c>
      <c r="E60" s="9" t="s">
        <v>299</v>
      </c>
      <c r="F60" s="9" t="s">
        <v>371</v>
      </c>
      <c r="G60" s="9" t="s">
        <v>372</v>
      </c>
      <c r="H60" s="9" t="s">
        <v>407</v>
      </c>
      <c r="I60" s="7" t="str">
        <f>IF(RAdata6[[#This Row],[pi_last_name]]=" ","",HYPERLINK("https://www.ejacket.nsf.gov/ej/showProposal.do?Continue=Y&amp;ID="&amp;RAdata6[[#This Row],[prop_id]],RAdata6[[#This Row],[prop_id]]))</f>
        <v/>
      </c>
      <c r="J60" s="7" t="str">
        <f>IF(RAdata6[[#This Row],[pi_last_name]]=" ","",HYPERLINK("https://www.ejacket.nsf.gov/ej/processReviewAnalysis.do?dispatch=add&amp;uniqId="&amp;RAdata6[[#This Row],[prop_id]]&amp;pm_ibm_logn_id,"&gt;ra"))</f>
        <v/>
      </c>
      <c r="K60" s="9" t="s">
        <v>25</v>
      </c>
      <c r="L60" s="9" t="s">
        <v>25</v>
      </c>
      <c r="M60" s="9" t="s">
        <v>25</v>
      </c>
      <c r="N60" s="9">
        <v>1</v>
      </c>
      <c r="O60" s="9">
        <v>1</v>
      </c>
      <c r="P60" s="13">
        <v>0</v>
      </c>
      <c r="Q60" s="13">
        <v>4000</v>
      </c>
      <c r="R60" s="13">
        <v>0</v>
      </c>
      <c r="S60" s="15">
        <v>97189</v>
      </c>
      <c r="T60" s="9">
        <v>0</v>
      </c>
      <c r="U60" s="9">
        <v>2</v>
      </c>
      <c r="V60" s="14" t="str">
        <f ca="1">IF(ISBLANK(RAdata6[[#This Row],[budg_seq_yr]]),"FY"&amp;fiscalyear,"FY"&amp;fiscalyear-1+RAdata6[[#This Row],[budg_seq_yr]])</f>
        <v>FY19</v>
      </c>
      <c r="W60" s="13">
        <v>97189</v>
      </c>
      <c r="X60" s="9" t="s">
        <v>299</v>
      </c>
      <c r="Y60" s="9" t="s">
        <v>371</v>
      </c>
      <c r="Z60" s="9" t="s">
        <v>345</v>
      </c>
    </row>
    <row r="61" spans="1:26" x14ac:dyDescent="0.4">
      <c r="A61" s="12" t="s">
        <v>407</v>
      </c>
      <c r="B61" s="28" t="s">
        <v>121</v>
      </c>
      <c r="C61" s="10">
        <v>42935.561805555553</v>
      </c>
      <c r="D61" s="9" t="s">
        <v>336</v>
      </c>
      <c r="E61" s="9" t="s">
        <v>299</v>
      </c>
      <c r="F61" s="9" t="s">
        <v>371</v>
      </c>
      <c r="G61" s="9" t="s">
        <v>372</v>
      </c>
      <c r="H61" s="9" t="s">
        <v>407</v>
      </c>
      <c r="I61" s="7" t="str">
        <f>IF(RAdata6[[#This Row],[pi_last_name]]=" ","",HYPERLINK("https://www.ejacket.nsf.gov/ej/showProposal.do?Continue=Y&amp;ID="&amp;RAdata6[[#This Row],[prop_id]],RAdata6[[#This Row],[prop_id]]))</f>
        <v/>
      </c>
      <c r="J61" s="7" t="str">
        <f>IF(RAdata6[[#This Row],[pi_last_name]]=" ","",HYPERLINK("https://www.ejacket.nsf.gov/ej/processReviewAnalysis.do?dispatch=add&amp;uniqId="&amp;RAdata6[[#This Row],[prop_id]]&amp;pm_ibm_logn_id,"&gt;ra"))</f>
        <v/>
      </c>
      <c r="K61" s="9" t="s">
        <v>25</v>
      </c>
      <c r="L61" s="9" t="s">
        <v>25</v>
      </c>
      <c r="M61" s="9" t="s">
        <v>25</v>
      </c>
      <c r="N61" s="9">
        <v>1</v>
      </c>
      <c r="O61" s="9">
        <v>1</v>
      </c>
      <c r="P61" s="13">
        <v>0</v>
      </c>
      <c r="Q61" s="13">
        <v>4000</v>
      </c>
      <c r="R61" s="13">
        <v>0</v>
      </c>
      <c r="S61" s="15">
        <v>100220</v>
      </c>
      <c r="T61" s="9">
        <v>0</v>
      </c>
      <c r="U61" s="9">
        <v>3</v>
      </c>
      <c r="V61" s="14" t="str">
        <f ca="1">IF(ISBLANK(RAdata6[[#This Row],[budg_seq_yr]]),"FY"&amp;fiscalyear,"FY"&amp;fiscalyear-1+RAdata6[[#This Row],[budg_seq_yr]])</f>
        <v>FY20</v>
      </c>
      <c r="W61" s="13">
        <v>100220</v>
      </c>
      <c r="X61" s="9" t="s">
        <v>299</v>
      </c>
      <c r="Y61" s="9" t="s">
        <v>371</v>
      </c>
      <c r="Z61" s="9" t="s">
        <v>345</v>
      </c>
    </row>
    <row r="62" spans="1:26" x14ac:dyDescent="0.4">
      <c r="A62" s="12" t="s">
        <v>407</v>
      </c>
      <c r="B62" s="28" t="s">
        <v>121</v>
      </c>
      <c r="C62" s="10">
        <v>42935.561805555553</v>
      </c>
      <c r="D62" s="9" t="s">
        <v>336</v>
      </c>
      <c r="E62" s="9" t="s">
        <v>299</v>
      </c>
      <c r="F62" s="9" t="s">
        <v>371</v>
      </c>
      <c r="G62" s="9" t="s">
        <v>372</v>
      </c>
      <c r="H62" s="9" t="s">
        <v>407</v>
      </c>
      <c r="I62" s="7" t="str">
        <f>IF(RAdata6[[#This Row],[pi_last_name]]=" ","",HYPERLINK("https://www.ejacket.nsf.gov/ej/showProposal.do?Continue=Y&amp;ID="&amp;RAdata6[[#This Row],[prop_id]],RAdata6[[#This Row],[prop_id]]))</f>
        <v/>
      </c>
      <c r="J62" s="7" t="str">
        <f>IF(RAdata6[[#This Row],[pi_last_name]]=" ","",HYPERLINK("https://www.ejacket.nsf.gov/ej/processReviewAnalysis.do?dispatch=add&amp;uniqId="&amp;RAdata6[[#This Row],[prop_id]]&amp;pm_ibm_logn_id,"&gt;ra"))</f>
        <v/>
      </c>
      <c r="K62" s="9" t="s">
        <v>25</v>
      </c>
      <c r="L62" s="9" t="s">
        <v>25</v>
      </c>
      <c r="M62" s="9" t="s">
        <v>25</v>
      </c>
      <c r="N62" s="9">
        <v>1</v>
      </c>
      <c r="O62" s="9">
        <v>1</v>
      </c>
      <c r="P62" s="13">
        <v>0</v>
      </c>
      <c r="Q62" s="13">
        <v>4000</v>
      </c>
      <c r="R62" s="13">
        <v>0</v>
      </c>
      <c r="S62" s="15">
        <v>103367</v>
      </c>
      <c r="T62" s="9">
        <v>0</v>
      </c>
      <c r="U62" s="9">
        <v>4</v>
      </c>
      <c r="V62" s="14" t="str">
        <f ca="1">IF(ISBLANK(RAdata6[[#This Row],[budg_seq_yr]]),"FY"&amp;fiscalyear,"FY"&amp;fiscalyear-1+RAdata6[[#This Row],[budg_seq_yr]])</f>
        <v>FY21</v>
      </c>
      <c r="W62" s="13">
        <v>103367</v>
      </c>
      <c r="X62" s="9" t="s">
        <v>299</v>
      </c>
      <c r="Y62" s="9" t="s">
        <v>371</v>
      </c>
      <c r="Z62" s="9" t="s">
        <v>345</v>
      </c>
    </row>
    <row r="63" spans="1:26" x14ac:dyDescent="0.4">
      <c r="A63" s="12" t="s">
        <v>407</v>
      </c>
      <c r="B63" s="28" t="s">
        <v>121</v>
      </c>
      <c r="C63" s="10">
        <v>42935.561805555553</v>
      </c>
      <c r="D63" s="9" t="s">
        <v>336</v>
      </c>
      <c r="E63" s="9" t="s">
        <v>299</v>
      </c>
      <c r="F63" s="9" t="s">
        <v>371</v>
      </c>
      <c r="G63" s="9" t="s">
        <v>372</v>
      </c>
      <c r="H63" s="9" t="s">
        <v>407</v>
      </c>
      <c r="I63" s="7" t="str">
        <f>IF(RAdata6[[#This Row],[pi_last_name]]=" ","",HYPERLINK("https://www.ejacket.nsf.gov/ej/showProposal.do?Continue=Y&amp;ID="&amp;RAdata6[[#This Row],[prop_id]],RAdata6[[#This Row],[prop_id]]))</f>
        <v/>
      </c>
      <c r="J63" s="7" t="str">
        <f>IF(RAdata6[[#This Row],[pi_last_name]]=" ","",HYPERLINK("https://www.ejacket.nsf.gov/ej/processReviewAnalysis.do?dispatch=add&amp;uniqId="&amp;RAdata6[[#This Row],[prop_id]]&amp;pm_ibm_logn_id,"&gt;ra"))</f>
        <v/>
      </c>
      <c r="K63" s="9" t="s">
        <v>25</v>
      </c>
      <c r="L63" s="9" t="s">
        <v>25</v>
      </c>
      <c r="M63" s="9" t="s">
        <v>25</v>
      </c>
      <c r="N63" s="9">
        <v>1</v>
      </c>
      <c r="O63" s="9">
        <v>1</v>
      </c>
      <c r="P63" s="13">
        <v>0</v>
      </c>
      <c r="Q63" s="13">
        <v>4000</v>
      </c>
      <c r="R63" s="13">
        <v>0</v>
      </c>
      <c r="S63" s="15">
        <v>106639</v>
      </c>
      <c r="T63" s="9">
        <v>0</v>
      </c>
      <c r="U63" s="9">
        <v>5</v>
      </c>
      <c r="V63" s="14" t="str">
        <f ca="1">IF(ISBLANK(RAdata6[[#This Row],[budg_seq_yr]]),"FY"&amp;fiscalyear,"FY"&amp;fiscalyear-1+RAdata6[[#This Row],[budg_seq_yr]])</f>
        <v>FY22</v>
      </c>
      <c r="W63" s="13">
        <v>106639</v>
      </c>
      <c r="X63" s="9" t="s">
        <v>299</v>
      </c>
      <c r="Y63" s="9" t="s">
        <v>371</v>
      </c>
      <c r="Z63" s="9" t="s">
        <v>345</v>
      </c>
    </row>
    <row r="64" spans="1:26" x14ac:dyDescent="0.4">
      <c r="A64" s="12" t="s">
        <v>411</v>
      </c>
      <c r="B64" s="28" t="s">
        <v>121</v>
      </c>
      <c r="C64" s="10">
        <v>42935.652777777781</v>
      </c>
      <c r="D64" s="9" t="s">
        <v>336</v>
      </c>
      <c r="E64" s="9" t="s">
        <v>299</v>
      </c>
      <c r="F64" s="9" t="s">
        <v>371</v>
      </c>
      <c r="G64" s="9" t="s">
        <v>372</v>
      </c>
      <c r="H64" s="9" t="s">
        <v>411</v>
      </c>
      <c r="I64" s="7" t="str">
        <f>IF(RAdata6[[#This Row],[pi_last_name]]=" ","",HYPERLINK("https://www.ejacket.nsf.gov/ej/showProposal.do?Continue=Y&amp;ID="&amp;RAdata6[[#This Row],[prop_id]],RAdata6[[#This Row],[prop_id]]))</f>
        <v>1750886</v>
      </c>
      <c r="J64" s="7" t="str">
        <f>IF(RAdata6[[#This Row],[pi_last_name]]=" ","",HYPERLINK("https://www.ejacket.nsf.gov/ej/processReviewAnalysis.do?dispatch=add&amp;uniqId="&amp;RAdata6[[#This Row],[prop_id]]&amp;pm_ibm_logn_id,"&gt;ra"))</f>
        <v>&gt;ra</v>
      </c>
      <c r="K64" s="9" t="s">
        <v>346</v>
      </c>
      <c r="L64" s="9" t="s">
        <v>412</v>
      </c>
      <c r="M64" s="9" t="s">
        <v>413</v>
      </c>
      <c r="N64" s="9"/>
      <c r="O64" s="9"/>
      <c r="P64" s="13"/>
      <c r="Q64" s="13"/>
      <c r="R64" s="13"/>
      <c r="S64" s="15"/>
      <c r="T64" s="9">
        <v>0</v>
      </c>
      <c r="U64" s="9"/>
      <c r="V64" s="14" t="str">
        <f ca="1">IF(ISBLANK(RAdata6[[#This Row],[budg_seq_yr]]),"FY"&amp;fiscalyear,"FY"&amp;fiscalyear-1+RAdata6[[#This Row],[budg_seq_yr]])</f>
        <v>FY18</v>
      </c>
      <c r="W64" s="13">
        <v>506060</v>
      </c>
      <c r="X64" s="9" t="s">
        <v>299</v>
      </c>
      <c r="Y64" s="9" t="s">
        <v>371</v>
      </c>
      <c r="Z64" s="9" t="s">
        <v>414</v>
      </c>
    </row>
    <row r="65" spans="1:26" x14ac:dyDescent="0.4">
      <c r="A65" s="12" t="s">
        <v>411</v>
      </c>
      <c r="B65" s="28" t="s">
        <v>121</v>
      </c>
      <c r="C65" s="10">
        <v>42935.652777777781</v>
      </c>
      <c r="D65" s="9" t="s">
        <v>336</v>
      </c>
      <c r="E65" s="9" t="s">
        <v>299</v>
      </c>
      <c r="F65" s="9" t="s">
        <v>371</v>
      </c>
      <c r="G65" s="9" t="s">
        <v>372</v>
      </c>
      <c r="H65" s="9" t="s">
        <v>411</v>
      </c>
      <c r="I65" s="7" t="str">
        <f>IF(RAdata6[[#This Row],[pi_last_name]]=" ","",HYPERLINK("https://www.ejacket.nsf.gov/ej/showProposal.do?Continue=Y&amp;ID="&amp;RAdata6[[#This Row],[prop_id]],RAdata6[[#This Row],[prop_id]]))</f>
        <v/>
      </c>
      <c r="J65" s="7" t="str">
        <f>IF(RAdata6[[#This Row],[pi_last_name]]=" ","",HYPERLINK("https://www.ejacket.nsf.gov/ej/processReviewAnalysis.do?dispatch=add&amp;uniqId="&amp;RAdata6[[#This Row],[prop_id]]&amp;pm_ibm_logn_id,"&gt;ra"))</f>
        <v/>
      </c>
      <c r="K65" s="9" t="s">
        <v>25</v>
      </c>
      <c r="L65" s="9" t="s">
        <v>25</v>
      </c>
      <c r="M65" s="9" t="s">
        <v>25</v>
      </c>
      <c r="N65" s="9">
        <v>1</v>
      </c>
      <c r="O65" s="9">
        <v>1</v>
      </c>
      <c r="P65" s="13">
        <v>0</v>
      </c>
      <c r="Q65" s="13">
        <v>4500</v>
      </c>
      <c r="R65" s="13">
        <v>0</v>
      </c>
      <c r="S65" s="15">
        <v>111622</v>
      </c>
      <c r="T65" s="9">
        <v>0</v>
      </c>
      <c r="U65" s="9">
        <v>1</v>
      </c>
      <c r="V65" s="14" t="str">
        <f ca="1">IF(ISBLANK(RAdata6[[#This Row],[budg_seq_yr]]),"FY"&amp;fiscalyear,"FY"&amp;fiscalyear-1+RAdata6[[#This Row],[budg_seq_yr]])</f>
        <v>FY18</v>
      </c>
      <c r="W65" s="13">
        <v>111622</v>
      </c>
      <c r="X65" s="9" t="s">
        <v>299</v>
      </c>
      <c r="Y65" s="9" t="s">
        <v>371</v>
      </c>
      <c r="Z65" s="9" t="s">
        <v>414</v>
      </c>
    </row>
    <row r="66" spans="1:26" x14ac:dyDescent="0.4">
      <c r="A66" s="12" t="s">
        <v>411</v>
      </c>
      <c r="B66" s="28" t="s">
        <v>121</v>
      </c>
      <c r="C66" s="10">
        <v>42935.652777777781</v>
      </c>
      <c r="D66" s="9" t="s">
        <v>336</v>
      </c>
      <c r="E66" s="9" t="s">
        <v>299</v>
      </c>
      <c r="F66" s="9" t="s">
        <v>371</v>
      </c>
      <c r="G66" s="9" t="s">
        <v>372</v>
      </c>
      <c r="H66" s="9" t="s">
        <v>411</v>
      </c>
      <c r="I66" s="7" t="str">
        <f>IF(RAdata6[[#This Row],[pi_last_name]]=" ","",HYPERLINK("https://www.ejacket.nsf.gov/ej/showProposal.do?Continue=Y&amp;ID="&amp;RAdata6[[#This Row],[prop_id]],RAdata6[[#This Row],[prop_id]]))</f>
        <v/>
      </c>
      <c r="J66" s="7" t="str">
        <f>IF(RAdata6[[#This Row],[pi_last_name]]=" ","",HYPERLINK("https://www.ejacket.nsf.gov/ej/processReviewAnalysis.do?dispatch=add&amp;uniqId="&amp;RAdata6[[#This Row],[prop_id]]&amp;pm_ibm_logn_id,"&gt;ra"))</f>
        <v/>
      </c>
      <c r="K66" s="9" t="s">
        <v>25</v>
      </c>
      <c r="L66" s="9" t="s">
        <v>25</v>
      </c>
      <c r="M66" s="9" t="s">
        <v>25</v>
      </c>
      <c r="N66" s="9">
        <v>1</v>
      </c>
      <c r="O66" s="9">
        <v>1</v>
      </c>
      <c r="P66" s="13">
        <v>0</v>
      </c>
      <c r="Q66" s="13">
        <v>4500</v>
      </c>
      <c r="R66" s="13">
        <v>0</v>
      </c>
      <c r="S66" s="15">
        <v>114799</v>
      </c>
      <c r="T66" s="9">
        <v>0</v>
      </c>
      <c r="U66" s="9">
        <v>2</v>
      </c>
      <c r="V66" s="14" t="str">
        <f ca="1">IF(ISBLANK(RAdata6[[#This Row],[budg_seq_yr]]),"FY"&amp;fiscalyear,"FY"&amp;fiscalyear-1+RAdata6[[#This Row],[budg_seq_yr]])</f>
        <v>FY19</v>
      </c>
      <c r="W66" s="13">
        <v>114799</v>
      </c>
      <c r="X66" s="9" t="s">
        <v>299</v>
      </c>
      <c r="Y66" s="9" t="s">
        <v>371</v>
      </c>
      <c r="Z66" s="9" t="s">
        <v>414</v>
      </c>
    </row>
    <row r="67" spans="1:26" x14ac:dyDescent="0.4">
      <c r="A67" s="12" t="s">
        <v>411</v>
      </c>
      <c r="B67" s="28" t="s">
        <v>121</v>
      </c>
      <c r="C67" s="10">
        <v>42935.652777777781</v>
      </c>
      <c r="D67" s="9" t="s">
        <v>336</v>
      </c>
      <c r="E67" s="9" t="s">
        <v>299</v>
      </c>
      <c r="F67" s="9" t="s">
        <v>371</v>
      </c>
      <c r="G67" s="9" t="s">
        <v>372</v>
      </c>
      <c r="H67" s="9" t="s">
        <v>411</v>
      </c>
      <c r="I67" s="7" t="str">
        <f>IF(RAdata6[[#This Row],[pi_last_name]]=" ","",HYPERLINK("https://www.ejacket.nsf.gov/ej/showProposal.do?Continue=Y&amp;ID="&amp;RAdata6[[#This Row],[prop_id]],RAdata6[[#This Row],[prop_id]]))</f>
        <v/>
      </c>
      <c r="J67" s="7" t="str">
        <f>IF(RAdata6[[#This Row],[pi_last_name]]=" ","",HYPERLINK("https://www.ejacket.nsf.gov/ej/processReviewAnalysis.do?dispatch=add&amp;uniqId="&amp;RAdata6[[#This Row],[prop_id]]&amp;pm_ibm_logn_id,"&gt;ra"))</f>
        <v/>
      </c>
      <c r="K67" s="9" t="s">
        <v>25</v>
      </c>
      <c r="L67" s="9" t="s">
        <v>25</v>
      </c>
      <c r="M67" s="9" t="s">
        <v>25</v>
      </c>
      <c r="N67" s="9">
        <v>1</v>
      </c>
      <c r="O67" s="9">
        <v>1</v>
      </c>
      <c r="P67" s="13">
        <v>0</v>
      </c>
      <c r="Q67" s="13">
        <v>4500</v>
      </c>
      <c r="R67" s="13">
        <v>0</v>
      </c>
      <c r="S67" s="15">
        <v>121140</v>
      </c>
      <c r="T67" s="9">
        <v>0</v>
      </c>
      <c r="U67" s="9">
        <v>3</v>
      </c>
      <c r="V67" s="14" t="str">
        <f ca="1">IF(ISBLANK(RAdata6[[#This Row],[budg_seq_yr]]),"FY"&amp;fiscalyear,"FY"&amp;fiscalyear-1+RAdata6[[#This Row],[budg_seq_yr]])</f>
        <v>FY20</v>
      </c>
      <c r="W67" s="13">
        <v>121140</v>
      </c>
      <c r="X67" s="9" t="s">
        <v>299</v>
      </c>
      <c r="Y67" s="9" t="s">
        <v>371</v>
      </c>
      <c r="Z67" s="9" t="s">
        <v>414</v>
      </c>
    </row>
    <row r="68" spans="1:26" x14ac:dyDescent="0.4">
      <c r="A68" s="12" t="s">
        <v>411</v>
      </c>
      <c r="B68" s="28" t="s">
        <v>121</v>
      </c>
      <c r="C68" s="10">
        <v>42935.652777777781</v>
      </c>
      <c r="D68" s="9" t="s">
        <v>336</v>
      </c>
      <c r="E68" s="9" t="s">
        <v>299</v>
      </c>
      <c r="F68" s="9" t="s">
        <v>371</v>
      </c>
      <c r="G68" s="9" t="s">
        <v>372</v>
      </c>
      <c r="H68" s="9" t="s">
        <v>411</v>
      </c>
      <c r="I68" s="7" t="str">
        <f>IF(RAdata6[[#This Row],[pi_last_name]]=" ","",HYPERLINK("https://www.ejacket.nsf.gov/ej/showProposal.do?Continue=Y&amp;ID="&amp;RAdata6[[#This Row],[prop_id]],RAdata6[[#This Row],[prop_id]]))</f>
        <v/>
      </c>
      <c r="J68" s="7" t="str">
        <f>IF(RAdata6[[#This Row],[pi_last_name]]=" ","",HYPERLINK("https://www.ejacket.nsf.gov/ej/processReviewAnalysis.do?dispatch=add&amp;uniqId="&amp;RAdata6[[#This Row],[prop_id]]&amp;pm_ibm_logn_id,"&gt;ra"))</f>
        <v/>
      </c>
      <c r="K68" s="9" t="s">
        <v>25</v>
      </c>
      <c r="L68" s="9" t="s">
        <v>25</v>
      </c>
      <c r="M68" s="9" t="s">
        <v>25</v>
      </c>
      <c r="N68" s="9">
        <v>1</v>
      </c>
      <c r="O68" s="9">
        <v>1</v>
      </c>
      <c r="P68" s="13">
        <v>0</v>
      </c>
      <c r="Q68" s="13">
        <v>4500</v>
      </c>
      <c r="R68" s="13">
        <v>0</v>
      </c>
      <c r="S68" s="15">
        <v>80554</v>
      </c>
      <c r="T68" s="9">
        <v>0</v>
      </c>
      <c r="U68" s="9">
        <v>4</v>
      </c>
      <c r="V68" s="14" t="str">
        <f ca="1">IF(ISBLANK(RAdata6[[#This Row],[budg_seq_yr]]),"FY"&amp;fiscalyear,"FY"&amp;fiscalyear-1+RAdata6[[#This Row],[budg_seq_yr]])</f>
        <v>FY21</v>
      </c>
      <c r="W68" s="13">
        <v>80554</v>
      </c>
      <c r="X68" s="9" t="s">
        <v>299</v>
      </c>
      <c r="Y68" s="9" t="s">
        <v>371</v>
      </c>
      <c r="Z68" s="9" t="s">
        <v>414</v>
      </c>
    </row>
    <row r="69" spans="1:26" x14ac:dyDescent="0.4">
      <c r="A69" s="12" t="s">
        <v>411</v>
      </c>
      <c r="B69" s="28" t="s">
        <v>121</v>
      </c>
      <c r="C69" s="10">
        <v>42935.652777777781</v>
      </c>
      <c r="D69" s="9" t="s">
        <v>336</v>
      </c>
      <c r="E69" s="9" t="s">
        <v>299</v>
      </c>
      <c r="F69" s="9" t="s">
        <v>371</v>
      </c>
      <c r="G69" s="9" t="s">
        <v>372</v>
      </c>
      <c r="H69" s="9" t="s">
        <v>411</v>
      </c>
      <c r="I69" s="7" t="str">
        <f>IF(RAdata6[[#This Row],[pi_last_name]]=" ","",HYPERLINK("https://www.ejacket.nsf.gov/ej/showProposal.do?Continue=Y&amp;ID="&amp;RAdata6[[#This Row],[prop_id]],RAdata6[[#This Row],[prop_id]]))</f>
        <v/>
      </c>
      <c r="J69" s="7" t="str">
        <f>IF(RAdata6[[#This Row],[pi_last_name]]=" ","",HYPERLINK("https://www.ejacket.nsf.gov/ej/processReviewAnalysis.do?dispatch=add&amp;uniqId="&amp;RAdata6[[#This Row],[prop_id]]&amp;pm_ibm_logn_id,"&gt;ra"))</f>
        <v/>
      </c>
      <c r="K69" s="9" t="s">
        <v>25</v>
      </c>
      <c r="L69" s="9" t="s">
        <v>25</v>
      </c>
      <c r="M69" s="9" t="s">
        <v>25</v>
      </c>
      <c r="N69" s="9">
        <v>1</v>
      </c>
      <c r="O69" s="9">
        <v>1</v>
      </c>
      <c r="P69" s="13">
        <v>0</v>
      </c>
      <c r="Q69" s="13">
        <v>2250</v>
      </c>
      <c r="R69" s="13">
        <v>0</v>
      </c>
      <c r="S69" s="15">
        <v>77945</v>
      </c>
      <c r="T69" s="9">
        <v>0</v>
      </c>
      <c r="U69" s="9">
        <v>5</v>
      </c>
      <c r="V69" s="14" t="str">
        <f ca="1">IF(ISBLANK(RAdata6[[#This Row],[budg_seq_yr]]),"FY"&amp;fiscalyear,"FY"&amp;fiscalyear-1+RAdata6[[#This Row],[budg_seq_yr]])</f>
        <v>FY22</v>
      </c>
      <c r="W69" s="13">
        <v>77945</v>
      </c>
      <c r="X69" s="9" t="s">
        <v>299</v>
      </c>
      <c r="Y69" s="9" t="s">
        <v>371</v>
      </c>
      <c r="Z69" s="9" t="s">
        <v>414</v>
      </c>
    </row>
    <row r="70" spans="1:26" x14ac:dyDescent="0.4">
      <c r="A70" s="12" t="s">
        <v>415</v>
      </c>
      <c r="B70" s="28" t="s">
        <v>121</v>
      </c>
      <c r="C70" s="10">
        <v>42935.665277777778</v>
      </c>
      <c r="D70" s="9" t="s">
        <v>336</v>
      </c>
      <c r="E70" s="9" t="s">
        <v>299</v>
      </c>
      <c r="F70" s="9" t="s">
        <v>371</v>
      </c>
      <c r="G70" s="9" t="s">
        <v>376</v>
      </c>
      <c r="H70" s="9" t="s">
        <v>415</v>
      </c>
      <c r="I70" s="7" t="str">
        <f>IF(RAdata6[[#This Row],[pi_last_name]]=" ","",HYPERLINK("https://www.ejacket.nsf.gov/ej/showProposal.do?Continue=Y&amp;ID="&amp;RAdata6[[#This Row],[prop_id]],RAdata6[[#This Row],[prop_id]]))</f>
        <v>1750965</v>
      </c>
      <c r="J70" s="7" t="str">
        <f>IF(RAdata6[[#This Row],[pi_last_name]]=" ","",HYPERLINK("https://www.ejacket.nsf.gov/ej/processReviewAnalysis.do?dispatch=add&amp;uniqId="&amp;RAdata6[[#This Row],[prop_id]]&amp;pm_ibm_logn_id,"&gt;ra"))</f>
        <v>&gt;ra</v>
      </c>
      <c r="K70" s="9" t="s">
        <v>416</v>
      </c>
      <c r="L70" s="9" t="s">
        <v>341</v>
      </c>
      <c r="M70" s="9" t="s">
        <v>417</v>
      </c>
      <c r="N70" s="9"/>
      <c r="O70" s="9"/>
      <c r="P70" s="13"/>
      <c r="Q70" s="13"/>
      <c r="R70" s="13"/>
      <c r="S70" s="15"/>
      <c r="T70" s="9">
        <v>0</v>
      </c>
      <c r="U70" s="9"/>
      <c r="V70" s="14" t="str">
        <f ca="1">IF(ISBLANK(RAdata6[[#This Row],[budg_seq_yr]]),"FY"&amp;fiscalyear,"FY"&amp;fiscalyear-1+RAdata6[[#This Row],[budg_seq_yr]])</f>
        <v>FY18</v>
      </c>
      <c r="W70" s="13">
        <v>571195</v>
      </c>
      <c r="X70" s="9" t="s">
        <v>299</v>
      </c>
      <c r="Y70" s="9" t="s">
        <v>371</v>
      </c>
      <c r="Z70" s="9" t="s">
        <v>345</v>
      </c>
    </row>
    <row r="71" spans="1:26" x14ac:dyDescent="0.4">
      <c r="A71" s="12" t="s">
        <v>415</v>
      </c>
      <c r="B71" s="28" t="s">
        <v>121</v>
      </c>
      <c r="C71" s="10">
        <v>42935.665277777778</v>
      </c>
      <c r="D71" s="9" t="s">
        <v>336</v>
      </c>
      <c r="E71" s="9" t="s">
        <v>299</v>
      </c>
      <c r="F71" s="9" t="s">
        <v>371</v>
      </c>
      <c r="G71" s="9" t="s">
        <v>376</v>
      </c>
      <c r="H71" s="9" t="s">
        <v>415</v>
      </c>
      <c r="I71" s="7" t="str">
        <f>IF(RAdata6[[#This Row],[pi_last_name]]=" ","",HYPERLINK("https://www.ejacket.nsf.gov/ej/showProposal.do?Continue=Y&amp;ID="&amp;RAdata6[[#This Row],[prop_id]],RAdata6[[#This Row],[prop_id]]))</f>
        <v/>
      </c>
      <c r="J71" s="7" t="str">
        <f>IF(RAdata6[[#This Row],[pi_last_name]]=" ","",HYPERLINK("https://www.ejacket.nsf.gov/ej/processReviewAnalysis.do?dispatch=add&amp;uniqId="&amp;RAdata6[[#This Row],[prop_id]]&amp;pm_ibm_logn_id,"&gt;ra"))</f>
        <v/>
      </c>
      <c r="K71" s="9" t="s">
        <v>25</v>
      </c>
      <c r="L71" s="9" t="s">
        <v>25</v>
      </c>
      <c r="M71" s="9" t="s">
        <v>25</v>
      </c>
      <c r="N71" s="9">
        <v>1</v>
      </c>
      <c r="O71" s="9">
        <v>1</v>
      </c>
      <c r="P71" s="13">
        <v>0</v>
      </c>
      <c r="Q71" s="13">
        <v>3000</v>
      </c>
      <c r="R71" s="13">
        <v>0</v>
      </c>
      <c r="S71" s="15">
        <v>113618</v>
      </c>
      <c r="T71" s="9">
        <v>0</v>
      </c>
      <c r="U71" s="9">
        <v>1</v>
      </c>
      <c r="V71" s="14" t="str">
        <f ca="1">IF(ISBLANK(RAdata6[[#This Row],[budg_seq_yr]]),"FY"&amp;fiscalyear,"FY"&amp;fiscalyear-1+RAdata6[[#This Row],[budg_seq_yr]])</f>
        <v>FY18</v>
      </c>
      <c r="W71" s="13">
        <v>113618</v>
      </c>
      <c r="X71" s="9" t="s">
        <v>299</v>
      </c>
      <c r="Y71" s="9" t="s">
        <v>371</v>
      </c>
      <c r="Z71" s="9" t="s">
        <v>345</v>
      </c>
    </row>
    <row r="72" spans="1:26" x14ac:dyDescent="0.4">
      <c r="A72" s="12" t="s">
        <v>415</v>
      </c>
      <c r="B72" s="28" t="s">
        <v>121</v>
      </c>
      <c r="C72" s="10">
        <v>42935.665277777778</v>
      </c>
      <c r="D72" s="9" t="s">
        <v>336</v>
      </c>
      <c r="E72" s="9" t="s">
        <v>299</v>
      </c>
      <c r="F72" s="9" t="s">
        <v>371</v>
      </c>
      <c r="G72" s="9" t="s">
        <v>376</v>
      </c>
      <c r="H72" s="9" t="s">
        <v>415</v>
      </c>
      <c r="I72" s="7" t="str">
        <f>IF(RAdata6[[#This Row],[pi_last_name]]=" ","",HYPERLINK("https://www.ejacket.nsf.gov/ej/showProposal.do?Continue=Y&amp;ID="&amp;RAdata6[[#This Row],[prop_id]],RAdata6[[#This Row],[prop_id]]))</f>
        <v/>
      </c>
      <c r="J72" s="7" t="str">
        <f>IF(RAdata6[[#This Row],[pi_last_name]]=" ","",HYPERLINK("https://www.ejacket.nsf.gov/ej/processReviewAnalysis.do?dispatch=add&amp;uniqId="&amp;RAdata6[[#This Row],[prop_id]]&amp;pm_ibm_logn_id,"&gt;ra"))</f>
        <v/>
      </c>
      <c r="K72" s="9" t="s">
        <v>25</v>
      </c>
      <c r="L72" s="9" t="s">
        <v>25</v>
      </c>
      <c r="M72" s="9" t="s">
        <v>25</v>
      </c>
      <c r="N72" s="9">
        <v>1</v>
      </c>
      <c r="O72" s="9">
        <v>1</v>
      </c>
      <c r="P72" s="13">
        <v>0</v>
      </c>
      <c r="Q72" s="13">
        <v>3090</v>
      </c>
      <c r="R72" s="13">
        <v>0</v>
      </c>
      <c r="S72" s="15">
        <v>109080</v>
      </c>
      <c r="T72" s="9">
        <v>0</v>
      </c>
      <c r="U72" s="9">
        <v>2</v>
      </c>
      <c r="V72" s="14" t="str">
        <f ca="1">IF(ISBLANK(RAdata6[[#This Row],[budg_seq_yr]]),"FY"&amp;fiscalyear,"FY"&amp;fiscalyear-1+RAdata6[[#This Row],[budg_seq_yr]])</f>
        <v>FY19</v>
      </c>
      <c r="W72" s="13">
        <v>109080</v>
      </c>
      <c r="X72" s="9" t="s">
        <v>299</v>
      </c>
      <c r="Y72" s="9" t="s">
        <v>371</v>
      </c>
      <c r="Z72" s="9" t="s">
        <v>345</v>
      </c>
    </row>
    <row r="73" spans="1:26" x14ac:dyDescent="0.4">
      <c r="A73" s="12" t="s">
        <v>415</v>
      </c>
      <c r="B73" s="28" t="s">
        <v>121</v>
      </c>
      <c r="C73" s="10">
        <v>42935.665277777778</v>
      </c>
      <c r="D73" s="9" t="s">
        <v>336</v>
      </c>
      <c r="E73" s="9" t="s">
        <v>299</v>
      </c>
      <c r="F73" s="9" t="s">
        <v>371</v>
      </c>
      <c r="G73" s="9" t="s">
        <v>376</v>
      </c>
      <c r="H73" s="9" t="s">
        <v>415</v>
      </c>
      <c r="I73" s="7" t="str">
        <f>IF(RAdata6[[#This Row],[pi_last_name]]=" ","",HYPERLINK("https://www.ejacket.nsf.gov/ej/showProposal.do?Continue=Y&amp;ID="&amp;RAdata6[[#This Row],[prop_id]],RAdata6[[#This Row],[prop_id]]))</f>
        <v/>
      </c>
      <c r="J73" s="7" t="str">
        <f>IF(RAdata6[[#This Row],[pi_last_name]]=" ","",HYPERLINK("https://www.ejacket.nsf.gov/ej/processReviewAnalysis.do?dispatch=add&amp;uniqId="&amp;RAdata6[[#This Row],[prop_id]]&amp;pm_ibm_logn_id,"&gt;ra"))</f>
        <v/>
      </c>
      <c r="K73" s="9" t="s">
        <v>25</v>
      </c>
      <c r="L73" s="9" t="s">
        <v>25</v>
      </c>
      <c r="M73" s="9" t="s">
        <v>25</v>
      </c>
      <c r="N73" s="9">
        <v>1</v>
      </c>
      <c r="O73" s="9">
        <v>1</v>
      </c>
      <c r="P73" s="13">
        <v>0</v>
      </c>
      <c r="Q73" s="13">
        <v>3183</v>
      </c>
      <c r="R73" s="13">
        <v>0</v>
      </c>
      <c r="S73" s="15">
        <v>112806</v>
      </c>
      <c r="T73" s="9">
        <v>0</v>
      </c>
      <c r="U73" s="9">
        <v>3</v>
      </c>
      <c r="V73" s="14" t="str">
        <f ca="1">IF(ISBLANK(RAdata6[[#This Row],[budg_seq_yr]]),"FY"&amp;fiscalyear,"FY"&amp;fiscalyear-1+RAdata6[[#This Row],[budg_seq_yr]])</f>
        <v>FY20</v>
      </c>
      <c r="W73" s="13">
        <v>112806</v>
      </c>
      <c r="X73" s="9" t="s">
        <v>299</v>
      </c>
      <c r="Y73" s="9" t="s">
        <v>371</v>
      </c>
      <c r="Z73" s="9" t="s">
        <v>345</v>
      </c>
    </row>
    <row r="74" spans="1:26" x14ac:dyDescent="0.4">
      <c r="A74" s="12" t="s">
        <v>415</v>
      </c>
      <c r="B74" s="28" t="s">
        <v>121</v>
      </c>
      <c r="C74" s="10">
        <v>42935.665277777778</v>
      </c>
      <c r="D74" s="9" t="s">
        <v>336</v>
      </c>
      <c r="E74" s="9" t="s">
        <v>299</v>
      </c>
      <c r="F74" s="9" t="s">
        <v>371</v>
      </c>
      <c r="G74" s="9" t="s">
        <v>376</v>
      </c>
      <c r="H74" s="9" t="s">
        <v>415</v>
      </c>
      <c r="I74" s="7" t="str">
        <f>IF(RAdata6[[#This Row],[pi_last_name]]=" ","",HYPERLINK("https://www.ejacket.nsf.gov/ej/showProposal.do?Continue=Y&amp;ID="&amp;RAdata6[[#This Row],[prop_id]],RAdata6[[#This Row],[prop_id]]))</f>
        <v/>
      </c>
      <c r="J74" s="7" t="str">
        <f>IF(RAdata6[[#This Row],[pi_last_name]]=" ","",HYPERLINK("https://www.ejacket.nsf.gov/ej/processReviewAnalysis.do?dispatch=add&amp;uniqId="&amp;RAdata6[[#This Row],[prop_id]]&amp;pm_ibm_logn_id,"&gt;ra"))</f>
        <v/>
      </c>
      <c r="K74" s="9" t="s">
        <v>25</v>
      </c>
      <c r="L74" s="9" t="s">
        <v>25</v>
      </c>
      <c r="M74" s="9" t="s">
        <v>25</v>
      </c>
      <c r="N74" s="9">
        <v>1</v>
      </c>
      <c r="O74" s="9">
        <v>1</v>
      </c>
      <c r="P74" s="13">
        <v>0</v>
      </c>
      <c r="Q74" s="13">
        <v>3278</v>
      </c>
      <c r="R74" s="13">
        <v>0</v>
      </c>
      <c r="S74" s="15">
        <v>116127</v>
      </c>
      <c r="T74" s="9">
        <v>0</v>
      </c>
      <c r="U74" s="9">
        <v>4</v>
      </c>
      <c r="V74" s="14" t="str">
        <f ca="1">IF(ISBLANK(RAdata6[[#This Row],[budg_seq_yr]]),"FY"&amp;fiscalyear,"FY"&amp;fiscalyear-1+RAdata6[[#This Row],[budg_seq_yr]])</f>
        <v>FY21</v>
      </c>
      <c r="W74" s="13">
        <v>116127</v>
      </c>
      <c r="X74" s="9" t="s">
        <v>299</v>
      </c>
      <c r="Y74" s="9" t="s">
        <v>371</v>
      </c>
      <c r="Z74" s="9" t="s">
        <v>345</v>
      </c>
    </row>
    <row r="75" spans="1:26" x14ac:dyDescent="0.4">
      <c r="A75" s="12" t="s">
        <v>415</v>
      </c>
      <c r="B75" s="28" t="s">
        <v>121</v>
      </c>
      <c r="C75" s="10">
        <v>42935.665277777778</v>
      </c>
      <c r="D75" s="9" t="s">
        <v>336</v>
      </c>
      <c r="E75" s="9" t="s">
        <v>299</v>
      </c>
      <c r="F75" s="9" t="s">
        <v>371</v>
      </c>
      <c r="G75" s="9" t="s">
        <v>376</v>
      </c>
      <c r="H75" s="9" t="s">
        <v>415</v>
      </c>
      <c r="I75" s="7" t="str">
        <f>IF(RAdata6[[#This Row],[pi_last_name]]=" ","",HYPERLINK("https://www.ejacket.nsf.gov/ej/showProposal.do?Continue=Y&amp;ID="&amp;RAdata6[[#This Row],[prop_id]],RAdata6[[#This Row],[prop_id]]))</f>
        <v/>
      </c>
      <c r="J75" s="7" t="str">
        <f>IF(RAdata6[[#This Row],[pi_last_name]]=" ","",HYPERLINK("https://www.ejacket.nsf.gov/ej/processReviewAnalysis.do?dispatch=add&amp;uniqId="&amp;RAdata6[[#This Row],[prop_id]]&amp;pm_ibm_logn_id,"&gt;ra"))</f>
        <v/>
      </c>
      <c r="K75" s="9" t="s">
        <v>25</v>
      </c>
      <c r="L75" s="9" t="s">
        <v>25</v>
      </c>
      <c r="M75" s="9" t="s">
        <v>25</v>
      </c>
      <c r="N75" s="9">
        <v>1</v>
      </c>
      <c r="O75" s="9">
        <v>1</v>
      </c>
      <c r="P75" s="13">
        <v>0</v>
      </c>
      <c r="Q75" s="13">
        <v>3377</v>
      </c>
      <c r="R75" s="13">
        <v>0</v>
      </c>
      <c r="S75" s="15">
        <v>119564</v>
      </c>
      <c r="T75" s="9">
        <v>0</v>
      </c>
      <c r="U75" s="9">
        <v>5</v>
      </c>
      <c r="V75" s="14" t="str">
        <f ca="1">IF(ISBLANK(RAdata6[[#This Row],[budg_seq_yr]]),"FY"&amp;fiscalyear,"FY"&amp;fiscalyear-1+RAdata6[[#This Row],[budg_seq_yr]])</f>
        <v>FY22</v>
      </c>
      <c r="W75" s="13">
        <v>119564</v>
      </c>
      <c r="X75" s="9" t="s">
        <v>299</v>
      </c>
      <c r="Y75" s="9" t="s">
        <v>371</v>
      </c>
      <c r="Z75" s="9" t="s">
        <v>345</v>
      </c>
    </row>
    <row r="76" spans="1:26" x14ac:dyDescent="0.4">
      <c r="A76" s="12" t="s">
        <v>418</v>
      </c>
      <c r="B76" s="28" t="s">
        <v>121</v>
      </c>
      <c r="C76" s="10">
        <v>42935.67291666667</v>
      </c>
      <c r="D76" s="9" t="s">
        <v>336</v>
      </c>
      <c r="E76" s="9" t="s">
        <v>299</v>
      </c>
      <c r="F76" s="9" t="s">
        <v>371</v>
      </c>
      <c r="G76" s="9" t="s">
        <v>372</v>
      </c>
      <c r="H76" s="9" t="s">
        <v>418</v>
      </c>
      <c r="I76" s="7" t="str">
        <f>IF(RAdata6[[#This Row],[pi_last_name]]=" ","",HYPERLINK("https://www.ejacket.nsf.gov/ej/showProposal.do?Continue=Y&amp;ID="&amp;RAdata6[[#This Row],[prop_id]],RAdata6[[#This Row],[prop_id]]))</f>
        <v>1751011</v>
      </c>
      <c r="J76" s="7" t="str">
        <f>IF(RAdata6[[#This Row],[pi_last_name]]=" ","",HYPERLINK("https://www.ejacket.nsf.gov/ej/processReviewAnalysis.do?dispatch=add&amp;uniqId="&amp;RAdata6[[#This Row],[prop_id]]&amp;pm_ibm_logn_id,"&gt;ra"))</f>
        <v>&gt;ra</v>
      </c>
      <c r="K76" s="9" t="s">
        <v>419</v>
      </c>
      <c r="L76" s="9" t="s">
        <v>300</v>
      </c>
      <c r="M76" s="9" t="s">
        <v>420</v>
      </c>
      <c r="N76" s="9"/>
      <c r="O76" s="9"/>
      <c r="P76" s="13"/>
      <c r="Q76" s="13"/>
      <c r="R76" s="13"/>
      <c r="S76" s="15"/>
      <c r="T76" s="9">
        <v>0</v>
      </c>
      <c r="U76" s="9"/>
      <c r="V76" s="14" t="str">
        <f ca="1">IF(ISBLANK(RAdata6[[#This Row],[budg_seq_yr]]),"FY"&amp;fiscalyear,"FY"&amp;fiscalyear-1+RAdata6[[#This Row],[budg_seq_yr]])</f>
        <v>FY18</v>
      </c>
      <c r="W76" s="13">
        <v>525000</v>
      </c>
      <c r="X76" s="9" t="s">
        <v>299</v>
      </c>
      <c r="Y76" s="9" t="s">
        <v>371</v>
      </c>
      <c r="Z76" s="9" t="s">
        <v>345</v>
      </c>
    </row>
    <row r="77" spans="1:26" x14ac:dyDescent="0.4">
      <c r="A77" s="12" t="s">
        <v>418</v>
      </c>
      <c r="B77" s="28" t="s">
        <v>121</v>
      </c>
      <c r="C77" s="10">
        <v>42935.67291666667</v>
      </c>
      <c r="D77" s="9" t="s">
        <v>336</v>
      </c>
      <c r="E77" s="9" t="s">
        <v>299</v>
      </c>
      <c r="F77" s="9" t="s">
        <v>371</v>
      </c>
      <c r="G77" s="9" t="s">
        <v>372</v>
      </c>
      <c r="H77" s="9" t="s">
        <v>418</v>
      </c>
      <c r="I77" s="7" t="str">
        <f>IF(RAdata6[[#This Row],[pi_last_name]]=" ","",HYPERLINK("https://www.ejacket.nsf.gov/ej/showProposal.do?Continue=Y&amp;ID="&amp;RAdata6[[#This Row],[prop_id]],RAdata6[[#This Row],[prop_id]]))</f>
        <v/>
      </c>
      <c r="J77" s="7" t="str">
        <f>IF(RAdata6[[#This Row],[pi_last_name]]=" ","",HYPERLINK("https://www.ejacket.nsf.gov/ej/processReviewAnalysis.do?dispatch=add&amp;uniqId="&amp;RAdata6[[#This Row],[prop_id]]&amp;pm_ibm_logn_id,"&gt;ra"))</f>
        <v/>
      </c>
      <c r="K77" s="9" t="s">
        <v>25</v>
      </c>
      <c r="L77" s="9" t="s">
        <v>25</v>
      </c>
      <c r="M77" s="9" t="s">
        <v>25</v>
      </c>
      <c r="N77" s="9">
        <v>1</v>
      </c>
      <c r="O77" s="9">
        <v>0.5</v>
      </c>
      <c r="P77" s="13">
        <v>0</v>
      </c>
      <c r="Q77" s="13">
        <v>0</v>
      </c>
      <c r="R77" s="13">
        <v>0</v>
      </c>
      <c r="S77" s="15">
        <v>102911</v>
      </c>
      <c r="T77" s="9">
        <v>0</v>
      </c>
      <c r="U77" s="9">
        <v>1</v>
      </c>
      <c r="V77" s="14" t="str">
        <f ca="1">IF(ISBLANK(RAdata6[[#This Row],[budg_seq_yr]]),"FY"&amp;fiscalyear,"FY"&amp;fiscalyear-1+RAdata6[[#This Row],[budg_seq_yr]])</f>
        <v>FY18</v>
      </c>
      <c r="W77" s="13">
        <v>102911</v>
      </c>
      <c r="X77" s="9" t="s">
        <v>299</v>
      </c>
      <c r="Y77" s="9" t="s">
        <v>371</v>
      </c>
      <c r="Z77" s="9" t="s">
        <v>345</v>
      </c>
    </row>
    <row r="78" spans="1:26" x14ac:dyDescent="0.4">
      <c r="A78" s="12" t="s">
        <v>418</v>
      </c>
      <c r="B78" s="28" t="s">
        <v>121</v>
      </c>
      <c r="C78" s="10">
        <v>42935.67291666667</v>
      </c>
      <c r="D78" s="9" t="s">
        <v>336</v>
      </c>
      <c r="E78" s="9" t="s">
        <v>299</v>
      </c>
      <c r="F78" s="9" t="s">
        <v>371</v>
      </c>
      <c r="G78" s="9" t="s">
        <v>372</v>
      </c>
      <c r="H78" s="9" t="s">
        <v>418</v>
      </c>
      <c r="I78" s="7" t="str">
        <f>IF(RAdata6[[#This Row],[pi_last_name]]=" ","",HYPERLINK("https://www.ejacket.nsf.gov/ej/showProposal.do?Continue=Y&amp;ID="&amp;RAdata6[[#This Row],[prop_id]],RAdata6[[#This Row],[prop_id]]))</f>
        <v/>
      </c>
      <c r="J78" s="7" t="str">
        <f>IF(RAdata6[[#This Row],[pi_last_name]]=" ","",HYPERLINK("https://www.ejacket.nsf.gov/ej/processReviewAnalysis.do?dispatch=add&amp;uniqId="&amp;RAdata6[[#This Row],[prop_id]]&amp;pm_ibm_logn_id,"&gt;ra"))</f>
        <v/>
      </c>
      <c r="K78" s="9" t="s">
        <v>25</v>
      </c>
      <c r="L78" s="9" t="s">
        <v>25</v>
      </c>
      <c r="M78" s="9" t="s">
        <v>25</v>
      </c>
      <c r="N78" s="9">
        <v>1</v>
      </c>
      <c r="O78" s="9">
        <v>0.5</v>
      </c>
      <c r="P78" s="13">
        <v>0</v>
      </c>
      <c r="Q78" s="13">
        <v>0</v>
      </c>
      <c r="R78" s="13">
        <v>0</v>
      </c>
      <c r="S78" s="15">
        <v>100133</v>
      </c>
      <c r="T78" s="9">
        <v>0</v>
      </c>
      <c r="U78" s="9">
        <v>2</v>
      </c>
      <c r="V78" s="14" t="str">
        <f ca="1">IF(ISBLANK(RAdata6[[#This Row],[budg_seq_yr]]),"FY"&amp;fiscalyear,"FY"&amp;fiscalyear-1+RAdata6[[#This Row],[budg_seq_yr]])</f>
        <v>FY19</v>
      </c>
      <c r="W78" s="13">
        <v>100133</v>
      </c>
      <c r="X78" s="9" t="s">
        <v>299</v>
      </c>
      <c r="Y78" s="9" t="s">
        <v>371</v>
      </c>
      <c r="Z78" s="9" t="s">
        <v>345</v>
      </c>
    </row>
    <row r="79" spans="1:26" x14ac:dyDescent="0.4">
      <c r="A79" s="12" t="s">
        <v>418</v>
      </c>
      <c r="B79" s="28" t="s">
        <v>121</v>
      </c>
      <c r="C79" s="10">
        <v>42935.67291666667</v>
      </c>
      <c r="D79" s="9" t="s">
        <v>336</v>
      </c>
      <c r="E79" s="9" t="s">
        <v>299</v>
      </c>
      <c r="F79" s="9" t="s">
        <v>371</v>
      </c>
      <c r="G79" s="9" t="s">
        <v>372</v>
      </c>
      <c r="H79" s="9" t="s">
        <v>418</v>
      </c>
      <c r="I79" s="7" t="str">
        <f>IF(RAdata6[[#This Row],[pi_last_name]]=" ","",HYPERLINK("https://www.ejacket.nsf.gov/ej/showProposal.do?Continue=Y&amp;ID="&amp;RAdata6[[#This Row],[prop_id]],RAdata6[[#This Row],[prop_id]]))</f>
        <v/>
      </c>
      <c r="J79" s="7" t="str">
        <f>IF(RAdata6[[#This Row],[pi_last_name]]=" ","",HYPERLINK("https://www.ejacket.nsf.gov/ej/processReviewAnalysis.do?dispatch=add&amp;uniqId="&amp;RAdata6[[#This Row],[prop_id]]&amp;pm_ibm_logn_id,"&gt;ra"))</f>
        <v/>
      </c>
      <c r="K79" s="9" t="s">
        <v>25</v>
      </c>
      <c r="L79" s="9" t="s">
        <v>25</v>
      </c>
      <c r="M79" s="9" t="s">
        <v>25</v>
      </c>
      <c r="N79" s="9">
        <v>1</v>
      </c>
      <c r="O79" s="9">
        <v>0.5</v>
      </c>
      <c r="P79" s="13">
        <v>0</v>
      </c>
      <c r="Q79" s="13">
        <v>0</v>
      </c>
      <c r="R79" s="13">
        <v>0</v>
      </c>
      <c r="S79" s="15">
        <v>103396</v>
      </c>
      <c r="T79" s="9">
        <v>0</v>
      </c>
      <c r="U79" s="9">
        <v>3</v>
      </c>
      <c r="V79" s="14" t="str">
        <f ca="1">IF(ISBLANK(RAdata6[[#This Row],[budg_seq_yr]]),"FY"&amp;fiscalyear,"FY"&amp;fiscalyear-1+RAdata6[[#This Row],[budg_seq_yr]])</f>
        <v>FY20</v>
      </c>
      <c r="W79" s="13">
        <v>103396</v>
      </c>
      <c r="X79" s="9" t="s">
        <v>299</v>
      </c>
      <c r="Y79" s="9" t="s">
        <v>371</v>
      </c>
      <c r="Z79" s="9" t="s">
        <v>345</v>
      </c>
    </row>
    <row r="80" spans="1:26" x14ac:dyDescent="0.4">
      <c r="A80" s="12" t="s">
        <v>418</v>
      </c>
      <c r="B80" s="28" t="s">
        <v>121</v>
      </c>
      <c r="C80" s="10">
        <v>42935.67291666667</v>
      </c>
      <c r="D80" s="9" t="s">
        <v>336</v>
      </c>
      <c r="E80" s="9" t="s">
        <v>299</v>
      </c>
      <c r="F80" s="9" t="s">
        <v>371</v>
      </c>
      <c r="G80" s="9" t="s">
        <v>372</v>
      </c>
      <c r="H80" s="9" t="s">
        <v>418</v>
      </c>
      <c r="I80" s="7" t="str">
        <f>IF(RAdata6[[#This Row],[pi_last_name]]=" ","",HYPERLINK("https://www.ejacket.nsf.gov/ej/showProposal.do?Continue=Y&amp;ID="&amp;RAdata6[[#This Row],[prop_id]],RAdata6[[#This Row],[prop_id]]))</f>
        <v/>
      </c>
      <c r="J80" s="7" t="str">
        <f>IF(RAdata6[[#This Row],[pi_last_name]]=" ","",HYPERLINK("https://www.ejacket.nsf.gov/ej/processReviewAnalysis.do?dispatch=add&amp;uniqId="&amp;RAdata6[[#This Row],[prop_id]]&amp;pm_ibm_logn_id,"&gt;ra"))</f>
        <v/>
      </c>
      <c r="K80" s="9" t="s">
        <v>25</v>
      </c>
      <c r="L80" s="9" t="s">
        <v>25</v>
      </c>
      <c r="M80" s="9" t="s">
        <v>25</v>
      </c>
      <c r="N80" s="9">
        <v>1</v>
      </c>
      <c r="O80" s="9">
        <v>0.5</v>
      </c>
      <c r="P80" s="13">
        <v>0</v>
      </c>
      <c r="Q80" s="13">
        <v>0</v>
      </c>
      <c r="R80" s="13">
        <v>0</v>
      </c>
      <c r="S80" s="15">
        <v>106778</v>
      </c>
      <c r="T80" s="9">
        <v>0</v>
      </c>
      <c r="U80" s="9">
        <v>4</v>
      </c>
      <c r="V80" s="14" t="str">
        <f ca="1">IF(ISBLANK(RAdata6[[#This Row],[budg_seq_yr]]),"FY"&amp;fiscalyear,"FY"&amp;fiscalyear-1+RAdata6[[#This Row],[budg_seq_yr]])</f>
        <v>FY21</v>
      </c>
      <c r="W80" s="13">
        <v>106778</v>
      </c>
      <c r="X80" s="9" t="s">
        <v>299</v>
      </c>
      <c r="Y80" s="9" t="s">
        <v>371</v>
      </c>
      <c r="Z80" s="9" t="s">
        <v>345</v>
      </c>
    </row>
    <row r="81" spans="1:26" x14ac:dyDescent="0.4">
      <c r="A81" s="12" t="s">
        <v>418</v>
      </c>
      <c r="B81" s="28" t="s">
        <v>121</v>
      </c>
      <c r="C81" s="10">
        <v>42935.67291666667</v>
      </c>
      <c r="D81" s="9" t="s">
        <v>336</v>
      </c>
      <c r="E81" s="9" t="s">
        <v>299</v>
      </c>
      <c r="F81" s="9" t="s">
        <v>371</v>
      </c>
      <c r="G81" s="9" t="s">
        <v>372</v>
      </c>
      <c r="H81" s="9" t="s">
        <v>418</v>
      </c>
      <c r="I81" s="7" t="str">
        <f>IF(RAdata6[[#This Row],[pi_last_name]]=" ","",HYPERLINK("https://www.ejacket.nsf.gov/ej/showProposal.do?Continue=Y&amp;ID="&amp;RAdata6[[#This Row],[prop_id]],RAdata6[[#This Row],[prop_id]]))</f>
        <v/>
      </c>
      <c r="J81" s="7" t="str">
        <f>IF(RAdata6[[#This Row],[pi_last_name]]=" ","",HYPERLINK("https://www.ejacket.nsf.gov/ej/processReviewAnalysis.do?dispatch=add&amp;uniqId="&amp;RAdata6[[#This Row],[prop_id]]&amp;pm_ibm_logn_id,"&gt;ra"))</f>
        <v/>
      </c>
      <c r="K81" s="9" t="s">
        <v>25</v>
      </c>
      <c r="L81" s="9" t="s">
        <v>25</v>
      </c>
      <c r="M81" s="9" t="s">
        <v>25</v>
      </c>
      <c r="N81" s="9">
        <v>1</v>
      </c>
      <c r="O81" s="9">
        <v>0.5</v>
      </c>
      <c r="P81" s="13">
        <v>0</v>
      </c>
      <c r="Q81" s="13">
        <v>0</v>
      </c>
      <c r="R81" s="13">
        <v>0</v>
      </c>
      <c r="S81" s="15">
        <v>111782</v>
      </c>
      <c r="T81" s="9">
        <v>0</v>
      </c>
      <c r="U81" s="9">
        <v>5</v>
      </c>
      <c r="V81" s="14" t="str">
        <f ca="1">IF(ISBLANK(RAdata6[[#This Row],[budg_seq_yr]]),"FY"&amp;fiscalyear,"FY"&amp;fiscalyear-1+RAdata6[[#This Row],[budg_seq_yr]])</f>
        <v>FY22</v>
      </c>
      <c r="W81" s="13">
        <v>111782</v>
      </c>
      <c r="X81" s="9" t="s">
        <v>299</v>
      </c>
      <c r="Y81" s="9" t="s">
        <v>371</v>
      </c>
      <c r="Z81" s="9" t="s">
        <v>345</v>
      </c>
    </row>
    <row r="82" spans="1:26" x14ac:dyDescent="0.4">
      <c r="A82" s="12" t="s">
        <v>421</v>
      </c>
      <c r="B82" s="28" t="s">
        <v>121</v>
      </c>
      <c r="C82" s="10">
        <v>42935.705555555556</v>
      </c>
      <c r="D82" s="9" t="s">
        <v>336</v>
      </c>
      <c r="E82" s="9" t="s">
        <v>299</v>
      </c>
      <c r="F82" s="9" t="s">
        <v>371</v>
      </c>
      <c r="G82" s="9" t="s">
        <v>372</v>
      </c>
      <c r="H82" s="9" t="s">
        <v>421</v>
      </c>
      <c r="I82" s="7" t="str">
        <f>IF(RAdata6[[#This Row],[pi_last_name]]=" ","",HYPERLINK("https://www.ejacket.nsf.gov/ej/showProposal.do?Continue=Y&amp;ID="&amp;RAdata6[[#This Row],[prop_id]],RAdata6[[#This Row],[prop_id]]))</f>
        <v>1751185</v>
      </c>
      <c r="J82" s="7" t="str">
        <f>IF(RAdata6[[#This Row],[pi_last_name]]=" ","",HYPERLINK("https://www.ejacket.nsf.gov/ej/processReviewAnalysis.do?dispatch=add&amp;uniqId="&amp;RAdata6[[#This Row],[prop_id]]&amp;pm_ibm_logn_id,"&gt;ra"))</f>
        <v>&gt;ra</v>
      </c>
      <c r="K82" s="9" t="s">
        <v>422</v>
      </c>
      <c r="L82" s="9" t="s">
        <v>423</v>
      </c>
      <c r="M82" s="9" t="s">
        <v>424</v>
      </c>
      <c r="N82" s="9"/>
      <c r="O82" s="9"/>
      <c r="P82" s="13"/>
      <c r="Q82" s="13"/>
      <c r="R82" s="13"/>
      <c r="S82" s="15"/>
      <c r="T82" s="9">
        <v>0</v>
      </c>
      <c r="U82" s="9"/>
      <c r="V82" s="14" t="str">
        <f ca="1">IF(ISBLANK(RAdata6[[#This Row],[budg_seq_yr]]),"FY"&amp;fiscalyear,"FY"&amp;fiscalyear-1+RAdata6[[#This Row],[budg_seq_yr]])</f>
        <v>FY18</v>
      </c>
      <c r="W82" s="13">
        <v>580408</v>
      </c>
      <c r="X82" s="9" t="s">
        <v>299</v>
      </c>
      <c r="Y82" s="9" t="s">
        <v>371</v>
      </c>
      <c r="Z82" s="9" t="s">
        <v>345</v>
      </c>
    </row>
    <row r="83" spans="1:26" x14ac:dyDescent="0.4">
      <c r="A83" s="12" t="s">
        <v>421</v>
      </c>
      <c r="B83" s="28" t="s">
        <v>121</v>
      </c>
      <c r="C83" s="10">
        <v>42935.705555555556</v>
      </c>
      <c r="D83" s="9" t="s">
        <v>336</v>
      </c>
      <c r="E83" s="9" t="s">
        <v>299</v>
      </c>
      <c r="F83" s="9" t="s">
        <v>371</v>
      </c>
      <c r="G83" s="9" t="s">
        <v>372</v>
      </c>
      <c r="H83" s="9" t="s">
        <v>421</v>
      </c>
      <c r="I83" s="7" t="str">
        <f>IF(RAdata6[[#This Row],[pi_last_name]]=" ","",HYPERLINK("https://www.ejacket.nsf.gov/ej/showProposal.do?Continue=Y&amp;ID="&amp;RAdata6[[#This Row],[prop_id]],RAdata6[[#This Row],[prop_id]]))</f>
        <v/>
      </c>
      <c r="J83" s="7" t="str">
        <f>IF(RAdata6[[#This Row],[pi_last_name]]=" ","",HYPERLINK("https://www.ejacket.nsf.gov/ej/processReviewAnalysis.do?dispatch=add&amp;uniqId="&amp;RAdata6[[#This Row],[prop_id]]&amp;pm_ibm_logn_id,"&gt;ra"))</f>
        <v/>
      </c>
      <c r="K83" s="9" t="s">
        <v>25</v>
      </c>
      <c r="L83" s="9" t="s">
        <v>25</v>
      </c>
      <c r="M83" s="9" t="s">
        <v>25</v>
      </c>
      <c r="N83" s="9">
        <v>1</v>
      </c>
      <c r="O83" s="9">
        <v>2</v>
      </c>
      <c r="P83" s="13">
        <v>0</v>
      </c>
      <c r="Q83" s="13">
        <v>0</v>
      </c>
      <c r="R83" s="13">
        <v>0</v>
      </c>
      <c r="S83" s="15">
        <v>97349</v>
      </c>
      <c r="T83" s="9">
        <v>0</v>
      </c>
      <c r="U83" s="9">
        <v>1</v>
      </c>
      <c r="V83" s="14" t="str">
        <f ca="1">IF(ISBLANK(RAdata6[[#This Row],[budg_seq_yr]]),"FY"&amp;fiscalyear,"FY"&amp;fiscalyear-1+RAdata6[[#This Row],[budg_seq_yr]])</f>
        <v>FY18</v>
      </c>
      <c r="W83" s="13">
        <v>97349</v>
      </c>
      <c r="X83" s="9" t="s">
        <v>299</v>
      </c>
      <c r="Y83" s="9" t="s">
        <v>371</v>
      </c>
      <c r="Z83" s="9" t="s">
        <v>345</v>
      </c>
    </row>
    <row r="84" spans="1:26" x14ac:dyDescent="0.4">
      <c r="A84" s="12" t="s">
        <v>421</v>
      </c>
      <c r="B84" s="28" t="s">
        <v>121</v>
      </c>
      <c r="C84" s="10">
        <v>42935.705555555556</v>
      </c>
      <c r="D84" s="9" t="s">
        <v>336</v>
      </c>
      <c r="E84" s="9" t="s">
        <v>299</v>
      </c>
      <c r="F84" s="9" t="s">
        <v>371</v>
      </c>
      <c r="G84" s="9" t="s">
        <v>372</v>
      </c>
      <c r="H84" s="9" t="s">
        <v>421</v>
      </c>
      <c r="I84" s="7" t="str">
        <f>IF(RAdata6[[#This Row],[pi_last_name]]=" ","",HYPERLINK("https://www.ejacket.nsf.gov/ej/showProposal.do?Continue=Y&amp;ID="&amp;RAdata6[[#This Row],[prop_id]],RAdata6[[#This Row],[prop_id]]))</f>
        <v/>
      </c>
      <c r="J84" s="7" t="str">
        <f>IF(RAdata6[[#This Row],[pi_last_name]]=" ","",HYPERLINK("https://www.ejacket.nsf.gov/ej/processReviewAnalysis.do?dispatch=add&amp;uniqId="&amp;RAdata6[[#This Row],[prop_id]]&amp;pm_ibm_logn_id,"&gt;ra"))</f>
        <v/>
      </c>
      <c r="K84" s="9" t="s">
        <v>25</v>
      </c>
      <c r="L84" s="9" t="s">
        <v>25</v>
      </c>
      <c r="M84" s="9" t="s">
        <v>25</v>
      </c>
      <c r="N84" s="9">
        <v>1</v>
      </c>
      <c r="O84" s="9">
        <v>2</v>
      </c>
      <c r="P84" s="13">
        <v>0</v>
      </c>
      <c r="Q84" s="13">
        <v>17500</v>
      </c>
      <c r="R84" s="13">
        <v>0</v>
      </c>
      <c r="S84" s="15">
        <v>128402</v>
      </c>
      <c r="T84" s="9">
        <v>0</v>
      </c>
      <c r="U84" s="9">
        <v>2</v>
      </c>
      <c r="V84" s="14" t="str">
        <f ca="1">IF(ISBLANK(RAdata6[[#This Row],[budg_seq_yr]]),"FY"&amp;fiscalyear,"FY"&amp;fiscalyear-1+RAdata6[[#This Row],[budg_seq_yr]])</f>
        <v>FY19</v>
      </c>
      <c r="W84" s="13">
        <v>128402</v>
      </c>
      <c r="X84" s="9" t="s">
        <v>299</v>
      </c>
      <c r="Y84" s="9" t="s">
        <v>371</v>
      </c>
      <c r="Z84" s="9" t="s">
        <v>345</v>
      </c>
    </row>
    <row r="85" spans="1:26" x14ac:dyDescent="0.4">
      <c r="A85" s="12" t="s">
        <v>421</v>
      </c>
      <c r="B85" s="28" t="s">
        <v>121</v>
      </c>
      <c r="C85" s="10">
        <v>42935.705555555556</v>
      </c>
      <c r="D85" s="9" t="s">
        <v>336</v>
      </c>
      <c r="E85" s="9" t="s">
        <v>299</v>
      </c>
      <c r="F85" s="9" t="s">
        <v>371</v>
      </c>
      <c r="G85" s="9" t="s">
        <v>372</v>
      </c>
      <c r="H85" s="9" t="s">
        <v>421</v>
      </c>
      <c r="I85" s="7" t="str">
        <f>IF(RAdata6[[#This Row],[pi_last_name]]=" ","",HYPERLINK("https://www.ejacket.nsf.gov/ej/showProposal.do?Continue=Y&amp;ID="&amp;RAdata6[[#This Row],[prop_id]],RAdata6[[#This Row],[prop_id]]))</f>
        <v/>
      </c>
      <c r="J85" s="7" t="str">
        <f>IF(RAdata6[[#This Row],[pi_last_name]]=" ","",HYPERLINK("https://www.ejacket.nsf.gov/ej/processReviewAnalysis.do?dispatch=add&amp;uniqId="&amp;RAdata6[[#This Row],[prop_id]]&amp;pm_ibm_logn_id,"&gt;ra"))</f>
        <v/>
      </c>
      <c r="K85" s="9" t="s">
        <v>25</v>
      </c>
      <c r="L85" s="9" t="s">
        <v>25</v>
      </c>
      <c r="M85" s="9" t="s">
        <v>25</v>
      </c>
      <c r="N85" s="9">
        <v>1</v>
      </c>
      <c r="O85" s="9">
        <v>2</v>
      </c>
      <c r="P85" s="13">
        <v>0</v>
      </c>
      <c r="Q85" s="13">
        <v>0</v>
      </c>
      <c r="R85" s="13">
        <v>0</v>
      </c>
      <c r="S85" s="15">
        <v>105004</v>
      </c>
      <c r="T85" s="9">
        <v>0</v>
      </c>
      <c r="U85" s="9">
        <v>3</v>
      </c>
      <c r="V85" s="14" t="str">
        <f ca="1">IF(ISBLANK(RAdata6[[#This Row],[budg_seq_yr]]),"FY"&amp;fiscalyear,"FY"&amp;fiscalyear-1+RAdata6[[#This Row],[budg_seq_yr]])</f>
        <v>FY20</v>
      </c>
      <c r="W85" s="13">
        <v>105004</v>
      </c>
      <c r="X85" s="9" t="s">
        <v>299</v>
      </c>
      <c r="Y85" s="9" t="s">
        <v>371</v>
      </c>
      <c r="Z85" s="9" t="s">
        <v>345</v>
      </c>
    </row>
    <row r="86" spans="1:26" x14ac:dyDescent="0.4">
      <c r="A86" s="12" t="s">
        <v>421</v>
      </c>
      <c r="B86" s="28" t="s">
        <v>121</v>
      </c>
      <c r="C86" s="10">
        <v>42935.705555555556</v>
      </c>
      <c r="D86" s="9" t="s">
        <v>336</v>
      </c>
      <c r="E86" s="9" t="s">
        <v>299</v>
      </c>
      <c r="F86" s="9" t="s">
        <v>371</v>
      </c>
      <c r="G86" s="9" t="s">
        <v>372</v>
      </c>
      <c r="H86" s="9" t="s">
        <v>421</v>
      </c>
      <c r="I86" s="7" t="str">
        <f>IF(RAdata6[[#This Row],[pi_last_name]]=" ","",HYPERLINK("https://www.ejacket.nsf.gov/ej/showProposal.do?Continue=Y&amp;ID="&amp;RAdata6[[#This Row],[prop_id]],RAdata6[[#This Row],[prop_id]]))</f>
        <v/>
      </c>
      <c r="J86" s="7" t="str">
        <f>IF(RAdata6[[#This Row],[pi_last_name]]=" ","",HYPERLINK("https://www.ejacket.nsf.gov/ej/processReviewAnalysis.do?dispatch=add&amp;uniqId="&amp;RAdata6[[#This Row],[prop_id]]&amp;pm_ibm_logn_id,"&gt;ra"))</f>
        <v/>
      </c>
      <c r="K86" s="9" t="s">
        <v>25</v>
      </c>
      <c r="L86" s="9" t="s">
        <v>25</v>
      </c>
      <c r="M86" s="9" t="s">
        <v>25</v>
      </c>
      <c r="N86" s="9">
        <v>1</v>
      </c>
      <c r="O86" s="9">
        <v>2</v>
      </c>
      <c r="P86" s="13">
        <v>0</v>
      </c>
      <c r="Q86" s="13">
        <v>17500</v>
      </c>
      <c r="R86" s="13">
        <v>0</v>
      </c>
      <c r="S86" s="15">
        <v>136366</v>
      </c>
      <c r="T86" s="9">
        <v>0</v>
      </c>
      <c r="U86" s="9">
        <v>4</v>
      </c>
      <c r="V86" s="14" t="str">
        <f ca="1">IF(ISBLANK(RAdata6[[#This Row],[budg_seq_yr]]),"FY"&amp;fiscalyear,"FY"&amp;fiscalyear-1+RAdata6[[#This Row],[budg_seq_yr]])</f>
        <v>FY21</v>
      </c>
      <c r="W86" s="13">
        <v>136366</v>
      </c>
      <c r="X86" s="9" t="s">
        <v>299</v>
      </c>
      <c r="Y86" s="9" t="s">
        <v>371</v>
      </c>
      <c r="Z86" s="9" t="s">
        <v>345</v>
      </c>
    </row>
    <row r="87" spans="1:26" x14ac:dyDescent="0.4">
      <c r="A87" s="12" t="s">
        <v>421</v>
      </c>
      <c r="B87" s="28" t="s">
        <v>121</v>
      </c>
      <c r="C87" s="10">
        <v>42935.705555555556</v>
      </c>
      <c r="D87" s="9" t="s">
        <v>336</v>
      </c>
      <c r="E87" s="9" t="s">
        <v>299</v>
      </c>
      <c r="F87" s="9" t="s">
        <v>371</v>
      </c>
      <c r="G87" s="9" t="s">
        <v>372</v>
      </c>
      <c r="H87" s="9" t="s">
        <v>421</v>
      </c>
      <c r="I87" s="7" t="str">
        <f>IF(RAdata6[[#This Row],[pi_last_name]]=" ","",HYPERLINK("https://www.ejacket.nsf.gov/ej/showProposal.do?Continue=Y&amp;ID="&amp;RAdata6[[#This Row],[prop_id]],RAdata6[[#This Row],[prop_id]]))</f>
        <v/>
      </c>
      <c r="J87" s="7" t="str">
        <f>IF(RAdata6[[#This Row],[pi_last_name]]=" ","",HYPERLINK("https://www.ejacket.nsf.gov/ej/processReviewAnalysis.do?dispatch=add&amp;uniqId="&amp;RAdata6[[#This Row],[prop_id]]&amp;pm_ibm_logn_id,"&gt;ra"))</f>
        <v/>
      </c>
      <c r="K87" s="9" t="s">
        <v>25</v>
      </c>
      <c r="L87" s="9" t="s">
        <v>25</v>
      </c>
      <c r="M87" s="9" t="s">
        <v>25</v>
      </c>
      <c r="N87" s="9">
        <v>1</v>
      </c>
      <c r="O87" s="9">
        <v>2</v>
      </c>
      <c r="P87" s="13">
        <v>0</v>
      </c>
      <c r="Q87" s="13">
        <v>0</v>
      </c>
      <c r="R87" s="13">
        <v>0</v>
      </c>
      <c r="S87" s="15">
        <v>113287</v>
      </c>
      <c r="T87" s="9">
        <v>0</v>
      </c>
      <c r="U87" s="9">
        <v>5</v>
      </c>
      <c r="V87" s="14" t="str">
        <f ca="1">IF(ISBLANK(RAdata6[[#This Row],[budg_seq_yr]]),"FY"&amp;fiscalyear,"FY"&amp;fiscalyear-1+RAdata6[[#This Row],[budg_seq_yr]])</f>
        <v>FY22</v>
      </c>
      <c r="W87" s="13">
        <v>113287</v>
      </c>
      <c r="X87" s="9" t="s">
        <v>299</v>
      </c>
      <c r="Y87" s="9" t="s">
        <v>371</v>
      </c>
      <c r="Z87" s="9" t="s">
        <v>345</v>
      </c>
    </row>
    <row r="88" spans="1:26" x14ac:dyDescent="0.4">
      <c r="A88" s="12" t="s">
        <v>425</v>
      </c>
      <c r="B88" s="28" t="s">
        <v>121</v>
      </c>
      <c r="C88" s="10">
        <v>42935.706944444442</v>
      </c>
      <c r="D88" s="9" t="s">
        <v>336</v>
      </c>
      <c r="E88" s="9" t="s">
        <v>299</v>
      </c>
      <c r="F88" s="9" t="s">
        <v>371</v>
      </c>
      <c r="G88" s="9" t="s">
        <v>372</v>
      </c>
      <c r="H88" s="9" t="s">
        <v>425</v>
      </c>
      <c r="I88" s="7" t="str">
        <f>IF(RAdata6[[#This Row],[pi_last_name]]=" ","",HYPERLINK("https://www.ejacket.nsf.gov/ej/showProposal.do?Continue=Y&amp;ID="&amp;RAdata6[[#This Row],[prop_id]],RAdata6[[#This Row],[prop_id]]))</f>
        <v>1751195</v>
      </c>
      <c r="J88" s="7" t="str">
        <f>IF(RAdata6[[#This Row],[pi_last_name]]=" ","",HYPERLINK("https://www.ejacket.nsf.gov/ej/processReviewAnalysis.do?dispatch=add&amp;uniqId="&amp;RAdata6[[#This Row],[prop_id]]&amp;pm_ibm_logn_id,"&gt;ra"))</f>
        <v>&gt;ra</v>
      </c>
      <c r="K88" s="9" t="s">
        <v>426</v>
      </c>
      <c r="L88" s="9" t="s">
        <v>427</v>
      </c>
      <c r="M88" s="9" t="s">
        <v>428</v>
      </c>
      <c r="N88" s="9"/>
      <c r="O88" s="9"/>
      <c r="P88" s="13"/>
      <c r="Q88" s="13"/>
      <c r="R88" s="13"/>
      <c r="S88" s="15"/>
      <c r="T88" s="9">
        <v>0</v>
      </c>
      <c r="U88" s="9"/>
      <c r="V88" s="14" t="str">
        <f ca="1">IF(ISBLANK(RAdata6[[#This Row],[budg_seq_yr]]),"FY"&amp;fiscalyear,"FY"&amp;fiscalyear-1+RAdata6[[#This Row],[budg_seq_yr]])</f>
        <v>FY18</v>
      </c>
      <c r="W88" s="13">
        <v>551069</v>
      </c>
      <c r="X88" s="9" t="s">
        <v>299</v>
      </c>
      <c r="Y88" s="9" t="s">
        <v>371</v>
      </c>
      <c r="Z88" s="9" t="s">
        <v>345</v>
      </c>
    </row>
    <row r="89" spans="1:26" x14ac:dyDescent="0.4">
      <c r="A89" s="12" t="s">
        <v>425</v>
      </c>
      <c r="B89" s="28" t="s">
        <v>121</v>
      </c>
      <c r="C89" s="10">
        <v>42935.706944444442</v>
      </c>
      <c r="D89" s="9" t="s">
        <v>336</v>
      </c>
      <c r="E89" s="9" t="s">
        <v>299</v>
      </c>
      <c r="F89" s="9" t="s">
        <v>371</v>
      </c>
      <c r="G89" s="9" t="s">
        <v>372</v>
      </c>
      <c r="H89" s="9" t="s">
        <v>425</v>
      </c>
      <c r="I89" s="7" t="str">
        <f>IF(RAdata6[[#This Row],[pi_last_name]]=" ","",HYPERLINK("https://www.ejacket.nsf.gov/ej/showProposal.do?Continue=Y&amp;ID="&amp;RAdata6[[#This Row],[prop_id]],RAdata6[[#This Row],[prop_id]]))</f>
        <v/>
      </c>
      <c r="J89" s="7" t="str">
        <f>IF(RAdata6[[#This Row],[pi_last_name]]=" ","",HYPERLINK("https://www.ejacket.nsf.gov/ej/processReviewAnalysis.do?dispatch=add&amp;uniqId="&amp;RAdata6[[#This Row],[prop_id]]&amp;pm_ibm_logn_id,"&gt;ra"))</f>
        <v/>
      </c>
      <c r="K89" s="9" t="s">
        <v>25</v>
      </c>
      <c r="L89" s="9" t="s">
        <v>25</v>
      </c>
      <c r="M89" s="9" t="s">
        <v>25</v>
      </c>
      <c r="N89" s="9">
        <v>1</v>
      </c>
      <c r="O89" s="9">
        <v>0</v>
      </c>
      <c r="P89" s="13">
        <v>0</v>
      </c>
      <c r="Q89" s="13">
        <v>3000</v>
      </c>
      <c r="R89" s="13">
        <v>0</v>
      </c>
      <c r="S89" s="15">
        <v>103719</v>
      </c>
      <c r="T89" s="9">
        <v>0</v>
      </c>
      <c r="U89" s="9">
        <v>1</v>
      </c>
      <c r="V89" s="14" t="str">
        <f ca="1">IF(ISBLANK(RAdata6[[#This Row],[budg_seq_yr]]),"FY"&amp;fiscalyear,"FY"&amp;fiscalyear-1+RAdata6[[#This Row],[budg_seq_yr]])</f>
        <v>FY18</v>
      </c>
      <c r="W89" s="13">
        <v>103719</v>
      </c>
      <c r="X89" s="9" t="s">
        <v>299</v>
      </c>
      <c r="Y89" s="9" t="s">
        <v>371</v>
      </c>
      <c r="Z89" s="9" t="s">
        <v>345</v>
      </c>
    </row>
    <row r="90" spans="1:26" x14ac:dyDescent="0.4">
      <c r="A90" s="12" t="s">
        <v>425</v>
      </c>
      <c r="B90" s="28" t="s">
        <v>121</v>
      </c>
      <c r="C90" s="10">
        <v>42935.706944444442</v>
      </c>
      <c r="D90" s="9" t="s">
        <v>336</v>
      </c>
      <c r="E90" s="9" t="s">
        <v>299</v>
      </c>
      <c r="F90" s="9" t="s">
        <v>371</v>
      </c>
      <c r="G90" s="9" t="s">
        <v>372</v>
      </c>
      <c r="H90" s="9" t="s">
        <v>425</v>
      </c>
      <c r="I90" s="7" t="str">
        <f>IF(RAdata6[[#This Row],[pi_last_name]]=" ","",HYPERLINK("https://www.ejacket.nsf.gov/ej/showProposal.do?Continue=Y&amp;ID="&amp;RAdata6[[#This Row],[prop_id]],RAdata6[[#This Row],[prop_id]]))</f>
        <v/>
      </c>
      <c r="J90" s="7" t="str">
        <f>IF(RAdata6[[#This Row],[pi_last_name]]=" ","",HYPERLINK("https://www.ejacket.nsf.gov/ej/processReviewAnalysis.do?dispatch=add&amp;uniqId="&amp;RAdata6[[#This Row],[prop_id]]&amp;pm_ibm_logn_id,"&gt;ra"))</f>
        <v/>
      </c>
      <c r="K90" s="9" t="s">
        <v>25</v>
      </c>
      <c r="L90" s="9" t="s">
        <v>25</v>
      </c>
      <c r="M90" s="9" t="s">
        <v>25</v>
      </c>
      <c r="N90" s="9">
        <v>1</v>
      </c>
      <c r="O90" s="9">
        <v>0</v>
      </c>
      <c r="P90" s="13">
        <v>0</v>
      </c>
      <c r="Q90" s="13">
        <v>3000</v>
      </c>
      <c r="R90" s="13">
        <v>0</v>
      </c>
      <c r="S90" s="15">
        <v>106857</v>
      </c>
      <c r="T90" s="9">
        <v>0</v>
      </c>
      <c r="U90" s="9">
        <v>2</v>
      </c>
      <c r="V90" s="14" t="str">
        <f ca="1">IF(ISBLANK(RAdata6[[#This Row],[budg_seq_yr]]),"FY"&amp;fiscalyear,"FY"&amp;fiscalyear-1+RAdata6[[#This Row],[budg_seq_yr]])</f>
        <v>FY19</v>
      </c>
      <c r="W90" s="13">
        <v>106857</v>
      </c>
      <c r="X90" s="9" t="s">
        <v>299</v>
      </c>
      <c r="Y90" s="9" t="s">
        <v>371</v>
      </c>
      <c r="Z90" s="9" t="s">
        <v>345</v>
      </c>
    </row>
    <row r="91" spans="1:26" x14ac:dyDescent="0.4">
      <c r="A91" s="12" t="s">
        <v>425</v>
      </c>
      <c r="B91" s="28" t="s">
        <v>121</v>
      </c>
      <c r="C91" s="10">
        <v>42935.706944444442</v>
      </c>
      <c r="D91" s="9" t="s">
        <v>336</v>
      </c>
      <c r="E91" s="9" t="s">
        <v>299</v>
      </c>
      <c r="F91" s="9" t="s">
        <v>371</v>
      </c>
      <c r="G91" s="9" t="s">
        <v>372</v>
      </c>
      <c r="H91" s="9" t="s">
        <v>425</v>
      </c>
      <c r="I91" s="7" t="str">
        <f>IF(RAdata6[[#This Row],[pi_last_name]]=" ","",HYPERLINK("https://www.ejacket.nsf.gov/ej/showProposal.do?Continue=Y&amp;ID="&amp;RAdata6[[#This Row],[prop_id]],RAdata6[[#This Row],[prop_id]]))</f>
        <v/>
      </c>
      <c r="J91" s="7" t="str">
        <f>IF(RAdata6[[#This Row],[pi_last_name]]=" ","",HYPERLINK("https://www.ejacket.nsf.gov/ej/processReviewAnalysis.do?dispatch=add&amp;uniqId="&amp;RAdata6[[#This Row],[prop_id]]&amp;pm_ibm_logn_id,"&gt;ra"))</f>
        <v/>
      </c>
      <c r="K91" s="9" t="s">
        <v>25</v>
      </c>
      <c r="L91" s="9" t="s">
        <v>25</v>
      </c>
      <c r="M91" s="9" t="s">
        <v>25</v>
      </c>
      <c r="N91" s="9">
        <v>1</v>
      </c>
      <c r="O91" s="9">
        <v>0</v>
      </c>
      <c r="P91" s="13">
        <v>0</v>
      </c>
      <c r="Q91" s="13">
        <v>3000</v>
      </c>
      <c r="R91" s="13">
        <v>0</v>
      </c>
      <c r="S91" s="15">
        <v>110102</v>
      </c>
      <c r="T91" s="9">
        <v>0</v>
      </c>
      <c r="U91" s="9">
        <v>3</v>
      </c>
      <c r="V91" s="14" t="str">
        <f ca="1">IF(ISBLANK(RAdata6[[#This Row],[budg_seq_yr]]),"FY"&amp;fiscalyear,"FY"&amp;fiscalyear-1+RAdata6[[#This Row],[budg_seq_yr]])</f>
        <v>FY20</v>
      </c>
      <c r="W91" s="13">
        <v>110102</v>
      </c>
      <c r="X91" s="9" t="s">
        <v>299</v>
      </c>
      <c r="Y91" s="9" t="s">
        <v>371</v>
      </c>
      <c r="Z91" s="9" t="s">
        <v>345</v>
      </c>
    </row>
    <row r="92" spans="1:26" x14ac:dyDescent="0.4">
      <c r="A92" s="12" t="s">
        <v>425</v>
      </c>
      <c r="B92" s="28" t="s">
        <v>121</v>
      </c>
      <c r="C92" s="10">
        <v>42935.706944444442</v>
      </c>
      <c r="D92" s="9" t="s">
        <v>336</v>
      </c>
      <c r="E92" s="9" t="s">
        <v>299</v>
      </c>
      <c r="F92" s="9" t="s">
        <v>371</v>
      </c>
      <c r="G92" s="9" t="s">
        <v>372</v>
      </c>
      <c r="H92" s="9" t="s">
        <v>425</v>
      </c>
      <c r="I92" s="7" t="str">
        <f>IF(RAdata6[[#This Row],[pi_last_name]]=" ","",HYPERLINK("https://www.ejacket.nsf.gov/ej/showProposal.do?Continue=Y&amp;ID="&amp;RAdata6[[#This Row],[prop_id]],RAdata6[[#This Row],[prop_id]]))</f>
        <v/>
      </c>
      <c r="J92" s="7" t="str">
        <f>IF(RAdata6[[#This Row],[pi_last_name]]=" ","",HYPERLINK("https://www.ejacket.nsf.gov/ej/processReviewAnalysis.do?dispatch=add&amp;uniqId="&amp;RAdata6[[#This Row],[prop_id]]&amp;pm_ibm_logn_id,"&gt;ra"))</f>
        <v/>
      </c>
      <c r="K92" s="9" t="s">
        <v>25</v>
      </c>
      <c r="L92" s="9" t="s">
        <v>25</v>
      </c>
      <c r="M92" s="9" t="s">
        <v>25</v>
      </c>
      <c r="N92" s="9">
        <v>1</v>
      </c>
      <c r="O92" s="9">
        <v>0</v>
      </c>
      <c r="P92" s="13">
        <v>0</v>
      </c>
      <c r="Q92" s="13">
        <v>3000</v>
      </c>
      <c r="R92" s="13">
        <v>0</v>
      </c>
      <c r="S92" s="15">
        <v>113461</v>
      </c>
      <c r="T92" s="9">
        <v>0</v>
      </c>
      <c r="U92" s="9">
        <v>4</v>
      </c>
      <c r="V92" s="14" t="str">
        <f ca="1">IF(ISBLANK(RAdata6[[#This Row],[budg_seq_yr]]),"FY"&amp;fiscalyear,"FY"&amp;fiscalyear-1+RAdata6[[#This Row],[budg_seq_yr]])</f>
        <v>FY21</v>
      </c>
      <c r="W92" s="13">
        <v>113461</v>
      </c>
      <c r="X92" s="9" t="s">
        <v>299</v>
      </c>
      <c r="Y92" s="9" t="s">
        <v>371</v>
      </c>
      <c r="Z92" s="9" t="s">
        <v>345</v>
      </c>
    </row>
    <row r="93" spans="1:26" x14ac:dyDescent="0.4">
      <c r="A93" s="12" t="s">
        <v>425</v>
      </c>
      <c r="B93" s="28" t="s">
        <v>121</v>
      </c>
      <c r="C93" s="10">
        <v>42935.706944444442</v>
      </c>
      <c r="D93" s="9" t="s">
        <v>336</v>
      </c>
      <c r="E93" s="9" t="s">
        <v>299</v>
      </c>
      <c r="F93" s="9" t="s">
        <v>371</v>
      </c>
      <c r="G93" s="9" t="s">
        <v>372</v>
      </c>
      <c r="H93" s="9" t="s">
        <v>425</v>
      </c>
      <c r="I93" s="7" t="str">
        <f>IF(RAdata6[[#This Row],[pi_last_name]]=" ","",HYPERLINK("https://www.ejacket.nsf.gov/ej/showProposal.do?Continue=Y&amp;ID="&amp;RAdata6[[#This Row],[prop_id]],RAdata6[[#This Row],[prop_id]]))</f>
        <v/>
      </c>
      <c r="J93" s="7" t="str">
        <f>IF(RAdata6[[#This Row],[pi_last_name]]=" ","",HYPERLINK("https://www.ejacket.nsf.gov/ej/processReviewAnalysis.do?dispatch=add&amp;uniqId="&amp;RAdata6[[#This Row],[prop_id]]&amp;pm_ibm_logn_id,"&gt;ra"))</f>
        <v/>
      </c>
      <c r="K93" s="9" t="s">
        <v>25</v>
      </c>
      <c r="L93" s="9" t="s">
        <v>25</v>
      </c>
      <c r="M93" s="9" t="s">
        <v>25</v>
      </c>
      <c r="N93" s="9">
        <v>1</v>
      </c>
      <c r="O93" s="9">
        <v>0</v>
      </c>
      <c r="P93" s="13">
        <v>0</v>
      </c>
      <c r="Q93" s="13">
        <v>3000</v>
      </c>
      <c r="R93" s="13">
        <v>0</v>
      </c>
      <c r="S93" s="15">
        <v>116930</v>
      </c>
      <c r="T93" s="9">
        <v>0</v>
      </c>
      <c r="U93" s="9">
        <v>5</v>
      </c>
      <c r="V93" s="14" t="str">
        <f ca="1">IF(ISBLANK(RAdata6[[#This Row],[budg_seq_yr]]),"FY"&amp;fiscalyear,"FY"&amp;fiscalyear-1+RAdata6[[#This Row],[budg_seq_yr]])</f>
        <v>FY22</v>
      </c>
      <c r="W93" s="13">
        <v>116930</v>
      </c>
      <c r="X93" s="9" t="s">
        <v>299</v>
      </c>
      <c r="Y93" s="9" t="s">
        <v>371</v>
      </c>
      <c r="Z93" s="9" t="s">
        <v>345</v>
      </c>
    </row>
    <row r="94" spans="1:26" x14ac:dyDescent="0.4">
      <c r="A94" s="12" t="s">
        <v>429</v>
      </c>
      <c r="B94" s="28" t="s">
        <v>121</v>
      </c>
      <c r="C94" s="10">
        <v>42935.757638888892</v>
      </c>
      <c r="D94" s="9" t="s">
        <v>336</v>
      </c>
      <c r="E94" s="9" t="s">
        <v>299</v>
      </c>
      <c r="F94" s="9" t="s">
        <v>371</v>
      </c>
      <c r="G94" s="9" t="s">
        <v>376</v>
      </c>
      <c r="H94" s="9" t="s">
        <v>429</v>
      </c>
      <c r="I94" s="7" t="str">
        <f>IF(RAdata6[[#This Row],[pi_last_name]]=" ","",HYPERLINK("https://www.ejacket.nsf.gov/ej/showProposal.do?Continue=Y&amp;ID="&amp;RAdata6[[#This Row],[prop_id]],RAdata6[[#This Row],[prop_id]]))</f>
        <v>1751333</v>
      </c>
      <c r="J94" s="7" t="str">
        <f>IF(RAdata6[[#This Row],[pi_last_name]]=" ","",HYPERLINK("https://www.ejacket.nsf.gov/ej/processReviewAnalysis.do?dispatch=add&amp;uniqId="&amp;RAdata6[[#This Row],[prop_id]]&amp;pm_ibm_logn_id,"&gt;ra"))</f>
        <v>&gt;ra</v>
      </c>
      <c r="K94" s="9" t="s">
        <v>430</v>
      </c>
      <c r="L94" s="9" t="s">
        <v>431</v>
      </c>
      <c r="M94" s="9" t="s">
        <v>432</v>
      </c>
      <c r="N94" s="9"/>
      <c r="O94" s="9"/>
      <c r="P94" s="13"/>
      <c r="Q94" s="13"/>
      <c r="R94" s="13"/>
      <c r="S94" s="15"/>
      <c r="T94" s="9">
        <v>0</v>
      </c>
      <c r="U94" s="9"/>
      <c r="V94" s="14" t="str">
        <f ca="1">IF(ISBLANK(RAdata6[[#This Row],[budg_seq_yr]]),"FY"&amp;fiscalyear,"FY"&amp;fiscalyear-1+RAdata6[[#This Row],[budg_seq_yr]])</f>
        <v>FY18</v>
      </c>
      <c r="W94" s="13">
        <v>542402</v>
      </c>
      <c r="X94" s="9" t="s">
        <v>299</v>
      </c>
      <c r="Y94" s="9" t="s">
        <v>371</v>
      </c>
      <c r="Z94" s="9" t="s">
        <v>345</v>
      </c>
    </row>
    <row r="95" spans="1:26" x14ac:dyDescent="0.4">
      <c r="A95" s="12" t="s">
        <v>429</v>
      </c>
      <c r="B95" s="28" t="s">
        <v>121</v>
      </c>
      <c r="C95" s="10">
        <v>42935.757638888892</v>
      </c>
      <c r="D95" s="9" t="s">
        <v>336</v>
      </c>
      <c r="E95" s="9" t="s">
        <v>299</v>
      </c>
      <c r="F95" s="9" t="s">
        <v>371</v>
      </c>
      <c r="G95" s="9" t="s">
        <v>376</v>
      </c>
      <c r="H95" s="9" t="s">
        <v>429</v>
      </c>
      <c r="I95" s="7" t="str">
        <f>IF(RAdata6[[#This Row],[pi_last_name]]=" ","",HYPERLINK("https://www.ejacket.nsf.gov/ej/showProposal.do?Continue=Y&amp;ID="&amp;RAdata6[[#This Row],[prop_id]],RAdata6[[#This Row],[prop_id]]))</f>
        <v/>
      </c>
      <c r="J95" s="7" t="str">
        <f>IF(RAdata6[[#This Row],[pi_last_name]]=" ","",HYPERLINK("https://www.ejacket.nsf.gov/ej/processReviewAnalysis.do?dispatch=add&amp;uniqId="&amp;RAdata6[[#This Row],[prop_id]]&amp;pm_ibm_logn_id,"&gt;ra"))</f>
        <v/>
      </c>
      <c r="K95" s="9" t="s">
        <v>25</v>
      </c>
      <c r="L95" s="9" t="s">
        <v>25</v>
      </c>
      <c r="M95" s="9" t="s">
        <v>25</v>
      </c>
      <c r="N95" s="9">
        <v>1</v>
      </c>
      <c r="O95" s="9">
        <v>0.5</v>
      </c>
      <c r="P95" s="13">
        <v>0</v>
      </c>
      <c r="Q95" s="13">
        <v>0</v>
      </c>
      <c r="R95" s="13">
        <v>1500</v>
      </c>
      <c r="S95" s="15">
        <v>107753</v>
      </c>
      <c r="T95" s="9">
        <v>0</v>
      </c>
      <c r="U95" s="9">
        <v>1</v>
      </c>
      <c r="V95" s="14" t="str">
        <f ca="1">IF(ISBLANK(RAdata6[[#This Row],[budg_seq_yr]]),"FY"&amp;fiscalyear,"FY"&amp;fiscalyear-1+RAdata6[[#This Row],[budg_seq_yr]])</f>
        <v>FY18</v>
      </c>
      <c r="W95" s="13">
        <v>107753</v>
      </c>
      <c r="X95" s="9" t="s">
        <v>299</v>
      </c>
      <c r="Y95" s="9" t="s">
        <v>371</v>
      </c>
      <c r="Z95" s="9" t="s">
        <v>345</v>
      </c>
    </row>
    <row r="96" spans="1:26" x14ac:dyDescent="0.4">
      <c r="A96" s="12" t="s">
        <v>429</v>
      </c>
      <c r="B96" s="28" t="s">
        <v>121</v>
      </c>
      <c r="C96" s="10">
        <v>42935.757638888892</v>
      </c>
      <c r="D96" s="9" t="s">
        <v>336</v>
      </c>
      <c r="E96" s="9" t="s">
        <v>299</v>
      </c>
      <c r="F96" s="9" t="s">
        <v>371</v>
      </c>
      <c r="G96" s="9" t="s">
        <v>376</v>
      </c>
      <c r="H96" s="9" t="s">
        <v>429</v>
      </c>
      <c r="I96" s="7" t="str">
        <f>IF(RAdata6[[#This Row],[pi_last_name]]=" ","",HYPERLINK("https://www.ejacket.nsf.gov/ej/showProposal.do?Continue=Y&amp;ID="&amp;RAdata6[[#This Row],[prop_id]],RAdata6[[#This Row],[prop_id]]))</f>
        <v/>
      </c>
      <c r="J96" s="7" t="str">
        <f>IF(RAdata6[[#This Row],[pi_last_name]]=" ","",HYPERLINK("https://www.ejacket.nsf.gov/ej/processReviewAnalysis.do?dispatch=add&amp;uniqId="&amp;RAdata6[[#This Row],[prop_id]]&amp;pm_ibm_logn_id,"&gt;ra"))</f>
        <v/>
      </c>
      <c r="K96" s="9" t="s">
        <v>25</v>
      </c>
      <c r="L96" s="9" t="s">
        <v>25</v>
      </c>
      <c r="M96" s="9" t="s">
        <v>25</v>
      </c>
      <c r="N96" s="9">
        <v>1</v>
      </c>
      <c r="O96" s="9">
        <v>0.5</v>
      </c>
      <c r="P96" s="13">
        <v>0</v>
      </c>
      <c r="Q96" s="13">
        <v>0</v>
      </c>
      <c r="R96" s="13">
        <v>1500</v>
      </c>
      <c r="S96" s="15">
        <v>103362</v>
      </c>
      <c r="T96" s="9">
        <v>0</v>
      </c>
      <c r="U96" s="9">
        <v>2</v>
      </c>
      <c r="V96" s="14" t="str">
        <f ca="1">IF(ISBLANK(RAdata6[[#This Row],[budg_seq_yr]]),"FY"&amp;fiscalyear,"FY"&amp;fiscalyear-1+RAdata6[[#This Row],[budg_seq_yr]])</f>
        <v>FY19</v>
      </c>
      <c r="W96" s="13">
        <v>103362</v>
      </c>
      <c r="X96" s="9" t="s">
        <v>299</v>
      </c>
      <c r="Y96" s="9" t="s">
        <v>371</v>
      </c>
      <c r="Z96" s="9" t="s">
        <v>345</v>
      </c>
    </row>
    <row r="97" spans="1:26" x14ac:dyDescent="0.4">
      <c r="A97" s="12" t="s">
        <v>429</v>
      </c>
      <c r="B97" s="28" t="s">
        <v>121</v>
      </c>
      <c r="C97" s="10">
        <v>42935.757638888892</v>
      </c>
      <c r="D97" s="9" t="s">
        <v>336</v>
      </c>
      <c r="E97" s="9" t="s">
        <v>299</v>
      </c>
      <c r="F97" s="9" t="s">
        <v>371</v>
      </c>
      <c r="G97" s="9" t="s">
        <v>376</v>
      </c>
      <c r="H97" s="9" t="s">
        <v>429</v>
      </c>
      <c r="I97" s="7" t="str">
        <f>IF(RAdata6[[#This Row],[pi_last_name]]=" ","",HYPERLINK("https://www.ejacket.nsf.gov/ej/showProposal.do?Continue=Y&amp;ID="&amp;RAdata6[[#This Row],[prop_id]],RAdata6[[#This Row],[prop_id]]))</f>
        <v/>
      </c>
      <c r="J97" s="7" t="str">
        <f>IF(RAdata6[[#This Row],[pi_last_name]]=" ","",HYPERLINK("https://www.ejacket.nsf.gov/ej/processReviewAnalysis.do?dispatch=add&amp;uniqId="&amp;RAdata6[[#This Row],[prop_id]]&amp;pm_ibm_logn_id,"&gt;ra"))</f>
        <v/>
      </c>
      <c r="K97" s="9" t="s">
        <v>25</v>
      </c>
      <c r="L97" s="9" t="s">
        <v>25</v>
      </c>
      <c r="M97" s="9" t="s">
        <v>25</v>
      </c>
      <c r="N97" s="9">
        <v>1</v>
      </c>
      <c r="O97" s="9">
        <v>0.5</v>
      </c>
      <c r="P97" s="13">
        <v>0</v>
      </c>
      <c r="Q97" s="13">
        <v>0</v>
      </c>
      <c r="R97" s="13">
        <v>1500</v>
      </c>
      <c r="S97" s="15">
        <v>106801</v>
      </c>
      <c r="T97" s="9">
        <v>0</v>
      </c>
      <c r="U97" s="9">
        <v>3</v>
      </c>
      <c r="V97" s="14" t="str">
        <f ca="1">IF(ISBLANK(RAdata6[[#This Row],[budg_seq_yr]]),"FY"&amp;fiscalyear,"FY"&amp;fiscalyear-1+RAdata6[[#This Row],[budg_seq_yr]])</f>
        <v>FY20</v>
      </c>
      <c r="W97" s="13">
        <v>106801</v>
      </c>
      <c r="X97" s="9" t="s">
        <v>299</v>
      </c>
      <c r="Y97" s="9" t="s">
        <v>371</v>
      </c>
      <c r="Z97" s="9" t="s">
        <v>345</v>
      </c>
    </row>
    <row r="98" spans="1:26" x14ac:dyDescent="0.4">
      <c r="A98" s="12" t="s">
        <v>429</v>
      </c>
      <c r="B98" s="28" t="s">
        <v>121</v>
      </c>
      <c r="C98" s="10">
        <v>42935.757638888892</v>
      </c>
      <c r="D98" s="9" t="s">
        <v>336</v>
      </c>
      <c r="E98" s="9" t="s">
        <v>299</v>
      </c>
      <c r="F98" s="9" t="s">
        <v>371</v>
      </c>
      <c r="G98" s="9" t="s">
        <v>376</v>
      </c>
      <c r="H98" s="9" t="s">
        <v>429</v>
      </c>
      <c r="I98" s="7" t="str">
        <f>IF(RAdata6[[#This Row],[pi_last_name]]=" ","",HYPERLINK("https://www.ejacket.nsf.gov/ej/showProposal.do?Continue=Y&amp;ID="&amp;RAdata6[[#This Row],[prop_id]],RAdata6[[#This Row],[prop_id]]))</f>
        <v/>
      </c>
      <c r="J98" s="7" t="str">
        <f>IF(RAdata6[[#This Row],[pi_last_name]]=" ","",HYPERLINK("https://www.ejacket.nsf.gov/ej/processReviewAnalysis.do?dispatch=add&amp;uniqId="&amp;RAdata6[[#This Row],[prop_id]]&amp;pm_ibm_logn_id,"&gt;ra"))</f>
        <v/>
      </c>
      <c r="K98" s="9" t="s">
        <v>25</v>
      </c>
      <c r="L98" s="9" t="s">
        <v>25</v>
      </c>
      <c r="M98" s="9" t="s">
        <v>25</v>
      </c>
      <c r="N98" s="9">
        <v>1</v>
      </c>
      <c r="O98" s="9">
        <v>0.5</v>
      </c>
      <c r="P98" s="13">
        <v>0</v>
      </c>
      <c r="Q98" s="13">
        <v>0</v>
      </c>
      <c r="R98" s="13">
        <v>1500</v>
      </c>
      <c r="S98" s="15">
        <v>110381</v>
      </c>
      <c r="T98" s="9">
        <v>0</v>
      </c>
      <c r="U98" s="9">
        <v>4</v>
      </c>
      <c r="V98" s="14" t="str">
        <f ca="1">IF(ISBLANK(RAdata6[[#This Row],[budg_seq_yr]]),"FY"&amp;fiscalyear,"FY"&amp;fiscalyear-1+RAdata6[[#This Row],[budg_seq_yr]])</f>
        <v>FY21</v>
      </c>
      <c r="W98" s="13">
        <v>110381</v>
      </c>
      <c r="X98" s="9" t="s">
        <v>299</v>
      </c>
      <c r="Y98" s="9" t="s">
        <v>371</v>
      </c>
      <c r="Z98" s="9" t="s">
        <v>345</v>
      </c>
    </row>
    <row r="99" spans="1:26" x14ac:dyDescent="0.4">
      <c r="A99" s="12" t="s">
        <v>429</v>
      </c>
      <c r="B99" s="28" t="s">
        <v>121</v>
      </c>
      <c r="C99" s="10">
        <v>42935.757638888892</v>
      </c>
      <c r="D99" s="9" t="s">
        <v>336</v>
      </c>
      <c r="E99" s="9" t="s">
        <v>299</v>
      </c>
      <c r="F99" s="9" t="s">
        <v>371</v>
      </c>
      <c r="G99" s="9" t="s">
        <v>376</v>
      </c>
      <c r="H99" s="9" t="s">
        <v>429</v>
      </c>
      <c r="I99" s="7" t="str">
        <f>IF(RAdata6[[#This Row],[pi_last_name]]=" ","",HYPERLINK("https://www.ejacket.nsf.gov/ej/showProposal.do?Continue=Y&amp;ID="&amp;RAdata6[[#This Row],[prop_id]],RAdata6[[#This Row],[prop_id]]))</f>
        <v/>
      </c>
      <c r="J99" s="7" t="str">
        <f>IF(RAdata6[[#This Row],[pi_last_name]]=" ","",HYPERLINK("https://www.ejacket.nsf.gov/ej/processReviewAnalysis.do?dispatch=add&amp;uniqId="&amp;RAdata6[[#This Row],[prop_id]]&amp;pm_ibm_logn_id,"&gt;ra"))</f>
        <v/>
      </c>
      <c r="K99" s="9" t="s">
        <v>25</v>
      </c>
      <c r="L99" s="9" t="s">
        <v>25</v>
      </c>
      <c r="M99" s="9" t="s">
        <v>25</v>
      </c>
      <c r="N99" s="9">
        <v>1</v>
      </c>
      <c r="O99" s="9">
        <v>0.5</v>
      </c>
      <c r="P99" s="13">
        <v>0</v>
      </c>
      <c r="Q99" s="13">
        <v>0</v>
      </c>
      <c r="R99" s="13">
        <v>1500</v>
      </c>
      <c r="S99" s="15">
        <v>114105</v>
      </c>
      <c r="T99" s="9">
        <v>0</v>
      </c>
      <c r="U99" s="9">
        <v>5</v>
      </c>
      <c r="V99" s="14" t="str">
        <f ca="1">IF(ISBLANK(RAdata6[[#This Row],[budg_seq_yr]]),"FY"&amp;fiscalyear,"FY"&amp;fiscalyear-1+RAdata6[[#This Row],[budg_seq_yr]])</f>
        <v>FY22</v>
      </c>
      <c r="W99" s="13">
        <v>114105</v>
      </c>
      <c r="X99" s="9" t="s">
        <v>299</v>
      </c>
      <c r="Y99" s="9" t="s">
        <v>371</v>
      </c>
      <c r="Z99" s="9" t="s">
        <v>345</v>
      </c>
    </row>
  </sheetData>
  <conditionalFormatting sqref="I4:Z99">
    <cfRule type="expression" dxfId="142" priority="28">
      <formula>MOD($A4,5)=3</formula>
    </cfRule>
    <cfRule type="expression" dxfId="141" priority="29">
      <formula>MOD($A4,5)=0</formula>
    </cfRule>
    <cfRule type="expression" dxfId="140" priority="30">
      <formula>MOD($A4,5)=2</formula>
    </cfRule>
    <cfRule type="expression" dxfId="139" priority="31">
      <formula>MOD($A4,5)=1</formula>
    </cfRule>
    <cfRule type="expression" dxfId="138" priority="32">
      <formula>ISBLANK($U4)</formula>
    </cfRule>
  </conditionalFormatting>
  <conditionalFormatting sqref="A99:H99">
    <cfRule type="expression" dxfId="137" priority="636">
      <formula>MOD($H99,5)=1</formula>
    </cfRule>
    <cfRule type="expression" dxfId="136" priority="637">
      <formula>$H99&lt;&gt;$H1048010</formula>
    </cfRule>
    <cfRule type="expression" dxfId="135" priority="638">
      <formula>MOD($H99,5)=2</formula>
    </cfRule>
    <cfRule type="expression" dxfId="134" priority="639">
      <formula>MOD($H99,5)=0</formula>
    </cfRule>
    <cfRule type="expression" dxfId="133" priority="640">
      <formula>MOD($H99,5)=3</formula>
    </cfRule>
  </conditionalFormatting>
  <conditionalFormatting sqref="A81:H81">
    <cfRule type="expression" dxfId="132" priority="652">
      <formula>MOD($H81,5)=1</formula>
    </cfRule>
    <cfRule type="expression" dxfId="131" priority="653">
      <formula>$H81&lt;&gt;$H1047842</formula>
    </cfRule>
    <cfRule type="expression" dxfId="130" priority="654">
      <formula>MOD($H81,5)=2</formula>
    </cfRule>
    <cfRule type="expression" dxfId="129" priority="655">
      <formula>MOD($H81,5)=0</formula>
    </cfRule>
    <cfRule type="expression" dxfId="128" priority="656">
      <formula>MOD($H81,5)=3</formula>
    </cfRule>
  </conditionalFormatting>
  <conditionalFormatting sqref="A4:H80 A82:H98">
    <cfRule type="expression" dxfId="127" priority="657">
      <formula>MOD($H4,5)=1</formula>
    </cfRule>
    <cfRule type="expression" dxfId="126" priority="658">
      <formula>$H4&lt;&gt;$H1047849</formula>
    </cfRule>
    <cfRule type="expression" dxfId="125" priority="659">
      <formula>MOD($H4,5)=2</formula>
    </cfRule>
    <cfRule type="expression" dxfId="124" priority="660">
      <formula>MOD($H4,5)=0</formula>
    </cfRule>
    <cfRule type="expression" dxfId="123" priority="661">
      <formula>MOD($H4,5)=3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01"/>
  <sheetViews>
    <sheetView workbookViewId="0">
      <selection activeCell="C38" sqref="C38"/>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7" customWidth="1"/>
    <col min="12" max="12" width="16.15234375" customWidth="1"/>
    <col min="13" max="14" width="6.3046875" style="29" customWidth="1"/>
    <col min="15" max="15" width="5.15234375" customWidth="1"/>
    <col min="16" max="16" width="80.53515625" bestFit="1" customWidth="1"/>
  </cols>
  <sheetData>
    <row r="1" spans="1:16" ht="51.45" customHeight="1" x14ac:dyDescent="0.4">
      <c r="A1" t="s">
        <v>127</v>
      </c>
      <c r="B1" t="s">
        <v>10</v>
      </c>
      <c r="C1" t="s">
        <v>11</v>
      </c>
      <c r="D1" t="s">
        <v>232</v>
      </c>
      <c r="E1" t="s">
        <v>233</v>
      </c>
      <c r="F1" t="s">
        <v>234</v>
      </c>
      <c r="G1" t="s">
        <v>235</v>
      </c>
      <c r="H1" t="s">
        <v>236</v>
      </c>
      <c r="I1" t="s">
        <v>237</v>
      </c>
      <c r="J1" t="s">
        <v>238</v>
      </c>
      <c r="K1" s="37" t="s">
        <v>239</v>
      </c>
      <c r="L1" t="s">
        <v>240</v>
      </c>
      <c r="M1" s="29" t="s">
        <v>241</v>
      </c>
      <c r="N1" s="29" t="s">
        <v>242</v>
      </c>
      <c r="O1" t="s">
        <v>243</v>
      </c>
      <c r="P1" t="s">
        <v>244</v>
      </c>
    </row>
    <row r="2" spans="1:16" x14ac:dyDescent="0.4">
      <c r="A2">
        <f t="shared" ref="A2:A33" si="0">A1+(B2&lt;&gt;B1)</f>
        <v>1</v>
      </c>
      <c r="B2" t="s">
        <v>373</v>
      </c>
      <c r="C2" t="s">
        <v>374</v>
      </c>
      <c r="D2" t="s">
        <v>257</v>
      </c>
      <c r="E2" t="s">
        <v>376</v>
      </c>
      <c r="F2" t="s">
        <v>433</v>
      </c>
      <c r="G2" t="s">
        <v>434</v>
      </c>
      <c r="H2" t="s">
        <v>260</v>
      </c>
      <c r="I2" t="s">
        <v>249</v>
      </c>
      <c r="J2" t="s">
        <v>348</v>
      </c>
      <c r="K2" s="39">
        <v>43006</v>
      </c>
      <c r="L2" s="8"/>
      <c r="M2" s="29">
        <f>LEN(ProjTextTable[[#This Row],[text]])</f>
        <v>2547</v>
      </c>
      <c r="N2" s="29">
        <f>LEN(TRIM(CLEAN(SUBSTITUTE(ProjTextTable[[#This Row],[text]],CHAR(10)," "))))+1 - LEN(SUBSTITUTE(CLEAN(SUBSTITUTE(ProjTextTable[[#This Row],[text]],CHAR(10)," "))," ",""))</f>
        <v>358</v>
      </c>
      <c r="O2" t="s">
        <v>261</v>
      </c>
      <c r="P2" t="s">
        <v>435</v>
      </c>
    </row>
    <row r="3" spans="1:16" x14ac:dyDescent="0.4">
      <c r="A3">
        <f t="shared" si="0"/>
        <v>1</v>
      </c>
      <c r="B3" t="s">
        <v>373</v>
      </c>
      <c r="C3" t="s">
        <v>374</v>
      </c>
      <c r="D3" t="s">
        <v>246</v>
      </c>
      <c r="E3" t="s">
        <v>436</v>
      </c>
      <c r="F3" t="s">
        <v>437</v>
      </c>
      <c r="G3" t="s">
        <v>438</v>
      </c>
      <c r="H3" t="s">
        <v>439</v>
      </c>
      <c r="I3" t="s">
        <v>263</v>
      </c>
      <c r="J3" t="s">
        <v>225</v>
      </c>
      <c r="K3" s="39">
        <v>43007</v>
      </c>
      <c r="L3" s="8">
        <v>43002.683518518519</v>
      </c>
      <c r="M3" s="29">
        <f>LEN(ProjTextTable[[#This Row],[text]])</f>
        <v>2941</v>
      </c>
      <c r="N3" s="29">
        <f>LEN(TRIM(CLEAN(SUBSTITUTE(ProjTextTable[[#This Row],[text]],CHAR(10)," "))))+1 - LEN(SUBSTITUTE(CLEAN(SUBSTITUTE(ProjTextTable[[#This Row],[text]],CHAR(10)," "))," ",""))</f>
        <v>450</v>
      </c>
      <c r="O3" t="s">
        <v>251</v>
      </c>
      <c r="P3" t="s">
        <v>440</v>
      </c>
    </row>
    <row r="4" spans="1:16" x14ac:dyDescent="0.4">
      <c r="A4">
        <f t="shared" si="0"/>
        <v>1</v>
      </c>
      <c r="B4" t="s">
        <v>373</v>
      </c>
      <c r="C4" t="s">
        <v>374</v>
      </c>
      <c r="D4" t="s">
        <v>246</v>
      </c>
      <c r="E4" t="s">
        <v>436</v>
      </c>
      <c r="F4" t="s">
        <v>441</v>
      </c>
      <c r="G4" t="s">
        <v>442</v>
      </c>
      <c r="H4" t="s">
        <v>443</v>
      </c>
      <c r="I4" t="s">
        <v>263</v>
      </c>
      <c r="J4" t="s">
        <v>225</v>
      </c>
      <c r="K4" s="39">
        <v>43007</v>
      </c>
      <c r="L4" s="8">
        <v>42986.696377314816</v>
      </c>
      <c r="M4" s="29">
        <f>LEN(ProjTextTable[[#This Row],[text]])</f>
        <v>2695</v>
      </c>
      <c r="N4" s="29">
        <f>LEN(TRIM(CLEAN(SUBSTITUTE(ProjTextTable[[#This Row],[text]],CHAR(10)," "))))+1 - LEN(SUBSTITUTE(CLEAN(SUBSTITUTE(ProjTextTable[[#This Row],[text]],CHAR(10)," "))," ",""))</f>
        <v>405</v>
      </c>
      <c r="O4" t="s">
        <v>247</v>
      </c>
      <c r="P4" t="s">
        <v>444</v>
      </c>
    </row>
    <row r="5" spans="1:16" x14ac:dyDescent="0.4">
      <c r="A5">
        <f t="shared" si="0"/>
        <v>1</v>
      </c>
      <c r="B5" t="s">
        <v>373</v>
      </c>
      <c r="C5" t="s">
        <v>374</v>
      </c>
      <c r="D5" t="s">
        <v>246</v>
      </c>
      <c r="E5" t="s">
        <v>372</v>
      </c>
      <c r="F5" t="s">
        <v>445</v>
      </c>
      <c r="G5" t="s">
        <v>446</v>
      </c>
      <c r="H5" t="s">
        <v>447</v>
      </c>
      <c r="I5" t="s">
        <v>225</v>
      </c>
      <c r="J5" t="s">
        <v>225</v>
      </c>
      <c r="K5" s="39">
        <v>42998</v>
      </c>
      <c r="L5" s="8">
        <v>42998.545752314814</v>
      </c>
      <c r="M5" s="29">
        <f>LEN(ProjTextTable[[#This Row],[text]])</f>
        <v>2833</v>
      </c>
      <c r="N5" s="29">
        <f>LEN(TRIM(CLEAN(SUBSTITUTE(ProjTextTable[[#This Row],[text]],CHAR(10)," "))))+1 - LEN(SUBSTITUTE(CLEAN(SUBSTITUTE(ProjTextTable[[#This Row],[text]],CHAR(10)," "))," ",""))</f>
        <v>419</v>
      </c>
      <c r="O5" t="s">
        <v>251</v>
      </c>
      <c r="P5" t="s">
        <v>448</v>
      </c>
    </row>
    <row r="6" spans="1:16" x14ac:dyDescent="0.4">
      <c r="A6">
        <f t="shared" si="0"/>
        <v>1</v>
      </c>
      <c r="B6" t="s">
        <v>373</v>
      </c>
      <c r="C6" t="s">
        <v>374</v>
      </c>
      <c r="D6" t="s">
        <v>246</v>
      </c>
      <c r="E6" t="s">
        <v>436</v>
      </c>
      <c r="F6" t="s">
        <v>449</v>
      </c>
      <c r="G6" t="s">
        <v>450</v>
      </c>
      <c r="H6" t="s">
        <v>451</v>
      </c>
      <c r="I6" t="s">
        <v>263</v>
      </c>
      <c r="J6" t="s">
        <v>225</v>
      </c>
      <c r="K6" s="39">
        <v>43007</v>
      </c>
      <c r="L6" s="8">
        <v>43006.612337962964</v>
      </c>
      <c r="M6" s="29">
        <f>LEN(ProjTextTable[[#This Row],[text]])</f>
        <v>4959</v>
      </c>
      <c r="N6" s="29">
        <f>LEN(TRIM(CLEAN(SUBSTITUTE(ProjTextTable[[#This Row],[text]],CHAR(10)," "))))+1 - LEN(SUBSTITUTE(CLEAN(SUBSTITUTE(ProjTextTable[[#This Row],[text]],CHAR(10)," "))," ",""))</f>
        <v>767</v>
      </c>
      <c r="O6" t="s">
        <v>250</v>
      </c>
      <c r="P6" t="s">
        <v>452</v>
      </c>
    </row>
    <row r="7" spans="1:16" x14ac:dyDescent="0.4">
      <c r="A7">
        <f t="shared" si="0"/>
        <v>1</v>
      </c>
      <c r="B7" t="s">
        <v>373</v>
      </c>
      <c r="C7" t="s">
        <v>374</v>
      </c>
      <c r="D7" t="s">
        <v>246</v>
      </c>
      <c r="E7" t="s">
        <v>436</v>
      </c>
      <c r="F7" t="s">
        <v>453</v>
      </c>
      <c r="G7" t="s">
        <v>454</v>
      </c>
      <c r="H7" t="s">
        <v>455</v>
      </c>
      <c r="I7" t="s">
        <v>263</v>
      </c>
      <c r="J7" t="s">
        <v>225</v>
      </c>
      <c r="K7" s="39">
        <v>43007</v>
      </c>
      <c r="L7" s="8">
        <v>43002.885231481479</v>
      </c>
      <c r="M7" s="29">
        <f>LEN(ProjTextTable[[#This Row],[text]])</f>
        <v>4704</v>
      </c>
      <c r="N7" s="29">
        <f>LEN(TRIM(CLEAN(SUBSTITUTE(ProjTextTable[[#This Row],[text]],CHAR(10)," "))))+1 - LEN(SUBSTITUTE(CLEAN(SUBSTITUTE(ProjTextTable[[#This Row],[text]],CHAR(10)," "))," ",""))</f>
        <v>703</v>
      </c>
      <c r="O7" t="s">
        <v>251</v>
      </c>
      <c r="P7" t="s">
        <v>456</v>
      </c>
    </row>
    <row r="8" spans="1:16" x14ac:dyDescent="0.4">
      <c r="A8">
        <f t="shared" si="0"/>
        <v>1</v>
      </c>
      <c r="B8" t="s">
        <v>373</v>
      </c>
      <c r="C8" t="s">
        <v>374</v>
      </c>
      <c r="D8" t="s">
        <v>248</v>
      </c>
      <c r="E8" t="s">
        <v>372</v>
      </c>
      <c r="F8" t="s">
        <v>25</v>
      </c>
      <c r="G8" t="s">
        <v>25</v>
      </c>
      <c r="H8" t="s">
        <v>25</v>
      </c>
      <c r="K8" s="39"/>
      <c r="L8" s="8">
        <v>42933.697916666664</v>
      </c>
      <c r="M8" s="29">
        <f>LEN(ProjTextTable[[#This Row],[text]])</f>
        <v>3675</v>
      </c>
      <c r="N8" s="29">
        <f>LEN(TRIM(CLEAN(SUBSTITUTE(ProjTextTable[[#This Row],[text]],CHAR(10)," "))))+1 - LEN(SUBSTITUTE(CLEAN(SUBSTITUTE(ProjTextTable[[#This Row],[text]],CHAR(10)," "))," ",""))</f>
        <v>514</v>
      </c>
      <c r="O8" t="s">
        <v>25</v>
      </c>
      <c r="P8" t="s">
        <v>457</v>
      </c>
    </row>
    <row r="9" spans="1:16" x14ac:dyDescent="0.4">
      <c r="A9">
        <f t="shared" si="0"/>
        <v>2</v>
      </c>
      <c r="B9" t="s">
        <v>377</v>
      </c>
      <c r="C9" t="s">
        <v>378</v>
      </c>
      <c r="D9" t="s">
        <v>257</v>
      </c>
      <c r="E9" t="s">
        <v>376</v>
      </c>
      <c r="F9" t="s">
        <v>433</v>
      </c>
      <c r="G9" t="s">
        <v>434</v>
      </c>
      <c r="H9" t="s">
        <v>260</v>
      </c>
      <c r="I9" t="s">
        <v>249</v>
      </c>
      <c r="J9" t="s">
        <v>245</v>
      </c>
      <c r="K9" s="39">
        <v>43006</v>
      </c>
      <c r="L9" s="8"/>
      <c r="M9" s="29">
        <f>LEN(ProjTextTable[[#This Row],[text]])</f>
        <v>4911</v>
      </c>
      <c r="N9" s="29">
        <f>LEN(TRIM(CLEAN(SUBSTITUTE(ProjTextTable[[#This Row],[text]],CHAR(10)," "))))+1 - LEN(SUBSTITUTE(CLEAN(SUBSTITUTE(ProjTextTable[[#This Row],[text]],CHAR(10)," "))," ",""))</f>
        <v>700</v>
      </c>
      <c r="O9" t="s">
        <v>261</v>
      </c>
      <c r="P9" t="s">
        <v>458</v>
      </c>
    </row>
    <row r="10" spans="1:16" x14ac:dyDescent="0.4">
      <c r="A10">
        <f t="shared" si="0"/>
        <v>2</v>
      </c>
      <c r="B10" t="s">
        <v>377</v>
      </c>
      <c r="C10" t="s">
        <v>378</v>
      </c>
      <c r="D10" t="s">
        <v>246</v>
      </c>
      <c r="E10" t="s">
        <v>436</v>
      </c>
      <c r="F10" t="s">
        <v>459</v>
      </c>
      <c r="G10" t="s">
        <v>460</v>
      </c>
      <c r="H10" t="s">
        <v>461</v>
      </c>
      <c r="I10" t="s">
        <v>263</v>
      </c>
      <c r="J10" t="s">
        <v>225</v>
      </c>
      <c r="K10" s="39">
        <v>43007</v>
      </c>
      <c r="L10" s="8">
        <v>43007.508599537039</v>
      </c>
      <c r="M10" s="29">
        <f>LEN(ProjTextTable[[#This Row],[text]])</f>
        <v>2687</v>
      </c>
      <c r="N10" s="29">
        <f>LEN(TRIM(CLEAN(SUBSTITUTE(ProjTextTable[[#This Row],[text]],CHAR(10)," "))))+1 - LEN(SUBSTITUTE(CLEAN(SUBSTITUTE(ProjTextTable[[#This Row],[text]],CHAR(10)," "))," ",""))</f>
        <v>388</v>
      </c>
      <c r="O10" t="s">
        <v>251</v>
      </c>
      <c r="P10" t="s">
        <v>462</v>
      </c>
    </row>
    <row r="11" spans="1:16" x14ac:dyDescent="0.4">
      <c r="A11">
        <f t="shared" si="0"/>
        <v>2</v>
      </c>
      <c r="B11" t="s">
        <v>377</v>
      </c>
      <c r="C11" t="s">
        <v>378</v>
      </c>
      <c r="D11" t="s">
        <v>246</v>
      </c>
      <c r="E11" t="s">
        <v>436</v>
      </c>
      <c r="F11" t="s">
        <v>463</v>
      </c>
      <c r="G11" t="s">
        <v>464</v>
      </c>
      <c r="H11" t="s">
        <v>465</v>
      </c>
      <c r="I11" t="s">
        <v>263</v>
      </c>
      <c r="J11" t="s">
        <v>225</v>
      </c>
      <c r="K11" s="39">
        <v>43007</v>
      </c>
      <c r="L11" s="8">
        <v>43000.894050925926</v>
      </c>
      <c r="M11" s="29">
        <f>LEN(ProjTextTable[[#This Row],[text]])</f>
        <v>2276</v>
      </c>
      <c r="N11" s="29">
        <f>LEN(TRIM(CLEAN(SUBSTITUTE(ProjTextTable[[#This Row],[text]],CHAR(10)," "))))+1 - LEN(SUBSTITUTE(CLEAN(SUBSTITUTE(ProjTextTable[[#This Row],[text]],CHAR(10)," "))," ",""))</f>
        <v>355</v>
      </c>
      <c r="O11" t="s">
        <v>247</v>
      </c>
      <c r="P11" t="s">
        <v>466</v>
      </c>
    </row>
    <row r="12" spans="1:16" x14ac:dyDescent="0.4">
      <c r="A12">
        <f t="shared" si="0"/>
        <v>2</v>
      </c>
      <c r="B12" t="s">
        <v>377</v>
      </c>
      <c r="C12" t="s">
        <v>378</v>
      </c>
      <c r="D12" t="s">
        <v>246</v>
      </c>
      <c r="E12" t="s">
        <v>436</v>
      </c>
      <c r="F12" t="s">
        <v>453</v>
      </c>
      <c r="G12" t="s">
        <v>454</v>
      </c>
      <c r="H12" t="s">
        <v>455</v>
      </c>
      <c r="I12" t="s">
        <v>263</v>
      </c>
      <c r="J12" t="s">
        <v>225</v>
      </c>
      <c r="K12" s="39">
        <v>43007</v>
      </c>
      <c r="L12" s="8">
        <v>43007.355509259258</v>
      </c>
      <c r="M12" s="29">
        <f>LEN(ProjTextTable[[#This Row],[text]])</f>
        <v>4164</v>
      </c>
      <c r="N12" s="29">
        <f>LEN(TRIM(CLEAN(SUBSTITUTE(ProjTextTable[[#This Row],[text]],CHAR(10)," "))))+1 - LEN(SUBSTITUTE(CLEAN(SUBSTITUTE(ProjTextTable[[#This Row],[text]],CHAR(10)," "))," ",""))</f>
        <v>610</v>
      </c>
      <c r="O12" t="s">
        <v>250</v>
      </c>
      <c r="P12" t="s">
        <v>467</v>
      </c>
    </row>
    <row r="13" spans="1:16" x14ac:dyDescent="0.4">
      <c r="A13">
        <f t="shared" si="0"/>
        <v>2</v>
      </c>
      <c r="B13" t="s">
        <v>377</v>
      </c>
      <c r="C13" t="s">
        <v>378</v>
      </c>
      <c r="D13" t="s">
        <v>246</v>
      </c>
      <c r="E13" t="s">
        <v>436</v>
      </c>
      <c r="F13" t="s">
        <v>468</v>
      </c>
      <c r="G13" t="s">
        <v>469</v>
      </c>
      <c r="H13" t="s">
        <v>470</v>
      </c>
      <c r="I13" t="s">
        <v>263</v>
      </c>
      <c r="J13" t="s">
        <v>225</v>
      </c>
      <c r="K13" s="39">
        <v>43007</v>
      </c>
      <c r="L13" s="8">
        <v>43002.923622685186</v>
      </c>
      <c r="M13" s="29">
        <f>LEN(ProjTextTable[[#This Row],[text]])</f>
        <v>1851</v>
      </c>
      <c r="N13" s="29">
        <f>LEN(TRIM(CLEAN(SUBSTITUTE(ProjTextTable[[#This Row],[text]],CHAR(10)," "))))+1 - LEN(SUBSTITUTE(CLEAN(SUBSTITUTE(ProjTextTable[[#This Row],[text]],CHAR(10)," "))," ",""))</f>
        <v>273</v>
      </c>
      <c r="O13" t="s">
        <v>347</v>
      </c>
      <c r="P13" t="s">
        <v>471</v>
      </c>
    </row>
    <row r="14" spans="1:16" x14ac:dyDescent="0.4">
      <c r="A14">
        <f t="shared" si="0"/>
        <v>2</v>
      </c>
      <c r="B14" t="s">
        <v>377</v>
      </c>
      <c r="C14" t="s">
        <v>378</v>
      </c>
      <c r="D14" t="s">
        <v>248</v>
      </c>
      <c r="E14" t="s">
        <v>376</v>
      </c>
      <c r="F14" t="s">
        <v>25</v>
      </c>
      <c r="G14" t="s">
        <v>25</v>
      </c>
      <c r="H14" t="s">
        <v>25</v>
      </c>
      <c r="K14" s="39"/>
      <c r="L14" s="8">
        <v>42933.719444444447</v>
      </c>
      <c r="M14" s="29">
        <f>LEN(ProjTextTable[[#This Row],[text]])</f>
        <v>3812</v>
      </c>
      <c r="N14" s="29">
        <f>LEN(TRIM(CLEAN(SUBSTITUTE(ProjTextTable[[#This Row],[text]],CHAR(10)," "))))+1 - LEN(SUBSTITUTE(CLEAN(SUBSTITUTE(ProjTextTable[[#This Row],[text]],CHAR(10)," "))," ",""))</f>
        <v>529</v>
      </c>
      <c r="O14" t="s">
        <v>25</v>
      </c>
      <c r="P14" t="s">
        <v>472</v>
      </c>
    </row>
    <row r="15" spans="1:16" x14ac:dyDescent="0.4">
      <c r="A15">
        <f t="shared" si="0"/>
        <v>3</v>
      </c>
      <c r="B15" t="s">
        <v>380</v>
      </c>
      <c r="C15" t="s">
        <v>381</v>
      </c>
      <c r="D15" t="s">
        <v>257</v>
      </c>
      <c r="E15" t="s">
        <v>376</v>
      </c>
      <c r="F15" t="s">
        <v>433</v>
      </c>
      <c r="G15" t="s">
        <v>434</v>
      </c>
      <c r="H15" t="s">
        <v>344</v>
      </c>
      <c r="I15" t="s">
        <v>245</v>
      </c>
      <c r="K15" s="39">
        <v>43006</v>
      </c>
      <c r="L15" s="8"/>
      <c r="M15" s="29">
        <f>LEN(ProjTextTable[[#This Row],[text]])</f>
        <v>2236</v>
      </c>
      <c r="N15" s="29">
        <f>LEN(TRIM(CLEAN(SUBSTITUTE(ProjTextTable[[#This Row],[text]],CHAR(10)," "))))+1 - LEN(SUBSTITUTE(CLEAN(SUBSTITUTE(ProjTextTable[[#This Row],[text]],CHAR(10)," "))," ",""))</f>
        <v>321</v>
      </c>
      <c r="O15" t="s">
        <v>343</v>
      </c>
      <c r="P15" t="s">
        <v>473</v>
      </c>
    </row>
    <row r="16" spans="1:16" x14ac:dyDescent="0.4">
      <c r="A16">
        <f t="shared" si="0"/>
        <v>3</v>
      </c>
      <c r="B16" t="s">
        <v>380</v>
      </c>
      <c r="C16" t="s">
        <v>381</v>
      </c>
      <c r="D16" t="s">
        <v>246</v>
      </c>
      <c r="E16" t="s">
        <v>436</v>
      </c>
      <c r="F16" t="s">
        <v>459</v>
      </c>
      <c r="G16" t="s">
        <v>460</v>
      </c>
      <c r="H16" t="s">
        <v>461</v>
      </c>
      <c r="I16" t="s">
        <v>263</v>
      </c>
      <c r="J16" t="s">
        <v>225</v>
      </c>
      <c r="K16" s="39">
        <v>43007</v>
      </c>
      <c r="L16" s="8">
        <v>43005.997511574074</v>
      </c>
      <c r="M16" s="29">
        <f>LEN(ProjTextTable[[#This Row],[text]])</f>
        <v>2438</v>
      </c>
      <c r="N16" s="29">
        <f>LEN(TRIM(CLEAN(SUBSTITUTE(ProjTextTable[[#This Row],[text]],CHAR(10)," "))))+1 - LEN(SUBSTITUTE(CLEAN(SUBSTITUTE(ProjTextTable[[#This Row],[text]],CHAR(10)," "))," ",""))</f>
        <v>369</v>
      </c>
      <c r="O16" t="s">
        <v>247</v>
      </c>
      <c r="P16" t="s">
        <v>474</v>
      </c>
    </row>
    <row r="17" spans="1:16" x14ac:dyDescent="0.4">
      <c r="A17">
        <f t="shared" si="0"/>
        <v>3</v>
      </c>
      <c r="B17" t="s">
        <v>380</v>
      </c>
      <c r="C17" t="s">
        <v>381</v>
      </c>
      <c r="D17" t="s">
        <v>246</v>
      </c>
      <c r="E17" t="s">
        <v>436</v>
      </c>
      <c r="F17" t="s">
        <v>463</v>
      </c>
      <c r="G17" t="s">
        <v>464</v>
      </c>
      <c r="H17" t="s">
        <v>465</v>
      </c>
      <c r="I17" t="s">
        <v>263</v>
      </c>
      <c r="J17" t="s">
        <v>225</v>
      </c>
      <c r="K17" s="39">
        <v>43007</v>
      </c>
      <c r="L17" s="8">
        <v>43000.894062500003</v>
      </c>
      <c r="M17" s="29">
        <f>LEN(ProjTextTable[[#This Row],[text]])</f>
        <v>1757</v>
      </c>
      <c r="N17" s="29">
        <f>LEN(TRIM(CLEAN(SUBSTITUTE(ProjTextTable[[#This Row],[text]],CHAR(10)," "))))+1 - LEN(SUBSTITUTE(CLEAN(SUBSTITUTE(ProjTextTable[[#This Row],[text]],CHAR(10)," "))," ",""))</f>
        <v>247</v>
      </c>
      <c r="O17" t="s">
        <v>251</v>
      </c>
      <c r="P17" t="s">
        <v>475</v>
      </c>
    </row>
    <row r="18" spans="1:16" x14ac:dyDescent="0.4">
      <c r="A18">
        <f t="shared" si="0"/>
        <v>3</v>
      </c>
      <c r="B18" t="s">
        <v>380</v>
      </c>
      <c r="C18" t="s">
        <v>381</v>
      </c>
      <c r="D18" t="s">
        <v>246</v>
      </c>
      <c r="E18" t="s">
        <v>436</v>
      </c>
      <c r="F18" t="s">
        <v>449</v>
      </c>
      <c r="G18" t="s">
        <v>450</v>
      </c>
      <c r="H18" t="s">
        <v>451</v>
      </c>
      <c r="I18" t="s">
        <v>263</v>
      </c>
      <c r="J18" t="s">
        <v>225</v>
      </c>
      <c r="K18" s="39">
        <v>43007</v>
      </c>
      <c r="L18" s="8">
        <v>43002.993414351855</v>
      </c>
      <c r="M18" s="29">
        <f>LEN(ProjTextTable[[#This Row],[text]])</f>
        <v>2503</v>
      </c>
      <c r="N18" s="29">
        <f>LEN(TRIM(CLEAN(SUBSTITUTE(ProjTextTable[[#This Row],[text]],CHAR(10)," "))))+1 - LEN(SUBSTITUTE(CLEAN(SUBSTITUTE(ProjTextTable[[#This Row],[text]],CHAR(10)," "))," ",""))</f>
        <v>380</v>
      </c>
      <c r="O18" t="s">
        <v>254</v>
      </c>
      <c r="P18" t="s">
        <v>476</v>
      </c>
    </row>
    <row r="19" spans="1:16" x14ac:dyDescent="0.4">
      <c r="A19">
        <f t="shared" si="0"/>
        <v>3</v>
      </c>
      <c r="B19" t="s">
        <v>380</v>
      </c>
      <c r="C19" t="s">
        <v>381</v>
      </c>
      <c r="D19" t="s">
        <v>246</v>
      </c>
      <c r="E19" t="s">
        <v>436</v>
      </c>
      <c r="F19" t="s">
        <v>477</v>
      </c>
      <c r="G19" t="s">
        <v>478</v>
      </c>
      <c r="H19" t="s">
        <v>479</v>
      </c>
      <c r="I19" t="s">
        <v>263</v>
      </c>
      <c r="J19" t="s">
        <v>225</v>
      </c>
      <c r="K19" s="39">
        <v>43007</v>
      </c>
      <c r="L19" s="8">
        <v>43006.334074074075</v>
      </c>
      <c r="M19" s="29">
        <f>LEN(ProjTextTable[[#This Row],[text]])</f>
        <v>3011</v>
      </c>
      <c r="N19" s="29">
        <f>LEN(TRIM(CLEAN(SUBSTITUTE(ProjTextTable[[#This Row],[text]],CHAR(10)," "))))+1 - LEN(SUBSTITUTE(CLEAN(SUBSTITUTE(ProjTextTable[[#This Row],[text]],CHAR(10)," "))," ",""))</f>
        <v>444</v>
      </c>
      <c r="O19" t="s">
        <v>247</v>
      </c>
      <c r="P19" t="s">
        <v>480</v>
      </c>
    </row>
    <row r="20" spans="1:16" x14ac:dyDescent="0.4">
      <c r="A20">
        <f t="shared" si="0"/>
        <v>3</v>
      </c>
      <c r="B20" t="s">
        <v>380</v>
      </c>
      <c r="C20" t="s">
        <v>381</v>
      </c>
      <c r="D20" t="s">
        <v>248</v>
      </c>
      <c r="E20" t="s">
        <v>372</v>
      </c>
      <c r="F20" t="s">
        <v>25</v>
      </c>
      <c r="G20" t="s">
        <v>25</v>
      </c>
      <c r="H20" t="s">
        <v>25</v>
      </c>
      <c r="K20" s="39"/>
      <c r="L20" s="8">
        <v>42933.731249999997</v>
      </c>
      <c r="M20" s="29">
        <f>LEN(ProjTextTable[[#This Row],[text]])</f>
        <v>3617</v>
      </c>
      <c r="N20" s="29">
        <f>LEN(TRIM(CLEAN(SUBSTITUTE(ProjTextTable[[#This Row],[text]],CHAR(10)," "))))+1 - LEN(SUBSTITUTE(CLEAN(SUBSTITUTE(ProjTextTable[[#This Row],[text]],CHAR(10)," "))," ",""))</f>
        <v>509</v>
      </c>
      <c r="O20" t="s">
        <v>25</v>
      </c>
      <c r="P20" t="s">
        <v>481</v>
      </c>
    </row>
    <row r="21" spans="1:16" x14ac:dyDescent="0.4">
      <c r="A21">
        <f t="shared" si="0"/>
        <v>4</v>
      </c>
      <c r="B21" t="s">
        <v>384</v>
      </c>
      <c r="C21" t="s">
        <v>385</v>
      </c>
      <c r="D21" t="s">
        <v>257</v>
      </c>
      <c r="E21" t="s">
        <v>376</v>
      </c>
      <c r="F21" t="s">
        <v>433</v>
      </c>
      <c r="G21" t="s">
        <v>434</v>
      </c>
      <c r="H21" t="s">
        <v>260</v>
      </c>
      <c r="I21" t="s">
        <v>249</v>
      </c>
      <c r="J21" t="s">
        <v>350</v>
      </c>
      <c r="K21" s="39">
        <v>43006</v>
      </c>
      <c r="L21" s="8"/>
      <c r="M21" s="29">
        <f>LEN(ProjTextTable[[#This Row],[text]])</f>
        <v>3763</v>
      </c>
      <c r="N21" s="29">
        <f>LEN(TRIM(CLEAN(SUBSTITUTE(ProjTextTable[[#This Row],[text]],CHAR(10)," "))))+1 - LEN(SUBSTITUTE(CLEAN(SUBSTITUTE(ProjTextTable[[#This Row],[text]],CHAR(10)," "))," ",""))</f>
        <v>548</v>
      </c>
      <c r="O21" t="s">
        <v>261</v>
      </c>
      <c r="P21" t="s">
        <v>482</v>
      </c>
    </row>
    <row r="22" spans="1:16" x14ac:dyDescent="0.4">
      <c r="A22">
        <f t="shared" si="0"/>
        <v>4</v>
      </c>
      <c r="B22" t="s">
        <v>384</v>
      </c>
      <c r="C22" t="s">
        <v>385</v>
      </c>
      <c r="D22" t="s">
        <v>246</v>
      </c>
      <c r="E22" t="s">
        <v>436</v>
      </c>
      <c r="F22" t="s">
        <v>459</v>
      </c>
      <c r="G22" t="s">
        <v>460</v>
      </c>
      <c r="H22" t="s">
        <v>461</v>
      </c>
      <c r="I22" t="s">
        <v>263</v>
      </c>
      <c r="J22" t="s">
        <v>225</v>
      </c>
      <c r="K22" s="39">
        <v>43007</v>
      </c>
      <c r="L22" s="8">
        <v>43007.026909722219</v>
      </c>
      <c r="M22" s="29">
        <f>LEN(ProjTextTable[[#This Row],[text]])</f>
        <v>2602</v>
      </c>
      <c r="N22" s="29">
        <f>LEN(TRIM(CLEAN(SUBSTITUTE(ProjTextTable[[#This Row],[text]],CHAR(10)," "))))+1 - LEN(SUBSTITUTE(CLEAN(SUBSTITUTE(ProjTextTable[[#This Row],[text]],CHAR(10)," "))," ",""))</f>
        <v>382</v>
      </c>
      <c r="O22" t="s">
        <v>254</v>
      </c>
      <c r="P22" t="s">
        <v>483</v>
      </c>
    </row>
    <row r="23" spans="1:16" x14ac:dyDescent="0.4">
      <c r="A23">
        <f t="shared" si="0"/>
        <v>4</v>
      </c>
      <c r="B23" t="s">
        <v>384</v>
      </c>
      <c r="C23" t="s">
        <v>385</v>
      </c>
      <c r="D23" t="s">
        <v>246</v>
      </c>
      <c r="E23" t="s">
        <v>436</v>
      </c>
      <c r="F23" t="s">
        <v>449</v>
      </c>
      <c r="G23" t="s">
        <v>450</v>
      </c>
      <c r="H23" t="s">
        <v>451</v>
      </c>
      <c r="I23" t="s">
        <v>263</v>
      </c>
      <c r="J23" t="s">
        <v>225</v>
      </c>
      <c r="K23" s="39">
        <v>43007</v>
      </c>
      <c r="L23" s="8">
        <v>43002.993506944447</v>
      </c>
      <c r="M23" s="29">
        <f>LEN(ProjTextTable[[#This Row],[text]])</f>
        <v>2192</v>
      </c>
      <c r="N23" s="29">
        <f>LEN(TRIM(CLEAN(SUBSTITUTE(ProjTextTable[[#This Row],[text]],CHAR(10)," "))))+1 - LEN(SUBSTITUTE(CLEAN(SUBSTITUTE(ProjTextTable[[#This Row],[text]],CHAR(10)," "))," ",""))</f>
        <v>338</v>
      </c>
      <c r="O23" t="s">
        <v>347</v>
      </c>
      <c r="P23" t="s">
        <v>484</v>
      </c>
    </row>
    <row r="24" spans="1:16" x14ac:dyDescent="0.4">
      <c r="A24">
        <f t="shared" si="0"/>
        <v>4</v>
      </c>
      <c r="B24" t="s">
        <v>384</v>
      </c>
      <c r="C24" t="s">
        <v>385</v>
      </c>
      <c r="D24" t="s">
        <v>246</v>
      </c>
      <c r="E24" t="s">
        <v>436</v>
      </c>
      <c r="F24" t="s">
        <v>477</v>
      </c>
      <c r="G24" t="s">
        <v>478</v>
      </c>
      <c r="H24" t="s">
        <v>479</v>
      </c>
      <c r="I24" t="s">
        <v>263</v>
      </c>
      <c r="J24" t="s">
        <v>225</v>
      </c>
      <c r="K24" s="39">
        <v>43007</v>
      </c>
      <c r="L24" s="8">
        <v>43005.367222222223</v>
      </c>
      <c r="M24" s="29">
        <f>LEN(ProjTextTable[[#This Row],[text]])</f>
        <v>2759</v>
      </c>
      <c r="N24" s="29">
        <f>LEN(TRIM(CLEAN(SUBSTITUTE(ProjTextTable[[#This Row],[text]],CHAR(10)," "))))+1 - LEN(SUBSTITUTE(CLEAN(SUBSTITUTE(ProjTextTable[[#This Row],[text]],CHAR(10)," "))," ",""))</f>
        <v>402</v>
      </c>
      <c r="O24" t="s">
        <v>251</v>
      </c>
      <c r="P24" t="s">
        <v>485</v>
      </c>
    </row>
    <row r="25" spans="1:16" x14ac:dyDescent="0.4">
      <c r="A25">
        <f t="shared" si="0"/>
        <v>4</v>
      </c>
      <c r="B25" t="s">
        <v>384</v>
      </c>
      <c r="C25" t="s">
        <v>385</v>
      </c>
      <c r="D25" t="s">
        <v>246</v>
      </c>
      <c r="E25" t="s">
        <v>436</v>
      </c>
      <c r="F25" t="s">
        <v>468</v>
      </c>
      <c r="G25" t="s">
        <v>469</v>
      </c>
      <c r="H25" t="s">
        <v>470</v>
      </c>
      <c r="I25" t="s">
        <v>263</v>
      </c>
      <c r="J25" t="s">
        <v>225</v>
      </c>
      <c r="K25" s="39">
        <v>43007</v>
      </c>
      <c r="L25" s="8">
        <v>43001.865590277775</v>
      </c>
      <c r="M25" s="29">
        <f>LEN(ProjTextTable[[#This Row],[text]])</f>
        <v>2063</v>
      </c>
      <c r="N25" s="29">
        <f>LEN(TRIM(CLEAN(SUBSTITUTE(ProjTextTable[[#This Row],[text]],CHAR(10)," "))))+1 - LEN(SUBSTITUTE(CLEAN(SUBSTITUTE(ProjTextTable[[#This Row],[text]],CHAR(10)," "))," ",""))</f>
        <v>314</v>
      </c>
      <c r="O25" t="s">
        <v>247</v>
      </c>
      <c r="P25" t="s">
        <v>486</v>
      </c>
    </row>
    <row r="26" spans="1:16" x14ac:dyDescent="0.4">
      <c r="A26">
        <f t="shared" si="0"/>
        <v>4</v>
      </c>
      <c r="B26" t="s">
        <v>384</v>
      </c>
      <c r="C26" t="s">
        <v>385</v>
      </c>
      <c r="D26" t="s">
        <v>248</v>
      </c>
      <c r="E26" t="s">
        <v>372</v>
      </c>
      <c r="F26" t="s">
        <v>25</v>
      </c>
      <c r="G26" t="s">
        <v>25</v>
      </c>
      <c r="H26" t="s">
        <v>25</v>
      </c>
      <c r="K26" s="39"/>
      <c r="L26" s="8">
        <v>42934.425000000003</v>
      </c>
      <c r="M26" s="29">
        <f>LEN(ProjTextTable[[#This Row],[text]])</f>
        <v>4479</v>
      </c>
      <c r="N26" s="29">
        <f>LEN(TRIM(CLEAN(SUBSTITUTE(ProjTextTable[[#This Row],[text]],CHAR(10)," "))))+1 - LEN(SUBSTITUTE(CLEAN(SUBSTITUTE(ProjTextTable[[#This Row],[text]],CHAR(10)," "))," ",""))</f>
        <v>640</v>
      </c>
      <c r="O26" t="s">
        <v>25</v>
      </c>
      <c r="P26" t="s">
        <v>487</v>
      </c>
    </row>
    <row r="27" spans="1:16" x14ac:dyDescent="0.4">
      <c r="A27">
        <f t="shared" si="0"/>
        <v>5</v>
      </c>
      <c r="B27" t="s">
        <v>387</v>
      </c>
      <c r="C27" t="s">
        <v>388</v>
      </c>
      <c r="D27" t="s">
        <v>257</v>
      </c>
      <c r="E27" t="s">
        <v>376</v>
      </c>
      <c r="F27" t="s">
        <v>433</v>
      </c>
      <c r="G27" t="s">
        <v>434</v>
      </c>
      <c r="H27" t="s">
        <v>344</v>
      </c>
      <c r="I27" t="s">
        <v>245</v>
      </c>
      <c r="K27" s="39">
        <v>43006</v>
      </c>
      <c r="L27" s="8"/>
      <c r="M27" s="29">
        <f>LEN(ProjTextTable[[#This Row],[text]])</f>
        <v>4184</v>
      </c>
      <c r="N27" s="29">
        <f>LEN(TRIM(CLEAN(SUBSTITUTE(ProjTextTable[[#This Row],[text]],CHAR(10)," "))))+1 - LEN(SUBSTITUTE(CLEAN(SUBSTITUTE(ProjTextTable[[#This Row],[text]],CHAR(10)," "))," ",""))</f>
        <v>573</v>
      </c>
      <c r="O27" t="s">
        <v>343</v>
      </c>
      <c r="P27" t="s">
        <v>488</v>
      </c>
    </row>
    <row r="28" spans="1:16" x14ac:dyDescent="0.4">
      <c r="A28">
        <f t="shared" si="0"/>
        <v>5</v>
      </c>
      <c r="B28" t="s">
        <v>387</v>
      </c>
      <c r="C28" t="s">
        <v>388</v>
      </c>
      <c r="D28" t="s">
        <v>246</v>
      </c>
      <c r="E28" t="s">
        <v>436</v>
      </c>
      <c r="F28" t="s">
        <v>437</v>
      </c>
      <c r="G28" t="s">
        <v>438</v>
      </c>
      <c r="H28" t="s">
        <v>439</v>
      </c>
      <c r="I28" t="s">
        <v>263</v>
      </c>
      <c r="J28" t="s">
        <v>225</v>
      </c>
      <c r="K28" s="39">
        <v>43007</v>
      </c>
      <c r="L28" s="8">
        <v>43003.927164351851</v>
      </c>
      <c r="M28" s="29">
        <f>LEN(ProjTextTable[[#This Row],[text]])</f>
        <v>4332</v>
      </c>
      <c r="N28" s="29">
        <f>LEN(TRIM(CLEAN(SUBSTITUTE(ProjTextTable[[#This Row],[text]],CHAR(10)," "))))+1 - LEN(SUBSTITUTE(CLEAN(SUBSTITUTE(ProjTextTable[[#This Row],[text]],CHAR(10)," "))," ",""))</f>
        <v>665</v>
      </c>
      <c r="O28" t="s">
        <v>253</v>
      </c>
      <c r="P28" t="s">
        <v>489</v>
      </c>
    </row>
    <row r="29" spans="1:16" x14ac:dyDescent="0.4">
      <c r="A29">
        <f t="shared" si="0"/>
        <v>5</v>
      </c>
      <c r="B29" t="s">
        <v>387</v>
      </c>
      <c r="C29" t="s">
        <v>388</v>
      </c>
      <c r="D29" t="s">
        <v>246</v>
      </c>
      <c r="E29" t="s">
        <v>436</v>
      </c>
      <c r="F29" t="s">
        <v>441</v>
      </c>
      <c r="G29" t="s">
        <v>442</v>
      </c>
      <c r="H29" t="s">
        <v>443</v>
      </c>
      <c r="I29" t="s">
        <v>263</v>
      </c>
      <c r="J29" t="s">
        <v>225</v>
      </c>
      <c r="K29" s="39">
        <v>43007</v>
      </c>
      <c r="L29" s="8">
        <v>42984.682974537034</v>
      </c>
      <c r="M29" s="29">
        <f>LEN(ProjTextTable[[#This Row],[text]])</f>
        <v>3022</v>
      </c>
      <c r="N29" s="29">
        <f>LEN(TRIM(CLEAN(SUBSTITUTE(ProjTextTable[[#This Row],[text]],CHAR(10)," "))))+1 - LEN(SUBSTITUTE(CLEAN(SUBSTITUTE(ProjTextTable[[#This Row],[text]],CHAR(10)," "))," ",""))</f>
        <v>456</v>
      </c>
      <c r="O29" t="s">
        <v>254</v>
      </c>
      <c r="P29" t="s">
        <v>490</v>
      </c>
    </row>
    <row r="30" spans="1:16" x14ac:dyDescent="0.4">
      <c r="A30">
        <f t="shared" si="0"/>
        <v>5</v>
      </c>
      <c r="B30" t="s">
        <v>387</v>
      </c>
      <c r="C30" t="s">
        <v>388</v>
      </c>
      <c r="D30" t="s">
        <v>246</v>
      </c>
      <c r="E30" t="s">
        <v>436</v>
      </c>
      <c r="F30" t="s">
        <v>491</v>
      </c>
      <c r="G30" t="s">
        <v>492</v>
      </c>
      <c r="H30" t="s">
        <v>493</v>
      </c>
      <c r="I30" t="s">
        <v>263</v>
      </c>
      <c r="J30" t="s">
        <v>225</v>
      </c>
      <c r="K30" s="39">
        <v>43007</v>
      </c>
      <c r="L30" s="8">
        <v>43003.000439814816</v>
      </c>
      <c r="M30" s="29">
        <f>LEN(ProjTextTable[[#This Row],[text]])</f>
        <v>6834</v>
      </c>
      <c r="N30" s="29">
        <f>LEN(TRIM(CLEAN(SUBSTITUTE(ProjTextTable[[#This Row],[text]],CHAR(10)," "))))+1 - LEN(SUBSTITUTE(CLEAN(SUBSTITUTE(ProjTextTable[[#This Row],[text]],CHAR(10)," "))," ",""))</f>
        <v>1077</v>
      </c>
      <c r="O30" t="s">
        <v>247</v>
      </c>
      <c r="P30" t="s">
        <v>494</v>
      </c>
    </row>
    <row r="31" spans="1:16" x14ac:dyDescent="0.4">
      <c r="A31">
        <f t="shared" si="0"/>
        <v>5</v>
      </c>
      <c r="B31" t="s">
        <v>387</v>
      </c>
      <c r="C31" t="s">
        <v>388</v>
      </c>
      <c r="D31" t="s">
        <v>246</v>
      </c>
      <c r="E31" t="s">
        <v>436</v>
      </c>
      <c r="F31" t="s">
        <v>477</v>
      </c>
      <c r="G31" t="s">
        <v>478</v>
      </c>
      <c r="H31" t="s">
        <v>479</v>
      </c>
      <c r="I31" t="s">
        <v>263</v>
      </c>
      <c r="J31" t="s">
        <v>225</v>
      </c>
      <c r="K31" s="39">
        <v>43007</v>
      </c>
      <c r="L31" s="8">
        <v>43006.286157407405</v>
      </c>
      <c r="M31" s="29">
        <f>LEN(ProjTextTable[[#This Row],[text]])</f>
        <v>5301</v>
      </c>
      <c r="N31" s="29">
        <f>LEN(TRIM(CLEAN(SUBSTITUTE(ProjTextTable[[#This Row],[text]],CHAR(10)," "))))+1 - LEN(SUBSTITUTE(CLEAN(SUBSTITUTE(ProjTextTable[[#This Row],[text]],CHAR(10)," "))," ",""))</f>
        <v>796</v>
      </c>
      <c r="O31" t="s">
        <v>251</v>
      </c>
      <c r="P31" t="s">
        <v>495</v>
      </c>
    </row>
    <row r="32" spans="1:16" x14ac:dyDescent="0.4">
      <c r="A32">
        <f t="shared" si="0"/>
        <v>5</v>
      </c>
      <c r="B32" t="s">
        <v>387</v>
      </c>
      <c r="C32" t="s">
        <v>388</v>
      </c>
      <c r="D32" t="s">
        <v>248</v>
      </c>
      <c r="E32" t="s">
        <v>372</v>
      </c>
      <c r="F32" t="s">
        <v>25</v>
      </c>
      <c r="G32" t="s">
        <v>25</v>
      </c>
      <c r="H32" t="s">
        <v>25</v>
      </c>
      <c r="K32" s="39"/>
      <c r="L32" s="8">
        <v>42934.681250000001</v>
      </c>
      <c r="M32" s="29">
        <f>LEN(ProjTextTable[[#This Row],[text]])</f>
        <v>4212</v>
      </c>
      <c r="N32" s="29">
        <f>LEN(TRIM(CLEAN(SUBSTITUTE(ProjTextTable[[#This Row],[text]],CHAR(10)," "))))+1 - LEN(SUBSTITUTE(CLEAN(SUBSTITUTE(ProjTextTable[[#This Row],[text]],CHAR(10)," "))," ",""))</f>
        <v>618</v>
      </c>
      <c r="O32" t="s">
        <v>25</v>
      </c>
      <c r="P32" t="s">
        <v>496</v>
      </c>
    </row>
    <row r="33" spans="1:16" x14ac:dyDescent="0.4">
      <c r="A33">
        <f t="shared" si="0"/>
        <v>6</v>
      </c>
      <c r="B33" t="s">
        <v>391</v>
      </c>
      <c r="C33" t="s">
        <v>392</v>
      </c>
      <c r="D33" t="s">
        <v>257</v>
      </c>
      <c r="E33" t="s">
        <v>376</v>
      </c>
      <c r="F33" t="s">
        <v>433</v>
      </c>
      <c r="G33" t="s">
        <v>434</v>
      </c>
      <c r="H33" t="s">
        <v>344</v>
      </c>
      <c r="I33" t="s">
        <v>245</v>
      </c>
      <c r="K33" s="39">
        <v>43006</v>
      </c>
      <c r="L33" s="8"/>
      <c r="M33" s="29">
        <f>LEN(ProjTextTable[[#This Row],[text]])</f>
        <v>2742</v>
      </c>
      <c r="N33" s="29">
        <f>LEN(TRIM(CLEAN(SUBSTITUTE(ProjTextTable[[#This Row],[text]],CHAR(10)," "))))+1 - LEN(SUBSTITUTE(CLEAN(SUBSTITUTE(ProjTextTable[[#This Row],[text]],CHAR(10)," "))," ",""))</f>
        <v>393</v>
      </c>
      <c r="O33" t="s">
        <v>343</v>
      </c>
      <c r="P33" t="s">
        <v>497</v>
      </c>
    </row>
    <row r="34" spans="1:16" x14ac:dyDescent="0.4">
      <c r="A34">
        <f t="shared" ref="A34:A65" si="1">A33+(B34&lt;&gt;B33)</f>
        <v>6</v>
      </c>
      <c r="B34" t="s">
        <v>391</v>
      </c>
      <c r="C34" t="s">
        <v>392</v>
      </c>
      <c r="D34" t="s">
        <v>246</v>
      </c>
      <c r="E34" t="s">
        <v>436</v>
      </c>
      <c r="F34" t="s">
        <v>437</v>
      </c>
      <c r="G34" t="s">
        <v>438</v>
      </c>
      <c r="H34" t="s">
        <v>439</v>
      </c>
      <c r="I34" t="s">
        <v>263</v>
      </c>
      <c r="J34" t="s">
        <v>225</v>
      </c>
      <c r="K34" s="39">
        <v>43007</v>
      </c>
      <c r="L34" s="8">
        <v>43002.685219907406</v>
      </c>
      <c r="M34" s="29">
        <f>LEN(ProjTextTable[[#This Row],[text]])</f>
        <v>3317</v>
      </c>
      <c r="N34" s="29">
        <f>LEN(TRIM(CLEAN(SUBSTITUTE(ProjTextTable[[#This Row],[text]],CHAR(10)," "))))+1 - LEN(SUBSTITUTE(CLEAN(SUBSTITUTE(ProjTextTable[[#This Row],[text]],CHAR(10)," "))," ",""))</f>
        <v>524</v>
      </c>
      <c r="O34" t="s">
        <v>250</v>
      </c>
      <c r="P34" t="s">
        <v>498</v>
      </c>
    </row>
    <row r="35" spans="1:16" x14ac:dyDescent="0.4">
      <c r="A35">
        <f t="shared" si="1"/>
        <v>6</v>
      </c>
      <c r="B35" t="s">
        <v>391</v>
      </c>
      <c r="C35" t="s">
        <v>392</v>
      </c>
      <c r="D35" t="s">
        <v>246</v>
      </c>
      <c r="E35" t="s">
        <v>436</v>
      </c>
      <c r="F35" t="s">
        <v>459</v>
      </c>
      <c r="G35" t="s">
        <v>460</v>
      </c>
      <c r="H35" t="s">
        <v>461</v>
      </c>
      <c r="I35" t="s">
        <v>263</v>
      </c>
      <c r="J35" t="s">
        <v>225</v>
      </c>
      <c r="K35" s="39">
        <v>43007</v>
      </c>
      <c r="L35" s="8">
        <v>43005.991643518515</v>
      </c>
      <c r="M35" s="29">
        <f>LEN(ProjTextTable[[#This Row],[text]])</f>
        <v>3960</v>
      </c>
      <c r="N35" s="29">
        <f>LEN(TRIM(CLEAN(SUBSTITUTE(ProjTextTable[[#This Row],[text]],CHAR(10)," "))))+1 - LEN(SUBSTITUTE(CLEAN(SUBSTITUTE(ProjTextTable[[#This Row],[text]],CHAR(10)," "))," ",""))</f>
        <v>605</v>
      </c>
      <c r="O35" t="s">
        <v>253</v>
      </c>
      <c r="P35" t="s">
        <v>499</v>
      </c>
    </row>
    <row r="36" spans="1:16" x14ac:dyDescent="0.4">
      <c r="A36">
        <f t="shared" si="1"/>
        <v>6</v>
      </c>
      <c r="B36" t="s">
        <v>391</v>
      </c>
      <c r="C36" t="s">
        <v>392</v>
      </c>
      <c r="D36" t="s">
        <v>246</v>
      </c>
      <c r="E36" t="s">
        <v>436</v>
      </c>
      <c r="F36" t="s">
        <v>441</v>
      </c>
      <c r="G36" t="s">
        <v>442</v>
      </c>
      <c r="H36" t="s">
        <v>443</v>
      </c>
      <c r="I36" t="s">
        <v>263</v>
      </c>
      <c r="J36" t="s">
        <v>225</v>
      </c>
      <c r="K36" s="39">
        <v>43007</v>
      </c>
      <c r="L36" s="8">
        <v>43006.672766203701</v>
      </c>
      <c r="M36" s="29">
        <f>LEN(ProjTextTable[[#This Row],[text]])</f>
        <v>3648</v>
      </c>
      <c r="N36" s="29">
        <f>LEN(TRIM(CLEAN(SUBSTITUTE(ProjTextTable[[#This Row],[text]],CHAR(10)," "))))+1 - LEN(SUBSTITUTE(CLEAN(SUBSTITUTE(ProjTextTable[[#This Row],[text]],CHAR(10)," "))," ",""))</f>
        <v>546</v>
      </c>
      <c r="O36" t="s">
        <v>253</v>
      </c>
      <c r="P36" t="s">
        <v>500</v>
      </c>
    </row>
    <row r="37" spans="1:16" x14ac:dyDescent="0.4">
      <c r="A37">
        <f t="shared" si="1"/>
        <v>6</v>
      </c>
      <c r="B37" t="s">
        <v>391</v>
      </c>
      <c r="C37" t="s">
        <v>392</v>
      </c>
      <c r="D37" t="s">
        <v>246</v>
      </c>
      <c r="E37" t="s">
        <v>436</v>
      </c>
      <c r="F37" t="s">
        <v>477</v>
      </c>
      <c r="G37" t="s">
        <v>478</v>
      </c>
      <c r="H37" t="s">
        <v>479</v>
      </c>
      <c r="I37" t="s">
        <v>263</v>
      </c>
      <c r="J37" t="s">
        <v>225</v>
      </c>
      <c r="K37" s="39">
        <v>43007</v>
      </c>
      <c r="L37" s="8">
        <v>43007.331909722219</v>
      </c>
      <c r="M37" s="29">
        <f>LEN(ProjTextTable[[#This Row],[text]])</f>
        <v>2352</v>
      </c>
      <c r="N37" s="29">
        <f>LEN(TRIM(CLEAN(SUBSTITUTE(ProjTextTable[[#This Row],[text]],CHAR(10)," "))))+1 - LEN(SUBSTITUTE(CLEAN(SUBSTITUTE(ProjTextTable[[#This Row],[text]],CHAR(10)," "))," ",""))</f>
        <v>356</v>
      </c>
      <c r="O37" t="s">
        <v>251</v>
      </c>
      <c r="P37" t="s">
        <v>501</v>
      </c>
    </row>
    <row r="38" spans="1:16" x14ac:dyDescent="0.4">
      <c r="A38">
        <f t="shared" si="1"/>
        <v>6</v>
      </c>
      <c r="B38" t="s">
        <v>391</v>
      </c>
      <c r="C38" t="s">
        <v>392</v>
      </c>
      <c r="D38" t="s">
        <v>246</v>
      </c>
      <c r="E38" t="s">
        <v>436</v>
      </c>
      <c r="F38" t="s">
        <v>468</v>
      </c>
      <c r="G38" t="s">
        <v>469</v>
      </c>
      <c r="H38" t="s">
        <v>470</v>
      </c>
      <c r="I38" t="s">
        <v>263</v>
      </c>
      <c r="J38" t="s">
        <v>225</v>
      </c>
      <c r="K38" s="39">
        <v>43007</v>
      </c>
      <c r="L38" s="8">
        <v>43001.734201388892</v>
      </c>
      <c r="M38" s="29">
        <f>LEN(ProjTextTable[[#This Row],[text]])</f>
        <v>2530</v>
      </c>
      <c r="N38" s="29">
        <f>LEN(TRIM(CLEAN(SUBSTITUTE(ProjTextTable[[#This Row],[text]],CHAR(10)," "))))+1 - LEN(SUBSTITUTE(CLEAN(SUBSTITUTE(ProjTextTable[[#This Row],[text]],CHAR(10)," "))," ",""))</f>
        <v>386</v>
      </c>
      <c r="O38" t="s">
        <v>247</v>
      </c>
      <c r="P38" t="s">
        <v>502</v>
      </c>
    </row>
    <row r="39" spans="1:16" x14ac:dyDescent="0.4">
      <c r="A39">
        <f t="shared" si="1"/>
        <v>6</v>
      </c>
      <c r="B39" t="s">
        <v>391</v>
      </c>
      <c r="C39" t="s">
        <v>392</v>
      </c>
      <c r="D39" t="s">
        <v>248</v>
      </c>
      <c r="E39" t="s">
        <v>376</v>
      </c>
      <c r="F39" t="s">
        <v>25</v>
      </c>
      <c r="G39" t="s">
        <v>25</v>
      </c>
      <c r="H39" t="s">
        <v>25</v>
      </c>
      <c r="K39" s="39"/>
      <c r="L39" s="8">
        <v>42934.72152777778</v>
      </c>
      <c r="M39" s="29">
        <f>LEN(ProjTextTable[[#This Row],[text]])</f>
        <v>3333</v>
      </c>
      <c r="N39" s="29">
        <f>LEN(TRIM(CLEAN(SUBSTITUTE(ProjTextTable[[#This Row],[text]],CHAR(10)," "))))+1 - LEN(SUBSTITUTE(CLEAN(SUBSTITUTE(ProjTextTable[[#This Row],[text]],CHAR(10)," "))," ",""))</f>
        <v>497</v>
      </c>
      <c r="O39" t="s">
        <v>25</v>
      </c>
      <c r="P39" t="s">
        <v>503</v>
      </c>
    </row>
    <row r="40" spans="1:16" x14ac:dyDescent="0.4">
      <c r="A40">
        <f t="shared" si="1"/>
        <v>7</v>
      </c>
      <c r="B40" t="s">
        <v>395</v>
      </c>
      <c r="C40" t="s">
        <v>396</v>
      </c>
      <c r="D40" t="s">
        <v>257</v>
      </c>
      <c r="E40" t="s">
        <v>376</v>
      </c>
      <c r="F40" t="s">
        <v>433</v>
      </c>
      <c r="G40" t="s">
        <v>434</v>
      </c>
      <c r="H40" t="s">
        <v>344</v>
      </c>
      <c r="I40" t="s">
        <v>245</v>
      </c>
      <c r="K40" s="39">
        <v>43006</v>
      </c>
      <c r="L40" s="8"/>
      <c r="M40" s="29">
        <f>LEN(ProjTextTable[[#This Row],[text]])</f>
        <v>1661</v>
      </c>
      <c r="N40" s="29">
        <f>LEN(TRIM(CLEAN(SUBSTITUTE(ProjTextTable[[#This Row],[text]],CHAR(10)," "))))+1 - LEN(SUBSTITUTE(CLEAN(SUBSTITUTE(ProjTextTable[[#This Row],[text]],CHAR(10)," "))," ",""))</f>
        <v>238</v>
      </c>
      <c r="O40" t="s">
        <v>343</v>
      </c>
      <c r="P40" t="s">
        <v>504</v>
      </c>
    </row>
    <row r="41" spans="1:16" x14ac:dyDescent="0.4">
      <c r="A41">
        <f t="shared" si="1"/>
        <v>7</v>
      </c>
      <c r="B41" t="s">
        <v>395</v>
      </c>
      <c r="C41" t="s">
        <v>396</v>
      </c>
      <c r="D41" t="s">
        <v>246</v>
      </c>
      <c r="E41" t="s">
        <v>436</v>
      </c>
      <c r="F41" t="s">
        <v>437</v>
      </c>
      <c r="G41" t="s">
        <v>438</v>
      </c>
      <c r="H41" t="s">
        <v>439</v>
      </c>
      <c r="I41" t="s">
        <v>263</v>
      </c>
      <c r="J41" t="s">
        <v>225</v>
      </c>
      <c r="K41" s="39">
        <v>43007</v>
      </c>
      <c r="L41" s="8">
        <v>43002.694641203707</v>
      </c>
      <c r="M41" s="29">
        <f>LEN(ProjTextTable[[#This Row],[text]])</f>
        <v>5404</v>
      </c>
      <c r="N41" s="29">
        <f>LEN(TRIM(CLEAN(SUBSTITUTE(ProjTextTable[[#This Row],[text]],CHAR(10)," "))))+1 - LEN(SUBSTITUTE(CLEAN(SUBSTITUTE(ProjTextTable[[#This Row],[text]],CHAR(10)," "))," ",""))</f>
        <v>881</v>
      </c>
      <c r="O41" t="s">
        <v>253</v>
      </c>
      <c r="P41" t="s">
        <v>505</v>
      </c>
    </row>
    <row r="42" spans="1:16" x14ac:dyDescent="0.4">
      <c r="A42">
        <f t="shared" si="1"/>
        <v>7</v>
      </c>
      <c r="B42" t="s">
        <v>395</v>
      </c>
      <c r="C42" t="s">
        <v>396</v>
      </c>
      <c r="D42" t="s">
        <v>246</v>
      </c>
      <c r="E42" t="s">
        <v>436</v>
      </c>
      <c r="F42" t="s">
        <v>491</v>
      </c>
      <c r="G42" t="s">
        <v>492</v>
      </c>
      <c r="H42" t="s">
        <v>493</v>
      </c>
      <c r="I42" t="s">
        <v>263</v>
      </c>
      <c r="J42" t="s">
        <v>225</v>
      </c>
      <c r="K42" s="39">
        <v>43007</v>
      </c>
      <c r="L42" s="8">
        <v>43007.432280092595</v>
      </c>
      <c r="M42" s="29">
        <f>LEN(ProjTextTable[[#This Row],[text]])</f>
        <v>7976</v>
      </c>
      <c r="N42" s="29">
        <f>LEN(TRIM(CLEAN(SUBSTITUTE(ProjTextTable[[#This Row],[text]],CHAR(10)," "))))+1 - LEN(SUBSTITUTE(CLEAN(SUBSTITUTE(ProjTextTable[[#This Row],[text]],CHAR(10)," "))," ",""))</f>
        <v>1204</v>
      </c>
      <c r="O42" t="s">
        <v>254</v>
      </c>
      <c r="P42" t="s">
        <v>506</v>
      </c>
    </row>
    <row r="43" spans="1:16" x14ac:dyDescent="0.4">
      <c r="A43">
        <f t="shared" si="1"/>
        <v>7</v>
      </c>
      <c r="B43" t="s">
        <v>395</v>
      </c>
      <c r="C43" t="s">
        <v>396</v>
      </c>
      <c r="D43" t="s">
        <v>246</v>
      </c>
      <c r="E43" t="s">
        <v>436</v>
      </c>
      <c r="F43" t="s">
        <v>477</v>
      </c>
      <c r="G43" t="s">
        <v>478</v>
      </c>
      <c r="H43" t="s">
        <v>479</v>
      </c>
      <c r="I43" t="s">
        <v>263</v>
      </c>
      <c r="J43" t="s">
        <v>225</v>
      </c>
      <c r="K43" s="39">
        <v>43007</v>
      </c>
      <c r="L43" s="8">
        <v>43005.959791666668</v>
      </c>
      <c r="M43" s="29">
        <f>LEN(ProjTextTable[[#This Row],[text]])</f>
        <v>2090</v>
      </c>
      <c r="N43" s="29">
        <f>LEN(TRIM(CLEAN(SUBSTITUTE(ProjTextTable[[#This Row],[text]],CHAR(10)," "))))+1 - LEN(SUBSTITUTE(CLEAN(SUBSTITUTE(ProjTextTable[[#This Row],[text]],CHAR(10)," "))," ",""))</f>
        <v>302</v>
      </c>
      <c r="O43" t="s">
        <v>251</v>
      </c>
      <c r="P43" t="s">
        <v>507</v>
      </c>
    </row>
    <row r="44" spans="1:16" x14ac:dyDescent="0.4">
      <c r="A44">
        <f t="shared" si="1"/>
        <v>7</v>
      </c>
      <c r="B44" t="s">
        <v>395</v>
      </c>
      <c r="C44" t="s">
        <v>396</v>
      </c>
      <c r="D44" t="s">
        <v>246</v>
      </c>
      <c r="E44" t="s">
        <v>436</v>
      </c>
      <c r="F44" t="s">
        <v>453</v>
      </c>
      <c r="G44" t="s">
        <v>454</v>
      </c>
      <c r="H44" t="s">
        <v>455</v>
      </c>
      <c r="I44" t="s">
        <v>263</v>
      </c>
      <c r="J44" t="s">
        <v>225</v>
      </c>
      <c r="K44" s="39">
        <v>43007</v>
      </c>
      <c r="L44" s="8">
        <v>43002.884710648148</v>
      </c>
      <c r="M44" s="29">
        <f>LEN(ProjTextTable[[#This Row],[text]])</f>
        <v>4283</v>
      </c>
      <c r="N44" s="29">
        <f>LEN(TRIM(CLEAN(SUBSTITUTE(ProjTextTable[[#This Row],[text]],CHAR(10)," "))))+1 - LEN(SUBSTITUTE(CLEAN(SUBSTITUTE(ProjTextTable[[#This Row],[text]],CHAR(10)," "))," ",""))</f>
        <v>620</v>
      </c>
      <c r="O44" t="s">
        <v>247</v>
      </c>
      <c r="P44" t="s">
        <v>508</v>
      </c>
    </row>
    <row r="45" spans="1:16" x14ac:dyDescent="0.4">
      <c r="A45">
        <f t="shared" si="1"/>
        <v>7</v>
      </c>
      <c r="B45" t="s">
        <v>395</v>
      </c>
      <c r="C45" t="s">
        <v>396</v>
      </c>
      <c r="D45" t="s">
        <v>248</v>
      </c>
      <c r="E45" t="s">
        <v>372</v>
      </c>
      <c r="F45" t="s">
        <v>25</v>
      </c>
      <c r="G45" t="s">
        <v>25</v>
      </c>
      <c r="H45" t="s">
        <v>25</v>
      </c>
      <c r="K45" s="39"/>
      <c r="L45" s="8">
        <v>42935.388194444444</v>
      </c>
      <c r="M45" s="29">
        <f>LEN(ProjTextTable[[#This Row],[text]])</f>
        <v>3937</v>
      </c>
      <c r="N45" s="29">
        <f>LEN(TRIM(CLEAN(SUBSTITUTE(ProjTextTable[[#This Row],[text]],CHAR(10)," "))))+1 - LEN(SUBSTITUTE(CLEAN(SUBSTITUTE(ProjTextTable[[#This Row],[text]],CHAR(10)," "))," ",""))</f>
        <v>565</v>
      </c>
      <c r="O45" t="s">
        <v>25</v>
      </c>
      <c r="P45" t="s">
        <v>509</v>
      </c>
    </row>
    <row r="46" spans="1:16" x14ac:dyDescent="0.4">
      <c r="A46">
        <f t="shared" si="1"/>
        <v>8</v>
      </c>
      <c r="B46" t="s">
        <v>399</v>
      </c>
      <c r="C46" t="s">
        <v>400</v>
      </c>
      <c r="D46" t="s">
        <v>257</v>
      </c>
      <c r="E46" t="s">
        <v>376</v>
      </c>
      <c r="F46" t="s">
        <v>433</v>
      </c>
      <c r="G46" t="s">
        <v>434</v>
      </c>
      <c r="H46" t="s">
        <v>260</v>
      </c>
      <c r="I46" t="s">
        <v>249</v>
      </c>
      <c r="J46" t="s">
        <v>349</v>
      </c>
      <c r="K46" s="39">
        <v>43006</v>
      </c>
      <c r="L46" s="8"/>
      <c r="M46" s="29">
        <f>LEN(ProjTextTable[[#This Row],[text]])</f>
        <v>3646</v>
      </c>
      <c r="N46" s="29">
        <f>LEN(TRIM(CLEAN(SUBSTITUTE(ProjTextTable[[#This Row],[text]],CHAR(10)," "))))+1 - LEN(SUBSTITUTE(CLEAN(SUBSTITUTE(ProjTextTable[[#This Row],[text]],CHAR(10)," "))," ",""))</f>
        <v>538</v>
      </c>
      <c r="O46" t="s">
        <v>261</v>
      </c>
      <c r="P46" t="s">
        <v>510</v>
      </c>
    </row>
    <row r="47" spans="1:16" x14ac:dyDescent="0.4">
      <c r="A47">
        <f t="shared" si="1"/>
        <v>8</v>
      </c>
      <c r="B47" t="s">
        <v>399</v>
      </c>
      <c r="C47" t="s">
        <v>400</v>
      </c>
      <c r="D47" t="s">
        <v>246</v>
      </c>
      <c r="E47" t="s">
        <v>436</v>
      </c>
      <c r="F47" t="s">
        <v>437</v>
      </c>
      <c r="G47" t="s">
        <v>438</v>
      </c>
      <c r="H47" t="s">
        <v>439</v>
      </c>
      <c r="I47" t="s">
        <v>263</v>
      </c>
      <c r="J47" t="s">
        <v>225</v>
      </c>
      <c r="K47" s="39">
        <v>43007</v>
      </c>
      <c r="L47" s="8">
        <v>43002.684479166666</v>
      </c>
      <c r="M47" s="29">
        <f>LEN(ProjTextTable[[#This Row],[text]])</f>
        <v>3055</v>
      </c>
      <c r="N47" s="29">
        <f>LEN(TRIM(CLEAN(SUBSTITUTE(ProjTextTable[[#This Row],[text]],CHAR(10)," "))))+1 - LEN(SUBSTITUTE(CLEAN(SUBSTITUTE(ProjTextTable[[#This Row],[text]],CHAR(10)," "))," ",""))</f>
        <v>466</v>
      </c>
      <c r="O47" t="s">
        <v>347</v>
      </c>
      <c r="P47" t="s">
        <v>511</v>
      </c>
    </row>
    <row r="48" spans="1:16" x14ac:dyDescent="0.4">
      <c r="A48">
        <f t="shared" si="1"/>
        <v>8</v>
      </c>
      <c r="B48" t="s">
        <v>399</v>
      </c>
      <c r="C48" t="s">
        <v>400</v>
      </c>
      <c r="D48" t="s">
        <v>246</v>
      </c>
      <c r="E48" t="s">
        <v>436</v>
      </c>
      <c r="F48" t="s">
        <v>463</v>
      </c>
      <c r="G48" t="s">
        <v>464</v>
      </c>
      <c r="H48" t="s">
        <v>465</v>
      </c>
      <c r="I48" t="s">
        <v>263</v>
      </c>
      <c r="J48" t="s">
        <v>225</v>
      </c>
      <c r="K48" s="39">
        <v>43007</v>
      </c>
      <c r="L48" s="8">
        <v>43000.894062500003</v>
      </c>
      <c r="M48" s="29">
        <f>LEN(ProjTextTable[[#This Row],[text]])</f>
        <v>2261</v>
      </c>
      <c r="N48" s="29">
        <f>LEN(TRIM(CLEAN(SUBSTITUTE(ProjTextTable[[#This Row],[text]],CHAR(10)," "))))+1 - LEN(SUBSTITUTE(CLEAN(SUBSTITUTE(ProjTextTable[[#This Row],[text]],CHAR(10)," "))," ",""))</f>
        <v>321</v>
      </c>
      <c r="O48" t="s">
        <v>247</v>
      </c>
      <c r="P48" t="s">
        <v>512</v>
      </c>
    </row>
    <row r="49" spans="1:16" x14ac:dyDescent="0.4">
      <c r="A49">
        <f t="shared" si="1"/>
        <v>8</v>
      </c>
      <c r="B49" t="s">
        <v>399</v>
      </c>
      <c r="C49" t="s">
        <v>400</v>
      </c>
      <c r="D49" t="s">
        <v>246</v>
      </c>
      <c r="E49" t="s">
        <v>372</v>
      </c>
      <c r="F49" t="s">
        <v>513</v>
      </c>
      <c r="G49" t="s">
        <v>514</v>
      </c>
      <c r="H49" t="s">
        <v>515</v>
      </c>
      <c r="I49" t="s">
        <v>225</v>
      </c>
      <c r="J49" t="s">
        <v>225</v>
      </c>
      <c r="K49" s="39">
        <v>42998</v>
      </c>
      <c r="L49" s="8">
        <v>42990.532638888886</v>
      </c>
      <c r="M49" s="29">
        <f>LEN(ProjTextTable[[#This Row],[text]])</f>
        <v>6887</v>
      </c>
      <c r="N49" s="29">
        <f>LEN(TRIM(CLEAN(SUBSTITUTE(ProjTextTable[[#This Row],[text]],CHAR(10)," "))))+1 - LEN(SUBSTITUTE(CLEAN(SUBSTITUTE(ProjTextTable[[#This Row],[text]],CHAR(10)," "))," ",""))</f>
        <v>1027</v>
      </c>
      <c r="O49" t="s">
        <v>251</v>
      </c>
      <c r="P49" t="s">
        <v>516</v>
      </c>
    </row>
    <row r="50" spans="1:16" x14ac:dyDescent="0.4">
      <c r="A50">
        <f t="shared" si="1"/>
        <v>8</v>
      </c>
      <c r="B50" t="s">
        <v>399</v>
      </c>
      <c r="C50" t="s">
        <v>400</v>
      </c>
      <c r="D50" t="s">
        <v>246</v>
      </c>
      <c r="E50" t="s">
        <v>436</v>
      </c>
      <c r="F50" t="s">
        <v>441</v>
      </c>
      <c r="G50" t="s">
        <v>442</v>
      </c>
      <c r="H50" t="s">
        <v>443</v>
      </c>
      <c r="I50" t="s">
        <v>263</v>
      </c>
      <c r="J50" t="s">
        <v>225</v>
      </c>
      <c r="K50" s="39">
        <v>43007</v>
      </c>
      <c r="L50" s="8">
        <v>42976.77884259259</v>
      </c>
      <c r="M50" s="29">
        <f>LEN(ProjTextTable[[#This Row],[text]])</f>
        <v>3358</v>
      </c>
      <c r="N50" s="29">
        <f>LEN(TRIM(CLEAN(SUBSTITUTE(ProjTextTable[[#This Row],[text]],CHAR(10)," "))))+1 - LEN(SUBSTITUTE(CLEAN(SUBSTITUTE(ProjTextTable[[#This Row],[text]],CHAR(10)," "))," ",""))</f>
        <v>532</v>
      </c>
      <c r="O50" t="s">
        <v>254</v>
      </c>
      <c r="P50" t="s">
        <v>517</v>
      </c>
    </row>
    <row r="51" spans="1:16" x14ac:dyDescent="0.4">
      <c r="A51">
        <f t="shared" si="1"/>
        <v>8</v>
      </c>
      <c r="B51" t="s">
        <v>399</v>
      </c>
      <c r="C51" t="s">
        <v>400</v>
      </c>
      <c r="D51" t="s">
        <v>246</v>
      </c>
      <c r="E51" t="s">
        <v>436</v>
      </c>
      <c r="F51" t="s">
        <v>477</v>
      </c>
      <c r="G51" t="s">
        <v>478</v>
      </c>
      <c r="H51" t="s">
        <v>479</v>
      </c>
      <c r="I51" t="s">
        <v>263</v>
      </c>
      <c r="J51" t="s">
        <v>225</v>
      </c>
      <c r="K51" s="39">
        <v>43007</v>
      </c>
      <c r="L51" s="8">
        <v>43005.469814814816</v>
      </c>
      <c r="M51" s="29">
        <f>LEN(ProjTextTable[[#This Row],[text]])</f>
        <v>1358</v>
      </c>
      <c r="N51" s="29">
        <f>LEN(TRIM(CLEAN(SUBSTITUTE(ProjTextTable[[#This Row],[text]],CHAR(10)," "))))+1 - LEN(SUBSTITUTE(CLEAN(SUBSTITUTE(ProjTextTable[[#This Row],[text]],CHAR(10)," "))," ",""))</f>
        <v>203</v>
      </c>
      <c r="O51" t="s">
        <v>247</v>
      </c>
      <c r="P51" t="s">
        <v>518</v>
      </c>
    </row>
    <row r="52" spans="1:16" x14ac:dyDescent="0.4">
      <c r="A52">
        <f t="shared" si="1"/>
        <v>8</v>
      </c>
      <c r="B52" t="s">
        <v>399</v>
      </c>
      <c r="C52" t="s">
        <v>400</v>
      </c>
      <c r="D52" t="s">
        <v>248</v>
      </c>
      <c r="E52" t="s">
        <v>372</v>
      </c>
      <c r="F52" t="s">
        <v>25</v>
      </c>
      <c r="G52" t="s">
        <v>25</v>
      </c>
      <c r="H52" t="s">
        <v>25</v>
      </c>
      <c r="K52" s="39"/>
      <c r="L52" s="8">
        <v>42935.546527777777</v>
      </c>
      <c r="M52" s="29">
        <f>LEN(ProjTextTable[[#This Row],[text]])</f>
        <v>3743</v>
      </c>
      <c r="N52" s="29">
        <f>LEN(TRIM(CLEAN(SUBSTITUTE(ProjTextTable[[#This Row],[text]],CHAR(10)," "))))+1 - LEN(SUBSTITUTE(CLEAN(SUBSTITUTE(ProjTextTable[[#This Row],[text]],CHAR(10)," "))," ",""))</f>
        <v>529</v>
      </c>
      <c r="O52" t="s">
        <v>25</v>
      </c>
      <c r="P52" t="s">
        <v>519</v>
      </c>
    </row>
    <row r="53" spans="1:16" x14ac:dyDescent="0.4">
      <c r="A53">
        <f t="shared" si="1"/>
        <v>9</v>
      </c>
      <c r="B53" t="s">
        <v>403</v>
      </c>
      <c r="C53" t="s">
        <v>404</v>
      </c>
      <c r="D53" t="s">
        <v>257</v>
      </c>
      <c r="E53" t="s">
        <v>376</v>
      </c>
      <c r="F53" t="s">
        <v>433</v>
      </c>
      <c r="G53" t="s">
        <v>434</v>
      </c>
      <c r="H53" t="s">
        <v>344</v>
      </c>
      <c r="I53" t="s">
        <v>245</v>
      </c>
      <c r="K53" s="39">
        <v>43006</v>
      </c>
      <c r="L53" s="8"/>
      <c r="M53" s="29">
        <f>LEN(ProjTextTable[[#This Row],[text]])</f>
        <v>2219</v>
      </c>
      <c r="N53" s="29">
        <f>LEN(TRIM(CLEAN(SUBSTITUTE(ProjTextTable[[#This Row],[text]],CHAR(10)," "))))+1 - LEN(SUBSTITUTE(CLEAN(SUBSTITUTE(ProjTextTable[[#This Row],[text]],CHAR(10)," "))," ",""))</f>
        <v>310</v>
      </c>
      <c r="O53" t="s">
        <v>343</v>
      </c>
      <c r="P53" t="s">
        <v>520</v>
      </c>
    </row>
    <row r="54" spans="1:16" x14ac:dyDescent="0.4">
      <c r="A54">
        <f t="shared" si="1"/>
        <v>9</v>
      </c>
      <c r="B54" t="s">
        <v>403</v>
      </c>
      <c r="C54" t="s">
        <v>404</v>
      </c>
      <c r="D54" t="s">
        <v>246</v>
      </c>
      <c r="E54" t="s">
        <v>436</v>
      </c>
      <c r="F54" t="s">
        <v>463</v>
      </c>
      <c r="G54" t="s">
        <v>464</v>
      </c>
      <c r="H54" t="s">
        <v>465</v>
      </c>
      <c r="I54" t="s">
        <v>263</v>
      </c>
      <c r="J54" t="s">
        <v>225</v>
      </c>
      <c r="K54" s="39">
        <v>43007</v>
      </c>
      <c r="L54" s="8">
        <v>43000.895370370374</v>
      </c>
      <c r="M54" s="29">
        <f>LEN(ProjTextTable[[#This Row],[text]])</f>
        <v>2200</v>
      </c>
      <c r="N54" s="29">
        <f>LEN(TRIM(CLEAN(SUBSTITUTE(ProjTextTable[[#This Row],[text]],CHAR(10)," "))))+1 - LEN(SUBSTITUTE(CLEAN(SUBSTITUTE(ProjTextTable[[#This Row],[text]],CHAR(10)," "))," ",""))</f>
        <v>327</v>
      </c>
      <c r="O54" t="s">
        <v>247</v>
      </c>
      <c r="P54" t="s">
        <v>521</v>
      </c>
    </row>
    <row r="55" spans="1:16" x14ac:dyDescent="0.4">
      <c r="A55">
        <f t="shared" si="1"/>
        <v>9</v>
      </c>
      <c r="B55" t="s">
        <v>403</v>
      </c>
      <c r="C55" t="s">
        <v>404</v>
      </c>
      <c r="D55" t="s">
        <v>246</v>
      </c>
      <c r="E55" t="s">
        <v>436</v>
      </c>
      <c r="F55" t="s">
        <v>449</v>
      </c>
      <c r="G55" t="s">
        <v>450</v>
      </c>
      <c r="H55" t="s">
        <v>451</v>
      </c>
      <c r="I55" t="s">
        <v>263</v>
      </c>
      <c r="J55" t="s">
        <v>225</v>
      </c>
      <c r="K55" s="39">
        <v>43007</v>
      </c>
      <c r="L55" s="8">
        <v>43002.993622685186</v>
      </c>
      <c r="M55" s="29">
        <f>LEN(ProjTextTable[[#This Row],[text]])</f>
        <v>2666</v>
      </c>
      <c r="N55" s="29">
        <f>LEN(TRIM(CLEAN(SUBSTITUTE(ProjTextTable[[#This Row],[text]],CHAR(10)," "))))+1 - LEN(SUBSTITUTE(CLEAN(SUBSTITUTE(ProjTextTable[[#This Row],[text]],CHAR(10)," "))," ",""))</f>
        <v>404</v>
      </c>
      <c r="O55" t="s">
        <v>247</v>
      </c>
      <c r="P55" t="s">
        <v>522</v>
      </c>
    </row>
    <row r="56" spans="1:16" x14ac:dyDescent="0.4">
      <c r="A56">
        <f t="shared" si="1"/>
        <v>9</v>
      </c>
      <c r="B56" t="s">
        <v>403</v>
      </c>
      <c r="C56" t="s">
        <v>404</v>
      </c>
      <c r="D56" t="s">
        <v>246</v>
      </c>
      <c r="E56" t="s">
        <v>436</v>
      </c>
      <c r="F56" t="s">
        <v>477</v>
      </c>
      <c r="G56" t="s">
        <v>478</v>
      </c>
      <c r="H56" t="s">
        <v>479</v>
      </c>
      <c r="I56" t="s">
        <v>263</v>
      </c>
      <c r="J56" t="s">
        <v>225</v>
      </c>
      <c r="K56" s="39">
        <v>43007</v>
      </c>
      <c r="L56" s="8">
        <v>43005.906307870369</v>
      </c>
      <c r="M56" s="29">
        <f>LEN(ProjTextTable[[#This Row],[text]])</f>
        <v>2999</v>
      </c>
      <c r="N56" s="29">
        <f>LEN(TRIM(CLEAN(SUBSTITUTE(ProjTextTable[[#This Row],[text]],CHAR(10)," "))))+1 - LEN(SUBSTITUTE(CLEAN(SUBSTITUTE(ProjTextTable[[#This Row],[text]],CHAR(10)," "))," ",""))</f>
        <v>459</v>
      </c>
      <c r="O56" t="s">
        <v>247</v>
      </c>
      <c r="P56" t="s">
        <v>523</v>
      </c>
    </row>
    <row r="57" spans="1:16" x14ac:dyDescent="0.4">
      <c r="A57">
        <f t="shared" si="1"/>
        <v>9</v>
      </c>
      <c r="B57" t="s">
        <v>403</v>
      </c>
      <c r="C57" t="s">
        <v>404</v>
      </c>
      <c r="D57" t="s">
        <v>246</v>
      </c>
      <c r="E57" t="s">
        <v>436</v>
      </c>
      <c r="F57" t="s">
        <v>453</v>
      </c>
      <c r="G57" t="s">
        <v>454</v>
      </c>
      <c r="H57" t="s">
        <v>455</v>
      </c>
      <c r="I57" t="s">
        <v>263</v>
      </c>
      <c r="J57" t="s">
        <v>225</v>
      </c>
      <c r="K57" s="39">
        <v>43007</v>
      </c>
      <c r="L57" s="8">
        <v>43002.884062500001</v>
      </c>
      <c r="M57" s="29">
        <f>LEN(ProjTextTable[[#This Row],[text]])</f>
        <v>2850</v>
      </c>
      <c r="N57" s="29">
        <f>LEN(TRIM(CLEAN(SUBSTITUTE(ProjTextTable[[#This Row],[text]],CHAR(10)," "))))+1 - LEN(SUBSTITUTE(CLEAN(SUBSTITUTE(ProjTextTable[[#This Row],[text]],CHAR(10)," "))," ",""))</f>
        <v>381</v>
      </c>
      <c r="O57" t="s">
        <v>247</v>
      </c>
      <c r="P57" t="s">
        <v>524</v>
      </c>
    </row>
    <row r="58" spans="1:16" x14ac:dyDescent="0.4">
      <c r="A58">
        <f t="shared" si="1"/>
        <v>9</v>
      </c>
      <c r="B58" t="s">
        <v>403</v>
      </c>
      <c r="C58" t="s">
        <v>404</v>
      </c>
      <c r="D58" t="s">
        <v>248</v>
      </c>
      <c r="E58" t="s">
        <v>372</v>
      </c>
      <c r="F58" t="s">
        <v>25</v>
      </c>
      <c r="G58" t="s">
        <v>25</v>
      </c>
      <c r="H58" t="s">
        <v>25</v>
      </c>
      <c r="K58" s="39"/>
      <c r="L58" s="8">
        <v>42935.551388888889</v>
      </c>
      <c r="M58" s="29">
        <f>LEN(ProjTextTable[[#This Row],[text]])</f>
        <v>3894</v>
      </c>
      <c r="N58" s="29">
        <f>LEN(TRIM(CLEAN(SUBSTITUTE(ProjTextTable[[#This Row],[text]],CHAR(10)," "))))+1 - LEN(SUBSTITUTE(CLEAN(SUBSTITUTE(ProjTextTable[[#This Row],[text]],CHAR(10)," "))," ",""))</f>
        <v>525</v>
      </c>
      <c r="O58" t="s">
        <v>25</v>
      </c>
      <c r="P58" t="s">
        <v>525</v>
      </c>
    </row>
    <row r="59" spans="1:16" x14ac:dyDescent="0.4">
      <c r="A59">
        <f t="shared" si="1"/>
        <v>10</v>
      </c>
      <c r="B59" t="s">
        <v>407</v>
      </c>
      <c r="C59" t="s">
        <v>408</v>
      </c>
      <c r="D59" t="s">
        <v>257</v>
      </c>
      <c r="E59" t="s">
        <v>376</v>
      </c>
      <c r="F59" t="s">
        <v>433</v>
      </c>
      <c r="G59" t="s">
        <v>434</v>
      </c>
      <c r="H59" t="s">
        <v>260</v>
      </c>
      <c r="I59" t="s">
        <v>249</v>
      </c>
      <c r="J59" t="s">
        <v>526</v>
      </c>
      <c r="K59" s="39">
        <v>43006</v>
      </c>
      <c r="L59" s="8"/>
      <c r="M59" s="29">
        <f>LEN(ProjTextTable[[#This Row],[text]])</f>
        <v>2455</v>
      </c>
      <c r="N59" s="29">
        <f>LEN(TRIM(CLEAN(SUBSTITUTE(ProjTextTable[[#This Row],[text]],CHAR(10)," "))))+1 - LEN(SUBSTITUTE(CLEAN(SUBSTITUTE(ProjTextTable[[#This Row],[text]],CHAR(10)," "))," ",""))</f>
        <v>342</v>
      </c>
      <c r="O59" t="s">
        <v>261</v>
      </c>
      <c r="P59" t="s">
        <v>527</v>
      </c>
    </row>
    <row r="60" spans="1:16" x14ac:dyDescent="0.4">
      <c r="A60">
        <f t="shared" si="1"/>
        <v>10</v>
      </c>
      <c r="B60" t="s">
        <v>407</v>
      </c>
      <c r="C60" t="s">
        <v>408</v>
      </c>
      <c r="D60" t="s">
        <v>246</v>
      </c>
      <c r="E60" t="s">
        <v>436</v>
      </c>
      <c r="F60" t="s">
        <v>437</v>
      </c>
      <c r="G60" t="s">
        <v>438</v>
      </c>
      <c r="H60" t="s">
        <v>439</v>
      </c>
      <c r="I60" t="s">
        <v>263</v>
      </c>
      <c r="J60" t="s">
        <v>225</v>
      </c>
      <c r="K60" s="39">
        <v>43007</v>
      </c>
      <c r="L60" s="8">
        <v>43002.687592592592</v>
      </c>
      <c r="M60" s="29">
        <f>LEN(ProjTextTable[[#This Row],[text]])</f>
        <v>5324</v>
      </c>
      <c r="N60" s="29">
        <f>LEN(TRIM(CLEAN(SUBSTITUTE(ProjTextTable[[#This Row],[text]],CHAR(10)," "))))+1 - LEN(SUBSTITUTE(CLEAN(SUBSTITUTE(ProjTextTable[[#This Row],[text]],CHAR(10)," "))," ",""))</f>
        <v>856</v>
      </c>
      <c r="O60" t="s">
        <v>255</v>
      </c>
      <c r="P60" t="s">
        <v>528</v>
      </c>
    </row>
    <row r="61" spans="1:16" x14ac:dyDescent="0.4">
      <c r="A61">
        <f t="shared" si="1"/>
        <v>10</v>
      </c>
      <c r="B61" t="s">
        <v>407</v>
      </c>
      <c r="C61" t="s">
        <v>408</v>
      </c>
      <c r="D61" t="s">
        <v>246</v>
      </c>
      <c r="E61" t="s">
        <v>436</v>
      </c>
      <c r="F61" t="s">
        <v>459</v>
      </c>
      <c r="G61" t="s">
        <v>460</v>
      </c>
      <c r="H61" t="s">
        <v>461</v>
      </c>
      <c r="I61" t="s">
        <v>263</v>
      </c>
      <c r="J61" t="s">
        <v>225</v>
      </c>
      <c r="K61" s="39">
        <v>43007</v>
      </c>
      <c r="L61" s="8">
        <v>43007.019791666666</v>
      </c>
      <c r="M61" s="29">
        <f>LEN(ProjTextTable[[#This Row],[text]])</f>
        <v>2341</v>
      </c>
      <c r="N61" s="29">
        <f>LEN(TRIM(CLEAN(SUBSTITUTE(ProjTextTable[[#This Row],[text]],CHAR(10)," "))))+1 - LEN(SUBSTITUTE(CLEAN(SUBSTITUTE(ProjTextTable[[#This Row],[text]],CHAR(10)," "))," ",""))</f>
        <v>334</v>
      </c>
      <c r="O61" t="s">
        <v>251</v>
      </c>
      <c r="P61" t="s">
        <v>529</v>
      </c>
    </row>
    <row r="62" spans="1:16" x14ac:dyDescent="0.4">
      <c r="A62">
        <f t="shared" si="1"/>
        <v>10</v>
      </c>
      <c r="B62" t="s">
        <v>407</v>
      </c>
      <c r="C62" t="s">
        <v>408</v>
      </c>
      <c r="D62" t="s">
        <v>246</v>
      </c>
      <c r="E62" t="s">
        <v>436</v>
      </c>
      <c r="F62" t="s">
        <v>491</v>
      </c>
      <c r="G62" t="s">
        <v>492</v>
      </c>
      <c r="H62" t="s">
        <v>493</v>
      </c>
      <c r="I62" t="s">
        <v>263</v>
      </c>
      <c r="J62" t="s">
        <v>225</v>
      </c>
      <c r="K62" s="39">
        <v>43007</v>
      </c>
      <c r="L62" s="8">
        <v>43003.001689814817</v>
      </c>
      <c r="M62" s="29">
        <f>LEN(ProjTextTable[[#This Row],[text]])</f>
        <v>4607</v>
      </c>
      <c r="N62" s="29">
        <f>LEN(TRIM(CLEAN(SUBSTITUTE(ProjTextTable[[#This Row],[text]],CHAR(10)," "))))+1 - LEN(SUBSTITUTE(CLEAN(SUBSTITUTE(ProjTextTable[[#This Row],[text]],CHAR(10)," "))," ",""))</f>
        <v>697</v>
      </c>
      <c r="O62" t="s">
        <v>250</v>
      </c>
      <c r="P62" t="s">
        <v>530</v>
      </c>
    </row>
    <row r="63" spans="1:16" x14ac:dyDescent="0.4">
      <c r="A63">
        <f t="shared" si="1"/>
        <v>10</v>
      </c>
      <c r="B63" t="s">
        <v>407</v>
      </c>
      <c r="C63" t="s">
        <v>408</v>
      </c>
      <c r="D63" t="s">
        <v>246</v>
      </c>
      <c r="E63" t="s">
        <v>436</v>
      </c>
      <c r="F63" t="s">
        <v>468</v>
      </c>
      <c r="G63" t="s">
        <v>469</v>
      </c>
      <c r="H63" t="s">
        <v>470</v>
      </c>
      <c r="I63" t="s">
        <v>263</v>
      </c>
      <c r="J63" t="s">
        <v>225</v>
      </c>
      <c r="K63" s="39">
        <v>43007</v>
      </c>
      <c r="L63" s="8">
        <v>43002.909386574072</v>
      </c>
      <c r="M63" s="29">
        <f>LEN(ProjTextTable[[#This Row],[text]])</f>
        <v>1905</v>
      </c>
      <c r="N63" s="29">
        <f>LEN(TRIM(CLEAN(SUBSTITUTE(ProjTextTable[[#This Row],[text]],CHAR(10)," "))))+1 - LEN(SUBSTITUTE(CLEAN(SUBSTITUTE(ProjTextTable[[#This Row],[text]],CHAR(10)," "))," ",""))</f>
        <v>287</v>
      </c>
      <c r="O63" t="s">
        <v>247</v>
      </c>
      <c r="P63" t="s">
        <v>531</v>
      </c>
    </row>
    <row r="64" spans="1:16" x14ac:dyDescent="0.4">
      <c r="A64">
        <f t="shared" si="1"/>
        <v>10</v>
      </c>
      <c r="B64" t="s">
        <v>407</v>
      </c>
      <c r="C64" t="s">
        <v>408</v>
      </c>
      <c r="D64" t="s">
        <v>248</v>
      </c>
      <c r="E64" t="s">
        <v>372</v>
      </c>
      <c r="F64" t="s">
        <v>25</v>
      </c>
      <c r="G64" t="s">
        <v>25</v>
      </c>
      <c r="H64" t="s">
        <v>25</v>
      </c>
      <c r="K64" s="39"/>
      <c r="L64" s="8">
        <v>42935.561805555553</v>
      </c>
      <c r="M64" s="29">
        <f>LEN(ProjTextTable[[#This Row],[text]])</f>
        <v>3713</v>
      </c>
      <c r="N64" s="29">
        <f>LEN(TRIM(CLEAN(SUBSTITUTE(ProjTextTable[[#This Row],[text]],CHAR(10)," "))))+1 - LEN(SUBSTITUTE(CLEAN(SUBSTITUTE(ProjTextTable[[#This Row],[text]],CHAR(10)," "))," ",""))</f>
        <v>538</v>
      </c>
      <c r="O64" t="s">
        <v>25</v>
      </c>
      <c r="P64" t="s">
        <v>532</v>
      </c>
    </row>
    <row r="65" spans="1:16" x14ac:dyDescent="0.4">
      <c r="A65">
        <f t="shared" si="1"/>
        <v>11</v>
      </c>
      <c r="B65" t="s">
        <v>411</v>
      </c>
      <c r="C65" t="s">
        <v>346</v>
      </c>
      <c r="D65" t="s">
        <v>257</v>
      </c>
      <c r="E65" t="s">
        <v>376</v>
      </c>
      <c r="F65" t="s">
        <v>433</v>
      </c>
      <c r="G65" t="s">
        <v>434</v>
      </c>
      <c r="H65" t="s">
        <v>339</v>
      </c>
      <c r="I65" t="s">
        <v>120</v>
      </c>
      <c r="J65" t="s">
        <v>120</v>
      </c>
      <c r="K65" s="39">
        <v>43006</v>
      </c>
      <c r="L65" s="8"/>
      <c r="M65" s="29">
        <f>LEN(ProjTextTable[[#This Row],[text]])</f>
        <v>1959</v>
      </c>
      <c r="N65" s="29">
        <f>LEN(TRIM(CLEAN(SUBSTITUTE(ProjTextTable[[#This Row],[text]],CHAR(10)," "))))+1 - LEN(SUBSTITUTE(CLEAN(SUBSTITUTE(ProjTextTable[[#This Row],[text]],CHAR(10)," "))," ",""))</f>
        <v>283</v>
      </c>
      <c r="O65" t="s">
        <v>337</v>
      </c>
      <c r="P65" t="s">
        <v>533</v>
      </c>
    </row>
    <row r="66" spans="1:16" x14ac:dyDescent="0.4">
      <c r="A66">
        <f t="shared" ref="A66:A97" si="2">A65+(B66&lt;&gt;B65)</f>
        <v>11</v>
      </c>
      <c r="B66" t="s">
        <v>411</v>
      </c>
      <c r="C66" t="s">
        <v>346</v>
      </c>
      <c r="D66" t="s">
        <v>246</v>
      </c>
      <c r="E66" t="s">
        <v>436</v>
      </c>
      <c r="F66" t="s">
        <v>459</v>
      </c>
      <c r="G66" t="s">
        <v>460</v>
      </c>
      <c r="H66" t="s">
        <v>461</v>
      </c>
      <c r="I66" t="s">
        <v>263</v>
      </c>
      <c r="J66" t="s">
        <v>225</v>
      </c>
      <c r="K66" s="39">
        <v>43007</v>
      </c>
      <c r="L66" s="8">
        <v>43007.361712962964</v>
      </c>
      <c r="M66" s="29">
        <f>LEN(ProjTextTable[[#This Row],[text]])</f>
        <v>2689</v>
      </c>
      <c r="N66" s="29">
        <f>LEN(TRIM(CLEAN(SUBSTITUTE(ProjTextTable[[#This Row],[text]],CHAR(10)," "))))+1 - LEN(SUBSTITUTE(CLEAN(SUBSTITUTE(ProjTextTable[[#This Row],[text]],CHAR(10)," "))," ",""))</f>
        <v>419</v>
      </c>
      <c r="O66" t="s">
        <v>247</v>
      </c>
      <c r="P66" t="s">
        <v>534</v>
      </c>
    </row>
    <row r="67" spans="1:16" x14ac:dyDescent="0.4">
      <c r="A67">
        <f t="shared" si="2"/>
        <v>11</v>
      </c>
      <c r="B67" t="s">
        <v>411</v>
      </c>
      <c r="C67" t="s">
        <v>346</v>
      </c>
      <c r="D67" t="s">
        <v>246</v>
      </c>
      <c r="E67" t="s">
        <v>436</v>
      </c>
      <c r="F67" t="s">
        <v>441</v>
      </c>
      <c r="G67" t="s">
        <v>442</v>
      </c>
      <c r="H67" t="s">
        <v>443</v>
      </c>
      <c r="I67" t="s">
        <v>263</v>
      </c>
      <c r="J67" t="s">
        <v>225</v>
      </c>
      <c r="K67" s="39">
        <v>43007</v>
      </c>
      <c r="L67" s="8">
        <v>43006.555532407408</v>
      </c>
      <c r="M67" s="29">
        <f>LEN(ProjTextTable[[#This Row],[text]])</f>
        <v>3772</v>
      </c>
      <c r="N67" s="29">
        <f>LEN(TRIM(CLEAN(SUBSTITUTE(ProjTextTable[[#This Row],[text]],CHAR(10)," "))))+1 - LEN(SUBSTITUTE(CLEAN(SUBSTITUTE(ProjTextTable[[#This Row],[text]],CHAR(10)," "))," ",""))</f>
        <v>619</v>
      </c>
      <c r="O67" t="s">
        <v>250</v>
      </c>
      <c r="P67" t="s">
        <v>535</v>
      </c>
    </row>
    <row r="68" spans="1:16" x14ac:dyDescent="0.4">
      <c r="A68">
        <f t="shared" si="2"/>
        <v>11</v>
      </c>
      <c r="B68" t="s">
        <v>411</v>
      </c>
      <c r="C68" t="s">
        <v>346</v>
      </c>
      <c r="D68" t="s">
        <v>246</v>
      </c>
      <c r="E68" t="s">
        <v>436</v>
      </c>
      <c r="F68" t="s">
        <v>449</v>
      </c>
      <c r="G68" t="s">
        <v>450</v>
      </c>
      <c r="H68" t="s">
        <v>451</v>
      </c>
      <c r="I68" t="s">
        <v>263</v>
      </c>
      <c r="J68" t="s">
        <v>225</v>
      </c>
      <c r="K68" s="39">
        <v>43007</v>
      </c>
      <c r="L68" s="8">
        <v>43002.993715277778</v>
      </c>
      <c r="M68" s="29">
        <f>LEN(ProjTextTable[[#This Row],[text]])</f>
        <v>1917</v>
      </c>
      <c r="N68" s="29">
        <f>LEN(TRIM(CLEAN(SUBSTITUTE(ProjTextTable[[#This Row],[text]],CHAR(10)," "))))+1 - LEN(SUBSTITUTE(CLEAN(SUBSTITUTE(ProjTextTable[[#This Row],[text]],CHAR(10)," "))," ",""))</f>
        <v>298</v>
      </c>
      <c r="O68" t="s">
        <v>347</v>
      </c>
      <c r="P68" t="s">
        <v>536</v>
      </c>
    </row>
    <row r="69" spans="1:16" x14ac:dyDescent="0.4">
      <c r="A69">
        <f t="shared" si="2"/>
        <v>11</v>
      </c>
      <c r="B69" t="s">
        <v>411</v>
      </c>
      <c r="C69" t="s">
        <v>346</v>
      </c>
      <c r="D69" t="s">
        <v>246</v>
      </c>
      <c r="E69" t="s">
        <v>436</v>
      </c>
      <c r="F69" t="s">
        <v>477</v>
      </c>
      <c r="G69" t="s">
        <v>478</v>
      </c>
      <c r="H69" t="s">
        <v>479</v>
      </c>
      <c r="I69" t="s">
        <v>263</v>
      </c>
      <c r="J69" t="s">
        <v>225</v>
      </c>
      <c r="K69" s="39">
        <v>43007</v>
      </c>
      <c r="L69" s="8">
        <v>43004.792754629627</v>
      </c>
      <c r="M69" s="29">
        <f>LEN(ProjTextTable[[#This Row],[text]])</f>
        <v>2015</v>
      </c>
      <c r="N69" s="29">
        <f>LEN(TRIM(CLEAN(SUBSTITUTE(ProjTextTable[[#This Row],[text]],CHAR(10)," "))))+1 - LEN(SUBSTITUTE(CLEAN(SUBSTITUTE(ProjTextTable[[#This Row],[text]],CHAR(10)," "))," ",""))</f>
        <v>310</v>
      </c>
      <c r="O69" t="s">
        <v>347</v>
      </c>
      <c r="P69" t="s">
        <v>537</v>
      </c>
    </row>
    <row r="70" spans="1:16" x14ac:dyDescent="0.4">
      <c r="A70">
        <f t="shared" si="2"/>
        <v>11</v>
      </c>
      <c r="B70" t="s">
        <v>411</v>
      </c>
      <c r="C70" t="s">
        <v>346</v>
      </c>
      <c r="D70" t="s">
        <v>248</v>
      </c>
      <c r="E70" t="s">
        <v>372</v>
      </c>
      <c r="F70" t="s">
        <v>25</v>
      </c>
      <c r="G70" t="s">
        <v>25</v>
      </c>
      <c r="H70" t="s">
        <v>25</v>
      </c>
      <c r="K70" s="39"/>
      <c r="L70" s="8">
        <v>42935.652777777781</v>
      </c>
      <c r="M70" s="29">
        <f>LEN(ProjTextTable[[#This Row],[text]])</f>
        <v>4407</v>
      </c>
      <c r="N70" s="29">
        <f>LEN(TRIM(CLEAN(SUBSTITUTE(ProjTextTable[[#This Row],[text]],CHAR(10)," "))))+1 - LEN(SUBSTITUTE(CLEAN(SUBSTITUTE(ProjTextTable[[#This Row],[text]],CHAR(10)," "))," ",""))</f>
        <v>655</v>
      </c>
      <c r="O70" t="s">
        <v>25</v>
      </c>
      <c r="P70" t="s">
        <v>538</v>
      </c>
    </row>
    <row r="71" spans="1:16" x14ac:dyDescent="0.4">
      <c r="A71">
        <f t="shared" si="2"/>
        <v>12</v>
      </c>
      <c r="B71" t="s">
        <v>415</v>
      </c>
      <c r="C71" t="s">
        <v>416</v>
      </c>
      <c r="D71" t="s">
        <v>257</v>
      </c>
      <c r="E71" t="s">
        <v>376</v>
      </c>
      <c r="F71" t="s">
        <v>433</v>
      </c>
      <c r="G71" t="s">
        <v>434</v>
      </c>
      <c r="H71" t="s">
        <v>339</v>
      </c>
      <c r="I71" t="s">
        <v>120</v>
      </c>
      <c r="J71" t="s">
        <v>120</v>
      </c>
      <c r="K71" s="39">
        <v>43006</v>
      </c>
      <c r="L71" s="8"/>
      <c r="M71" s="29">
        <f>LEN(ProjTextTable[[#This Row],[text]])</f>
        <v>2540</v>
      </c>
      <c r="N71" s="29">
        <f>LEN(TRIM(CLEAN(SUBSTITUTE(ProjTextTable[[#This Row],[text]],CHAR(10)," "))))+1 - LEN(SUBSTITUTE(CLEAN(SUBSTITUTE(ProjTextTable[[#This Row],[text]],CHAR(10)," "))," ",""))</f>
        <v>349</v>
      </c>
      <c r="O71" t="s">
        <v>337</v>
      </c>
      <c r="P71" t="s">
        <v>539</v>
      </c>
    </row>
    <row r="72" spans="1:16" x14ac:dyDescent="0.4">
      <c r="A72">
        <f t="shared" si="2"/>
        <v>12</v>
      </c>
      <c r="B72" t="s">
        <v>415</v>
      </c>
      <c r="C72" t="s">
        <v>416</v>
      </c>
      <c r="D72" t="s">
        <v>246</v>
      </c>
      <c r="E72" t="s">
        <v>436</v>
      </c>
      <c r="F72" t="s">
        <v>459</v>
      </c>
      <c r="G72" t="s">
        <v>460</v>
      </c>
      <c r="H72" t="s">
        <v>461</v>
      </c>
      <c r="I72" t="s">
        <v>263</v>
      </c>
      <c r="J72" t="s">
        <v>225</v>
      </c>
      <c r="K72" s="39">
        <v>43007</v>
      </c>
      <c r="L72" s="8">
        <v>43003.223645833335</v>
      </c>
      <c r="M72" s="29">
        <f>LEN(ProjTextTable[[#This Row],[text]])</f>
        <v>2289</v>
      </c>
      <c r="N72" s="29">
        <f>LEN(TRIM(CLEAN(SUBSTITUTE(ProjTextTable[[#This Row],[text]],CHAR(10)," "))))+1 - LEN(SUBSTITUTE(CLEAN(SUBSTITUTE(ProjTextTable[[#This Row],[text]],CHAR(10)," "))," ",""))</f>
        <v>349</v>
      </c>
      <c r="O72" t="s">
        <v>347</v>
      </c>
      <c r="P72" t="s">
        <v>540</v>
      </c>
    </row>
    <row r="73" spans="1:16" x14ac:dyDescent="0.4">
      <c r="A73">
        <f t="shared" si="2"/>
        <v>12</v>
      </c>
      <c r="B73" t="s">
        <v>415</v>
      </c>
      <c r="C73" t="s">
        <v>416</v>
      </c>
      <c r="D73" t="s">
        <v>246</v>
      </c>
      <c r="E73" t="s">
        <v>436</v>
      </c>
      <c r="F73" t="s">
        <v>491</v>
      </c>
      <c r="G73" t="s">
        <v>492</v>
      </c>
      <c r="H73" t="s">
        <v>493</v>
      </c>
      <c r="I73" t="s">
        <v>263</v>
      </c>
      <c r="J73" t="s">
        <v>225</v>
      </c>
      <c r="K73" s="39">
        <v>43007</v>
      </c>
      <c r="L73" s="8">
        <v>43003.002337962964</v>
      </c>
      <c r="M73" s="29">
        <f>LEN(ProjTextTable[[#This Row],[text]])</f>
        <v>3634</v>
      </c>
      <c r="N73" s="29">
        <f>LEN(TRIM(CLEAN(SUBSTITUTE(ProjTextTable[[#This Row],[text]],CHAR(10)," "))))+1 - LEN(SUBSTITUTE(CLEAN(SUBSTITUTE(ProjTextTable[[#This Row],[text]],CHAR(10)," "))," ",""))</f>
        <v>527</v>
      </c>
      <c r="O73" t="s">
        <v>347</v>
      </c>
      <c r="P73" t="s">
        <v>541</v>
      </c>
    </row>
    <row r="74" spans="1:16" x14ac:dyDescent="0.4">
      <c r="A74">
        <f t="shared" si="2"/>
        <v>12</v>
      </c>
      <c r="B74" t="s">
        <v>415</v>
      </c>
      <c r="C74" t="s">
        <v>416</v>
      </c>
      <c r="D74" t="s">
        <v>246</v>
      </c>
      <c r="E74" t="s">
        <v>436</v>
      </c>
      <c r="F74" t="s">
        <v>453</v>
      </c>
      <c r="G74" t="s">
        <v>454</v>
      </c>
      <c r="H74" t="s">
        <v>455</v>
      </c>
      <c r="I74" t="s">
        <v>263</v>
      </c>
      <c r="J74" t="s">
        <v>225</v>
      </c>
      <c r="K74" s="39">
        <v>43007</v>
      </c>
      <c r="L74" s="8">
        <v>43007.349502314813</v>
      </c>
      <c r="M74" s="29">
        <f>LEN(ProjTextTable[[#This Row],[text]])</f>
        <v>4649</v>
      </c>
      <c r="N74" s="29">
        <f>LEN(TRIM(CLEAN(SUBSTITUTE(ProjTextTable[[#This Row],[text]],CHAR(10)," "))))+1 - LEN(SUBSTITUTE(CLEAN(SUBSTITUTE(ProjTextTable[[#This Row],[text]],CHAR(10)," "))," ",""))</f>
        <v>672</v>
      </c>
      <c r="O74" t="s">
        <v>250</v>
      </c>
      <c r="P74" t="s">
        <v>542</v>
      </c>
    </row>
    <row r="75" spans="1:16" x14ac:dyDescent="0.4">
      <c r="A75">
        <f t="shared" si="2"/>
        <v>12</v>
      </c>
      <c r="B75" t="s">
        <v>415</v>
      </c>
      <c r="C75" t="s">
        <v>416</v>
      </c>
      <c r="D75" t="s">
        <v>246</v>
      </c>
      <c r="E75" t="s">
        <v>436</v>
      </c>
      <c r="F75" t="s">
        <v>468</v>
      </c>
      <c r="G75" t="s">
        <v>469</v>
      </c>
      <c r="H75" t="s">
        <v>470</v>
      </c>
      <c r="I75" t="s">
        <v>263</v>
      </c>
      <c r="J75" t="s">
        <v>225</v>
      </c>
      <c r="K75" s="39">
        <v>43007</v>
      </c>
      <c r="L75" s="8">
        <v>43001.697569444441</v>
      </c>
      <c r="M75" s="29">
        <f>LEN(ProjTextTable[[#This Row],[text]])</f>
        <v>2816</v>
      </c>
      <c r="N75" s="29">
        <f>LEN(TRIM(CLEAN(SUBSTITUTE(ProjTextTable[[#This Row],[text]],CHAR(10)," "))))+1 - LEN(SUBSTITUTE(CLEAN(SUBSTITUTE(ProjTextTable[[#This Row],[text]],CHAR(10)," "))," ",""))</f>
        <v>404</v>
      </c>
      <c r="O75" t="s">
        <v>251</v>
      </c>
      <c r="P75" t="s">
        <v>543</v>
      </c>
    </row>
    <row r="76" spans="1:16" x14ac:dyDescent="0.4">
      <c r="A76">
        <f t="shared" si="2"/>
        <v>13</v>
      </c>
      <c r="B76" t="s">
        <v>418</v>
      </c>
      <c r="C76" t="s">
        <v>419</v>
      </c>
      <c r="D76" t="s">
        <v>257</v>
      </c>
      <c r="E76" t="s">
        <v>376</v>
      </c>
      <c r="F76" t="s">
        <v>433</v>
      </c>
      <c r="G76" t="s">
        <v>434</v>
      </c>
      <c r="H76" t="s">
        <v>260</v>
      </c>
      <c r="I76" t="s">
        <v>249</v>
      </c>
      <c r="J76" t="s">
        <v>252</v>
      </c>
      <c r="K76" s="39">
        <v>43006</v>
      </c>
      <c r="L76" s="8"/>
      <c r="M76" s="29">
        <f>LEN(ProjTextTable[[#This Row],[text]])</f>
        <v>2756</v>
      </c>
      <c r="N76" s="29">
        <f>LEN(TRIM(CLEAN(SUBSTITUTE(ProjTextTable[[#This Row],[text]],CHAR(10)," "))))+1 - LEN(SUBSTITUTE(CLEAN(SUBSTITUTE(ProjTextTable[[#This Row],[text]],CHAR(10)," "))," ",""))</f>
        <v>376</v>
      </c>
      <c r="O76" t="s">
        <v>261</v>
      </c>
      <c r="P76" t="s">
        <v>544</v>
      </c>
    </row>
    <row r="77" spans="1:16" x14ac:dyDescent="0.4">
      <c r="A77">
        <f t="shared" si="2"/>
        <v>13</v>
      </c>
      <c r="B77" t="s">
        <v>418</v>
      </c>
      <c r="C77" t="s">
        <v>419</v>
      </c>
      <c r="D77" t="s">
        <v>246</v>
      </c>
      <c r="E77" t="s">
        <v>436</v>
      </c>
      <c r="F77" t="s">
        <v>463</v>
      </c>
      <c r="G77" t="s">
        <v>464</v>
      </c>
      <c r="H77" t="s">
        <v>465</v>
      </c>
      <c r="I77" t="s">
        <v>263</v>
      </c>
      <c r="J77" t="s">
        <v>225</v>
      </c>
      <c r="K77" s="39">
        <v>43007</v>
      </c>
      <c r="L77" s="8">
        <v>43000.894062500003</v>
      </c>
      <c r="M77" s="29">
        <f>LEN(ProjTextTable[[#This Row],[text]])</f>
        <v>2440</v>
      </c>
      <c r="N77" s="29">
        <f>LEN(TRIM(CLEAN(SUBSTITUTE(ProjTextTable[[#This Row],[text]],CHAR(10)," "))))+1 - LEN(SUBSTITUTE(CLEAN(SUBSTITUTE(ProjTextTable[[#This Row],[text]],CHAR(10)," "))," ",""))</f>
        <v>366</v>
      </c>
      <c r="O77" t="s">
        <v>251</v>
      </c>
      <c r="P77" t="s">
        <v>545</v>
      </c>
    </row>
    <row r="78" spans="1:16" x14ac:dyDescent="0.4">
      <c r="A78">
        <f t="shared" si="2"/>
        <v>13</v>
      </c>
      <c r="B78" t="s">
        <v>418</v>
      </c>
      <c r="C78" t="s">
        <v>419</v>
      </c>
      <c r="D78" t="s">
        <v>246</v>
      </c>
      <c r="E78" t="s">
        <v>436</v>
      </c>
      <c r="F78" t="s">
        <v>441</v>
      </c>
      <c r="G78" t="s">
        <v>442</v>
      </c>
      <c r="H78" t="s">
        <v>443</v>
      </c>
      <c r="I78" t="s">
        <v>263</v>
      </c>
      <c r="J78" t="s">
        <v>225</v>
      </c>
      <c r="K78" s="39">
        <v>43007</v>
      </c>
      <c r="L78" s="8">
        <v>42971.696851851855</v>
      </c>
      <c r="M78" s="29">
        <f>LEN(ProjTextTable[[#This Row],[text]])</f>
        <v>2908</v>
      </c>
      <c r="N78" s="29">
        <f>LEN(TRIM(CLEAN(SUBSTITUTE(ProjTextTable[[#This Row],[text]],CHAR(10)," "))))+1 - LEN(SUBSTITUTE(CLEAN(SUBSTITUTE(ProjTextTable[[#This Row],[text]],CHAR(10)," "))," ",""))</f>
        <v>426</v>
      </c>
      <c r="O78" t="s">
        <v>250</v>
      </c>
      <c r="P78" t="s">
        <v>546</v>
      </c>
    </row>
    <row r="79" spans="1:16" x14ac:dyDescent="0.4">
      <c r="A79">
        <f t="shared" si="2"/>
        <v>13</v>
      </c>
      <c r="B79" t="s">
        <v>418</v>
      </c>
      <c r="C79" t="s">
        <v>419</v>
      </c>
      <c r="D79" t="s">
        <v>246</v>
      </c>
      <c r="E79" t="s">
        <v>436</v>
      </c>
      <c r="F79" t="s">
        <v>491</v>
      </c>
      <c r="G79" t="s">
        <v>492</v>
      </c>
      <c r="H79" t="s">
        <v>493</v>
      </c>
      <c r="I79" t="s">
        <v>263</v>
      </c>
      <c r="J79" t="s">
        <v>225</v>
      </c>
      <c r="K79" s="39">
        <v>43007</v>
      </c>
      <c r="L79" s="8">
        <v>43003.002766203703</v>
      </c>
      <c r="M79" s="29">
        <f>LEN(ProjTextTable[[#This Row],[text]])</f>
        <v>4393</v>
      </c>
      <c r="N79" s="29">
        <f>LEN(TRIM(CLEAN(SUBSTITUTE(ProjTextTable[[#This Row],[text]],CHAR(10)," "))))+1 - LEN(SUBSTITUTE(CLEAN(SUBSTITUTE(ProjTextTable[[#This Row],[text]],CHAR(10)," "))," ",""))</f>
        <v>665</v>
      </c>
      <c r="O79" t="s">
        <v>347</v>
      </c>
      <c r="P79" t="s">
        <v>547</v>
      </c>
    </row>
    <row r="80" spans="1:16" x14ac:dyDescent="0.4">
      <c r="A80">
        <f t="shared" si="2"/>
        <v>13</v>
      </c>
      <c r="B80" t="s">
        <v>418</v>
      </c>
      <c r="C80" t="s">
        <v>419</v>
      </c>
      <c r="D80" t="s">
        <v>246</v>
      </c>
      <c r="E80" t="s">
        <v>436</v>
      </c>
      <c r="F80" t="s">
        <v>453</v>
      </c>
      <c r="G80" t="s">
        <v>454</v>
      </c>
      <c r="H80" t="s">
        <v>455</v>
      </c>
      <c r="I80" t="s">
        <v>263</v>
      </c>
      <c r="J80" t="s">
        <v>225</v>
      </c>
      <c r="K80" s="39">
        <v>43007</v>
      </c>
      <c r="L80" s="8">
        <v>43007.35261574074</v>
      </c>
      <c r="M80" s="29">
        <f>LEN(ProjTextTable[[#This Row],[text]])</f>
        <v>4873</v>
      </c>
      <c r="N80" s="29">
        <f>LEN(TRIM(CLEAN(SUBSTITUTE(ProjTextTable[[#This Row],[text]],CHAR(10)," "))))+1 - LEN(SUBSTITUTE(CLEAN(SUBSTITUTE(ProjTextTable[[#This Row],[text]],CHAR(10)," "))," ",""))</f>
        <v>706</v>
      </c>
      <c r="O80" t="s">
        <v>251</v>
      </c>
      <c r="P80" t="s">
        <v>548</v>
      </c>
    </row>
    <row r="81" spans="1:16" x14ac:dyDescent="0.4">
      <c r="A81">
        <f t="shared" si="2"/>
        <v>13</v>
      </c>
      <c r="B81" t="s">
        <v>418</v>
      </c>
      <c r="C81" t="s">
        <v>419</v>
      </c>
      <c r="D81" t="s">
        <v>248</v>
      </c>
      <c r="E81" t="s">
        <v>372</v>
      </c>
      <c r="F81" t="s">
        <v>25</v>
      </c>
      <c r="G81" t="s">
        <v>25</v>
      </c>
      <c r="H81" t="s">
        <v>25</v>
      </c>
      <c r="K81" s="39"/>
      <c r="L81" s="8">
        <v>42935.67291666667</v>
      </c>
      <c r="M81" s="29">
        <f>LEN(ProjTextTable[[#This Row],[text]])</f>
        <v>4452</v>
      </c>
      <c r="N81" s="29">
        <f>LEN(TRIM(CLEAN(SUBSTITUTE(ProjTextTable[[#This Row],[text]],CHAR(10)," "))))+1 - LEN(SUBSTITUTE(CLEAN(SUBSTITUTE(ProjTextTable[[#This Row],[text]],CHAR(10)," "))," ",""))</f>
        <v>627</v>
      </c>
      <c r="O81" t="s">
        <v>25</v>
      </c>
      <c r="P81" t="s">
        <v>549</v>
      </c>
    </row>
    <row r="82" spans="1:16" x14ac:dyDescent="0.4">
      <c r="A82">
        <f t="shared" si="2"/>
        <v>14</v>
      </c>
      <c r="B82" t="s">
        <v>421</v>
      </c>
      <c r="C82" t="s">
        <v>422</v>
      </c>
      <c r="D82" t="s">
        <v>257</v>
      </c>
      <c r="E82" t="s">
        <v>376</v>
      </c>
      <c r="F82" t="s">
        <v>433</v>
      </c>
      <c r="G82" t="s">
        <v>434</v>
      </c>
      <c r="H82" t="s">
        <v>344</v>
      </c>
      <c r="I82" t="s">
        <v>245</v>
      </c>
      <c r="K82" s="39">
        <v>43006</v>
      </c>
      <c r="L82" s="8"/>
      <c r="M82" s="29">
        <f>LEN(ProjTextTable[[#This Row],[text]])</f>
        <v>1980</v>
      </c>
      <c r="N82" s="29">
        <f>LEN(TRIM(CLEAN(SUBSTITUTE(ProjTextTable[[#This Row],[text]],CHAR(10)," "))))+1 - LEN(SUBSTITUTE(CLEAN(SUBSTITUTE(ProjTextTable[[#This Row],[text]],CHAR(10)," "))," ",""))</f>
        <v>281</v>
      </c>
      <c r="O82" t="s">
        <v>343</v>
      </c>
      <c r="P82" t="s">
        <v>550</v>
      </c>
    </row>
    <row r="83" spans="1:16" x14ac:dyDescent="0.4">
      <c r="A83">
        <f t="shared" si="2"/>
        <v>14</v>
      </c>
      <c r="B83" t="s">
        <v>421</v>
      </c>
      <c r="C83" t="s">
        <v>422</v>
      </c>
      <c r="D83" t="s">
        <v>246</v>
      </c>
      <c r="E83" t="s">
        <v>436</v>
      </c>
      <c r="F83" t="s">
        <v>437</v>
      </c>
      <c r="G83" t="s">
        <v>438</v>
      </c>
      <c r="H83" t="s">
        <v>439</v>
      </c>
      <c r="I83" t="s">
        <v>263</v>
      </c>
      <c r="J83" t="s">
        <v>225</v>
      </c>
      <c r="K83" s="39">
        <v>43007</v>
      </c>
      <c r="L83" s="8">
        <v>43004.020775462966</v>
      </c>
      <c r="M83" s="29">
        <f>LEN(ProjTextTable[[#This Row],[text]])</f>
        <v>2291</v>
      </c>
      <c r="N83" s="29">
        <f>LEN(TRIM(CLEAN(SUBSTITUTE(ProjTextTable[[#This Row],[text]],CHAR(10)," "))))+1 - LEN(SUBSTITUTE(CLEAN(SUBSTITUTE(ProjTextTable[[#This Row],[text]],CHAR(10)," "))," ",""))</f>
        <v>339</v>
      </c>
      <c r="O83" t="s">
        <v>254</v>
      </c>
      <c r="P83" t="s">
        <v>551</v>
      </c>
    </row>
    <row r="84" spans="1:16" x14ac:dyDescent="0.4">
      <c r="A84">
        <f t="shared" si="2"/>
        <v>14</v>
      </c>
      <c r="B84" t="s">
        <v>421</v>
      </c>
      <c r="C84" t="s">
        <v>422</v>
      </c>
      <c r="D84" t="s">
        <v>246</v>
      </c>
      <c r="E84" t="s">
        <v>436</v>
      </c>
      <c r="F84" t="s">
        <v>463</v>
      </c>
      <c r="G84" t="s">
        <v>464</v>
      </c>
      <c r="H84" t="s">
        <v>465</v>
      </c>
      <c r="I84" t="s">
        <v>263</v>
      </c>
      <c r="J84" t="s">
        <v>225</v>
      </c>
      <c r="K84" s="39">
        <v>43007</v>
      </c>
      <c r="L84" s="8">
        <v>43000.894062500003</v>
      </c>
      <c r="M84" s="29">
        <f>LEN(ProjTextTable[[#This Row],[text]])</f>
        <v>2196</v>
      </c>
      <c r="N84" s="29">
        <f>LEN(TRIM(CLEAN(SUBSTITUTE(ProjTextTable[[#This Row],[text]],CHAR(10)," "))))+1 - LEN(SUBSTITUTE(CLEAN(SUBSTITUTE(ProjTextTable[[#This Row],[text]],CHAR(10)," "))," ",""))</f>
        <v>324</v>
      </c>
      <c r="O84" t="s">
        <v>253</v>
      </c>
      <c r="P84" t="s">
        <v>552</v>
      </c>
    </row>
    <row r="85" spans="1:16" x14ac:dyDescent="0.4">
      <c r="A85">
        <f t="shared" si="2"/>
        <v>14</v>
      </c>
      <c r="B85" t="s">
        <v>421</v>
      </c>
      <c r="C85" t="s">
        <v>422</v>
      </c>
      <c r="D85" t="s">
        <v>246</v>
      </c>
      <c r="E85" t="s">
        <v>436</v>
      </c>
      <c r="F85" t="s">
        <v>441</v>
      </c>
      <c r="G85" t="s">
        <v>442</v>
      </c>
      <c r="H85" t="s">
        <v>443</v>
      </c>
      <c r="I85" t="s">
        <v>263</v>
      </c>
      <c r="J85" t="s">
        <v>225</v>
      </c>
      <c r="K85" s="39">
        <v>43007</v>
      </c>
      <c r="L85" s="8">
        <v>42984.782604166663</v>
      </c>
      <c r="M85" s="29">
        <f>LEN(ProjTextTable[[#This Row],[text]])</f>
        <v>2411</v>
      </c>
      <c r="N85" s="29">
        <f>LEN(TRIM(CLEAN(SUBSTITUTE(ProjTextTable[[#This Row],[text]],CHAR(10)," "))))+1 - LEN(SUBSTITUTE(CLEAN(SUBSTITUTE(ProjTextTable[[#This Row],[text]],CHAR(10)," "))," ",""))</f>
        <v>354</v>
      </c>
      <c r="O85" t="s">
        <v>298</v>
      </c>
      <c r="P85" t="s">
        <v>553</v>
      </c>
    </row>
    <row r="86" spans="1:16" x14ac:dyDescent="0.4">
      <c r="A86">
        <f t="shared" si="2"/>
        <v>14</v>
      </c>
      <c r="B86" t="s">
        <v>421</v>
      </c>
      <c r="C86" t="s">
        <v>422</v>
      </c>
      <c r="D86" t="s">
        <v>246</v>
      </c>
      <c r="E86" t="s">
        <v>436</v>
      </c>
      <c r="F86" t="s">
        <v>449</v>
      </c>
      <c r="G86" t="s">
        <v>450</v>
      </c>
      <c r="H86" t="s">
        <v>451</v>
      </c>
      <c r="I86" t="s">
        <v>263</v>
      </c>
      <c r="J86" t="s">
        <v>225</v>
      </c>
      <c r="K86" s="39">
        <v>43007</v>
      </c>
      <c r="L86" s="8">
        <v>43002.993831018517</v>
      </c>
      <c r="M86" s="29">
        <f>LEN(ProjTextTable[[#This Row],[text]])</f>
        <v>3193</v>
      </c>
      <c r="N86" s="29">
        <f>LEN(TRIM(CLEAN(SUBSTITUTE(ProjTextTable[[#This Row],[text]],CHAR(10)," "))))+1 - LEN(SUBSTITUTE(CLEAN(SUBSTITUTE(ProjTextTable[[#This Row],[text]],CHAR(10)," "))," ",""))</f>
        <v>475</v>
      </c>
      <c r="O86" t="s">
        <v>253</v>
      </c>
      <c r="P86" t="s">
        <v>554</v>
      </c>
    </row>
    <row r="87" spans="1:16" x14ac:dyDescent="0.4">
      <c r="A87">
        <f t="shared" si="2"/>
        <v>14</v>
      </c>
      <c r="B87" t="s">
        <v>421</v>
      </c>
      <c r="C87" t="s">
        <v>422</v>
      </c>
      <c r="D87" t="s">
        <v>246</v>
      </c>
      <c r="E87" t="s">
        <v>372</v>
      </c>
      <c r="F87" t="s">
        <v>555</v>
      </c>
      <c r="G87" t="s">
        <v>556</v>
      </c>
      <c r="H87" t="s">
        <v>557</v>
      </c>
      <c r="I87" t="s">
        <v>225</v>
      </c>
      <c r="J87" t="s">
        <v>225</v>
      </c>
      <c r="K87" s="39">
        <v>42998</v>
      </c>
      <c r="L87" s="8">
        <v>42998.46166666667</v>
      </c>
      <c r="M87" s="29">
        <f>LEN(ProjTextTable[[#This Row],[text]])</f>
        <v>6692</v>
      </c>
      <c r="N87" s="29">
        <f>LEN(TRIM(CLEAN(SUBSTITUTE(ProjTextTable[[#This Row],[text]],CHAR(10)," "))))+1 - LEN(SUBSTITUTE(CLEAN(SUBSTITUTE(ProjTextTable[[#This Row],[text]],CHAR(10)," "))," ",""))</f>
        <v>949</v>
      </c>
      <c r="O87" t="s">
        <v>254</v>
      </c>
      <c r="P87" t="s">
        <v>558</v>
      </c>
    </row>
    <row r="88" spans="1:16" x14ac:dyDescent="0.4">
      <c r="A88">
        <f t="shared" si="2"/>
        <v>14</v>
      </c>
      <c r="B88" t="s">
        <v>421</v>
      </c>
      <c r="C88" t="s">
        <v>422</v>
      </c>
      <c r="D88" t="s">
        <v>248</v>
      </c>
      <c r="E88" t="s">
        <v>372</v>
      </c>
      <c r="F88" t="s">
        <v>25</v>
      </c>
      <c r="G88" t="s">
        <v>25</v>
      </c>
      <c r="H88" t="s">
        <v>25</v>
      </c>
      <c r="K88" s="39"/>
      <c r="L88" s="8">
        <v>42935.705555555556</v>
      </c>
      <c r="M88" s="29">
        <f>LEN(ProjTextTable[[#This Row],[text]])</f>
        <v>4261</v>
      </c>
      <c r="N88" s="29">
        <f>LEN(TRIM(CLEAN(SUBSTITUTE(ProjTextTable[[#This Row],[text]],CHAR(10)," "))))+1 - LEN(SUBSTITUTE(CLEAN(SUBSTITUTE(ProjTextTable[[#This Row],[text]],CHAR(10)," "))," ",""))</f>
        <v>571</v>
      </c>
      <c r="O88" t="s">
        <v>25</v>
      </c>
      <c r="P88" t="s">
        <v>559</v>
      </c>
    </row>
    <row r="89" spans="1:16" x14ac:dyDescent="0.4">
      <c r="A89">
        <f t="shared" si="2"/>
        <v>15</v>
      </c>
      <c r="B89" t="s">
        <v>425</v>
      </c>
      <c r="C89" t="s">
        <v>426</v>
      </c>
      <c r="D89" t="s">
        <v>257</v>
      </c>
      <c r="E89" t="s">
        <v>376</v>
      </c>
      <c r="F89" t="s">
        <v>433</v>
      </c>
      <c r="G89" t="s">
        <v>434</v>
      </c>
      <c r="H89" t="s">
        <v>260</v>
      </c>
      <c r="I89" t="s">
        <v>249</v>
      </c>
      <c r="J89" t="s">
        <v>560</v>
      </c>
      <c r="K89" s="39">
        <v>43006</v>
      </c>
      <c r="L89" s="8"/>
      <c r="M89" s="29">
        <f>LEN(ProjTextTable[[#This Row],[text]])</f>
        <v>4292</v>
      </c>
      <c r="N89" s="29">
        <f>LEN(TRIM(CLEAN(SUBSTITUTE(ProjTextTable[[#This Row],[text]],CHAR(10)," "))))+1 - LEN(SUBSTITUTE(CLEAN(SUBSTITUTE(ProjTextTable[[#This Row],[text]],CHAR(10)," "))," ",""))</f>
        <v>597</v>
      </c>
      <c r="O89" t="s">
        <v>261</v>
      </c>
      <c r="P89" t="s">
        <v>561</v>
      </c>
    </row>
    <row r="90" spans="1:16" x14ac:dyDescent="0.4">
      <c r="A90">
        <f t="shared" si="2"/>
        <v>15</v>
      </c>
      <c r="B90" t="s">
        <v>425</v>
      </c>
      <c r="C90" t="s">
        <v>426</v>
      </c>
      <c r="D90" t="s">
        <v>246</v>
      </c>
      <c r="E90" t="s">
        <v>436</v>
      </c>
      <c r="F90" t="s">
        <v>437</v>
      </c>
      <c r="G90" t="s">
        <v>438</v>
      </c>
      <c r="H90" t="s">
        <v>439</v>
      </c>
      <c r="I90" t="s">
        <v>263</v>
      </c>
      <c r="J90" t="s">
        <v>225</v>
      </c>
      <c r="K90" s="39">
        <v>43007</v>
      </c>
      <c r="L90" s="8">
        <v>43002.689722222225</v>
      </c>
      <c r="M90" s="29">
        <f>LEN(ProjTextTable[[#This Row],[text]])</f>
        <v>4174</v>
      </c>
      <c r="N90" s="29">
        <f>LEN(TRIM(CLEAN(SUBSTITUTE(ProjTextTable[[#This Row],[text]],CHAR(10)," "))))+1 - LEN(SUBSTITUTE(CLEAN(SUBSTITUTE(ProjTextTable[[#This Row],[text]],CHAR(10)," "))," ",""))</f>
        <v>640</v>
      </c>
      <c r="O90" t="s">
        <v>255</v>
      </c>
      <c r="P90" t="s">
        <v>562</v>
      </c>
    </row>
    <row r="91" spans="1:16" x14ac:dyDescent="0.4">
      <c r="A91">
        <f t="shared" si="2"/>
        <v>15</v>
      </c>
      <c r="B91" t="s">
        <v>425</v>
      </c>
      <c r="C91" t="s">
        <v>426</v>
      </c>
      <c r="D91" t="s">
        <v>246</v>
      </c>
      <c r="E91" t="s">
        <v>436</v>
      </c>
      <c r="F91" t="s">
        <v>459</v>
      </c>
      <c r="G91" t="s">
        <v>460</v>
      </c>
      <c r="H91" t="s">
        <v>461</v>
      </c>
      <c r="I91" t="s">
        <v>263</v>
      </c>
      <c r="J91" t="s">
        <v>225</v>
      </c>
      <c r="K91" s="39">
        <v>43007</v>
      </c>
      <c r="L91" s="8">
        <v>43003.223055555558</v>
      </c>
      <c r="M91" s="29">
        <f>LEN(ProjTextTable[[#This Row],[text]])</f>
        <v>2435</v>
      </c>
      <c r="N91" s="29">
        <f>LEN(TRIM(CLEAN(SUBSTITUTE(ProjTextTable[[#This Row],[text]],CHAR(10)," "))))+1 - LEN(SUBSTITUTE(CLEAN(SUBSTITUTE(ProjTextTable[[#This Row],[text]],CHAR(10)," "))," ",""))</f>
        <v>326</v>
      </c>
      <c r="O91" t="s">
        <v>251</v>
      </c>
      <c r="P91" t="s">
        <v>563</v>
      </c>
    </row>
    <row r="92" spans="1:16" x14ac:dyDescent="0.4">
      <c r="A92">
        <f t="shared" si="2"/>
        <v>15</v>
      </c>
      <c r="B92" t="s">
        <v>425</v>
      </c>
      <c r="C92" t="s">
        <v>426</v>
      </c>
      <c r="D92" t="s">
        <v>246</v>
      </c>
      <c r="E92" t="s">
        <v>436</v>
      </c>
      <c r="F92" t="s">
        <v>491</v>
      </c>
      <c r="G92" t="s">
        <v>492</v>
      </c>
      <c r="H92" t="s">
        <v>493</v>
      </c>
      <c r="I92" t="s">
        <v>263</v>
      </c>
      <c r="J92" t="s">
        <v>225</v>
      </c>
      <c r="K92" s="39">
        <v>43007</v>
      </c>
      <c r="L92" s="8">
        <v>43003.003263888888</v>
      </c>
      <c r="M92" s="29">
        <f>LEN(ProjTextTable[[#This Row],[text]])</f>
        <v>6040</v>
      </c>
      <c r="N92" s="29">
        <f>LEN(TRIM(CLEAN(SUBSTITUTE(ProjTextTable[[#This Row],[text]],CHAR(10)," "))))+1 - LEN(SUBSTITUTE(CLEAN(SUBSTITUTE(ProjTextTable[[#This Row],[text]],CHAR(10)," "))," ",""))</f>
        <v>876</v>
      </c>
      <c r="O92" t="s">
        <v>250</v>
      </c>
      <c r="P92" t="s">
        <v>564</v>
      </c>
    </row>
    <row r="93" spans="1:16" x14ac:dyDescent="0.4">
      <c r="A93">
        <f t="shared" si="2"/>
        <v>15</v>
      </c>
      <c r="B93" t="s">
        <v>425</v>
      </c>
      <c r="C93" t="s">
        <v>426</v>
      </c>
      <c r="D93" t="s">
        <v>246</v>
      </c>
      <c r="E93" t="s">
        <v>436</v>
      </c>
      <c r="F93" t="s">
        <v>468</v>
      </c>
      <c r="G93" t="s">
        <v>469</v>
      </c>
      <c r="H93" t="s">
        <v>470</v>
      </c>
      <c r="I93" t="s">
        <v>263</v>
      </c>
      <c r="J93" t="s">
        <v>225</v>
      </c>
      <c r="K93" s="39">
        <v>43007</v>
      </c>
      <c r="L93" s="8">
        <v>43001.84233796296</v>
      </c>
      <c r="M93" s="29">
        <f>LEN(ProjTextTable[[#This Row],[text]])</f>
        <v>1876</v>
      </c>
      <c r="N93" s="29">
        <f>LEN(TRIM(CLEAN(SUBSTITUTE(ProjTextTable[[#This Row],[text]],CHAR(10)," "))))+1 - LEN(SUBSTITUTE(CLEAN(SUBSTITUTE(ProjTextTable[[#This Row],[text]],CHAR(10)," "))," ",""))</f>
        <v>273</v>
      </c>
      <c r="O93" t="s">
        <v>247</v>
      </c>
      <c r="P93" t="s">
        <v>565</v>
      </c>
    </row>
    <row r="94" spans="1:16" x14ac:dyDescent="0.4">
      <c r="A94">
        <f t="shared" si="2"/>
        <v>15</v>
      </c>
      <c r="B94" t="s">
        <v>425</v>
      </c>
      <c r="C94" t="s">
        <v>426</v>
      </c>
      <c r="D94" t="s">
        <v>248</v>
      </c>
      <c r="E94" t="s">
        <v>372</v>
      </c>
      <c r="F94" t="s">
        <v>25</v>
      </c>
      <c r="G94" t="s">
        <v>25</v>
      </c>
      <c r="H94" t="s">
        <v>25</v>
      </c>
      <c r="K94" s="39"/>
      <c r="L94" s="8">
        <v>42935.706944444442</v>
      </c>
      <c r="M94" s="29">
        <f>LEN(ProjTextTable[[#This Row],[text]])</f>
        <v>3043</v>
      </c>
      <c r="N94" s="29">
        <f>LEN(TRIM(CLEAN(SUBSTITUTE(ProjTextTable[[#This Row],[text]],CHAR(10)," "))))+1 - LEN(SUBSTITUTE(CLEAN(SUBSTITUTE(ProjTextTable[[#This Row],[text]],CHAR(10)," "))," ",""))</f>
        <v>408</v>
      </c>
      <c r="O94" t="s">
        <v>25</v>
      </c>
      <c r="P94" t="s">
        <v>566</v>
      </c>
    </row>
    <row r="95" spans="1:16" x14ac:dyDescent="0.4">
      <c r="A95">
        <f t="shared" si="2"/>
        <v>16</v>
      </c>
      <c r="B95" t="s">
        <v>429</v>
      </c>
      <c r="C95" t="s">
        <v>430</v>
      </c>
      <c r="D95" t="s">
        <v>257</v>
      </c>
      <c r="E95" t="s">
        <v>376</v>
      </c>
      <c r="F95" t="s">
        <v>433</v>
      </c>
      <c r="G95" t="s">
        <v>434</v>
      </c>
      <c r="H95" t="s">
        <v>344</v>
      </c>
      <c r="I95" t="s">
        <v>245</v>
      </c>
      <c r="K95" s="39">
        <v>43006</v>
      </c>
      <c r="L95" s="8"/>
      <c r="M95" s="29">
        <f>LEN(ProjTextTable[[#This Row],[text]])</f>
        <v>2191</v>
      </c>
      <c r="N95" s="29">
        <f>LEN(TRIM(CLEAN(SUBSTITUTE(ProjTextTable[[#This Row],[text]],CHAR(10)," "))))+1 - LEN(SUBSTITUTE(CLEAN(SUBSTITUTE(ProjTextTable[[#This Row],[text]],CHAR(10)," "))," ",""))</f>
        <v>307</v>
      </c>
      <c r="O95" t="s">
        <v>343</v>
      </c>
      <c r="P95" t="s">
        <v>567</v>
      </c>
    </row>
    <row r="96" spans="1:16" x14ac:dyDescent="0.4">
      <c r="A96">
        <f t="shared" si="2"/>
        <v>16</v>
      </c>
      <c r="B96" t="s">
        <v>429</v>
      </c>
      <c r="C96" t="s">
        <v>430</v>
      </c>
      <c r="D96" t="s">
        <v>246</v>
      </c>
      <c r="E96" t="s">
        <v>436</v>
      </c>
      <c r="F96" t="s">
        <v>463</v>
      </c>
      <c r="G96" t="s">
        <v>464</v>
      </c>
      <c r="H96" t="s">
        <v>465</v>
      </c>
      <c r="I96" t="s">
        <v>263</v>
      </c>
      <c r="J96" t="s">
        <v>225</v>
      </c>
      <c r="K96" s="39">
        <v>43007</v>
      </c>
      <c r="L96" s="8">
        <v>43000.894062500003</v>
      </c>
      <c r="M96" s="29">
        <f>LEN(ProjTextTable[[#This Row],[text]])</f>
        <v>2223</v>
      </c>
      <c r="N96" s="29">
        <f>LEN(TRIM(CLEAN(SUBSTITUTE(ProjTextTable[[#This Row],[text]],CHAR(10)," "))))+1 - LEN(SUBSTITUTE(CLEAN(SUBSTITUTE(ProjTextTable[[#This Row],[text]],CHAR(10)," "))," ",""))</f>
        <v>319</v>
      </c>
      <c r="O96" t="s">
        <v>247</v>
      </c>
      <c r="P96" t="s">
        <v>568</v>
      </c>
    </row>
    <row r="97" spans="1:16" x14ac:dyDescent="0.4">
      <c r="A97">
        <f t="shared" si="2"/>
        <v>16</v>
      </c>
      <c r="B97" t="s">
        <v>429</v>
      </c>
      <c r="C97" t="s">
        <v>430</v>
      </c>
      <c r="D97" t="s">
        <v>246</v>
      </c>
      <c r="E97" t="s">
        <v>436</v>
      </c>
      <c r="F97" t="s">
        <v>491</v>
      </c>
      <c r="G97" t="s">
        <v>492</v>
      </c>
      <c r="H97" t="s">
        <v>493</v>
      </c>
      <c r="I97" t="s">
        <v>263</v>
      </c>
      <c r="J97" t="s">
        <v>225</v>
      </c>
      <c r="K97" s="39">
        <v>43007</v>
      </c>
      <c r="L97" s="8">
        <v>43003.003738425927</v>
      </c>
      <c r="M97" s="29">
        <f>LEN(ProjTextTable[[#This Row],[text]])</f>
        <v>6348</v>
      </c>
      <c r="N97" s="29">
        <f>LEN(TRIM(CLEAN(SUBSTITUTE(ProjTextTable[[#This Row],[text]],CHAR(10)," "))))+1 - LEN(SUBSTITUTE(CLEAN(SUBSTITUTE(ProjTextTable[[#This Row],[text]],CHAR(10)," "))," ",""))</f>
        <v>937</v>
      </c>
      <c r="O97" t="s">
        <v>247</v>
      </c>
      <c r="P97" t="s">
        <v>569</v>
      </c>
    </row>
    <row r="98" spans="1:16" x14ac:dyDescent="0.4">
      <c r="A98">
        <f t="shared" ref="A98:A100" si="3">A97+(B98&lt;&gt;B97)</f>
        <v>16</v>
      </c>
      <c r="B98" t="s">
        <v>429</v>
      </c>
      <c r="C98" t="s">
        <v>430</v>
      </c>
      <c r="D98" t="s">
        <v>246</v>
      </c>
      <c r="E98" t="s">
        <v>436</v>
      </c>
      <c r="F98" t="s">
        <v>453</v>
      </c>
      <c r="G98" t="s">
        <v>454</v>
      </c>
      <c r="H98" t="s">
        <v>455</v>
      </c>
      <c r="I98" t="s">
        <v>263</v>
      </c>
      <c r="J98" t="s">
        <v>225</v>
      </c>
      <c r="K98" s="39">
        <v>43007</v>
      </c>
      <c r="L98" s="8">
        <v>43007.356469907405</v>
      </c>
      <c r="M98" s="29">
        <f>LEN(ProjTextTable[[#This Row],[text]])</f>
        <v>4067</v>
      </c>
      <c r="N98" s="29">
        <f>LEN(TRIM(CLEAN(SUBSTITUTE(ProjTextTable[[#This Row],[text]],CHAR(10)," "))))+1 - LEN(SUBSTITUTE(CLEAN(SUBSTITUTE(ProjTextTable[[#This Row],[text]],CHAR(10)," "))," ",""))</f>
        <v>606</v>
      </c>
      <c r="O98" t="s">
        <v>254</v>
      </c>
      <c r="P98" t="s">
        <v>570</v>
      </c>
    </row>
    <row r="99" spans="1:16" x14ac:dyDescent="0.4">
      <c r="A99">
        <f t="shared" si="3"/>
        <v>16</v>
      </c>
      <c r="B99" t="s">
        <v>429</v>
      </c>
      <c r="C99" t="s">
        <v>430</v>
      </c>
      <c r="D99" t="s">
        <v>246</v>
      </c>
      <c r="E99" t="s">
        <v>436</v>
      </c>
      <c r="F99" t="s">
        <v>468</v>
      </c>
      <c r="G99" t="s">
        <v>469</v>
      </c>
      <c r="H99" t="s">
        <v>470</v>
      </c>
      <c r="I99" t="s">
        <v>263</v>
      </c>
      <c r="J99" t="s">
        <v>225</v>
      </c>
      <c r="K99" s="39">
        <v>43007</v>
      </c>
      <c r="L99" s="8">
        <v>43001.75949074074</v>
      </c>
      <c r="M99" s="29">
        <f>LEN(ProjTextTable[[#This Row],[text]])</f>
        <v>2097</v>
      </c>
      <c r="N99" s="29">
        <f>LEN(TRIM(CLEAN(SUBSTITUTE(ProjTextTable[[#This Row],[text]],CHAR(10)," "))))+1 - LEN(SUBSTITUTE(CLEAN(SUBSTITUTE(ProjTextTable[[#This Row],[text]],CHAR(10)," "))," ",""))</f>
        <v>315</v>
      </c>
      <c r="O99" t="s">
        <v>251</v>
      </c>
      <c r="P99" t="s">
        <v>571</v>
      </c>
    </row>
    <row r="100" spans="1:16" x14ac:dyDescent="0.4">
      <c r="A100">
        <f t="shared" si="3"/>
        <v>16</v>
      </c>
      <c r="B100" t="s">
        <v>429</v>
      </c>
      <c r="C100" t="s">
        <v>430</v>
      </c>
      <c r="D100" t="s">
        <v>248</v>
      </c>
      <c r="E100" t="s">
        <v>376</v>
      </c>
      <c r="F100" t="s">
        <v>25</v>
      </c>
      <c r="G100" t="s">
        <v>25</v>
      </c>
      <c r="H100" t="s">
        <v>25</v>
      </c>
      <c r="K100" s="39"/>
      <c r="L100" s="8">
        <v>42935.757638888892</v>
      </c>
      <c r="M100" s="29">
        <f>LEN(ProjTextTable[[#This Row],[text]])</f>
        <v>4121</v>
      </c>
      <c r="N100" s="29">
        <f>LEN(TRIM(CLEAN(SUBSTITUTE(ProjTextTable[[#This Row],[text]],CHAR(10)," "))))+1 - LEN(SUBSTITUTE(CLEAN(SUBSTITUTE(ProjTextTable[[#This Row],[text]],CHAR(10)," "))," ",""))</f>
        <v>596</v>
      </c>
      <c r="O100" t="s">
        <v>25</v>
      </c>
      <c r="P100" t="s">
        <v>572</v>
      </c>
    </row>
    <row r="101" spans="1:16" x14ac:dyDescent="0.4">
      <c r="B101" t="s">
        <v>256</v>
      </c>
      <c r="K101" s="39"/>
      <c r="M101"/>
      <c r="N101"/>
      <c r="P101">
        <f>SUBTOTAL(103,ProjTextTable[text])</f>
        <v>99</v>
      </c>
    </row>
  </sheetData>
  <conditionalFormatting sqref="A2:P100">
    <cfRule type="expression" dxfId="1"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eckCoding2">
    <tabColor theme="7" tint="-0.499984740745262"/>
  </sheetPr>
  <dimension ref="A1:AW18"/>
  <sheetViews>
    <sheetView workbookViewId="0">
      <selection activeCell="H40" sqref="H40"/>
    </sheetView>
  </sheetViews>
  <sheetFormatPr defaultRowHeight="14.6" x14ac:dyDescent="0.4"/>
  <cols>
    <col min="1" max="1" width="9.3046875" style="39" customWidth="1"/>
    <col min="2" max="2" width="11.15234375" customWidth="1"/>
    <col min="3" max="3" width="11.3828125" customWidth="1"/>
    <col min="4" max="4" width="5.3828125" customWidth="1"/>
    <col min="6" max="6" width="5.84375" style="39" customWidth="1"/>
    <col min="7" max="7" width="3.3046875" style="39" customWidth="1"/>
    <col min="8" max="8" width="3.53515625" style="39" customWidth="1"/>
    <col min="9" max="9" width="13.53515625" customWidth="1"/>
    <col min="10" max="10" width="3.84375" customWidth="1"/>
    <col min="11" max="12" width="7.3828125" hidden="1" customWidth="1"/>
    <col min="13" max="13" width="5.3828125" customWidth="1"/>
    <col min="14" max="14" width="11" customWidth="1"/>
    <col min="15" max="15" width="14.3046875" style="30" customWidth="1"/>
    <col min="16" max="16" width="5.3046875" style="48" customWidth="1"/>
    <col min="17" max="17" width="4.53515625" style="48" customWidth="1"/>
    <col min="18" max="18" width="11.84375" customWidth="1"/>
    <col min="19" max="19" width="4.3828125" customWidth="1"/>
    <col min="20" max="20" width="3.69140625" customWidth="1"/>
    <col min="21" max="21" width="8.69140625" style="39" customWidth="1"/>
    <col min="22" max="22" width="3.69140625" customWidth="1"/>
    <col min="23" max="23" width="9.23046875" style="39"/>
    <col min="24" max="24" width="9.53515625" style="39" customWidth="1"/>
    <col min="25" max="25" width="11.53515625" customWidth="1"/>
    <col min="26" max="26" width="12.15234375" customWidth="1"/>
    <col min="27" max="27" width="9.84375" customWidth="1"/>
    <col min="28" max="28" width="10.15234375" customWidth="1"/>
    <col min="29" max="29" width="4.3828125" customWidth="1"/>
    <col min="30" max="35" width="3" customWidth="1"/>
    <col min="36" max="36" width="9.23046875" style="1"/>
    <col min="38" max="38" width="85.53515625" customWidth="1"/>
    <col min="39" max="39" width="10.3828125" customWidth="1"/>
    <col min="40" max="40" width="9.53515625" style="17"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x14ac:dyDescent="0.4">
      <c r="A1" s="16" t="s">
        <v>744</v>
      </c>
      <c r="R1" s="49" t="s">
        <v>332</v>
      </c>
      <c r="AD1" s="49" t="s">
        <v>325</v>
      </c>
      <c r="AE1" s="49"/>
      <c r="AF1" s="49"/>
      <c r="AG1" s="49"/>
      <c r="AH1" s="49"/>
      <c r="AI1" s="49"/>
      <c r="AJ1" s="50" t="s">
        <v>326</v>
      </c>
      <c r="AK1" s="49"/>
      <c r="AL1" s="49"/>
      <c r="AM1" s="49"/>
      <c r="AN1" s="51" t="s">
        <v>323</v>
      </c>
      <c r="AO1" s="49"/>
      <c r="AP1" s="49"/>
      <c r="AQ1" s="49"/>
      <c r="AR1" s="49"/>
      <c r="AS1" s="49"/>
      <c r="AT1" s="49" t="s">
        <v>327</v>
      </c>
    </row>
    <row r="2" spans="1:49" x14ac:dyDescent="0.4">
      <c r="A2" s="39" t="s">
        <v>8</v>
      </c>
      <c r="B2" t="s">
        <v>9</v>
      </c>
      <c r="C2" t="s">
        <v>6</v>
      </c>
      <c r="D2" t="s">
        <v>5</v>
      </c>
      <c r="E2" t="s">
        <v>112</v>
      </c>
      <c r="F2" t="s">
        <v>113</v>
      </c>
      <c r="G2" t="s">
        <v>114</v>
      </c>
      <c r="H2" t="s">
        <v>115</v>
      </c>
      <c r="I2" t="s">
        <v>24</v>
      </c>
      <c r="J2" t="s">
        <v>117</v>
      </c>
      <c r="K2" t="s">
        <v>155</v>
      </c>
      <c r="L2" t="s">
        <v>170</v>
      </c>
      <c r="M2" t="s">
        <v>169</v>
      </c>
      <c r="N2" t="s">
        <v>30</v>
      </c>
      <c r="O2" s="30" t="s">
        <v>29</v>
      </c>
      <c r="P2" s="48" t="s">
        <v>153</v>
      </c>
      <c r="Q2" s="48" t="s">
        <v>154</v>
      </c>
      <c r="R2" s="18" t="s">
        <v>161</v>
      </c>
      <c r="S2" s="18" t="s">
        <v>127</v>
      </c>
      <c r="T2" t="s">
        <v>108</v>
      </c>
      <c r="U2" t="s">
        <v>10</v>
      </c>
      <c r="V2" t="s">
        <v>1</v>
      </c>
      <c r="W2" t="s">
        <v>0</v>
      </c>
      <c r="X2" t="s">
        <v>11</v>
      </c>
      <c r="Y2" t="s">
        <v>31</v>
      </c>
      <c r="Z2" t="s">
        <v>12</v>
      </c>
      <c r="AA2" s="1" t="s">
        <v>109</v>
      </c>
      <c r="AB2" s="39" t="s">
        <v>32</v>
      </c>
      <c r="AC2" t="s">
        <v>33</v>
      </c>
      <c r="AD2" t="s">
        <v>171</v>
      </c>
      <c r="AE2" t="s">
        <v>172</v>
      </c>
      <c r="AF2" t="s">
        <v>173</v>
      </c>
      <c r="AG2" t="s">
        <v>174</v>
      </c>
      <c r="AH2" t="s">
        <v>175</v>
      </c>
      <c r="AI2" t="s">
        <v>176</v>
      </c>
      <c r="AJ2" t="s">
        <v>110</v>
      </c>
      <c r="AK2" t="s">
        <v>111</v>
      </c>
      <c r="AL2" t="s">
        <v>56</v>
      </c>
      <c r="AM2" t="s">
        <v>163</v>
      </c>
      <c r="AN2" s="17" t="s">
        <v>164</v>
      </c>
      <c r="AO2" t="s">
        <v>162</v>
      </c>
      <c r="AP2" t="s">
        <v>13</v>
      </c>
      <c r="AQ2" t="s">
        <v>107</v>
      </c>
      <c r="AR2" t="s">
        <v>116</v>
      </c>
      <c r="AS2" t="s">
        <v>118</v>
      </c>
      <c r="AT2" t="s">
        <v>165</v>
      </c>
      <c r="AU2" t="s">
        <v>166</v>
      </c>
      <c r="AV2" t="s">
        <v>167</v>
      </c>
      <c r="AW2" t="s">
        <v>168</v>
      </c>
    </row>
    <row r="3" spans="1:49" x14ac:dyDescent="0.4">
      <c r="A3" s="39">
        <v>42933.697916666664</v>
      </c>
      <c r="B3" t="s">
        <v>336</v>
      </c>
      <c r="C3" t="s">
        <v>299</v>
      </c>
      <c r="D3" t="s">
        <v>371</v>
      </c>
      <c r="E3" t="s">
        <v>372</v>
      </c>
      <c r="F3" t="s">
        <v>119</v>
      </c>
      <c r="G3" t="s">
        <v>120</v>
      </c>
      <c r="H3" t="s">
        <v>356</v>
      </c>
      <c r="I3" t="s">
        <v>364</v>
      </c>
      <c r="J3" t="s">
        <v>368</v>
      </c>
      <c r="K3" t="b">
        <f>_xlfn.XOR(IFERROR(MATCH(PRCGlossary[[#This Row],[st_code]],EpscorTable[],0)&gt;0,FALSE),IFERROR(FIND("9150",PRCGlossary[[#This Row],[PRCs]])&gt;0,FALSE))</f>
        <v>0</v>
      </c>
      <c r="L3" t="b">
        <f>_xlfn.XOR(PRCGlossary[[#This Row],[WMD]]&lt;&gt;"",IFERROR(FIND("9102",PRCGlossary[[#This Row],[PRCs]])&gt;0,FALSE))</f>
        <v>0</v>
      </c>
      <c r="M3" t="str">
        <f t="shared" ref="M3:M18" si="0">IF(SUM(AT3:AW3)&gt;0,"WMD","")</f>
        <v/>
      </c>
      <c r="P3" s="48">
        <v>0</v>
      </c>
      <c r="Q3" s="48">
        <v>0</v>
      </c>
      <c r="R3" s="19" t="str">
        <f>HYPERLINK("mailto:"&amp;PRCGlossary[[#This Row],[pi_emai_addr]]&amp;"&amp;subject=Your NSF Proposal:  "&amp;PRCGlossary[[#This Row],[prop_id]], PRCGlossary[[#This Row],[pi_emai_addr]])</f>
        <v>lziarek@buffalo.edu</v>
      </c>
      <c r="S3">
        <f xml:space="preserve"> S2+(PRCGlossary[ILN]&lt;"M")</f>
        <v>1</v>
      </c>
      <c r="T3" t="s">
        <v>121</v>
      </c>
      <c r="U3" t="s">
        <v>373</v>
      </c>
      <c r="V3" s="19" t="str">
        <f>HYPERLINK("https://www.ejacket.nsf.gov/ej/showProposal.do?ID="&amp;PRCGlossary[[#This Row],[prop_id]],"eJ")</f>
        <v>eJ</v>
      </c>
      <c r="W3" t="s">
        <v>373</v>
      </c>
      <c r="X3" t="s">
        <v>374</v>
      </c>
      <c r="Y3" t="s">
        <v>601</v>
      </c>
      <c r="Z3" t="s">
        <v>297</v>
      </c>
      <c r="AA3" s="1">
        <v>561136</v>
      </c>
      <c r="AB3" s="39">
        <v>43101</v>
      </c>
      <c r="AC3">
        <v>60</v>
      </c>
      <c r="AD3">
        <v>5</v>
      </c>
      <c r="AF3">
        <v>5</v>
      </c>
      <c r="AG3">
        <v>1</v>
      </c>
      <c r="AI3">
        <v>1</v>
      </c>
      <c r="AJ3"/>
      <c r="AL3" t="s">
        <v>603</v>
      </c>
      <c r="AN3" s="17">
        <v>20000</v>
      </c>
      <c r="AO3" t="s">
        <v>634</v>
      </c>
      <c r="AP3" t="s">
        <v>375</v>
      </c>
      <c r="AQ3" s="8"/>
      <c r="AR3" t="s">
        <v>367</v>
      </c>
      <c r="AS3" t="s">
        <v>635</v>
      </c>
      <c r="AT3">
        <v>0</v>
      </c>
      <c r="AU3">
        <v>0</v>
      </c>
      <c r="AV3">
        <v>0</v>
      </c>
      <c r="AW3">
        <v>0</v>
      </c>
    </row>
    <row r="4" spans="1:49" x14ac:dyDescent="0.4">
      <c r="A4" s="39">
        <v>42933.719444444447</v>
      </c>
      <c r="B4" t="s">
        <v>336</v>
      </c>
      <c r="C4" t="s">
        <v>299</v>
      </c>
      <c r="D4" t="s">
        <v>371</v>
      </c>
      <c r="E4" t="s">
        <v>376</v>
      </c>
      <c r="F4" t="s">
        <v>119</v>
      </c>
      <c r="G4" t="s">
        <v>120</v>
      </c>
      <c r="H4" t="s">
        <v>356</v>
      </c>
      <c r="I4" t="s">
        <v>364</v>
      </c>
      <c r="J4" t="s">
        <v>362</v>
      </c>
      <c r="K4" t="b">
        <f>_xlfn.XOR(IFERROR(MATCH(PRCGlossary[[#This Row],[st_code]],EpscorTable[],0)&gt;0,FALSE),IFERROR(FIND("9150",PRCGlossary[[#This Row],[PRCs]])&gt;0,FALSE))</f>
        <v>0</v>
      </c>
      <c r="L4" t="b">
        <f>_xlfn.XOR(PRCGlossary[[#This Row],[WMD]]&lt;&gt;"",IFERROR(FIND("9102",PRCGlossary[[#This Row],[PRCs]])&gt;0,FALSE))</f>
        <v>0</v>
      </c>
      <c r="M4" t="str">
        <f t="shared" si="0"/>
        <v/>
      </c>
      <c r="P4" s="48">
        <v>0</v>
      </c>
      <c r="Q4" s="48">
        <v>0</v>
      </c>
      <c r="R4" s="19" t="str">
        <f>HYPERLINK("mailto:"&amp;PRCGlossary[[#This Row],[pi_emai_addr]]&amp;"&amp;subject=Your NSF Proposal:  "&amp;PRCGlossary[[#This Row],[prop_id]], PRCGlossary[[#This Row],[pi_emai_addr]])</f>
        <v>ztatlock@cs.washington.edu</v>
      </c>
      <c r="S4">
        <f xml:space="preserve"> S3+(PRCGlossary[ILN]&lt;"M")</f>
        <v>2</v>
      </c>
      <c r="T4" t="s">
        <v>121</v>
      </c>
      <c r="U4" t="s">
        <v>377</v>
      </c>
      <c r="V4" s="19" t="str">
        <f>HYPERLINK("https://www.ejacket.nsf.gov/ej/showProposal.do?ID="&amp;PRCGlossary[[#This Row],[prop_id]],"eJ")</f>
        <v>eJ</v>
      </c>
      <c r="W4" t="s">
        <v>377</v>
      </c>
      <c r="X4" t="s">
        <v>378</v>
      </c>
      <c r="Y4" t="s">
        <v>588</v>
      </c>
      <c r="Z4" t="s">
        <v>338</v>
      </c>
      <c r="AA4" s="1">
        <v>648665</v>
      </c>
      <c r="AB4" s="39">
        <v>43191</v>
      </c>
      <c r="AC4">
        <v>60</v>
      </c>
      <c r="AD4">
        <v>4</v>
      </c>
      <c r="AF4">
        <v>4</v>
      </c>
      <c r="AG4">
        <v>1</v>
      </c>
      <c r="AI4">
        <v>1</v>
      </c>
      <c r="AJ4"/>
      <c r="AL4" t="s">
        <v>590</v>
      </c>
      <c r="AN4" s="17">
        <v>15000</v>
      </c>
      <c r="AO4" t="s">
        <v>355</v>
      </c>
      <c r="AP4" t="s">
        <v>379</v>
      </c>
      <c r="AQ4" s="8"/>
      <c r="AR4" t="s">
        <v>361</v>
      </c>
      <c r="AS4" t="s">
        <v>636</v>
      </c>
      <c r="AT4">
        <v>0</v>
      </c>
      <c r="AU4">
        <v>0</v>
      </c>
      <c r="AV4">
        <v>0</v>
      </c>
      <c r="AW4">
        <v>0</v>
      </c>
    </row>
    <row r="5" spans="1:49" x14ac:dyDescent="0.4">
      <c r="A5" s="39">
        <v>42933.731249999997</v>
      </c>
      <c r="B5" t="s">
        <v>336</v>
      </c>
      <c r="C5" t="s">
        <v>299</v>
      </c>
      <c r="D5" t="s">
        <v>371</v>
      </c>
      <c r="E5" t="s">
        <v>372</v>
      </c>
      <c r="F5" t="s">
        <v>119</v>
      </c>
      <c r="G5" t="s">
        <v>120</v>
      </c>
      <c r="H5" t="s">
        <v>356</v>
      </c>
      <c r="I5" t="s">
        <v>364</v>
      </c>
      <c r="J5" t="s">
        <v>358</v>
      </c>
      <c r="K5" t="b">
        <f>_xlfn.XOR(IFERROR(MATCH(PRCGlossary[[#This Row],[st_code]],EpscorTable[],0)&gt;0,FALSE),IFERROR(FIND("9150",PRCGlossary[[#This Row],[PRCs]])&gt;0,FALSE))</f>
        <v>0</v>
      </c>
      <c r="L5" t="b">
        <f>_xlfn.XOR(PRCGlossary[[#This Row],[WMD]]&lt;&gt;"",IFERROR(FIND("9102",PRCGlossary[[#This Row],[PRCs]])&gt;0,FALSE))</f>
        <v>0</v>
      </c>
      <c r="M5" t="str">
        <f t="shared" si="0"/>
        <v/>
      </c>
      <c r="P5" s="48">
        <v>0</v>
      </c>
      <c r="Q5" s="48">
        <v>0</v>
      </c>
      <c r="R5" s="19" t="str">
        <f>HYPERLINK("mailto:"&amp;PRCGlossary[[#This Row],[pi_emai_addr]]&amp;"&amp;subject=Your NSF Proposal:  "&amp;PRCGlossary[[#This Row],[prop_id]], PRCGlossary[[#This Row],[pi_emai_addr]])</f>
        <v>gbm26@drexel.edu</v>
      </c>
      <c r="S5">
        <f xml:space="preserve"> S4+(PRCGlossary[ILN]&lt;"M")</f>
        <v>3</v>
      </c>
      <c r="T5" t="s">
        <v>121</v>
      </c>
      <c r="U5" t="s">
        <v>380</v>
      </c>
      <c r="V5" s="19" t="str">
        <f>HYPERLINK("https://www.ejacket.nsf.gov/ej/showProposal.do?ID="&amp;PRCGlossary[[#This Row],[prop_id]],"eJ")</f>
        <v>eJ</v>
      </c>
      <c r="W5" t="s">
        <v>380</v>
      </c>
      <c r="X5" t="s">
        <v>381</v>
      </c>
      <c r="Y5" t="s">
        <v>611</v>
      </c>
      <c r="Z5" t="s">
        <v>382</v>
      </c>
      <c r="AA5" s="1">
        <v>495570</v>
      </c>
      <c r="AB5" s="39">
        <v>43101</v>
      </c>
      <c r="AC5">
        <v>60</v>
      </c>
      <c r="AD5">
        <v>4</v>
      </c>
      <c r="AF5">
        <v>4</v>
      </c>
      <c r="AG5">
        <v>1</v>
      </c>
      <c r="AI5">
        <v>1</v>
      </c>
      <c r="AJ5"/>
      <c r="AL5" t="s">
        <v>613</v>
      </c>
      <c r="AN5" s="17">
        <v>0</v>
      </c>
      <c r="AP5" t="s">
        <v>383</v>
      </c>
      <c r="AQ5" s="8"/>
      <c r="AR5" t="s">
        <v>637</v>
      </c>
      <c r="AS5" t="s">
        <v>638</v>
      </c>
      <c r="AT5">
        <v>0</v>
      </c>
      <c r="AU5">
        <v>0</v>
      </c>
      <c r="AV5">
        <v>0</v>
      </c>
      <c r="AW5">
        <v>0</v>
      </c>
    </row>
    <row r="6" spans="1:49" x14ac:dyDescent="0.4">
      <c r="A6" s="39">
        <v>42934.425000000003</v>
      </c>
      <c r="B6" t="s">
        <v>336</v>
      </c>
      <c r="C6" t="s">
        <v>299</v>
      </c>
      <c r="D6" t="s">
        <v>371</v>
      </c>
      <c r="E6" t="s">
        <v>372</v>
      </c>
      <c r="F6" t="s">
        <v>119</v>
      </c>
      <c r="G6" t="s">
        <v>120</v>
      </c>
      <c r="H6" t="s">
        <v>356</v>
      </c>
      <c r="I6" t="s">
        <v>364</v>
      </c>
      <c r="J6" t="s">
        <v>358</v>
      </c>
      <c r="K6" t="b">
        <f>_xlfn.XOR(IFERROR(MATCH(PRCGlossary[[#This Row],[st_code]],EpscorTable[],0)&gt;0,FALSE),IFERROR(FIND("9150",PRCGlossary[[#This Row],[PRCs]])&gt;0,FALSE))</f>
        <v>0</v>
      </c>
      <c r="L6" t="b">
        <f>_xlfn.XOR(PRCGlossary[[#This Row],[WMD]]&lt;&gt;"",IFERROR(FIND("9102",PRCGlossary[[#This Row],[PRCs]])&gt;0,FALSE))</f>
        <v>0</v>
      </c>
      <c r="M6" t="str">
        <f t="shared" si="0"/>
        <v/>
      </c>
      <c r="P6" s="48">
        <v>0</v>
      </c>
      <c r="Q6" s="48">
        <v>0</v>
      </c>
      <c r="R6" s="19" t="str">
        <f>HYPERLINK("mailto:"&amp;PRCGlossary[[#This Row],[pi_emai_addr]]&amp;"&amp;subject=Your NSF Proposal:  "&amp;PRCGlossary[[#This Row],[prop_id]], PRCGlossary[[#This Row],[pi_emai_addr]])</f>
        <v>csg63@drexel.edu</v>
      </c>
      <c r="S6">
        <f xml:space="preserve"> S5+(PRCGlossary[ILN]&lt;"M")</f>
        <v>4</v>
      </c>
      <c r="T6" t="s">
        <v>121</v>
      </c>
      <c r="U6" t="s">
        <v>384</v>
      </c>
      <c r="V6" s="19" t="str">
        <f>HYPERLINK("https://www.ejacket.nsf.gov/ej/showProposal.do?ID="&amp;PRCGlossary[[#This Row],[prop_id]],"eJ")</f>
        <v>eJ</v>
      </c>
      <c r="W6" t="s">
        <v>384</v>
      </c>
      <c r="X6" t="s">
        <v>385</v>
      </c>
      <c r="Y6" t="s">
        <v>593</v>
      </c>
      <c r="Z6" t="s">
        <v>382</v>
      </c>
      <c r="AA6" s="1">
        <v>622204</v>
      </c>
      <c r="AB6" s="39">
        <v>43344</v>
      </c>
      <c r="AC6">
        <v>60</v>
      </c>
      <c r="AD6">
        <v>4</v>
      </c>
      <c r="AF6">
        <v>4</v>
      </c>
      <c r="AG6">
        <v>1</v>
      </c>
      <c r="AI6">
        <v>1</v>
      </c>
      <c r="AJ6"/>
      <c r="AL6" t="s">
        <v>595</v>
      </c>
      <c r="AN6" s="17">
        <v>28660</v>
      </c>
      <c r="AO6" t="s">
        <v>355</v>
      </c>
      <c r="AP6" t="s">
        <v>386</v>
      </c>
      <c r="AQ6" s="8"/>
      <c r="AR6" t="s">
        <v>637</v>
      </c>
      <c r="AS6" t="s">
        <v>639</v>
      </c>
      <c r="AT6">
        <v>0</v>
      </c>
      <c r="AU6">
        <v>0</v>
      </c>
      <c r="AV6">
        <v>0</v>
      </c>
      <c r="AW6">
        <v>0</v>
      </c>
    </row>
    <row r="7" spans="1:49" x14ac:dyDescent="0.4">
      <c r="A7" s="39">
        <v>42934.681250000001</v>
      </c>
      <c r="B7" t="s">
        <v>336</v>
      </c>
      <c r="C7" t="s">
        <v>299</v>
      </c>
      <c r="D7" t="s">
        <v>371</v>
      </c>
      <c r="E7" t="s">
        <v>372</v>
      </c>
      <c r="F7" t="s">
        <v>119</v>
      </c>
      <c r="G7" t="s">
        <v>120</v>
      </c>
      <c r="H7" t="s">
        <v>356</v>
      </c>
      <c r="I7" t="s">
        <v>364</v>
      </c>
      <c r="J7" t="s">
        <v>366</v>
      </c>
      <c r="K7" t="b">
        <f>_xlfn.XOR(IFERROR(MATCH(PRCGlossary[[#This Row],[st_code]],EpscorTable[],0)&gt;0,FALSE),IFERROR(FIND("9150",PRCGlossary[[#This Row],[PRCs]])&gt;0,FALSE))</f>
        <v>0</v>
      </c>
      <c r="L7" t="b">
        <f>_xlfn.XOR(PRCGlossary[[#This Row],[WMD]]&lt;&gt;"",IFERROR(FIND("9102",PRCGlossary[[#This Row],[PRCs]])&gt;0,FALSE))</f>
        <v>0</v>
      </c>
      <c r="M7" t="str">
        <f t="shared" si="0"/>
        <v/>
      </c>
      <c r="P7" s="48">
        <v>0</v>
      </c>
      <c r="Q7" s="48">
        <v>0</v>
      </c>
      <c r="R7" s="19" t="str">
        <f>HYPERLINK("mailto:"&amp;PRCGlossary[[#This Row],[pi_emai_addr]]&amp;"&amp;subject=Your NSF Proposal:  "&amp;PRCGlossary[[#This Row],[prop_id]], PRCGlossary[[#This Row],[pi_emai_addr]])</f>
        <v>arjun@cs.umass.edu</v>
      </c>
      <c r="S7">
        <f xml:space="preserve"> S6+(PRCGlossary[ILN]&lt;"M")</f>
        <v>5</v>
      </c>
      <c r="T7" t="s">
        <v>121</v>
      </c>
      <c r="U7" t="s">
        <v>387</v>
      </c>
      <c r="V7" s="19" t="str">
        <f>HYPERLINK("https://www.ejacket.nsf.gov/ej/showProposal.do?ID="&amp;PRCGlossary[[#This Row],[prop_id]],"eJ")</f>
        <v>eJ</v>
      </c>
      <c r="W7" t="s">
        <v>387</v>
      </c>
      <c r="X7" t="s">
        <v>388</v>
      </c>
      <c r="Y7" t="s">
        <v>615</v>
      </c>
      <c r="Z7" t="s">
        <v>389</v>
      </c>
      <c r="AA7" s="1">
        <v>532375</v>
      </c>
      <c r="AB7" s="39">
        <v>43101</v>
      </c>
      <c r="AC7">
        <v>60</v>
      </c>
      <c r="AD7">
        <v>4</v>
      </c>
      <c r="AF7">
        <v>4</v>
      </c>
      <c r="AG7">
        <v>1</v>
      </c>
      <c r="AI7">
        <v>1</v>
      </c>
      <c r="AJ7"/>
      <c r="AL7" t="s">
        <v>617</v>
      </c>
      <c r="AN7" s="17">
        <v>0</v>
      </c>
      <c r="AP7" t="s">
        <v>390</v>
      </c>
      <c r="AQ7" s="8"/>
      <c r="AR7" t="s">
        <v>640</v>
      </c>
      <c r="AS7" t="s">
        <v>641</v>
      </c>
      <c r="AT7">
        <v>0</v>
      </c>
      <c r="AU7">
        <v>0</v>
      </c>
      <c r="AV7">
        <v>0</v>
      </c>
      <c r="AW7">
        <v>0</v>
      </c>
    </row>
    <row r="8" spans="1:49" x14ac:dyDescent="0.4">
      <c r="A8" s="39">
        <v>42934.72152777778</v>
      </c>
      <c r="B8" t="s">
        <v>336</v>
      </c>
      <c r="C8" t="s">
        <v>299</v>
      </c>
      <c r="D8" t="s">
        <v>371</v>
      </c>
      <c r="E8" t="s">
        <v>376</v>
      </c>
      <c r="F8" t="s">
        <v>119</v>
      </c>
      <c r="G8" t="s">
        <v>120</v>
      </c>
      <c r="H8" t="s">
        <v>356</v>
      </c>
      <c r="I8" t="s">
        <v>364</v>
      </c>
      <c r="J8" t="s">
        <v>370</v>
      </c>
      <c r="K8" t="b">
        <f>_xlfn.XOR(IFERROR(MATCH(PRCGlossary[[#This Row],[st_code]],EpscorTable[],0)&gt;0,FALSE),IFERROR(FIND("9150",PRCGlossary[[#This Row],[PRCs]])&gt;0,FALSE))</f>
        <v>0</v>
      </c>
      <c r="L8" t="b">
        <f>_xlfn.XOR(PRCGlossary[[#This Row],[WMD]]&lt;&gt;"",IFERROR(FIND("9102",PRCGlossary[[#This Row],[PRCs]])&gt;0,FALSE))</f>
        <v>0</v>
      </c>
      <c r="M8" t="str">
        <f t="shared" si="0"/>
        <v/>
      </c>
      <c r="P8" s="48">
        <v>0</v>
      </c>
      <c r="Q8" s="48">
        <v>0</v>
      </c>
      <c r="R8" s="19" t="str">
        <f>HYPERLINK("mailto:"&amp;PRCGlossary[[#This Row],[pi_emai_addr]]&amp;"&amp;subject=Your NSF Proposal:  "&amp;PRCGlossary[[#This Row],[prop_id]], PRCGlossary[[#This Row],[pi_emai_addr]])</f>
        <v>heades@augusta.edu</v>
      </c>
      <c r="S8">
        <f xml:space="preserve"> S7+(PRCGlossary[ILN]&lt;"M")</f>
        <v>6</v>
      </c>
      <c r="T8" t="s">
        <v>121</v>
      </c>
      <c r="U8" t="s">
        <v>391</v>
      </c>
      <c r="V8" s="19" t="str">
        <f>HYPERLINK("https://www.ejacket.nsf.gov/ej/showProposal.do?ID="&amp;PRCGlossary[[#This Row],[prop_id]],"eJ")</f>
        <v>eJ</v>
      </c>
      <c r="W8" t="s">
        <v>391</v>
      </c>
      <c r="X8" t="s">
        <v>392</v>
      </c>
      <c r="Y8" t="s">
        <v>619</v>
      </c>
      <c r="Z8" t="s">
        <v>393</v>
      </c>
      <c r="AA8" s="1">
        <v>500272</v>
      </c>
      <c r="AB8" s="39">
        <v>43160</v>
      </c>
      <c r="AC8">
        <v>60</v>
      </c>
      <c r="AD8">
        <v>5</v>
      </c>
      <c r="AF8">
        <v>5</v>
      </c>
      <c r="AG8">
        <v>1</v>
      </c>
      <c r="AI8">
        <v>1</v>
      </c>
      <c r="AJ8"/>
      <c r="AL8" t="s">
        <v>621</v>
      </c>
      <c r="AN8" s="17">
        <v>32960</v>
      </c>
      <c r="AO8" t="s">
        <v>355</v>
      </c>
      <c r="AP8" t="s">
        <v>394</v>
      </c>
      <c r="AQ8" s="8"/>
      <c r="AR8" t="s">
        <v>642</v>
      </c>
      <c r="AS8" t="s">
        <v>643</v>
      </c>
      <c r="AT8">
        <v>0</v>
      </c>
      <c r="AU8">
        <v>0</v>
      </c>
      <c r="AV8">
        <v>0</v>
      </c>
      <c r="AW8">
        <v>0</v>
      </c>
    </row>
    <row r="9" spans="1:49" x14ac:dyDescent="0.4">
      <c r="A9" s="39">
        <v>42935.388194444444</v>
      </c>
      <c r="B9" t="s">
        <v>336</v>
      </c>
      <c r="C9" t="s">
        <v>299</v>
      </c>
      <c r="D9" t="s">
        <v>371</v>
      </c>
      <c r="E9" t="s">
        <v>372</v>
      </c>
      <c r="F9" t="s">
        <v>119</v>
      </c>
      <c r="G9" t="s">
        <v>120</v>
      </c>
      <c r="H9" t="s">
        <v>356</v>
      </c>
      <c r="I9" t="s">
        <v>364</v>
      </c>
      <c r="J9" t="s">
        <v>358</v>
      </c>
      <c r="K9" t="b">
        <f>_xlfn.XOR(IFERROR(MATCH(PRCGlossary[[#This Row],[st_code]],EpscorTable[],0)&gt;0,FALSE),IFERROR(FIND("9150",PRCGlossary[[#This Row],[PRCs]])&gt;0,FALSE))</f>
        <v>0</v>
      </c>
      <c r="L9" t="b">
        <f>_xlfn.XOR(PRCGlossary[[#This Row],[WMD]]&lt;&gt;"",IFERROR(FIND("9102",PRCGlossary[[#This Row],[PRCs]])&gt;0,FALSE))</f>
        <v>0</v>
      </c>
      <c r="M9" t="str">
        <f t="shared" si="0"/>
        <v/>
      </c>
      <c r="P9" s="48">
        <v>0</v>
      </c>
      <c r="Q9" s="48">
        <v>0</v>
      </c>
      <c r="R9" s="19" t="str">
        <f>HYPERLINK("mailto:"&amp;PRCGlossary[[#This Row],[pi_emai_addr]]&amp;"&amp;subject=Your NSF Proposal:  "&amp;PRCGlossary[[#This Row],[prop_id]], PRCGlossary[[#This Row],[pi_emai_addr]])</f>
        <v>zhang@cse.psu.edu</v>
      </c>
      <c r="S9">
        <f xml:space="preserve"> S8+(PRCGlossary[ILN]&lt;"M")</f>
        <v>7</v>
      </c>
      <c r="T9" t="s">
        <v>121</v>
      </c>
      <c r="U9" t="s">
        <v>395</v>
      </c>
      <c r="V9" s="19" t="str">
        <f>HYPERLINK("https://www.ejacket.nsf.gov/ej/showProposal.do?ID="&amp;PRCGlossary[[#This Row],[prop_id]],"eJ")</f>
        <v>eJ</v>
      </c>
      <c r="W9" t="s">
        <v>395</v>
      </c>
      <c r="X9" t="s">
        <v>396</v>
      </c>
      <c r="Y9" t="s">
        <v>622</v>
      </c>
      <c r="Z9" t="s">
        <v>397</v>
      </c>
      <c r="AA9" s="1">
        <v>498999</v>
      </c>
      <c r="AB9" s="39">
        <v>43282</v>
      </c>
      <c r="AC9">
        <v>60</v>
      </c>
      <c r="AD9">
        <v>4</v>
      </c>
      <c r="AF9">
        <v>4</v>
      </c>
      <c r="AG9">
        <v>2</v>
      </c>
      <c r="AI9">
        <v>2</v>
      </c>
      <c r="AJ9"/>
      <c r="AL9" t="s">
        <v>623</v>
      </c>
      <c r="AN9" s="17">
        <v>12500</v>
      </c>
      <c r="AO9" t="s">
        <v>644</v>
      </c>
      <c r="AP9" t="s">
        <v>398</v>
      </c>
      <c r="AQ9" s="8"/>
      <c r="AR9" t="s">
        <v>645</v>
      </c>
      <c r="AS9" t="s">
        <v>646</v>
      </c>
      <c r="AT9">
        <v>0</v>
      </c>
      <c r="AU9">
        <v>0</v>
      </c>
      <c r="AV9">
        <v>0</v>
      </c>
      <c r="AW9">
        <v>0</v>
      </c>
    </row>
    <row r="10" spans="1:49" x14ac:dyDescent="0.4">
      <c r="A10" s="39">
        <v>42935.546527777777</v>
      </c>
      <c r="B10" t="s">
        <v>336</v>
      </c>
      <c r="C10" t="s">
        <v>299</v>
      </c>
      <c r="D10" t="s">
        <v>371</v>
      </c>
      <c r="E10" t="s">
        <v>372</v>
      </c>
      <c r="F10" t="s">
        <v>119</v>
      </c>
      <c r="G10" t="s">
        <v>120</v>
      </c>
      <c r="H10" t="s">
        <v>356</v>
      </c>
      <c r="I10" t="s">
        <v>364</v>
      </c>
      <c r="J10" t="s">
        <v>363</v>
      </c>
      <c r="K10" t="b">
        <f>_xlfn.XOR(IFERROR(MATCH(PRCGlossary[[#This Row],[st_code]],EpscorTable[],0)&gt;0,FALSE),IFERROR(FIND("9150",PRCGlossary[[#This Row],[PRCs]])&gt;0,FALSE))</f>
        <v>0</v>
      </c>
      <c r="L10" t="b">
        <f>_xlfn.XOR(PRCGlossary[[#This Row],[WMD]]&lt;&gt;"",IFERROR(FIND("9102",PRCGlossary[[#This Row],[PRCs]])&gt;0,FALSE))</f>
        <v>0</v>
      </c>
      <c r="M10" t="str">
        <f t="shared" si="0"/>
        <v/>
      </c>
      <c r="P10" s="48">
        <v>0</v>
      </c>
      <c r="Q10" s="48">
        <v>0</v>
      </c>
      <c r="R10" s="19" t="str">
        <f>HYPERLINK("mailto:"&amp;PRCGlossary[[#This Row],[pi_emai_addr]]&amp;"&amp;subject=Your NSF Proposal:  "&amp;PRCGlossary[[#This Row],[prop_id]], PRCGlossary[[#This Row],[pi_emai_addr]])</f>
        <v>michael.greenberg@pomona.edu</v>
      </c>
      <c r="S10">
        <f xml:space="preserve"> S9+(PRCGlossary[ILN]&lt;"M")</f>
        <v>8</v>
      </c>
      <c r="T10" t="s">
        <v>121</v>
      </c>
      <c r="U10" t="s">
        <v>399</v>
      </c>
      <c r="V10" s="19" t="str">
        <f>HYPERLINK("https://www.ejacket.nsf.gov/ej/showProposal.do?ID="&amp;PRCGlossary[[#This Row],[prop_id]],"eJ")</f>
        <v>eJ</v>
      </c>
      <c r="W10" t="s">
        <v>399</v>
      </c>
      <c r="X10" t="s">
        <v>400</v>
      </c>
      <c r="Y10" t="s">
        <v>354</v>
      </c>
      <c r="Z10" t="s">
        <v>401</v>
      </c>
      <c r="AA10" s="1">
        <v>430917</v>
      </c>
      <c r="AB10" s="39">
        <v>43191</v>
      </c>
      <c r="AC10">
        <v>60</v>
      </c>
      <c r="AD10">
        <v>5</v>
      </c>
      <c r="AF10">
        <v>5</v>
      </c>
      <c r="AG10">
        <v>1</v>
      </c>
      <c r="AI10">
        <v>1</v>
      </c>
      <c r="AJ10"/>
      <c r="AL10" t="s">
        <v>599</v>
      </c>
      <c r="AN10" s="17">
        <v>40000</v>
      </c>
      <c r="AO10" t="s">
        <v>355</v>
      </c>
      <c r="AP10" t="s">
        <v>402</v>
      </c>
      <c r="AQ10" s="8"/>
      <c r="AR10" t="s">
        <v>647</v>
      </c>
      <c r="AS10" t="s">
        <v>648</v>
      </c>
      <c r="AT10">
        <v>0</v>
      </c>
      <c r="AU10">
        <v>0</v>
      </c>
      <c r="AV10">
        <v>0</v>
      </c>
      <c r="AW10">
        <v>0</v>
      </c>
    </row>
    <row r="11" spans="1:49" x14ac:dyDescent="0.4">
      <c r="A11" s="39">
        <v>42935.551388888889</v>
      </c>
      <c r="B11" t="s">
        <v>336</v>
      </c>
      <c r="C11" t="s">
        <v>299</v>
      </c>
      <c r="D11" t="s">
        <v>371</v>
      </c>
      <c r="E11" t="s">
        <v>372</v>
      </c>
      <c r="F11" t="s">
        <v>119</v>
      </c>
      <c r="G11" t="s">
        <v>120</v>
      </c>
      <c r="H11" t="s">
        <v>356</v>
      </c>
      <c r="I11" t="s">
        <v>364</v>
      </c>
      <c r="J11" t="s">
        <v>366</v>
      </c>
      <c r="K11" t="b">
        <f>_xlfn.XOR(IFERROR(MATCH(PRCGlossary[[#This Row],[st_code]],EpscorTable[],0)&gt;0,FALSE),IFERROR(FIND("9150",PRCGlossary[[#This Row],[PRCs]])&gt;0,FALSE))</f>
        <v>0</v>
      </c>
      <c r="L11" t="b">
        <f>_xlfn.XOR(PRCGlossary[[#This Row],[WMD]]&lt;&gt;"",IFERROR(FIND("9102",PRCGlossary[[#This Row],[PRCs]])&gt;0,FALSE))</f>
        <v>0</v>
      </c>
      <c r="M11" t="str">
        <f t="shared" si="0"/>
        <v/>
      </c>
      <c r="P11" s="48">
        <v>0</v>
      </c>
      <c r="Q11" s="48">
        <v>0</v>
      </c>
      <c r="R11" s="19" t="str">
        <f>HYPERLINK("mailto:"&amp;PRCGlossary[[#This Row],[pi_emai_addr]]&amp;"&amp;subject=Your NSF Proposal:  "&amp;PRCGlossary[[#This Row],[prop_id]], PRCGlossary[[#This Row],[pi_emai_addr]])</f>
        <v>bwood5@wellesley.edu</v>
      </c>
      <c r="S11">
        <f xml:space="preserve"> S10+(PRCGlossary[ILN]&lt;"M")</f>
        <v>9</v>
      </c>
      <c r="T11" t="s">
        <v>121</v>
      </c>
      <c r="U11" t="s">
        <v>403</v>
      </c>
      <c r="V11" s="19" t="str">
        <f>HYPERLINK("https://www.ejacket.nsf.gov/ej/showProposal.do?ID="&amp;PRCGlossary[[#This Row],[prop_id]],"eJ")</f>
        <v>eJ</v>
      </c>
      <c r="W11" t="s">
        <v>403</v>
      </c>
      <c r="X11" t="s">
        <v>404</v>
      </c>
      <c r="Y11" t="s">
        <v>342</v>
      </c>
      <c r="Z11" t="s">
        <v>405</v>
      </c>
      <c r="AA11" s="1">
        <v>475283</v>
      </c>
      <c r="AB11" s="39">
        <v>43191</v>
      </c>
      <c r="AC11">
        <v>60</v>
      </c>
      <c r="AD11">
        <v>4</v>
      </c>
      <c r="AF11">
        <v>4</v>
      </c>
      <c r="AG11">
        <v>1</v>
      </c>
      <c r="AI11">
        <v>1</v>
      </c>
      <c r="AJ11"/>
      <c r="AL11" t="s">
        <v>626</v>
      </c>
      <c r="AN11" s="17">
        <v>17500</v>
      </c>
      <c r="AO11" t="s">
        <v>355</v>
      </c>
      <c r="AP11" t="s">
        <v>406</v>
      </c>
      <c r="AQ11" s="8"/>
      <c r="AR11" t="s">
        <v>649</v>
      </c>
      <c r="AS11" t="s">
        <v>650</v>
      </c>
      <c r="AT11">
        <v>0</v>
      </c>
      <c r="AU11">
        <v>0</v>
      </c>
      <c r="AV11">
        <v>0</v>
      </c>
      <c r="AW11">
        <v>0</v>
      </c>
    </row>
    <row r="12" spans="1:49" x14ac:dyDescent="0.4">
      <c r="A12" s="39">
        <v>42935.561805555553</v>
      </c>
      <c r="B12" t="s">
        <v>336</v>
      </c>
      <c r="C12" t="s">
        <v>299</v>
      </c>
      <c r="D12" t="s">
        <v>371</v>
      </c>
      <c r="E12" t="s">
        <v>372</v>
      </c>
      <c r="F12" t="s">
        <v>119</v>
      </c>
      <c r="G12" t="s">
        <v>120</v>
      </c>
      <c r="H12" t="s">
        <v>356</v>
      </c>
      <c r="I12" t="s">
        <v>364</v>
      </c>
      <c r="J12" t="s">
        <v>652</v>
      </c>
      <c r="K12" t="b">
        <f>_xlfn.XOR(IFERROR(MATCH(PRCGlossary[[#This Row],[st_code]],EpscorTable[],0)&gt;0,FALSE),IFERROR(FIND("9150",PRCGlossary[[#This Row],[PRCs]])&gt;0,FALSE))</f>
        <v>0</v>
      </c>
      <c r="L12" t="b">
        <f>_xlfn.XOR(PRCGlossary[[#This Row],[WMD]]&lt;&gt;"",IFERROR(FIND("9102",PRCGlossary[[#This Row],[PRCs]])&gt;0,FALSE))</f>
        <v>0</v>
      </c>
      <c r="M12" t="str">
        <f t="shared" si="0"/>
        <v/>
      </c>
      <c r="P12" s="48">
        <v>0</v>
      </c>
      <c r="Q12" s="48">
        <v>0</v>
      </c>
      <c r="R12" s="19" t="str">
        <f>HYPERLINK("mailto:"&amp;PRCGlossary[[#This Row],[pi_emai_addr]]&amp;"&amp;subject=Your NSF Proposal:  "&amp;PRCGlossary[[#This Row],[prop_id]], PRCGlossary[[#This Row],[pi_emai_addr]])</f>
        <v>samth@cs.indiana.edu</v>
      </c>
      <c r="S12">
        <f xml:space="preserve"> S11+(PRCGlossary[ILN]&lt;"M")</f>
        <v>10</v>
      </c>
      <c r="T12" t="s">
        <v>121</v>
      </c>
      <c r="U12" t="s">
        <v>407</v>
      </c>
      <c r="V12" s="19" t="str">
        <f>HYPERLINK("https://www.ejacket.nsf.gov/ej/showProposal.do?ID="&amp;PRCGlossary[[#This Row],[prop_id]],"eJ")</f>
        <v>eJ</v>
      </c>
      <c r="W12" t="s">
        <v>407</v>
      </c>
      <c r="X12" t="s">
        <v>408</v>
      </c>
      <c r="Y12" t="s">
        <v>608</v>
      </c>
      <c r="Z12" t="s">
        <v>409</v>
      </c>
      <c r="AA12" s="1">
        <v>501687</v>
      </c>
      <c r="AB12" s="39">
        <v>43282</v>
      </c>
      <c r="AC12">
        <v>60</v>
      </c>
      <c r="AD12">
        <v>4</v>
      </c>
      <c r="AF12">
        <v>4</v>
      </c>
      <c r="AG12">
        <v>1</v>
      </c>
      <c r="AI12">
        <v>1</v>
      </c>
      <c r="AJ12"/>
      <c r="AL12" t="s">
        <v>609</v>
      </c>
      <c r="AN12" s="17">
        <v>20000</v>
      </c>
      <c r="AO12" t="s">
        <v>355</v>
      </c>
      <c r="AP12" t="s">
        <v>410</v>
      </c>
      <c r="AQ12" s="8"/>
      <c r="AR12" t="s">
        <v>651</v>
      </c>
      <c r="AS12" t="s">
        <v>653</v>
      </c>
      <c r="AT12">
        <v>0</v>
      </c>
      <c r="AU12">
        <v>0</v>
      </c>
      <c r="AV12">
        <v>0</v>
      </c>
      <c r="AW12">
        <v>0</v>
      </c>
    </row>
    <row r="13" spans="1:49" x14ac:dyDescent="0.4">
      <c r="A13" s="39">
        <v>42935.652777777781</v>
      </c>
      <c r="B13" t="s">
        <v>336</v>
      </c>
      <c r="C13" t="s">
        <v>299</v>
      </c>
      <c r="D13" t="s">
        <v>371</v>
      </c>
      <c r="E13" t="s">
        <v>372</v>
      </c>
      <c r="F13" t="s">
        <v>119</v>
      </c>
      <c r="G13" t="s">
        <v>120</v>
      </c>
      <c r="H13" t="s">
        <v>356</v>
      </c>
      <c r="I13" t="s">
        <v>654</v>
      </c>
      <c r="J13" t="s">
        <v>135</v>
      </c>
      <c r="K13" t="b">
        <f>_xlfn.XOR(IFERROR(MATCH(PRCGlossary[[#This Row],[st_code]],EpscorTable[],0)&gt;0,FALSE),IFERROR(FIND("9150",PRCGlossary[[#This Row],[PRCs]])&gt;0,FALSE))</f>
        <v>0</v>
      </c>
      <c r="L13" t="b">
        <f>_xlfn.XOR(PRCGlossary[[#This Row],[WMD]]&lt;&gt;"",IFERROR(FIND("9102",PRCGlossary[[#This Row],[PRCs]])&gt;0,FALSE))</f>
        <v>0</v>
      </c>
      <c r="M13" t="str">
        <f t="shared" si="0"/>
        <v/>
      </c>
      <c r="P13" s="48">
        <v>0</v>
      </c>
      <c r="Q13" s="48">
        <v>0</v>
      </c>
      <c r="R13" s="19" t="str">
        <f>HYPERLINK("mailto:"&amp;PRCGlossary[[#This Row],[pi_emai_addr]]&amp;"&amp;subject=Your NSF Proposal:  "&amp;PRCGlossary[[#This Row],[prop_id]], PRCGlossary[[#This Row],[pi_emai_addr]])</f>
        <v>sxc2311@louisiana.edu</v>
      </c>
      <c r="S13">
        <f xml:space="preserve"> S12+(PRCGlossary[ILN]&lt;"M")</f>
        <v>11</v>
      </c>
      <c r="T13" t="s">
        <v>121</v>
      </c>
      <c r="U13" t="s">
        <v>411</v>
      </c>
      <c r="V13" s="19" t="str">
        <f>HYPERLINK("https://www.ejacket.nsf.gov/ej/showProposal.do?ID="&amp;PRCGlossary[[#This Row],[prop_id]],"eJ")</f>
        <v>eJ</v>
      </c>
      <c r="W13" t="s">
        <v>411</v>
      </c>
      <c r="X13" t="s">
        <v>346</v>
      </c>
      <c r="Y13" t="s">
        <v>574</v>
      </c>
      <c r="Z13" t="s">
        <v>412</v>
      </c>
      <c r="AA13" s="1">
        <v>506060</v>
      </c>
      <c r="AB13" s="39">
        <v>43132</v>
      </c>
      <c r="AC13">
        <v>60</v>
      </c>
      <c r="AD13">
        <v>4</v>
      </c>
      <c r="AF13">
        <v>4</v>
      </c>
      <c r="AG13">
        <v>1</v>
      </c>
      <c r="AI13">
        <v>1</v>
      </c>
      <c r="AJ13"/>
      <c r="AL13" t="s">
        <v>578</v>
      </c>
      <c r="AN13" s="17">
        <v>20250</v>
      </c>
      <c r="AO13" t="s">
        <v>355</v>
      </c>
      <c r="AP13" t="s">
        <v>413</v>
      </c>
      <c r="AQ13" s="8"/>
      <c r="AR13" t="s">
        <v>655</v>
      </c>
      <c r="AS13" t="s">
        <v>656</v>
      </c>
      <c r="AT13">
        <v>0</v>
      </c>
      <c r="AU13">
        <v>0</v>
      </c>
      <c r="AV13">
        <v>0</v>
      </c>
      <c r="AW13">
        <v>0</v>
      </c>
    </row>
    <row r="14" spans="1:49" x14ac:dyDescent="0.4">
      <c r="A14" s="39">
        <v>42935.665277777778</v>
      </c>
      <c r="B14" t="s">
        <v>336</v>
      </c>
      <c r="C14" t="s">
        <v>299</v>
      </c>
      <c r="D14" t="s">
        <v>371</v>
      </c>
      <c r="E14" t="s">
        <v>376</v>
      </c>
      <c r="F14" t="s">
        <v>119</v>
      </c>
      <c r="G14" t="s">
        <v>120</v>
      </c>
      <c r="H14" t="s">
        <v>356</v>
      </c>
      <c r="I14" t="s">
        <v>364</v>
      </c>
      <c r="J14" t="s">
        <v>360</v>
      </c>
      <c r="K14" t="b">
        <f>_xlfn.XOR(IFERROR(MATCH(PRCGlossary[[#This Row],[st_code]],EpscorTable[],0)&gt;0,FALSE),IFERROR(FIND("9150",PRCGlossary[[#This Row],[PRCs]])&gt;0,FALSE))</f>
        <v>0</v>
      </c>
      <c r="L14" t="b">
        <f>_xlfn.XOR(PRCGlossary[[#This Row],[WMD]]&lt;&gt;"",IFERROR(FIND("9102",PRCGlossary[[#This Row],[PRCs]])&gt;0,FALSE))</f>
        <v>0</v>
      </c>
      <c r="M14" t="str">
        <f t="shared" si="0"/>
        <v/>
      </c>
      <c r="P14" s="48">
        <v>0</v>
      </c>
      <c r="Q14" s="48">
        <v>0</v>
      </c>
      <c r="R14" s="19" t="str">
        <f>HYPERLINK("mailto:"&amp;PRCGlossary[[#This Row],[pi_emai_addr]]&amp;"&amp;subject=Your NSF Proposal:  "&amp;PRCGlossary[[#This Row],[prop_id]], PRCGlossary[[#This Row],[pi_emai_addr]])</f>
        <v>loris@cs.wisc.edu</v>
      </c>
      <c r="S14">
        <f xml:space="preserve"> S13+(PRCGlossary[ILN]&lt;"M")</f>
        <v>12</v>
      </c>
      <c r="T14" t="s">
        <v>121</v>
      </c>
      <c r="U14" t="s">
        <v>415</v>
      </c>
      <c r="V14" s="19" t="str">
        <f>HYPERLINK("https://www.ejacket.nsf.gov/ej/showProposal.do?ID="&amp;PRCGlossary[[#This Row],[prop_id]],"eJ")</f>
        <v>eJ</v>
      </c>
      <c r="W14" t="s">
        <v>415</v>
      </c>
      <c r="X14" t="s">
        <v>416</v>
      </c>
      <c r="Y14" t="s">
        <v>583</v>
      </c>
      <c r="Z14" t="s">
        <v>341</v>
      </c>
      <c r="AA14" s="1">
        <v>571195</v>
      </c>
      <c r="AB14" s="39">
        <v>43344</v>
      </c>
      <c r="AC14">
        <v>60</v>
      </c>
      <c r="AD14">
        <v>4</v>
      </c>
      <c r="AF14">
        <v>4</v>
      </c>
      <c r="AG14">
        <v>1</v>
      </c>
      <c r="AI14">
        <v>1</v>
      </c>
      <c r="AJ14"/>
      <c r="AL14" t="s">
        <v>585</v>
      </c>
      <c r="AN14" s="17">
        <v>15928</v>
      </c>
      <c r="AO14" t="s">
        <v>355</v>
      </c>
      <c r="AP14" t="s">
        <v>417</v>
      </c>
      <c r="AQ14" s="8"/>
      <c r="AR14" t="s">
        <v>359</v>
      </c>
      <c r="AS14" t="s">
        <v>657</v>
      </c>
      <c r="AT14">
        <v>0</v>
      </c>
      <c r="AU14">
        <v>0</v>
      </c>
      <c r="AV14">
        <v>0</v>
      </c>
      <c r="AW14">
        <v>0</v>
      </c>
    </row>
    <row r="15" spans="1:49" x14ac:dyDescent="0.4">
      <c r="A15" s="39">
        <v>42935.67291666667</v>
      </c>
      <c r="B15" t="s">
        <v>336</v>
      </c>
      <c r="C15" t="s">
        <v>299</v>
      </c>
      <c r="D15" t="s">
        <v>371</v>
      </c>
      <c r="E15" t="s">
        <v>372</v>
      </c>
      <c r="F15" t="s">
        <v>119</v>
      </c>
      <c r="G15" t="s">
        <v>120</v>
      </c>
      <c r="H15" t="s">
        <v>356</v>
      </c>
      <c r="I15" t="s">
        <v>364</v>
      </c>
      <c r="J15" t="s">
        <v>366</v>
      </c>
      <c r="K15" t="b">
        <f>_xlfn.XOR(IFERROR(MATCH(PRCGlossary[[#This Row],[st_code]],EpscorTable[],0)&gt;0,FALSE),IFERROR(FIND("9150",PRCGlossary[[#This Row],[PRCs]])&gt;0,FALSE))</f>
        <v>0</v>
      </c>
      <c r="L15" t="b">
        <f>_xlfn.XOR(PRCGlossary[[#This Row],[WMD]]&lt;&gt;"",IFERROR(FIND("9102",PRCGlossary[[#This Row],[PRCs]])&gt;0,FALSE))</f>
        <v>0</v>
      </c>
      <c r="M15" t="str">
        <f t="shared" si="0"/>
        <v/>
      </c>
      <c r="P15" s="48">
        <v>0</v>
      </c>
      <c r="Q15" s="48">
        <v>0</v>
      </c>
      <c r="R15" s="19" t="str">
        <f>HYPERLINK("mailto:"&amp;PRCGlossary[[#This Row],[pi_emai_addr]]&amp;"&amp;subject=Your NSF Proposal:  "&amp;PRCGlossary[[#This Row],[prop_id]], PRCGlossary[[#This Row],[pi_emai_addr]])</f>
        <v>mcarbin@csail.mit.edu</v>
      </c>
      <c r="S15">
        <f xml:space="preserve"> S14+(PRCGlossary[ILN]&lt;"M")</f>
        <v>13</v>
      </c>
      <c r="T15" t="s">
        <v>121</v>
      </c>
      <c r="U15" t="s">
        <v>418</v>
      </c>
      <c r="V15" s="19" t="str">
        <f>HYPERLINK("https://www.ejacket.nsf.gov/ej/showProposal.do?ID="&amp;PRCGlossary[[#This Row],[prop_id]],"eJ")</f>
        <v>eJ</v>
      </c>
      <c r="W15" t="s">
        <v>418</v>
      </c>
      <c r="X15" t="s">
        <v>419</v>
      </c>
      <c r="Y15" t="s">
        <v>354</v>
      </c>
      <c r="Z15" t="s">
        <v>300</v>
      </c>
      <c r="AA15" s="1">
        <v>525000</v>
      </c>
      <c r="AB15" s="39">
        <v>43282</v>
      </c>
      <c r="AC15">
        <v>60</v>
      </c>
      <c r="AD15">
        <v>4</v>
      </c>
      <c r="AF15">
        <v>4</v>
      </c>
      <c r="AG15">
        <v>1</v>
      </c>
      <c r="AI15">
        <v>1</v>
      </c>
      <c r="AJ15"/>
      <c r="AL15" t="s">
        <v>591</v>
      </c>
      <c r="AN15" s="17">
        <v>0</v>
      </c>
      <c r="AP15" t="s">
        <v>420</v>
      </c>
      <c r="AQ15" s="8"/>
      <c r="AR15" t="s">
        <v>365</v>
      </c>
      <c r="AS15" t="s">
        <v>658</v>
      </c>
      <c r="AT15">
        <v>0</v>
      </c>
      <c r="AU15">
        <v>0</v>
      </c>
      <c r="AV15">
        <v>0</v>
      </c>
      <c r="AW15">
        <v>0</v>
      </c>
    </row>
    <row r="16" spans="1:49" x14ac:dyDescent="0.4">
      <c r="A16" s="39">
        <v>42935.705555555556</v>
      </c>
      <c r="B16" t="s">
        <v>336</v>
      </c>
      <c r="C16" t="s">
        <v>299</v>
      </c>
      <c r="D16" t="s">
        <v>371</v>
      </c>
      <c r="E16" t="s">
        <v>372</v>
      </c>
      <c r="F16" t="s">
        <v>119</v>
      </c>
      <c r="G16" t="s">
        <v>120</v>
      </c>
      <c r="H16" t="s">
        <v>356</v>
      </c>
      <c r="I16" t="s">
        <v>364</v>
      </c>
      <c r="J16" t="s">
        <v>368</v>
      </c>
      <c r="K16" t="b">
        <f>_xlfn.XOR(IFERROR(MATCH(PRCGlossary[[#This Row],[st_code]],EpscorTable[],0)&gt;0,FALSE),IFERROR(FIND("9150",PRCGlossary[[#This Row],[PRCs]])&gt;0,FALSE))</f>
        <v>0</v>
      </c>
      <c r="L16" t="b">
        <f>_xlfn.XOR(PRCGlossary[[#This Row],[WMD]]&lt;&gt;"",IFERROR(FIND("9102",PRCGlossary[[#This Row],[PRCs]])&gt;0,FALSE))</f>
        <v>0</v>
      </c>
      <c r="M16" t="str">
        <f t="shared" si="0"/>
        <v/>
      </c>
      <c r="P16" s="48">
        <v>0</v>
      </c>
      <c r="Q16" s="48">
        <v>0</v>
      </c>
      <c r="R16" s="19" t="str">
        <f>HYPERLINK("mailto:"&amp;PRCGlossary[[#This Row],[pi_emai_addr]]&amp;"&amp;subject=Your NSF Proposal:  "&amp;PRCGlossary[[#This Row],[prop_id]], PRCGlossary[[#This Row],[pi_emai_addr]])</f>
        <v>raffi.khatchadourian@hunter.cuny.edu</v>
      </c>
      <c r="S16">
        <f xml:space="preserve"> S15+(PRCGlossary[ILN]&lt;"M")</f>
        <v>14</v>
      </c>
      <c r="T16" t="s">
        <v>121</v>
      </c>
      <c r="U16" t="s">
        <v>421</v>
      </c>
      <c r="V16" s="19" t="str">
        <f>HYPERLINK("https://www.ejacket.nsf.gov/ej/showProposal.do?ID="&amp;PRCGlossary[[#This Row],[prop_id]],"eJ")</f>
        <v>eJ</v>
      </c>
      <c r="W16" t="s">
        <v>421</v>
      </c>
      <c r="X16" t="s">
        <v>422</v>
      </c>
      <c r="Y16" t="s">
        <v>628</v>
      </c>
      <c r="Z16" t="s">
        <v>423</v>
      </c>
      <c r="AA16" s="1">
        <v>580408</v>
      </c>
      <c r="AB16" s="39">
        <v>43344</v>
      </c>
      <c r="AC16">
        <v>60</v>
      </c>
      <c r="AD16">
        <v>5</v>
      </c>
      <c r="AF16">
        <v>5</v>
      </c>
      <c r="AG16">
        <v>1</v>
      </c>
      <c r="AI16">
        <v>1</v>
      </c>
      <c r="AJ16"/>
      <c r="AL16" t="s">
        <v>631</v>
      </c>
      <c r="AN16" s="17">
        <v>35000</v>
      </c>
      <c r="AO16" t="s">
        <v>659</v>
      </c>
      <c r="AP16" t="s">
        <v>424</v>
      </c>
      <c r="AQ16" s="8"/>
      <c r="AR16" t="s">
        <v>660</v>
      </c>
      <c r="AS16" t="s">
        <v>661</v>
      </c>
      <c r="AT16">
        <v>0</v>
      </c>
      <c r="AU16">
        <v>0</v>
      </c>
      <c r="AV16">
        <v>0</v>
      </c>
      <c r="AW16">
        <v>0</v>
      </c>
    </row>
    <row r="17" spans="1:49" x14ac:dyDescent="0.4">
      <c r="A17" s="39">
        <v>42935.706944444442</v>
      </c>
      <c r="B17" t="s">
        <v>336</v>
      </c>
      <c r="C17" t="s">
        <v>299</v>
      </c>
      <c r="D17" t="s">
        <v>371</v>
      </c>
      <c r="E17" t="s">
        <v>372</v>
      </c>
      <c r="F17" t="s">
        <v>119</v>
      </c>
      <c r="G17" t="s">
        <v>120</v>
      </c>
      <c r="H17" t="s">
        <v>356</v>
      </c>
      <c r="I17" t="s">
        <v>364</v>
      </c>
      <c r="J17" t="s">
        <v>369</v>
      </c>
      <c r="K17" t="b">
        <f>_xlfn.XOR(IFERROR(MATCH(PRCGlossary[[#This Row],[st_code]],EpscorTable[],0)&gt;0,FALSE),IFERROR(FIND("9150",PRCGlossary[[#This Row],[PRCs]])&gt;0,FALSE))</f>
        <v>0</v>
      </c>
      <c r="L17" t="b">
        <f>_xlfn.XOR(PRCGlossary[[#This Row],[WMD]]&lt;&gt;"",IFERROR(FIND("9102",PRCGlossary[[#This Row],[PRCs]])&gt;0,FALSE))</f>
        <v>0</v>
      </c>
      <c r="M17" t="str">
        <f t="shared" si="0"/>
        <v/>
      </c>
      <c r="P17" s="48">
        <v>0</v>
      </c>
      <c r="Q17" s="48">
        <v>0</v>
      </c>
      <c r="R17" s="19" t="str">
        <f>HYPERLINK("mailto:"&amp;PRCGlossary[[#This Row],[pi_emai_addr]]&amp;"&amp;subject=Your NSF Proposal:  "&amp;PRCGlossary[[#This Row],[prop_id]], PRCGlossary[[#This Row],[pi_emai_addr]])</f>
        <v>dvanhorn@cs.umd.edu</v>
      </c>
      <c r="S17">
        <f xml:space="preserve"> S16+(PRCGlossary[ILN]&lt;"M")</f>
        <v>15</v>
      </c>
      <c r="T17" t="s">
        <v>121</v>
      </c>
      <c r="U17" t="s">
        <v>425</v>
      </c>
      <c r="V17" s="19" t="str">
        <f>HYPERLINK("https://www.ejacket.nsf.gov/ej/showProposal.do?ID="&amp;PRCGlossary[[#This Row],[prop_id]],"eJ")</f>
        <v>eJ</v>
      </c>
      <c r="W17" t="s">
        <v>425</v>
      </c>
      <c r="X17" t="s">
        <v>426</v>
      </c>
      <c r="Y17" t="s">
        <v>605</v>
      </c>
      <c r="Z17" t="s">
        <v>427</v>
      </c>
      <c r="AA17" s="1">
        <v>551069</v>
      </c>
      <c r="AB17" s="39">
        <v>43101</v>
      </c>
      <c r="AC17">
        <v>60</v>
      </c>
      <c r="AD17">
        <v>4</v>
      </c>
      <c r="AF17">
        <v>4</v>
      </c>
      <c r="AG17">
        <v>1</v>
      </c>
      <c r="AI17">
        <v>1</v>
      </c>
      <c r="AJ17"/>
      <c r="AL17" t="s">
        <v>607</v>
      </c>
      <c r="AN17" s="17">
        <v>15000</v>
      </c>
      <c r="AO17" t="s">
        <v>355</v>
      </c>
      <c r="AP17" t="s">
        <v>428</v>
      </c>
      <c r="AQ17" s="8"/>
      <c r="AR17" t="s">
        <v>662</v>
      </c>
      <c r="AS17" t="s">
        <v>663</v>
      </c>
      <c r="AT17">
        <v>0</v>
      </c>
      <c r="AU17">
        <v>0</v>
      </c>
      <c r="AV17">
        <v>0</v>
      </c>
      <c r="AW17">
        <v>0</v>
      </c>
    </row>
    <row r="18" spans="1:49" x14ac:dyDescent="0.4">
      <c r="A18" s="39">
        <v>42935.757638888892</v>
      </c>
      <c r="B18" t="s">
        <v>336</v>
      </c>
      <c r="C18" t="s">
        <v>299</v>
      </c>
      <c r="D18" t="s">
        <v>371</v>
      </c>
      <c r="E18" t="s">
        <v>376</v>
      </c>
      <c r="F18" t="s">
        <v>119</v>
      </c>
      <c r="G18" t="s">
        <v>120</v>
      </c>
      <c r="H18" t="s">
        <v>356</v>
      </c>
      <c r="I18" t="s">
        <v>364</v>
      </c>
      <c r="J18" t="s">
        <v>357</v>
      </c>
      <c r="K18" t="b">
        <f>_xlfn.XOR(IFERROR(MATCH(PRCGlossary[[#This Row],[st_code]],EpscorTable[],0)&gt;0,FALSE),IFERROR(FIND("9150",PRCGlossary[[#This Row],[PRCs]])&gt;0,FALSE))</f>
        <v>0</v>
      </c>
      <c r="L18" t="b">
        <f>_xlfn.XOR(PRCGlossary[[#This Row],[WMD]]&lt;&gt;"",IFERROR(FIND("9102",PRCGlossary[[#This Row],[PRCs]])&gt;0,FALSE))</f>
        <v>0</v>
      </c>
      <c r="M18" t="str">
        <f t="shared" si="0"/>
        <v/>
      </c>
      <c r="P18" s="48">
        <v>0</v>
      </c>
      <c r="Q18" s="48">
        <v>0</v>
      </c>
      <c r="R18" s="19" t="str">
        <f>HYPERLINK("mailto:"&amp;PRCGlossary[[#This Row],[pi_emai_addr]]&amp;"&amp;subject=Your NSF Proposal:  "&amp;PRCGlossary[[#This Row],[prop_id]], PRCGlossary[[#This Row],[pi_emai_addr]])</f>
        <v>pavol.cerny@colorado.edu</v>
      </c>
      <c r="S18">
        <f xml:space="preserve"> S17+(PRCGlossary[ILN]&lt;"M")</f>
        <v>16</v>
      </c>
      <c r="T18" t="s">
        <v>121</v>
      </c>
      <c r="U18" t="s">
        <v>429</v>
      </c>
      <c r="V18" s="19" t="str">
        <f>HYPERLINK("https://www.ejacket.nsf.gov/ej/showProposal.do?ID="&amp;PRCGlossary[[#This Row],[prop_id]],"eJ")</f>
        <v>eJ</v>
      </c>
      <c r="W18" t="s">
        <v>429</v>
      </c>
      <c r="X18" t="s">
        <v>430</v>
      </c>
      <c r="Y18" t="s">
        <v>632</v>
      </c>
      <c r="Z18" t="s">
        <v>431</v>
      </c>
      <c r="AA18" s="1">
        <v>542402</v>
      </c>
      <c r="AB18" s="39">
        <v>43282</v>
      </c>
      <c r="AC18">
        <v>60</v>
      </c>
      <c r="AD18">
        <v>4</v>
      </c>
      <c r="AF18">
        <v>4</v>
      </c>
      <c r="AG18">
        <v>1</v>
      </c>
      <c r="AI18">
        <v>1</v>
      </c>
      <c r="AJ18"/>
      <c r="AL18" t="s">
        <v>633</v>
      </c>
      <c r="AN18" s="17">
        <v>0</v>
      </c>
      <c r="AP18" t="s">
        <v>432</v>
      </c>
      <c r="AQ18" s="8"/>
      <c r="AR18" t="s">
        <v>664</v>
      </c>
      <c r="AS18" t="s">
        <v>665</v>
      </c>
      <c r="AT18">
        <v>0</v>
      </c>
      <c r="AU18">
        <v>0</v>
      </c>
      <c r="AV18">
        <v>0</v>
      </c>
      <c r="AW18">
        <v>0</v>
      </c>
    </row>
  </sheetData>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9"/>
  <sheetViews>
    <sheetView showGridLines="0" workbookViewId="0">
      <selection activeCell="G24" sqref="G24"/>
    </sheetView>
  </sheetViews>
  <sheetFormatPr defaultRowHeight="14.6" x14ac:dyDescent="0.4"/>
  <cols>
    <col min="1" max="1" width="10.3828125" style="6" customWidth="1"/>
    <col min="2" max="2" width="16.3046875" customWidth="1"/>
    <col min="3" max="3" width="3.3046875" style="5" customWidth="1"/>
    <col min="4" max="4" width="15.69140625" style="31"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70" t="s">
        <v>697</v>
      </c>
      <c r="H1" s="3" t="s">
        <v>329</v>
      </c>
      <c r="M1" s="24" t="s">
        <v>128</v>
      </c>
    </row>
    <row r="2" spans="1:13" ht="16" customHeight="1" x14ac:dyDescent="0.4">
      <c r="A2" s="11"/>
      <c r="H2" t="s">
        <v>330</v>
      </c>
      <c r="J2" s="38"/>
      <c r="M2" s="23" t="s">
        <v>129</v>
      </c>
    </row>
    <row r="3" spans="1:13" ht="16" customHeight="1" x14ac:dyDescent="0.4">
      <c r="J3" s="38"/>
      <c r="M3" s="23" t="s">
        <v>124</v>
      </c>
    </row>
    <row r="4" spans="1:13" ht="16" customHeight="1" x14ac:dyDescent="0.4">
      <c r="B4" s="4"/>
      <c r="C4" s="20"/>
      <c r="E4" s="4"/>
      <c r="F4" s="38"/>
      <c r="J4" s="38"/>
      <c r="M4" s="23" t="s">
        <v>130</v>
      </c>
    </row>
    <row r="5" spans="1:13" ht="16" customHeight="1" x14ac:dyDescent="0.4">
      <c r="E5" s="4"/>
      <c r="F5" s="38"/>
      <c r="J5" s="38"/>
      <c r="M5" s="23" t="s">
        <v>125</v>
      </c>
    </row>
    <row r="6" spans="1:13" ht="16" customHeight="1" x14ac:dyDescent="0.4">
      <c r="E6" s="4"/>
      <c r="F6" s="38"/>
      <c r="H6" t="s">
        <v>333</v>
      </c>
      <c r="J6" s="39"/>
      <c r="M6" s="23" t="s">
        <v>131</v>
      </c>
    </row>
    <row r="7" spans="1:13" ht="16" customHeight="1" x14ac:dyDescent="0.4">
      <c r="E7" s="4"/>
      <c r="F7" s="38"/>
      <c r="I7" s="32" t="s">
        <v>334</v>
      </c>
      <c r="J7" s="32"/>
      <c r="K7" s="7" t="s">
        <v>258</v>
      </c>
      <c r="M7" s="23" t="s">
        <v>132</v>
      </c>
    </row>
    <row r="8" spans="1:13" ht="16" customHeight="1" x14ac:dyDescent="0.4">
      <c r="E8" s="4"/>
      <c r="F8" s="52"/>
      <c r="I8" s="32" t="s">
        <v>335</v>
      </c>
      <c r="J8" s="32"/>
      <c r="K8" s="7" t="s">
        <v>259</v>
      </c>
      <c r="M8" s="23" t="s">
        <v>126</v>
      </c>
    </row>
    <row r="9" spans="1:13" ht="16" customHeight="1" x14ac:dyDescent="0.4">
      <c r="E9" s="4"/>
      <c r="F9" s="39"/>
      <c r="H9" s="3" t="s">
        <v>178</v>
      </c>
      <c r="M9" s="23" t="s">
        <v>133</v>
      </c>
    </row>
    <row r="10" spans="1:13" ht="18.45" x14ac:dyDescent="0.4">
      <c r="A10" s="56"/>
      <c r="B10" s="72" t="s">
        <v>696</v>
      </c>
      <c r="C10" s="72"/>
      <c r="D10" s="72"/>
      <c r="E10" s="57"/>
      <c r="H10" s="3" t="s">
        <v>179</v>
      </c>
      <c r="K10" s="6"/>
      <c r="M10" s="23" t="s">
        <v>134</v>
      </c>
    </row>
    <row r="11" spans="1:13" ht="15.9" x14ac:dyDescent="0.4">
      <c r="A11" s="58"/>
      <c r="B11" s="59" t="s">
        <v>666</v>
      </c>
      <c r="C11" s="59"/>
      <c r="D11" s="59" t="s">
        <v>667</v>
      </c>
      <c r="E11" s="59"/>
      <c r="H11" s="3" t="s">
        <v>328</v>
      </c>
      <c r="K11" s="6"/>
      <c r="M11" s="23" t="s">
        <v>122</v>
      </c>
    </row>
    <row r="12" spans="1:13" ht="20.149999999999999" customHeight="1" x14ac:dyDescent="0.4">
      <c r="B12" s="60" t="s">
        <v>668</v>
      </c>
      <c r="C12" s="60"/>
      <c r="D12" s="69" t="s">
        <v>688</v>
      </c>
      <c r="E12" s="61" t="s">
        <v>689</v>
      </c>
      <c r="K12" s="6"/>
      <c r="M12" s="23" t="s">
        <v>135</v>
      </c>
    </row>
    <row r="13" spans="1:13" ht="20.149999999999999" customHeight="1" x14ac:dyDescent="0.4">
      <c r="B13" s="60" t="s">
        <v>679</v>
      </c>
      <c r="C13" s="60"/>
      <c r="D13" s="62" t="s">
        <v>693</v>
      </c>
      <c r="E13" s="63"/>
      <c r="K13" s="6"/>
      <c r="M13" s="23" t="s">
        <v>136</v>
      </c>
    </row>
    <row r="14" spans="1:13" ht="20.149999999999999" customHeight="1" x14ac:dyDescent="0.4">
      <c r="B14" s="60" t="s">
        <v>673</v>
      </c>
      <c r="C14" s="60"/>
      <c r="D14" s="62" t="s">
        <v>674</v>
      </c>
      <c r="E14" s="63"/>
      <c r="I14" s="33" t="s">
        <v>177</v>
      </c>
      <c r="K14" s="6"/>
      <c r="M14" s="23" t="s">
        <v>137</v>
      </c>
    </row>
    <row r="15" spans="1:13" ht="20.149999999999999" customHeight="1" x14ac:dyDescent="0.4">
      <c r="B15" s="60" t="s">
        <v>669</v>
      </c>
      <c r="C15" s="60"/>
      <c r="D15" s="62" t="s">
        <v>692</v>
      </c>
      <c r="E15" s="63"/>
      <c r="G15" s="29"/>
      <c r="I15" s="33" t="s">
        <v>223</v>
      </c>
      <c r="K15" s="6"/>
      <c r="M15" s="23" t="s">
        <v>138</v>
      </c>
    </row>
    <row r="16" spans="1:13" ht="20.149999999999999" customHeight="1" x14ac:dyDescent="0.4">
      <c r="B16" s="60" t="s">
        <v>670</v>
      </c>
      <c r="C16" s="60"/>
      <c r="D16" s="64" t="s">
        <v>691</v>
      </c>
      <c r="E16" s="65"/>
      <c r="G16" s="29"/>
      <c r="I16" s="33" t="s">
        <v>264</v>
      </c>
      <c r="K16" s="6"/>
      <c r="M16" s="23" t="s">
        <v>139</v>
      </c>
    </row>
    <row r="17" spans="2:13" ht="20.149999999999999" customHeight="1" x14ac:dyDescent="0.4">
      <c r="B17" s="60" t="s">
        <v>671</v>
      </c>
      <c r="C17" s="60"/>
      <c r="D17" s="62" t="s">
        <v>690</v>
      </c>
      <c r="E17" s="63"/>
      <c r="G17" s="29"/>
      <c r="I17" s="33" t="s">
        <v>265</v>
      </c>
      <c r="K17" s="6"/>
      <c r="M17" s="23" t="s">
        <v>140</v>
      </c>
    </row>
    <row r="18" spans="2:13" ht="20.149999999999999" customHeight="1" x14ac:dyDescent="0.4">
      <c r="B18" s="60" t="s">
        <v>672</v>
      </c>
      <c r="C18" s="60"/>
      <c r="D18" s="62" t="s">
        <v>694</v>
      </c>
      <c r="E18" s="63"/>
      <c r="I18" s="33" t="s">
        <v>224</v>
      </c>
      <c r="K18" s="6"/>
      <c r="M18" s="23" t="s">
        <v>141</v>
      </c>
    </row>
    <row r="19" spans="2:13" ht="20.149999999999999" customHeight="1" x14ac:dyDescent="0.4">
      <c r="B19" s="60" t="s">
        <v>675</v>
      </c>
      <c r="C19" s="60"/>
      <c r="D19" s="62" t="s">
        <v>221</v>
      </c>
      <c r="E19" s="63"/>
      <c r="I19" s="33" t="s">
        <v>227</v>
      </c>
      <c r="K19" s="6"/>
      <c r="M19" s="23" t="s">
        <v>142</v>
      </c>
    </row>
    <row r="20" spans="2:13" ht="20.149999999999999" customHeight="1" x14ac:dyDescent="0.4">
      <c r="B20" s="60" t="s">
        <v>676</v>
      </c>
      <c r="C20" s="60"/>
      <c r="D20" s="62" t="s">
        <v>695</v>
      </c>
      <c r="E20" s="63"/>
      <c r="I20" s="33" t="s">
        <v>226</v>
      </c>
      <c r="K20" s="6"/>
      <c r="M20" s="23" t="s">
        <v>143</v>
      </c>
    </row>
    <row r="21" spans="2:13" ht="20.149999999999999" customHeight="1" x14ac:dyDescent="0.4">
      <c r="B21" s="60" t="s">
        <v>677</v>
      </c>
      <c r="C21" s="60"/>
      <c r="D21" s="62" t="s">
        <v>678</v>
      </c>
      <c r="E21" s="63"/>
      <c r="I21" s="33" t="s">
        <v>230</v>
      </c>
      <c r="K21" s="6"/>
      <c r="M21" s="23" t="s">
        <v>144</v>
      </c>
    </row>
    <row r="22" spans="2:13" ht="20.149999999999999" customHeight="1" x14ac:dyDescent="0.4">
      <c r="B22" s="60" t="s">
        <v>680</v>
      </c>
      <c r="C22" s="60"/>
      <c r="D22" s="62" t="s">
        <v>681</v>
      </c>
      <c r="E22" s="63"/>
      <c r="K22" s="6"/>
      <c r="M22" s="23" t="s">
        <v>145</v>
      </c>
    </row>
    <row r="23" spans="2:13" ht="20.149999999999999" customHeight="1" x14ac:dyDescent="0.4">
      <c r="B23" s="60" t="s">
        <v>682</v>
      </c>
      <c r="C23" s="60"/>
      <c r="D23" s="62" t="s">
        <v>683</v>
      </c>
      <c r="E23" s="63"/>
      <c r="M23" s="23" t="s">
        <v>146</v>
      </c>
    </row>
    <row r="24" spans="2:13" ht="20.149999999999999" customHeight="1" x14ac:dyDescent="0.4">
      <c r="B24" s="60" t="s">
        <v>684</v>
      </c>
      <c r="C24" s="60"/>
      <c r="D24" s="62" t="s">
        <v>685</v>
      </c>
      <c r="E24" s="63"/>
      <c r="M24" s="23" t="s">
        <v>123</v>
      </c>
    </row>
    <row r="25" spans="2:13" ht="20.149999999999999" customHeight="1" x14ac:dyDescent="0.4">
      <c r="B25" s="60" t="s">
        <v>686</v>
      </c>
      <c r="C25" s="60"/>
      <c r="D25" s="62" t="s">
        <v>687</v>
      </c>
      <c r="E25" s="63"/>
      <c r="M25" s="23" t="s">
        <v>147</v>
      </c>
    </row>
    <row r="26" spans="2:13" ht="20.149999999999999" customHeight="1" x14ac:dyDescent="0.4">
      <c r="B26" s="66"/>
      <c r="C26" s="66"/>
      <c r="D26" s="67"/>
      <c r="E26" s="68"/>
      <c r="M26" s="23" t="s">
        <v>148</v>
      </c>
    </row>
    <row r="27" spans="2:13" x14ac:dyDescent="0.4">
      <c r="B27" s="3"/>
      <c r="C27" s="3"/>
      <c r="D27" s="3"/>
      <c r="E27" s="3"/>
      <c r="H27" s="5"/>
      <c r="I27" s="31"/>
      <c r="M27" s="23" t="s">
        <v>149</v>
      </c>
    </row>
    <row r="28" spans="2:13" x14ac:dyDescent="0.4">
      <c r="C28"/>
      <c r="D28"/>
      <c r="H28" s="5"/>
      <c r="I28" s="31"/>
      <c r="M28" s="23" t="s">
        <v>150</v>
      </c>
    </row>
    <row r="29" spans="2:13" x14ac:dyDescent="0.4">
      <c r="C29"/>
      <c r="D29"/>
      <c r="G29" s="16"/>
      <c r="H29" s="5"/>
      <c r="I29" s="31"/>
      <c r="M29" s="23" t="s">
        <v>151</v>
      </c>
    </row>
    <row r="30" spans="2:13" x14ac:dyDescent="0.4">
      <c r="B30" s="33"/>
      <c r="C30"/>
      <c r="D30" s="33"/>
      <c r="E30" s="33"/>
      <c r="G30" s="16"/>
      <c r="H30" s="5"/>
      <c r="I30" s="31"/>
      <c r="M30" s="23" t="s">
        <v>152</v>
      </c>
    </row>
    <row r="31" spans="2:13" x14ac:dyDescent="0.4">
      <c r="B31" s="33"/>
      <c r="C31"/>
      <c r="D31" s="33"/>
      <c r="E31" s="33"/>
    </row>
    <row r="32" spans="2:13" ht="16" customHeight="1" x14ac:dyDescent="0.4">
      <c r="B32" s="33"/>
      <c r="C32"/>
      <c r="D32" s="33"/>
    </row>
    <row r="33" spans="2:4" x14ac:dyDescent="0.4">
      <c r="B33" s="33"/>
      <c r="C33"/>
      <c r="D33" s="33"/>
    </row>
    <row r="34" spans="2:4" x14ac:dyDescent="0.4">
      <c r="B34" s="33"/>
      <c r="C34"/>
      <c r="D34" s="33"/>
    </row>
    <row r="35" spans="2:4" x14ac:dyDescent="0.4">
      <c r="B35" s="33"/>
      <c r="C35"/>
      <c r="D35" s="33"/>
    </row>
    <row r="36" spans="2:4" x14ac:dyDescent="0.4">
      <c r="B36" s="33"/>
      <c r="C36"/>
      <c r="D36" s="33"/>
    </row>
    <row r="37" spans="2:4" x14ac:dyDescent="0.4">
      <c r="B37" s="33"/>
      <c r="C37"/>
      <c r="D37" s="33"/>
    </row>
    <row r="38" spans="2:4" x14ac:dyDescent="0.4">
      <c r="B38" s="33"/>
      <c r="C38" s="52"/>
      <c r="D38" s="33"/>
    </row>
    <row r="39" spans="2:4" x14ac:dyDescent="0.4">
      <c r="B39" s="33"/>
      <c r="C39"/>
      <c r="D39" s="33"/>
    </row>
    <row r="40" spans="2:4" x14ac:dyDescent="0.4">
      <c r="B40" s="33"/>
      <c r="C40"/>
      <c r="D40" s="33"/>
    </row>
    <row r="41" spans="2:4" x14ac:dyDescent="0.4">
      <c r="B41" s="33"/>
      <c r="C41"/>
      <c r="D41" s="33"/>
    </row>
    <row r="42" spans="2:4" x14ac:dyDescent="0.4">
      <c r="B42" s="33"/>
      <c r="C42"/>
      <c r="D42" s="33"/>
    </row>
    <row r="43" spans="2:4" x14ac:dyDescent="0.4">
      <c r="B43" s="33"/>
      <c r="C43"/>
      <c r="D43" s="33"/>
    </row>
    <row r="44" spans="2:4" x14ac:dyDescent="0.4">
      <c r="B44" s="33"/>
      <c r="C44"/>
      <c r="D44" s="33"/>
    </row>
    <row r="45" spans="2:4" x14ac:dyDescent="0.4">
      <c r="B45" s="33"/>
      <c r="C45"/>
      <c r="D45" s="33"/>
    </row>
    <row r="46" spans="2:4" x14ac:dyDescent="0.4">
      <c r="B46" s="33"/>
      <c r="C46"/>
      <c r="D46" s="33"/>
    </row>
    <row r="47" spans="2:4" x14ac:dyDescent="0.4">
      <c r="B47" s="33"/>
      <c r="C47"/>
      <c r="D47" s="33"/>
    </row>
    <row r="48" spans="2:4" x14ac:dyDescent="0.4">
      <c r="B48" s="33"/>
      <c r="C48"/>
      <c r="D48" s="33"/>
    </row>
    <row r="49" spans="4:4" x14ac:dyDescent="0.4">
      <c r="D49" s="33"/>
    </row>
  </sheetData>
  <mergeCells count="1">
    <mergeCell ref="B10:D10"/>
  </mergeCells>
  <conditionalFormatting sqref="D12:E25">
    <cfRule type="expression" dxfId="97" priority="1">
      <formula>SEARCH("eg:",D12)=1</formula>
    </cfRule>
  </conditionalFormatting>
  <dataValidations count="1">
    <dataValidation type="list" allowBlank="1" showInputMessage="1" showErrorMessage="1" sqref="B28 D28 E28">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lRA">
    <tabColor theme="3" tint="-0.249977111117893"/>
  </sheetPr>
  <dimension ref="A1:DZ18"/>
  <sheetViews>
    <sheetView topLeftCell="H1" workbookViewId="0">
      <selection activeCell="D17" sqref="D17"/>
    </sheetView>
  </sheetViews>
  <sheetFormatPr defaultRowHeight="14.6" x14ac:dyDescent="0.4"/>
  <cols>
    <col min="1" max="1" width="9.3046875" customWidth="1"/>
    <col min="2" max="2" width="15.3828125" style="30" customWidth="1"/>
    <col min="3" max="3" width="15" style="30"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35"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9" customWidth="1"/>
    <col min="32" max="32" width="4.69140625" style="39" customWidth="1"/>
    <col min="33" max="33" width="4.15234375" style="39" customWidth="1"/>
    <col min="34" max="34" width="5.3828125" customWidth="1"/>
    <col min="35" max="35" width="9.3046875" customWidth="1"/>
    <col min="36" max="36" width="11.84375" style="35" customWidth="1"/>
    <col min="37" max="37" width="13.69140625" customWidth="1"/>
    <col min="38" max="38" width="19.84375" customWidth="1"/>
    <col min="39" max="40" width="13.15234375" style="41" customWidth="1"/>
    <col min="41" max="41" width="3.3046875" style="29" customWidth="1"/>
    <col min="42" max="42" width="8.69140625" style="29" customWidth="1"/>
    <col min="43" max="43" width="9.3046875" customWidth="1"/>
    <col min="44" max="44" width="9.15234375" style="29" customWidth="1"/>
    <col min="45" max="45" width="15.53515625" style="29" customWidth="1"/>
    <col min="46" max="46" width="20.15234375" style="29" customWidth="1"/>
    <col min="47" max="47" width="9.3828125" style="29" customWidth="1"/>
    <col min="48" max="48" width="3.69140625" style="29" customWidth="1"/>
    <col min="49" max="49" width="10.15234375" customWidth="1"/>
    <col min="50" max="50" width="41.84375" customWidth="1"/>
    <col min="51" max="51" width="3" style="29" customWidth="1"/>
    <col min="52" max="52" width="3" customWidth="1"/>
    <col min="53" max="54" width="3" style="29" customWidth="1"/>
    <col min="55" max="58" width="3" customWidth="1"/>
    <col min="59" max="60" width="3" style="36" customWidth="1"/>
    <col min="61" max="61" width="3" customWidth="1"/>
    <col min="62" max="62" width="3" style="29" customWidth="1"/>
    <col min="63" max="64" width="3" customWidth="1"/>
    <col min="65" max="65" width="25.53515625" customWidth="1"/>
    <col min="66" max="67" width="13.15234375" style="41" customWidth="1"/>
    <col min="68" max="68" width="3.53515625" customWidth="1"/>
    <col min="69" max="69" width="9.3828125" style="29" customWidth="1"/>
    <col min="70" max="70" width="3.53515625" customWidth="1"/>
    <col min="71" max="75" width="10" customWidth="1"/>
    <col min="76" max="76" width="10" style="35" customWidth="1"/>
    <col min="77" max="77" width="5" customWidth="1"/>
    <col min="78" max="78" width="10" customWidth="1"/>
    <col min="79" max="79" width="12.53515625" style="17" customWidth="1"/>
    <col min="80" max="80" width="9" customWidth="1"/>
    <col min="81" max="81" width="2.15234375" style="17"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35" customWidth="1"/>
    <col min="98" max="101" width="2.15234375" customWidth="1"/>
    <col min="102" max="102" width="2.15234375" style="5" customWidth="1"/>
    <col min="103" max="128" width="2.15234375" customWidth="1"/>
    <col min="129" max="130" width="5.53515625" customWidth="1"/>
  </cols>
  <sheetData>
    <row r="1" spans="1:130" ht="61.4" customHeight="1" x14ac:dyDescent="0.4">
      <c r="A1" s="5" t="s">
        <v>185</v>
      </c>
      <c r="B1" s="30" t="s">
        <v>8</v>
      </c>
      <c r="C1" s="30" t="s">
        <v>29</v>
      </c>
      <c r="D1" s="39" t="s">
        <v>107</v>
      </c>
      <c r="E1" t="s">
        <v>209</v>
      </c>
      <c r="F1" t="s">
        <v>207</v>
      </c>
      <c r="G1" s="2" t="s">
        <v>113</v>
      </c>
      <c r="H1" t="s">
        <v>9</v>
      </c>
      <c r="I1" t="s">
        <v>6</v>
      </c>
      <c r="J1" t="s">
        <v>5</v>
      </c>
      <c r="K1" t="s">
        <v>112</v>
      </c>
      <c r="L1" t="s">
        <v>30</v>
      </c>
      <c r="M1" s="55" t="s">
        <v>229</v>
      </c>
      <c r="N1" t="s">
        <v>39</v>
      </c>
      <c r="O1" t="s">
        <v>45</v>
      </c>
      <c r="P1" t="s">
        <v>51</v>
      </c>
      <c r="Q1" t="s">
        <v>36</v>
      </c>
      <c r="R1" t="s">
        <v>37</v>
      </c>
      <c r="S1" s="34" t="s">
        <v>180</v>
      </c>
      <c r="T1" s="34" t="s">
        <v>231</v>
      </c>
      <c r="U1" s="34" t="s">
        <v>181</v>
      </c>
      <c r="V1" s="34" t="s">
        <v>183</v>
      </c>
      <c r="W1" s="34" t="s">
        <v>182</v>
      </c>
      <c r="X1" t="s">
        <v>171</v>
      </c>
      <c r="Y1" s="18" t="s">
        <v>188</v>
      </c>
      <c r="Z1" s="18" t="s">
        <v>189</v>
      </c>
      <c r="AA1" s="39" t="s">
        <v>190</v>
      </c>
      <c r="AB1" s="18" t="s">
        <v>194</v>
      </c>
      <c r="AC1" s="18" t="s">
        <v>195</v>
      </c>
      <c r="AD1" s="18" t="s">
        <v>196</v>
      </c>
      <c r="AE1" s="18" t="s">
        <v>1</v>
      </c>
      <c r="AF1" s="18" t="s">
        <v>295</v>
      </c>
      <c r="AG1" s="18" t="s">
        <v>296</v>
      </c>
      <c r="AH1" s="18" t="s">
        <v>184</v>
      </c>
      <c r="AI1" s="18" t="s">
        <v>57</v>
      </c>
      <c r="AJ1" s="35" t="s">
        <v>58</v>
      </c>
      <c r="AK1" t="s">
        <v>59</v>
      </c>
      <c r="AL1" t="s">
        <v>60</v>
      </c>
      <c r="AM1" s="41" t="s">
        <v>61</v>
      </c>
      <c r="AN1" s="41" t="s">
        <v>62</v>
      </c>
      <c r="AO1" s="29" t="s">
        <v>191</v>
      </c>
      <c r="AP1" s="29" t="s">
        <v>192</v>
      </c>
      <c r="AQ1" s="39" t="s">
        <v>193</v>
      </c>
      <c r="AR1" s="29" t="s">
        <v>38</v>
      </c>
      <c r="AS1" s="29" t="s">
        <v>43</v>
      </c>
      <c r="AT1" s="39" t="s">
        <v>42</v>
      </c>
      <c r="AU1" s="5" t="s">
        <v>197</v>
      </c>
      <c r="AV1" s="29" t="s">
        <v>40</v>
      </c>
      <c r="AW1" t="s">
        <v>198</v>
      </c>
      <c r="AX1" s="17" t="s">
        <v>41</v>
      </c>
      <c r="AY1" s="29" t="s">
        <v>44</v>
      </c>
      <c r="AZ1" s="17" t="s">
        <v>49</v>
      </c>
      <c r="BA1" s="29" t="s">
        <v>48</v>
      </c>
      <c r="BB1" s="39" t="s">
        <v>199</v>
      </c>
      <c r="BC1" s="29" t="s">
        <v>46</v>
      </c>
      <c r="BD1" s="39" t="s">
        <v>200</v>
      </c>
      <c r="BE1" t="s">
        <v>47</v>
      </c>
      <c r="BF1" t="s">
        <v>50</v>
      </c>
      <c r="BG1" s="36" t="s">
        <v>55</v>
      </c>
      <c r="BH1" t="s">
        <v>52</v>
      </c>
      <c r="BI1" t="s">
        <v>54</v>
      </c>
      <c r="BJ1" s="39" t="s">
        <v>201</v>
      </c>
      <c r="BK1" t="s">
        <v>202</v>
      </c>
      <c r="BL1" t="s">
        <v>53</v>
      </c>
      <c r="BM1" t="s">
        <v>56</v>
      </c>
      <c r="BN1" s="41" t="s">
        <v>34</v>
      </c>
      <c r="BO1" s="41" t="s">
        <v>35</v>
      </c>
      <c r="BP1" t="s">
        <v>203</v>
      </c>
      <c r="BQ1" s="39" t="s">
        <v>32</v>
      </c>
      <c r="BR1" t="s">
        <v>33</v>
      </c>
      <c r="BS1" t="s">
        <v>4</v>
      </c>
      <c r="BT1" t="s">
        <v>292</v>
      </c>
      <c r="BU1" t="s">
        <v>206</v>
      </c>
      <c r="BV1" t="s">
        <v>228</v>
      </c>
      <c r="BW1" t="s">
        <v>210</v>
      </c>
      <c r="BX1" t="s">
        <v>208</v>
      </c>
      <c r="BY1" t="s">
        <v>204</v>
      </c>
      <c r="BZ1" t="s">
        <v>205</v>
      </c>
      <c r="CA1" s="17" t="s">
        <v>63</v>
      </c>
      <c r="CB1" s="17" t="s">
        <v>186</v>
      </c>
      <c r="CC1" t="s">
        <v>64</v>
      </c>
      <c r="CD1" t="s">
        <v>65</v>
      </c>
      <c r="CE1" t="s">
        <v>66</v>
      </c>
      <c r="CF1" t="s">
        <v>67</v>
      </c>
      <c r="CG1" s="17" t="s">
        <v>68</v>
      </c>
      <c r="CH1" s="17" t="s">
        <v>69</v>
      </c>
      <c r="CI1" t="s">
        <v>70</v>
      </c>
      <c r="CJ1" t="s">
        <v>211</v>
      </c>
      <c r="CK1" t="s">
        <v>71</v>
      </c>
      <c r="CL1" t="s">
        <v>72</v>
      </c>
      <c r="CM1" t="s">
        <v>73</v>
      </c>
      <c r="CN1" s="17" t="s">
        <v>74</v>
      </c>
      <c r="CO1" s="17" t="s">
        <v>75</v>
      </c>
      <c r="CP1" t="s">
        <v>76</v>
      </c>
      <c r="CQ1" t="s">
        <v>77</v>
      </c>
      <c r="CR1" t="s">
        <v>212</v>
      </c>
      <c r="CS1" t="s">
        <v>78</v>
      </c>
      <c r="CT1" t="s">
        <v>79</v>
      </c>
      <c r="CU1" s="17" t="s">
        <v>80</v>
      </c>
      <c r="CV1" s="17" t="s">
        <v>81</v>
      </c>
      <c r="CW1" t="s">
        <v>82</v>
      </c>
      <c r="CX1" t="s">
        <v>83</v>
      </c>
      <c r="CY1" t="s">
        <v>84</v>
      </c>
      <c r="CZ1" t="s">
        <v>213</v>
      </c>
      <c r="DA1" t="s">
        <v>85</v>
      </c>
      <c r="DB1" s="17" t="s">
        <v>86</v>
      </c>
      <c r="DC1" s="17" t="s">
        <v>87</v>
      </c>
      <c r="DD1" t="s">
        <v>88</v>
      </c>
      <c r="DE1" t="s">
        <v>89</v>
      </c>
      <c r="DF1" t="s">
        <v>90</v>
      </c>
      <c r="DG1" t="s">
        <v>91</v>
      </c>
      <c r="DH1" t="s">
        <v>214</v>
      </c>
      <c r="DI1" s="17" t="s">
        <v>92</v>
      </c>
      <c r="DJ1" s="17" t="s">
        <v>93</v>
      </c>
      <c r="DK1" t="s">
        <v>94</v>
      </c>
      <c r="DL1" t="s">
        <v>95</v>
      </c>
      <c r="DM1" t="s">
        <v>96</v>
      </c>
      <c r="DN1" t="s">
        <v>97</v>
      </c>
      <c r="DO1" t="s">
        <v>98</v>
      </c>
      <c r="DP1" s="17" t="s">
        <v>215</v>
      </c>
      <c r="DQ1" s="17" t="s">
        <v>99</v>
      </c>
      <c r="DR1" t="s">
        <v>100</v>
      </c>
      <c r="DS1" t="s">
        <v>101</v>
      </c>
      <c r="DT1" t="s">
        <v>102</v>
      </c>
      <c r="DU1" s="36" t="s">
        <v>103</v>
      </c>
      <c r="DV1" t="s">
        <v>104</v>
      </c>
      <c r="DW1" t="s">
        <v>105</v>
      </c>
      <c r="DX1" t="s">
        <v>216</v>
      </c>
      <c r="DY1" t="s">
        <v>187</v>
      </c>
      <c r="DZ1" t="s">
        <v>106</v>
      </c>
    </row>
    <row r="2" spans="1:130" hidden="1" x14ac:dyDescent="0.4">
      <c r="A2" s="39">
        <v>43032.525254629632</v>
      </c>
      <c r="B2" s="30">
        <v>36526</v>
      </c>
      <c r="C2" s="30">
        <v>36526</v>
      </c>
      <c r="D2" s="39">
        <v>36526</v>
      </c>
      <c r="E2" t="s">
        <v>271</v>
      </c>
      <c r="F2" t="s">
        <v>272</v>
      </c>
      <c r="G2" t="s">
        <v>271</v>
      </c>
      <c r="H2" t="s">
        <v>267</v>
      </c>
      <c r="I2" t="s">
        <v>268</v>
      </c>
      <c r="J2" t="s">
        <v>269</v>
      </c>
      <c r="K2" t="s">
        <v>270</v>
      </c>
      <c r="L2" t="s">
        <v>266</v>
      </c>
      <c r="M2" s="35">
        <v>-1</v>
      </c>
      <c r="N2" t="s">
        <v>273</v>
      </c>
      <c r="O2" t="s">
        <v>273</v>
      </c>
      <c r="P2" t="s">
        <v>273</v>
      </c>
      <c r="Q2" t="s">
        <v>277</v>
      </c>
      <c r="R2">
        <v>0</v>
      </c>
      <c r="T2" t="str">
        <f>IFERROR(MID(AllRACandidatesTable[[#This Row],[RATemplate]],1,LEN(AllRACandidatesTable[[#This Row],[RATemplate]])-8),"RA") &amp; " " &amp; AllRACandidatesTable[[#This Row],[prop_id0]] &amp; " " &amp; AllRACandidatesTable[[#This Row],[last0]]</f>
        <v>RA 0000000 .dummy.</v>
      </c>
      <c r="X2">
        <v>0</v>
      </c>
      <c r="Y2">
        <v>0</v>
      </c>
      <c r="Z2">
        <v>0</v>
      </c>
      <c r="AA2" s="39">
        <v>36526</v>
      </c>
      <c r="AB2">
        <v>0</v>
      </c>
      <c r="AC2">
        <v>0</v>
      </c>
      <c r="AD2">
        <v>0</v>
      </c>
      <c r="AE2" s="7" t="str">
        <f>HYPERLINK("https://www.ejacket.nsf.gov/ej/showProposal.do?Continue=Y&amp;ID="&amp;AllRACandidatesTable[[#This Row],[prop_id0]],"eJ")</f>
        <v>eJ</v>
      </c>
      <c r="AF2" s="7" t="str">
        <f>HYPERLINK("mailto:"&amp;AllRACandidatesTable[[#This Row],[email]]&amp;"&amp;subject=Your NSF Proposal:  "&amp;AllRACandidatesTable[[#This Row],[Div]]&amp;" "&amp;AllRACandidatesTable[[#This Row],[prop_id0]], AllRACandidatesTable[[#This Row],[email]])</f>
        <v>.dummy email.</v>
      </c>
      <c r="AG2" s="7" t="str">
        <f>HYPERLINK("mailto:"&amp;AllRACandidatesTable[[#This Row],[allPIemail]]&amp;"&amp;subject=NSF Proposal:  "&amp;AllRACandidatesTable[[#This Row],[Div]]&amp;" "&amp;AllRACandidatesTable[[#This Row],[prop_id0]], "PIs@")</f>
        <v>PIs@</v>
      </c>
      <c r="AH2" t="s">
        <v>272</v>
      </c>
      <c r="AI2" t="s">
        <v>274</v>
      </c>
      <c r="AJ2" s="35" t="s">
        <v>267</v>
      </c>
      <c r="AK2" t="s">
        <v>275</v>
      </c>
      <c r="AL2" t="s">
        <v>276</v>
      </c>
      <c r="AM2" s="41">
        <v>0</v>
      </c>
      <c r="AN2" s="41">
        <v>0</v>
      </c>
      <c r="AO2" s="29">
        <v>0</v>
      </c>
      <c r="AP2" t="s">
        <v>277</v>
      </c>
      <c r="AQ2" s="39">
        <v>36526</v>
      </c>
      <c r="AR2" t="s">
        <v>278</v>
      </c>
      <c r="AS2" t="s">
        <v>270</v>
      </c>
      <c r="AT2" t="s">
        <v>279</v>
      </c>
      <c r="AU2" s="39">
        <v>36526</v>
      </c>
      <c r="AV2" s="29">
        <v>0</v>
      </c>
      <c r="AW2" t="s">
        <v>277</v>
      </c>
      <c r="AX2" s="40" t="s">
        <v>280</v>
      </c>
      <c r="AY2" t="s">
        <v>293</v>
      </c>
      <c r="AZ2" s="40" t="s">
        <v>270</v>
      </c>
      <c r="BA2" t="s">
        <v>279</v>
      </c>
      <c r="BB2" s="39">
        <v>36526</v>
      </c>
      <c r="BC2" s="29">
        <v>0</v>
      </c>
      <c r="BD2" s="39" t="s">
        <v>277</v>
      </c>
      <c r="BE2" t="s">
        <v>280</v>
      </c>
      <c r="BF2" t="s">
        <v>294</v>
      </c>
      <c r="BG2" s="39" t="s">
        <v>270</v>
      </c>
      <c r="BH2">
        <v>0</v>
      </c>
      <c r="BI2" t="s">
        <v>279</v>
      </c>
      <c r="BJ2" s="39">
        <v>36526</v>
      </c>
      <c r="BK2" t="s">
        <v>277</v>
      </c>
      <c r="BL2" t="s">
        <v>280</v>
      </c>
      <c r="BM2" t="s">
        <v>281</v>
      </c>
      <c r="BN2" s="41">
        <v>0</v>
      </c>
      <c r="BO2" s="41">
        <v>0</v>
      </c>
      <c r="BP2">
        <v>0</v>
      </c>
      <c r="BQ2" s="39">
        <v>36526</v>
      </c>
      <c r="BR2">
        <v>0</v>
      </c>
      <c r="BS2" t="s">
        <v>282</v>
      </c>
      <c r="BT2" t="s">
        <v>283</v>
      </c>
      <c r="BU2" t="s">
        <v>284</v>
      </c>
      <c r="BV2" t="s">
        <v>262</v>
      </c>
      <c r="BW2" t="s">
        <v>285</v>
      </c>
      <c r="BX2" s="8" t="s">
        <v>286</v>
      </c>
      <c r="BY2" t="s">
        <v>287</v>
      </c>
      <c r="BZ2" t="s">
        <v>288</v>
      </c>
      <c r="CA2" s="40" t="s">
        <v>24</v>
      </c>
      <c r="CB2" s="40" t="s">
        <v>289</v>
      </c>
      <c r="CC2" t="s">
        <v>274</v>
      </c>
      <c r="CD2" t="s">
        <v>267</v>
      </c>
      <c r="CE2" t="s">
        <v>275</v>
      </c>
      <c r="CF2" t="s">
        <v>276</v>
      </c>
      <c r="CG2" s="40">
        <v>0</v>
      </c>
      <c r="CH2" s="40">
        <v>0</v>
      </c>
      <c r="CI2" t="s">
        <v>24</v>
      </c>
      <c r="CJ2" t="s">
        <v>289</v>
      </c>
      <c r="CK2" t="s">
        <v>274</v>
      </c>
      <c r="CL2" t="s">
        <v>267</v>
      </c>
      <c r="CM2" t="s">
        <v>275</v>
      </c>
      <c r="CN2" s="40" t="s">
        <v>276</v>
      </c>
      <c r="CO2" s="40">
        <v>0</v>
      </c>
      <c r="CP2">
        <v>0</v>
      </c>
      <c r="CQ2" t="s">
        <v>24</v>
      </c>
      <c r="CR2" t="s">
        <v>289</v>
      </c>
      <c r="CS2" t="s">
        <v>274</v>
      </c>
      <c r="CT2" t="s">
        <v>267</v>
      </c>
      <c r="CU2" s="40" t="s">
        <v>275</v>
      </c>
      <c r="CV2" s="40" t="s">
        <v>276</v>
      </c>
      <c r="CW2">
        <v>0</v>
      </c>
      <c r="CX2">
        <v>0</v>
      </c>
      <c r="CY2" t="s">
        <v>24</v>
      </c>
      <c r="CZ2" t="s">
        <v>289</v>
      </c>
      <c r="DA2" t="s">
        <v>274</v>
      </c>
      <c r="DB2" s="40" t="s">
        <v>267</v>
      </c>
      <c r="DC2" s="40" t="s">
        <v>275</v>
      </c>
      <c r="DD2" t="s">
        <v>276</v>
      </c>
      <c r="DE2">
        <v>0</v>
      </c>
      <c r="DF2">
        <v>0</v>
      </c>
      <c r="DG2" t="s">
        <v>24</v>
      </c>
      <c r="DH2" t="s">
        <v>289</v>
      </c>
      <c r="DI2" s="40" t="s">
        <v>274</v>
      </c>
      <c r="DJ2" s="40" t="s">
        <v>267</v>
      </c>
      <c r="DK2" t="s">
        <v>275</v>
      </c>
      <c r="DL2" t="s">
        <v>276</v>
      </c>
      <c r="DM2">
        <v>0</v>
      </c>
      <c r="DN2">
        <v>0</v>
      </c>
      <c r="DO2" t="s">
        <v>24</v>
      </c>
      <c r="DP2" s="40" t="s">
        <v>289</v>
      </c>
      <c r="DQ2" s="40" t="s">
        <v>274</v>
      </c>
      <c r="DR2" t="s">
        <v>267</v>
      </c>
      <c r="DS2" t="s">
        <v>275</v>
      </c>
      <c r="DT2" t="s">
        <v>276</v>
      </c>
      <c r="DU2" s="39">
        <v>0</v>
      </c>
      <c r="DV2">
        <v>0</v>
      </c>
      <c r="DW2" t="s">
        <v>24</v>
      </c>
      <c r="DX2" t="s">
        <v>289</v>
      </c>
      <c r="DY2" t="s">
        <v>290</v>
      </c>
      <c r="DZ2" t="s">
        <v>291</v>
      </c>
    </row>
    <row r="3" spans="1:130" x14ac:dyDescent="0.4">
      <c r="A3" s="39">
        <v>43032.525254629632</v>
      </c>
      <c r="B3" s="30">
        <v>42935.652777777781</v>
      </c>
      <c r="D3" s="39"/>
      <c r="E3" s="39" t="s">
        <v>221</v>
      </c>
      <c r="F3" s="39" t="s">
        <v>219</v>
      </c>
      <c r="G3" s="39" t="s">
        <v>119</v>
      </c>
      <c r="H3" t="s">
        <v>336</v>
      </c>
      <c r="I3" t="s">
        <v>299</v>
      </c>
      <c r="J3" t="s">
        <v>371</v>
      </c>
      <c r="K3" t="s">
        <v>372</v>
      </c>
      <c r="M3" s="35">
        <v>1.01</v>
      </c>
      <c r="N3" t="s">
        <v>337</v>
      </c>
      <c r="Q3" t="s">
        <v>573</v>
      </c>
      <c r="R3">
        <v>7.75</v>
      </c>
      <c r="T3" s="29" t="str">
        <f>IFERROR(MID(AllRACandidatesTable[[#This Row],[RATemplate]],1,LEN(AllRACandidatesTable[[#This Row],[RATemplate]])-8),"RA") &amp; " " &amp; AllRACandidatesTable[[#This Row],[prop_id0]] &amp; " " &amp; AllRACandidatesTable[[#This Row],[last0]]</f>
        <v>RA 1750886 Chen</v>
      </c>
      <c r="X3">
        <v>4</v>
      </c>
      <c r="AA3" s="39">
        <v>43007.361111111109</v>
      </c>
      <c r="AB3">
        <v>1</v>
      </c>
      <c r="AD3"/>
      <c r="AE3" s="19" t="str">
        <f>HYPERLINK("https://www.ejacket.nsf.gov/ej/showProposal.do?Continue=Y&amp;ID="&amp;AllRACandidatesTable[[#This Row],[prop_id0]],"eJ")</f>
        <v>eJ</v>
      </c>
      <c r="AF3" s="19" t="str">
        <f>HYPERLINK("mailto:"&amp;AllRACandidatesTable[[#This Row],[email]]&amp;"&amp;subject=Your NSF Proposal:  "&amp;AllRACandidatesTable[[#This Row],[Div]]&amp;" "&amp;AllRACandidatesTable[[#This Row],[prop_id0]], AllRACandidatesTable[[#This Row],[email]])</f>
        <v>sxc2311@louisiana.edu</v>
      </c>
      <c r="AG3" s="19" t="str">
        <f>HYPERLINK("mailto:"&amp;AllRACandidatesTable[[#This Row],[allPIemail]]&amp;"&amp;subject=NSF Proposal:  "&amp;AllRACandidatesTable[[#This Row],[Div]]&amp;" "&amp;AllRACandidatesTable[[#This Row],[prop_id0]], "PIs@")</f>
        <v>PIs@</v>
      </c>
      <c r="AH3" t="s">
        <v>301</v>
      </c>
      <c r="AI3" t="s">
        <v>411</v>
      </c>
      <c r="AJ3" s="35" t="s">
        <v>346</v>
      </c>
      <c r="AK3" t="s">
        <v>574</v>
      </c>
      <c r="AL3" t="s">
        <v>412</v>
      </c>
      <c r="AM3" s="41">
        <v>506060</v>
      </c>
      <c r="AN3" s="41">
        <v>506060</v>
      </c>
      <c r="AP3"/>
      <c r="AQ3" s="39"/>
      <c r="AR3" t="s">
        <v>433</v>
      </c>
      <c r="AS3" t="s">
        <v>339</v>
      </c>
      <c r="AT3" s="39" t="s">
        <v>575</v>
      </c>
      <c r="AU3" s="39">
        <v>43007</v>
      </c>
      <c r="AV3" s="29">
        <v>1</v>
      </c>
      <c r="AW3" t="s">
        <v>576</v>
      </c>
      <c r="AX3" s="40" t="s">
        <v>577</v>
      </c>
      <c r="AY3"/>
      <c r="AZ3" s="40"/>
      <c r="BA3"/>
      <c r="BB3" s="39"/>
      <c r="BC3" s="29"/>
      <c r="BD3" s="39"/>
      <c r="BG3" s="39"/>
      <c r="BH3"/>
      <c r="BJ3" s="39"/>
      <c r="BM3" t="s">
        <v>578</v>
      </c>
      <c r="BN3" s="41">
        <v>506060</v>
      </c>
      <c r="BO3" s="41">
        <v>506060</v>
      </c>
      <c r="BP3">
        <v>0</v>
      </c>
      <c r="BQ3" s="39">
        <v>43132</v>
      </c>
      <c r="BR3">
        <v>60</v>
      </c>
      <c r="BS3" t="s">
        <v>340</v>
      </c>
      <c r="BT3" t="s">
        <v>302</v>
      </c>
      <c r="BU3" t="s">
        <v>579</v>
      </c>
      <c r="BV3" t="s">
        <v>580</v>
      </c>
      <c r="BW3" t="s">
        <v>222</v>
      </c>
      <c r="BX3" s="8" t="s">
        <v>220</v>
      </c>
      <c r="BY3" t="s">
        <v>217</v>
      </c>
      <c r="BZ3" t="s">
        <v>218</v>
      </c>
      <c r="CA3" s="40" t="s">
        <v>414</v>
      </c>
      <c r="CB3" s="40" t="s">
        <v>581</v>
      </c>
      <c r="CC3"/>
      <c r="CG3" s="40"/>
      <c r="CH3" s="40"/>
      <c r="CK3"/>
      <c r="CN3" s="40"/>
      <c r="CO3" s="40"/>
      <c r="CQ3"/>
      <c r="CS3"/>
      <c r="CU3" s="40"/>
      <c r="CV3" s="40"/>
      <c r="CX3"/>
      <c r="DB3" s="40"/>
      <c r="DC3" s="40"/>
      <c r="DI3" s="40"/>
      <c r="DJ3" s="40"/>
      <c r="DP3" s="40"/>
      <c r="DQ3" s="40"/>
      <c r="DU3" s="39"/>
      <c r="DY3" t="s">
        <v>413</v>
      </c>
      <c r="DZ3" t="s">
        <v>413</v>
      </c>
    </row>
    <row r="4" spans="1:130" x14ac:dyDescent="0.4">
      <c r="A4" s="39">
        <v>43032.525254629632</v>
      </c>
      <c r="B4" s="30">
        <v>42935.665277777778</v>
      </c>
      <c r="D4" s="39"/>
      <c r="E4" s="39" t="s">
        <v>221</v>
      </c>
      <c r="F4" s="39" t="s">
        <v>219</v>
      </c>
      <c r="G4" s="39" t="s">
        <v>119</v>
      </c>
      <c r="H4" t="s">
        <v>336</v>
      </c>
      <c r="I4" t="s">
        <v>299</v>
      </c>
      <c r="J4" t="s">
        <v>371</v>
      </c>
      <c r="K4" t="s">
        <v>376</v>
      </c>
      <c r="M4" s="35">
        <v>1.01</v>
      </c>
      <c r="N4" t="s">
        <v>337</v>
      </c>
      <c r="Q4" t="s">
        <v>582</v>
      </c>
      <c r="R4">
        <v>8.25</v>
      </c>
      <c r="T4" s="29" t="str">
        <f>IFERROR(MID(AllRACandidatesTable[[#This Row],[RATemplate]],1,LEN(AllRACandidatesTable[[#This Row],[RATemplate]])-8),"RA") &amp; " " &amp; AllRACandidatesTable[[#This Row],[prop_id0]] &amp; " " &amp; AllRACandidatesTable[[#This Row],[last0]]</f>
        <v>RA 1750965 D'Antoni</v>
      </c>
      <c r="X4">
        <v>4</v>
      </c>
      <c r="AA4" s="39">
        <v>43007.349305555559</v>
      </c>
      <c r="AB4">
        <v>1</v>
      </c>
      <c r="AD4"/>
      <c r="AE4" s="19" t="str">
        <f>HYPERLINK("https://www.ejacket.nsf.gov/ej/showProposal.do?Continue=Y&amp;ID="&amp;AllRACandidatesTable[[#This Row],[prop_id0]],"eJ")</f>
        <v>eJ</v>
      </c>
      <c r="AF4" s="19" t="str">
        <f>HYPERLINK("mailto:"&amp;AllRACandidatesTable[[#This Row],[email]]&amp;"&amp;subject=Your NSF Proposal:  "&amp;AllRACandidatesTable[[#This Row],[Div]]&amp;" "&amp;AllRACandidatesTable[[#This Row],[prop_id0]], AllRACandidatesTable[[#This Row],[email]])</f>
        <v>loris@cs.wisc.edu</v>
      </c>
      <c r="AG4" s="19" t="str">
        <f>HYPERLINK("mailto:"&amp;AllRACandidatesTable[[#This Row],[allPIemail]]&amp;"&amp;subject=NSF Proposal:  "&amp;AllRACandidatesTable[[#This Row],[Div]]&amp;" "&amp;AllRACandidatesTable[[#This Row],[prop_id0]], "PIs@")</f>
        <v>PIs@</v>
      </c>
      <c r="AH4" t="s">
        <v>301</v>
      </c>
      <c r="AI4" t="s">
        <v>415</v>
      </c>
      <c r="AJ4" s="35" t="s">
        <v>416</v>
      </c>
      <c r="AK4" t="s">
        <v>583</v>
      </c>
      <c r="AL4" t="s">
        <v>341</v>
      </c>
      <c r="AM4" s="41">
        <v>571195</v>
      </c>
      <c r="AN4" s="41">
        <v>571195</v>
      </c>
      <c r="AP4"/>
      <c r="AQ4" s="39"/>
      <c r="AR4" t="s">
        <v>433</v>
      </c>
      <c r="AS4" t="s">
        <v>339</v>
      </c>
      <c r="AT4" s="39" t="s">
        <v>575</v>
      </c>
      <c r="AU4" s="39">
        <v>43007</v>
      </c>
      <c r="AV4" s="29">
        <v>1</v>
      </c>
      <c r="AW4" t="s">
        <v>584</v>
      </c>
      <c r="AX4" s="40" t="s">
        <v>577</v>
      </c>
      <c r="AY4"/>
      <c r="AZ4" s="40"/>
      <c r="BA4"/>
      <c r="BB4" s="39"/>
      <c r="BC4" s="29"/>
      <c r="BD4" s="39"/>
      <c r="BG4" s="39"/>
      <c r="BH4"/>
      <c r="BJ4" s="39"/>
      <c r="BM4" t="s">
        <v>585</v>
      </c>
      <c r="BN4" s="41">
        <v>571195</v>
      </c>
      <c r="BO4" s="41">
        <v>571195</v>
      </c>
      <c r="BP4">
        <v>0</v>
      </c>
      <c r="BQ4" s="39">
        <v>43344</v>
      </c>
      <c r="BR4">
        <v>60</v>
      </c>
      <c r="BS4" t="s">
        <v>340</v>
      </c>
      <c r="BT4" t="s">
        <v>302</v>
      </c>
      <c r="BU4" t="s">
        <v>579</v>
      </c>
      <c r="BV4" t="s">
        <v>586</v>
      </c>
      <c r="BW4" t="s">
        <v>222</v>
      </c>
      <c r="BX4" s="8" t="s">
        <v>220</v>
      </c>
      <c r="BY4" t="s">
        <v>217</v>
      </c>
      <c r="BZ4" t="s">
        <v>218</v>
      </c>
      <c r="CA4" s="40" t="s">
        <v>345</v>
      </c>
      <c r="CB4" s="40" t="s">
        <v>353</v>
      </c>
      <c r="CC4"/>
      <c r="CG4" s="40"/>
      <c r="CH4" s="40"/>
      <c r="CK4"/>
      <c r="CN4" s="40"/>
      <c r="CO4" s="40"/>
      <c r="CQ4"/>
      <c r="CS4"/>
      <c r="CU4" s="40"/>
      <c r="CV4" s="40"/>
      <c r="CX4"/>
      <c r="DB4" s="40"/>
      <c r="DC4" s="40"/>
      <c r="DI4" s="40"/>
      <c r="DJ4" s="40"/>
      <c r="DP4" s="40"/>
      <c r="DQ4" s="40"/>
      <c r="DU4" s="39"/>
      <c r="DY4" t="s">
        <v>417</v>
      </c>
      <c r="DZ4" t="s">
        <v>417</v>
      </c>
    </row>
    <row r="5" spans="1:130" x14ac:dyDescent="0.4">
      <c r="A5" s="39">
        <v>43032.525254629632</v>
      </c>
      <c r="B5" s="30">
        <v>42933.719444444447</v>
      </c>
      <c r="D5" s="39"/>
      <c r="E5" s="39" t="s">
        <v>221</v>
      </c>
      <c r="F5" s="39" t="s">
        <v>219</v>
      </c>
      <c r="G5" s="39" t="s">
        <v>119</v>
      </c>
      <c r="H5" t="s">
        <v>336</v>
      </c>
      <c r="I5" t="s">
        <v>299</v>
      </c>
      <c r="J5" t="s">
        <v>371</v>
      </c>
      <c r="K5" t="s">
        <v>376</v>
      </c>
      <c r="M5" s="35">
        <v>2.0299999999999998</v>
      </c>
      <c r="N5" t="s">
        <v>261</v>
      </c>
      <c r="Q5" t="s">
        <v>587</v>
      </c>
      <c r="R5">
        <v>7.25</v>
      </c>
      <c r="T5" s="29" t="str">
        <f>IFERROR(MID(AllRACandidatesTable[[#This Row],[RATemplate]],1,LEN(AllRACandidatesTable[[#This Row],[RATemplate]])-8),"RA") &amp; " " &amp; AllRACandidatesTable[[#This Row],[prop_id0]] &amp; " " &amp; AllRACandidatesTable[[#This Row],[last0]]</f>
        <v>RA 1749570 Tatlock</v>
      </c>
      <c r="X5">
        <v>4</v>
      </c>
      <c r="AA5" s="39">
        <v>43007.508333333331</v>
      </c>
      <c r="AB5">
        <v>1</v>
      </c>
      <c r="AD5"/>
      <c r="AE5" s="19" t="str">
        <f>HYPERLINK("https://www.ejacket.nsf.gov/ej/showProposal.do?Continue=Y&amp;ID="&amp;AllRACandidatesTable[[#This Row],[prop_id0]],"eJ")</f>
        <v>eJ</v>
      </c>
      <c r="AF5" s="19" t="str">
        <f>HYPERLINK("mailto:"&amp;AllRACandidatesTable[[#This Row],[email]]&amp;"&amp;subject=Your NSF Proposal:  "&amp;AllRACandidatesTable[[#This Row],[Div]]&amp;" "&amp;AllRACandidatesTable[[#This Row],[prop_id0]], AllRACandidatesTable[[#This Row],[email]])</f>
        <v>ztatlock@cs.washington.edu</v>
      </c>
      <c r="AG5" s="19" t="str">
        <f>HYPERLINK("mailto:"&amp;AllRACandidatesTable[[#This Row],[allPIemail]]&amp;"&amp;subject=NSF Proposal:  "&amp;AllRACandidatesTable[[#This Row],[Div]]&amp;" "&amp;AllRACandidatesTable[[#This Row],[prop_id0]], "PIs@")</f>
        <v>PIs@</v>
      </c>
      <c r="AH5" t="s">
        <v>301</v>
      </c>
      <c r="AI5" t="s">
        <v>377</v>
      </c>
      <c r="AJ5" s="35" t="s">
        <v>378</v>
      </c>
      <c r="AK5" t="s">
        <v>588</v>
      </c>
      <c r="AL5" t="s">
        <v>338</v>
      </c>
      <c r="AM5" s="41">
        <v>648665</v>
      </c>
      <c r="AN5" s="41">
        <v>648665</v>
      </c>
      <c r="AP5"/>
      <c r="AQ5" s="39"/>
      <c r="AR5" t="s">
        <v>433</v>
      </c>
      <c r="AS5" t="s">
        <v>260</v>
      </c>
      <c r="AT5" s="39" t="s">
        <v>575</v>
      </c>
      <c r="AU5" s="39">
        <v>43007</v>
      </c>
      <c r="AV5" s="29">
        <v>3</v>
      </c>
      <c r="AW5" t="s">
        <v>589</v>
      </c>
      <c r="AX5" s="40" t="s">
        <v>577</v>
      </c>
      <c r="AY5"/>
      <c r="AZ5" s="40"/>
      <c r="BA5"/>
      <c r="BB5" s="39"/>
      <c r="BC5" s="29"/>
      <c r="BD5" s="39"/>
      <c r="BG5" s="39"/>
      <c r="BH5"/>
      <c r="BJ5" s="39"/>
      <c r="BM5" t="s">
        <v>590</v>
      </c>
      <c r="BN5" s="41">
        <v>648665</v>
      </c>
      <c r="BO5" s="41">
        <v>648665</v>
      </c>
      <c r="BP5">
        <v>0</v>
      </c>
      <c r="BQ5" s="39">
        <v>43191</v>
      </c>
      <c r="BR5">
        <v>60</v>
      </c>
      <c r="BS5" t="s">
        <v>340</v>
      </c>
      <c r="BT5" t="s">
        <v>302</v>
      </c>
      <c r="BU5" t="s">
        <v>579</v>
      </c>
      <c r="BV5" t="s">
        <v>586</v>
      </c>
      <c r="BW5" t="s">
        <v>222</v>
      </c>
      <c r="BX5" s="8" t="s">
        <v>220</v>
      </c>
      <c r="BY5" t="s">
        <v>217</v>
      </c>
      <c r="BZ5" t="s">
        <v>218</v>
      </c>
      <c r="CA5" s="40" t="s">
        <v>345</v>
      </c>
      <c r="CB5" s="40" t="s">
        <v>353</v>
      </c>
      <c r="CC5"/>
      <c r="CG5" s="40"/>
      <c r="CH5" s="40"/>
      <c r="CK5"/>
      <c r="CN5" s="40"/>
      <c r="CO5" s="40"/>
      <c r="CQ5"/>
      <c r="CS5"/>
      <c r="CU5" s="40"/>
      <c r="CV5" s="40"/>
      <c r="CX5"/>
      <c r="DB5" s="40"/>
      <c r="DC5" s="40"/>
      <c r="DI5" s="40"/>
      <c r="DJ5" s="40"/>
      <c r="DP5" s="40"/>
      <c r="DQ5" s="40"/>
      <c r="DU5" s="39"/>
      <c r="DY5" t="s">
        <v>379</v>
      </c>
      <c r="DZ5" t="s">
        <v>379</v>
      </c>
    </row>
    <row r="6" spans="1:130" x14ac:dyDescent="0.4">
      <c r="A6" s="39">
        <v>43032.525254629632</v>
      </c>
      <c r="B6" s="30">
        <v>42935.67291666667</v>
      </c>
      <c r="D6" s="39"/>
      <c r="E6" s="39" t="s">
        <v>221</v>
      </c>
      <c r="F6" s="39" t="s">
        <v>219</v>
      </c>
      <c r="G6" s="39" t="s">
        <v>119</v>
      </c>
      <c r="H6" t="s">
        <v>336</v>
      </c>
      <c r="I6" t="s">
        <v>299</v>
      </c>
      <c r="J6" t="s">
        <v>371</v>
      </c>
      <c r="K6" t="s">
        <v>372</v>
      </c>
      <c r="M6" s="35">
        <v>2.04</v>
      </c>
      <c r="N6" t="s">
        <v>261</v>
      </c>
      <c r="Q6" t="s">
        <v>351</v>
      </c>
      <c r="R6">
        <v>7.75</v>
      </c>
      <c r="T6" s="29" t="str">
        <f>IFERROR(MID(AllRACandidatesTable[[#This Row],[RATemplate]],1,LEN(AllRACandidatesTable[[#This Row],[RATemplate]])-8),"RA") &amp; " " &amp; AllRACandidatesTable[[#This Row],[prop_id0]] &amp; " " &amp; AllRACandidatesTable[[#This Row],[last0]]</f>
        <v>RA 1751011 Carbin</v>
      </c>
      <c r="X6">
        <v>4</v>
      </c>
      <c r="AA6" s="39">
        <v>43007.352083333331</v>
      </c>
      <c r="AB6">
        <v>1</v>
      </c>
      <c r="AD6"/>
      <c r="AE6" s="19" t="str">
        <f>HYPERLINK("https://www.ejacket.nsf.gov/ej/showProposal.do?Continue=Y&amp;ID="&amp;AllRACandidatesTable[[#This Row],[prop_id0]],"eJ")</f>
        <v>eJ</v>
      </c>
      <c r="AF6" s="19" t="str">
        <f>HYPERLINK("mailto:"&amp;AllRACandidatesTable[[#This Row],[email]]&amp;"&amp;subject=Your NSF Proposal:  "&amp;AllRACandidatesTable[[#This Row],[Div]]&amp;" "&amp;AllRACandidatesTable[[#This Row],[prop_id0]], AllRACandidatesTable[[#This Row],[email]])</f>
        <v>mcarbin@csail.mit.edu</v>
      </c>
      <c r="AG6" s="19" t="str">
        <f>HYPERLINK("mailto:"&amp;AllRACandidatesTable[[#This Row],[allPIemail]]&amp;"&amp;subject=NSF Proposal:  "&amp;AllRACandidatesTable[[#This Row],[Div]]&amp;" "&amp;AllRACandidatesTable[[#This Row],[prop_id0]], "PIs@")</f>
        <v>PIs@</v>
      </c>
      <c r="AH6" t="s">
        <v>301</v>
      </c>
      <c r="AI6" t="s">
        <v>418</v>
      </c>
      <c r="AJ6" s="35" t="s">
        <v>419</v>
      </c>
      <c r="AK6" t="s">
        <v>354</v>
      </c>
      <c r="AL6" t="s">
        <v>300</v>
      </c>
      <c r="AM6" s="41">
        <v>525000</v>
      </c>
      <c r="AN6" s="41">
        <v>525000</v>
      </c>
      <c r="AP6"/>
      <c r="AQ6" s="39"/>
      <c r="AR6" t="s">
        <v>433</v>
      </c>
      <c r="AS6" t="s">
        <v>260</v>
      </c>
      <c r="AT6" s="39" t="s">
        <v>575</v>
      </c>
      <c r="AU6" s="39">
        <v>43007</v>
      </c>
      <c r="AV6" s="29">
        <v>4</v>
      </c>
      <c r="AW6" t="s">
        <v>352</v>
      </c>
      <c r="AX6" s="40" t="s">
        <v>577</v>
      </c>
      <c r="AY6"/>
      <c r="AZ6" s="40"/>
      <c r="BA6"/>
      <c r="BB6" s="39"/>
      <c r="BC6" s="29"/>
      <c r="BD6" s="39"/>
      <c r="BG6" s="39"/>
      <c r="BH6"/>
      <c r="BJ6" s="39"/>
      <c r="BM6" t="s">
        <v>591</v>
      </c>
      <c r="BN6" s="41">
        <v>525000</v>
      </c>
      <c r="BO6" s="41">
        <v>525000</v>
      </c>
      <c r="BP6">
        <v>0</v>
      </c>
      <c r="BQ6" s="39">
        <v>43282</v>
      </c>
      <c r="BR6">
        <v>60</v>
      </c>
      <c r="BS6" t="s">
        <v>340</v>
      </c>
      <c r="BT6" t="s">
        <v>302</v>
      </c>
      <c r="BU6" t="s">
        <v>579</v>
      </c>
      <c r="BV6" t="s">
        <v>580</v>
      </c>
      <c r="BW6" t="s">
        <v>222</v>
      </c>
      <c r="BX6" s="8" t="s">
        <v>220</v>
      </c>
      <c r="BY6" t="s">
        <v>217</v>
      </c>
      <c r="BZ6" t="s">
        <v>218</v>
      </c>
      <c r="CA6" s="40" t="s">
        <v>345</v>
      </c>
      <c r="CB6" s="40" t="s">
        <v>353</v>
      </c>
      <c r="CC6"/>
      <c r="CG6" s="40"/>
      <c r="CH6" s="40"/>
      <c r="CK6"/>
      <c r="CN6" s="40"/>
      <c r="CO6" s="40"/>
      <c r="CQ6"/>
      <c r="CS6"/>
      <c r="CU6" s="40"/>
      <c r="CV6" s="40"/>
      <c r="CX6"/>
      <c r="DB6" s="40"/>
      <c r="DC6" s="40"/>
      <c r="DI6" s="40"/>
      <c r="DJ6" s="40"/>
      <c r="DP6" s="40"/>
      <c r="DQ6" s="40"/>
      <c r="DU6" s="39"/>
      <c r="DY6" t="s">
        <v>420</v>
      </c>
      <c r="DZ6" t="s">
        <v>420</v>
      </c>
    </row>
    <row r="7" spans="1:130" x14ac:dyDescent="0.4">
      <c r="A7" s="39">
        <v>43032.525254629632</v>
      </c>
      <c r="B7" s="30">
        <v>42934.425000000003</v>
      </c>
      <c r="D7" s="39"/>
      <c r="E7" s="39" t="s">
        <v>221</v>
      </c>
      <c r="F7" s="39" t="s">
        <v>219</v>
      </c>
      <c r="G7" s="39" t="s">
        <v>119</v>
      </c>
      <c r="H7" t="s">
        <v>336</v>
      </c>
      <c r="I7" t="s">
        <v>299</v>
      </c>
      <c r="J7" t="s">
        <v>371</v>
      </c>
      <c r="K7" t="s">
        <v>372</v>
      </c>
      <c r="M7" s="35">
        <v>2.0499999999999998</v>
      </c>
      <c r="N7" t="s">
        <v>261</v>
      </c>
      <c r="Q7" t="s">
        <v>592</v>
      </c>
      <c r="R7">
        <v>6.75</v>
      </c>
      <c r="T7" s="29" t="str">
        <f>IFERROR(MID(AllRACandidatesTable[[#This Row],[RATemplate]],1,LEN(AllRACandidatesTable[[#This Row],[RATemplate]])-8),"RA") &amp; " " &amp; AllRACandidatesTable[[#This Row],[prop_id0]] &amp; " " &amp; AllRACandidatesTable[[#This Row],[last0]]</f>
        <v>RA 1749654 Gordon</v>
      </c>
      <c r="X7">
        <v>4</v>
      </c>
      <c r="AA7" s="39">
        <v>43007.026388888888</v>
      </c>
      <c r="AB7">
        <v>1</v>
      </c>
      <c r="AD7"/>
      <c r="AE7" s="19" t="str">
        <f>HYPERLINK("https://www.ejacket.nsf.gov/ej/showProposal.do?Continue=Y&amp;ID="&amp;AllRACandidatesTable[[#This Row],[prop_id0]],"eJ")</f>
        <v>eJ</v>
      </c>
      <c r="AF7" s="19" t="str">
        <f>HYPERLINK("mailto:"&amp;AllRACandidatesTable[[#This Row],[email]]&amp;"&amp;subject=Your NSF Proposal:  "&amp;AllRACandidatesTable[[#This Row],[Div]]&amp;" "&amp;AllRACandidatesTable[[#This Row],[prop_id0]], AllRACandidatesTable[[#This Row],[email]])</f>
        <v>csg63@drexel.edu</v>
      </c>
      <c r="AG7" s="19" t="str">
        <f>HYPERLINK("mailto:"&amp;AllRACandidatesTable[[#This Row],[allPIemail]]&amp;"&amp;subject=NSF Proposal:  "&amp;AllRACandidatesTable[[#This Row],[Div]]&amp;" "&amp;AllRACandidatesTable[[#This Row],[prop_id0]], "PIs@")</f>
        <v>PIs@</v>
      </c>
      <c r="AH7" t="s">
        <v>301</v>
      </c>
      <c r="AI7" t="s">
        <v>384</v>
      </c>
      <c r="AJ7" s="35" t="s">
        <v>385</v>
      </c>
      <c r="AK7" t="s">
        <v>593</v>
      </c>
      <c r="AL7" t="s">
        <v>382</v>
      </c>
      <c r="AM7" s="41">
        <v>622204</v>
      </c>
      <c r="AN7" s="41">
        <v>622204</v>
      </c>
      <c r="AP7"/>
      <c r="AQ7" s="39"/>
      <c r="AR7" t="s">
        <v>433</v>
      </c>
      <c r="AS7" t="s">
        <v>260</v>
      </c>
      <c r="AT7" s="39" t="s">
        <v>575</v>
      </c>
      <c r="AU7" s="39">
        <v>43007</v>
      </c>
      <c r="AV7" s="29">
        <v>5</v>
      </c>
      <c r="AW7" t="s">
        <v>594</v>
      </c>
      <c r="AX7" s="40" t="s">
        <v>577</v>
      </c>
      <c r="AY7"/>
      <c r="AZ7" s="40"/>
      <c r="BA7"/>
      <c r="BB7" s="39"/>
      <c r="BC7" s="29"/>
      <c r="BD7" s="39"/>
      <c r="BG7" s="39"/>
      <c r="BH7"/>
      <c r="BJ7" s="39"/>
      <c r="BM7" t="s">
        <v>595</v>
      </c>
      <c r="BN7" s="41">
        <v>622204</v>
      </c>
      <c r="BO7" s="41">
        <v>622204</v>
      </c>
      <c r="BP7">
        <v>0</v>
      </c>
      <c r="BQ7" s="39">
        <v>43344</v>
      </c>
      <c r="BR7">
        <v>60</v>
      </c>
      <c r="BS7" t="s">
        <v>340</v>
      </c>
      <c r="BT7" t="s">
        <v>302</v>
      </c>
      <c r="BU7" t="s">
        <v>579</v>
      </c>
      <c r="BV7" t="s">
        <v>580</v>
      </c>
      <c r="BW7" t="s">
        <v>222</v>
      </c>
      <c r="BX7" s="8" t="s">
        <v>220</v>
      </c>
      <c r="BY7" t="s">
        <v>217</v>
      </c>
      <c r="BZ7" t="s">
        <v>218</v>
      </c>
      <c r="CA7" s="40" t="s">
        <v>345</v>
      </c>
      <c r="CB7" s="40" t="s">
        <v>353</v>
      </c>
      <c r="CC7"/>
      <c r="CG7" s="40"/>
      <c r="CH7" s="40"/>
      <c r="CK7"/>
      <c r="CN7" s="40"/>
      <c r="CO7" s="40"/>
      <c r="CQ7"/>
      <c r="CS7"/>
      <c r="CU7" s="40"/>
      <c r="CV7" s="40"/>
      <c r="CX7"/>
      <c r="DB7" s="40"/>
      <c r="DC7" s="40"/>
      <c r="DI7" s="40"/>
      <c r="DJ7" s="40"/>
      <c r="DP7" s="40"/>
      <c r="DQ7" s="40"/>
      <c r="DU7" s="39"/>
      <c r="DY7" t="s">
        <v>386</v>
      </c>
      <c r="DZ7" t="s">
        <v>386</v>
      </c>
    </row>
    <row r="8" spans="1:130" x14ac:dyDescent="0.4">
      <c r="A8" s="39">
        <v>43032.525254629632</v>
      </c>
      <c r="B8" s="30">
        <v>42935.546527777777</v>
      </c>
      <c r="D8" s="39"/>
      <c r="E8" s="39" t="s">
        <v>221</v>
      </c>
      <c r="F8" s="39" t="s">
        <v>219</v>
      </c>
      <c r="G8" s="39" t="s">
        <v>119</v>
      </c>
      <c r="H8" t="s">
        <v>336</v>
      </c>
      <c r="I8" t="s">
        <v>299</v>
      </c>
      <c r="J8" t="s">
        <v>371</v>
      </c>
      <c r="K8" t="s">
        <v>372</v>
      </c>
      <c r="M8" s="35">
        <v>2.06</v>
      </c>
      <c r="N8" t="s">
        <v>261</v>
      </c>
      <c r="Q8" t="s">
        <v>596</v>
      </c>
      <c r="R8">
        <v>6.4</v>
      </c>
      <c r="T8" s="29" t="str">
        <f>IFERROR(MID(AllRACandidatesTable[[#This Row],[RATemplate]],1,LEN(AllRACandidatesTable[[#This Row],[RATemplate]])-8),"RA") &amp; " " &amp; AllRACandidatesTable[[#This Row],[prop_id0]] &amp; " " &amp; AllRACandidatesTable[[#This Row],[last0]]</f>
        <v>RA 1750465 Greenberg</v>
      </c>
      <c r="X8">
        <v>5</v>
      </c>
      <c r="AA8" s="39">
        <v>43005.469444444447</v>
      </c>
      <c r="AB8">
        <v>1</v>
      </c>
      <c r="AD8"/>
      <c r="AE8" s="19" t="str">
        <f>HYPERLINK("https://www.ejacket.nsf.gov/ej/showProposal.do?Continue=Y&amp;ID="&amp;AllRACandidatesTable[[#This Row],[prop_id0]],"eJ")</f>
        <v>eJ</v>
      </c>
      <c r="AF8" s="19" t="str">
        <f>HYPERLINK("mailto:"&amp;AllRACandidatesTable[[#This Row],[email]]&amp;"&amp;subject=Your NSF Proposal:  "&amp;AllRACandidatesTable[[#This Row],[Div]]&amp;" "&amp;AllRACandidatesTable[[#This Row],[prop_id0]], AllRACandidatesTable[[#This Row],[email]])</f>
        <v>michael.greenberg@pomona.edu</v>
      </c>
      <c r="AG8" s="19" t="str">
        <f>HYPERLINK("mailto:"&amp;AllRACandidatesTable[[#This Row],[allPIemail]]&amp;"&amp;subject=NSF Proposal:  "&amp;AllRACandidatesTable[[#This Row],[Div]]&amp;" "&amp;AllRACandidatesTable[[#This Row],[prop_id0]], "PIs@")</f>
        <v>PIs@</v>
      </c>
      <c r="AH8" t="s">
        <v>301</v>
      </c>
      <c r="AI8" t="s">
        <v>399</v>
      </c>
      <c r="AJ8" s="35" t="s">
        <v>400</v>
      </c>
      <c r="AK8" t="s">
        <v>354</v>
      </c>
      <c r="AL8" t="s">
        <v>401</v>
      </c>
      <c r="AM8" s="41">
        <v>430917</v>
      </c>
      <c r="AN8" s="41">
        <v>430917</v>
      </c>
      <c r="AO8" s="29">
        <v>1</v>
      </c>
      <c r="AP8" t="s">
        <v>597</v>
      </c>
      <c r="AQ8" s="39">
        <v>42990.532638888886</v>
      </c>
      <c r="AR8" t="s">
        <v>433</v>
      </c>
      <c r="AS8" t="s">
        <v>260</v>
      </c>
      <c r="AT8" s="39" t="s">
        <v>575</v>
      </c>
      <c r="AU8" s="39">
        <v>43007</v>
      </c>
      <c r="AV8" s="29">
        <v>6</v>
      </c>
      <c r="AW8" t="s">
        <v>598</v>
      </c>
      <c r="AX8" s="40" t="s">
        <v>577</v>
      </c>
      <c r="AY8"/>
      <c r="AZ8" s="40"/>
      <c r="BA8"/>
      <c r="BB8" s="39"/>
      <c r="BC8" s="29"/>
      <c r="BD8" s="39"/>
      <c r="BG8" s="39"/>
      <c r="BH8"/>
      <c r="BJ8" s="39"/>
      <c r="BM8" t="s">
        <v>599</v>
      </c>
      <c r="BN8" s="41">
        <v>430917</v>
      </c>
      <c r="BO8" s="41">
        <v>430917</v>
      </c>
      <c r="BP8">
        <v>0</v>
      </c>
      <c r="BQ8" s="39">
        <v>43191</v>
      </c>
      <c r="BR8">
        <v>60</v>
      </c>
      <c r="BS8" t="s">
        <v>340</v>
      </c>
      <c r="BT8" t="s">
        <v>302</v>
      </c>
      <c r="BU8" t="s">
        <v>579</v>
      </c>
      <c r="BV8" t="s">
        <v>580</v>
      </c>
      <c r="BW8" t="s">
        <v>222</v>
      </c>
      <c r="BX8" s="8" t="s">
        <v>220</v>
      </c>
      <c r="BY8" t="s">
        <v>217</v>
      </c>
      <c r="BZ8" t="s">
        <v>218</v>
      </c>
      <c r="CA8" s="40" t="s">
        <v>345</v>
      </c>
      <c r="CB8" s="40" t="s">
        <v>353</v>
      </c>
      <c r="CC8"/>
      <c r="CG8" s="40"/>
      <c r="CH8" s="40"/>
      <c r="CK8"/>
      <c r="CN8" s="40"/>
      <c r="CO8" s="40"/>
      <c r="CQ8"/>
      <c r="CS8"/>
      <c r="CU8" s="40"/>
      <c r="CV8" s="40"/>
      <c r="CX8"/>
      <c r="DB8" s="40"/>
      <c r="DC8" s="40"/>
      <c r="DI8" s="40"/>
      <c r="DJ8" s="40"/>
      <c r="DP8" s="40"/>
      <c r="DQ8" s="40"/>
      <c r="DU8" s="39"/>
      <c r="DY8" t="s">
        <v>402</v>
      </c>
      <c r="DZ8" t="s">
        <v>402</v>
      </c>
    </row>
    <row r="9" spans="1:130" x14ac:dyDescent="0.4">
      <c r="A9" s="39">
        <v>43032.525254629632</v>
      </c>
      <c r="B9" s="30">
        <v>42933.697916666664</v>
      </c>
      <c r="D9" s="39"/>
      <c r="E9" s="39" t="s">
        <v>221</v>
      </c>
      <c r="F9" s="39" t="s">
        <v>219</v>
      </c>
      <c r="G9" s="39" t="s">
        <v>119</v>
      </c>
      <c r="H9" t="s">
        <v>336</v>
      </c>
      <c r="I9" t="s">
        <v>299</v>
      </c>
      <c r="J9" t="s">
        <v>371</v>
      </c>
      <c r="K9" t="s">
        <v>372</v>
      </c>
      <c r="M9" s="35">
        <v>2.0699999999999998</v>
      </c>
      <c r="N9" t="s">
        <v>261</v>
      </c>
      <c r="Q9" t="s">
        <v>600</v>
      </c>
      <c r="R9">
        <v>6.8</v>
      </c>
      <c r="T9" s="29" t="str">
        <f>IFERROR(MID(AllRACandidatesTable[[#This Row],[RATemplate]],1,LEN(AllRACandidatesTable[[#This Row],[RATemplate]])-8),"RA") &amp; " " &amp; AllRACandidatesTable[[#This Row],[prop_id0]] &amp; " " &amp; AllRACandidatesTable[[#This Row],[last0]]</f>
        <v>RA 1749539 Ziarek</v>
      </c>
      <c r="X9">
        <v>5</v>
      </c>
      <c r="AA9" s="39">
        <v>43006.611805555556</v>
      </c>
      <c r="AB9">
        <v>1</v>
      </c>
      <c r="AD9"/>
      <c r="AE9" s="19" t="str">
        <f>HYPERLINK("https://www.ejacket.nsf.gov/ej/showProposal.do?Continue=Y&amp;ID="&amp;AllRACandidatesTable[[#This Row],[prop_id0]],"eJ")</f>
        <v>eJ</v>
      </c>
      <c r="AF9" s="19" t="str">
        <f>HYPERLINK("mailto:"&amp;AllRACandidatesTable[[#This Row],[email]]&amp;"&amp;subject=Your NSF Proposal:  "&amp;AllRACandidatesTable[[#This Row],[Div]]&amp;" "&amp;AllRACandidatesTable[[#This Row],[prop_id0]], AllRACandidatesTable[[#This Row],[email]])</f>
        <v>lziarek@buffalo.edu</v>
      </c>
      <c r="AG9" s="19" t="str">
        <f>HYPERLINK("mailto:"&amp;AllRACandidatesTable[[#This Row],[allPIemail]]&amp;"&amp;subject=NSF Proposal:  "&amp;AllRACandidatesTable[[#This Row],[Div]]&amp;" "&amp;AllRACandidatesTable[[#This Row],[prop_id0]], "PIs@")</f>
        <v>PIs@</v>
      </c>
      <c r="AH9" t="s">
        <v>301</v>
      </c>
      <c r="AI9" t="s">
        <v>373</v>
      </c>
      <c r="AJ9" s="35" t="s">
        <v>374</v>
      </c>
      <c r="AK9" t="s">
        <v>601</v>
      </c>
      <c r="AL9" t="s">
        <v>297</v>
      </c>
      <c r="AM9" s="41">
        <v>561136</v>
      </c>
      <c r="AN9" s="41">
        <v>561136</v>
      </c>
      <c r="AO9" s="29">
        <v>1</v>
      </c>
      <c r="AP9" t="s">
        <v>597</v>
      </c>
      <c r="AQ9" s="39">
        <v>42998.545138888891</v>
      </c>
      <c r="AR9" t="s">
        <v>433</v>
      </c>
      <c r="AS9" t="s">
        <v>260</v>
      </c>
      <c r="AT9" s="39" t="s">
        <v>575</v>
      </c>
      <c r="AU9" s="39">
        <v>43007</v>
      </c>
      <c r="AV9" s="29">
        <v>7</v>
      </c>
      <c r="AW9" t="s">
        <v>602</v>
      </c>
      <c r="AX9" s="40" t="s">
        <v>577</v>
      </c>
      <c r="AY9"/>
      <c r="AZ9" s="40"/>
      <c r="BA9"/>
      <c r="BB9" s="39"/>
      <c r="BC9" s="29"/>
      <c r="BD9" s="39"/>
      <c r="BG9" s="39"/>
      <c r="BH9"/>
      <c r="BJ9" s="39"/>
      <c r="BM9" t="s">
        <v>603</v>
      </c>
      <c r="BN9" s="41">
        <v>561136</v>
      </c>
      <c r="BO9" s="41">
        <v>561136</v>
      </c>
      <c r="BP9">
        <v>0</v>
      </c>
      <c r="BQ9" s="39">
        <v>43101</v>
      </c>
      <c r="BR9">
        <v>60</v>
      </c>
      <c r="BS9" t="s">
        <v>340</v>
      </c>
      <c r="BT9" t="s">
        <v>302</v>
      </c>
      <c r="BU9" t="s">
        <v>579</v>
      </c>
      <c r="BV9" t="s">
        <v>580</v>
      </c>
      <c r="BW9" t="s">
        <v>222</v>
      </c>
      <c r="BX9" s="8" t="s">
        <v>220</v>
      </c>
      <c r="BY9" t="s">
        <v>217</v>
      </c>
      <c r="BZ9" t="s">
        <v>218</v>
      </c>
      <c r="CA9" s="40" t="s">
        <v>345</v>
      </c>
      <c r="CB9" s="40" t="s">
        <v>353</v>
      </c>
      <c r="CC9"/>
      <c r="CG9" s="40"/>
      <c r="CH9" s="40"/>
      <c r="CK9"/>
      <c r="CN9" s="40"/>
      <c r="CO9" s="40"/>
      <c r="CQ9"/>
      <c r="CS9"/>
      <c r="CU9" s="40"/>
      <c r="CV9" s="40"/>
      <c r="CX9"/>
      <c r="DB9" s="40"/>
      <c r="DC9" s="40"/>
      <c r="DI9" s="40"/>
      <c r="DJ9" s="40"/>
      <c r="DP9" s="40"/>
      <c r="DQ9" s="40"/>
      <c r="DU9" s="39"/>
      <c r="DY9" t="s">
        <v>375</v>
      </c>
      <c r="DZ9" t="s">
        <v>375</v>
      </c>
    </row>
    <row r="10" spans="1:130" x14ac:dyDescent="0.4">
      <c r="A10" s="39">
        <v>43032.525254629632</v>
      </c>
      <c r="B10" s="30">
        <v>42935.706944444442</v>
      </c>
      <c r="D10" s="39"/>
      <c r="E10" s="39" t="s">
        <v>221</v>
      </c>
      <c r="F10" s="39" t="s">
        <v>219</v>
      </c>
      <c r="G10" s="39" t="s">
        <v>119</v>
      </c>
      <c r="H10" t="s">
        <v>336</v>
      </c>
      <c r="I10" t="s">
        <v>299</v>
      </c>
      <c r="J10" t="s">
        <v>371</v>
      </c>
      <c r="K10" t="s">
        <v>372</v>
      </c>
      <c r="M10" s="35">
        <v>2.08</v>
      </c>
      <c r="N10" t="s">
        <v>261</v>
      </c>
      <c r="Q10" t="s">
        <v>604</v>
      </c>
      <c r="R10">
        <v>6</v>
      </c>
      <c r="T10" s="29" t="str">
        <f>IFERROR(MID(AllRACandidatesTable[[#This Row],[RATemplate]],1,LEN(AllRACandidatesTable[[#This Row],[RATemplate]])-8),"RA") &amp; " " &amp; AllRACandidatesTable[[#This Row],[prop_id0]] &amp; " " &amp; AllRACandidatesTable[[#This Row],[last0]]</f>
        <v>RA 1751195 Van Horn</v>
      </c>
      <c r="X10">
        <v>4</v>
      </c>
      <c r="AA10" s="39">
        <v>43003.222916666666</v>
      </c>
      <c r="AB10">
        <v>1</v>
      </c>
      <c r="AD10"/>
      <c r="AE10" s="19" t="str">
        <f>HYPERLINK("https://www.ejacket.nsf.gov/ej/showProposal.do?Continue=Y&amp;ID="&amp;AllRACandidatesTable[[#This Row],[prop_id0]],"eJ")</f>
        <v>eJ</v>
      </c>
      <c r="AF10" s="19" t="str">
        <f>HYPERLINK("mailto:"&amp;AllRACandidatesTable[[#This Row],[email]]&amp;"&amp;subject=Your NSF Proposal:  "&amp;AllRACandidatesTable[[#This Row],[Div]]&amp;" "&amp;AllRACandidatesTable[[#This Row],[prop_id0]], AllRACandidatesTable[[#This Row],[email]])</f>
        <v>dvanhorn@cs.umd.edu</v>
      </c>
      <c r="AG10" s="19" t="str">
        <f>HYPERLINK("mailto:"&amp;AllRACandidatesTable[[#This Row],[allPIemail]]&amp;"&amp;subject=NSF Proposal:  "&amp;AllRACandidatesTable[[#This Row],[Div]]&amp;" "&amp;AllRACandidatesTable[[#This Row],[prop_id0]], "PIs@")</f>
        <v>PIs@</v>
      </c>
      <c r="AH10" t="s">
        <v>301</v>
      </c>
      <c r="AI10" t="s">
        <v>425</v>
      </c>
      <c r="AJ10" s="35" t="s">
        <v>426</v>
      </c>
      <c r="AK10" t="s">
        <v>605</v>
      </c>
      <c r="AL10" t="s">
        <v>427</v>
      </c>
      <c r="AM10" s="41">
        <v>551069</v>
      </c>
      <c r="AN10" s="41">
        <v>551069</v>
      </c>
      <c r="AP10"/>
      <c r="AQ10" s="39"/>
      <c r="AR10" t="s">
        <v>433</v>
      </c>
      <c r="AS10" t="s">
        <v>260</v>
      </c>
      <c r="AT10" s="39" t="s">
        <v>575</v>
      </c>
      <c r="AU10" s="39">
        <v>43007</v>
      </c>
      <c r="AV10" s="29">
        <v>8</v>
      </c>
      <c r="AW10" t="s">
        <v>606</v>
      </c>
      <c r="AX10" s="40" t="s">
        <v>577</v>
      </c>
      <c r="AY10"/>
      <c r="AZ10" s="40"/>
      <c r="BA10"/>
      <c r="BB10" s="39"/>
      <c r="BC10" s="29"/>
      <c r="BD10" s="39"/>
      <c r="BG10" s="39"/>
      <c r="BH10"/>
      <c r="BJ10" s="39"/>
      <c r="BM10" t="s">
        <v>607</v>
      </c>
      <c r="BN10" s="41">
        <v>551069</v>
      </c>
      <c r="BO10" s="41">
        <v>551069</v>
      </c>
      <c r="BP10">
        <v>0</v>
      </c>
      <c r="BQ10" s="39">
        <v>43101</v>
      </c>
      <c r="BR10">
        <v>60</v>
      </c>
      <c r="BS10" t="s">
        <v>340</v>
      </c>
      <c r="BT10" t="s">
        <v>302</v>
      </c>
      <c r="BU10" t="s">
        <v>579</v>
      </c>
      <c r="BV10" t="s">
        <v>580</v>
      </c>
      <c r="BW10" t="s">
        <v>222</v>
      </c>
      <c r="BX10" s="8" t="s">
        <v>220</v>
      </c>
      <c r="BY10" t="s">
        <v>217</v>
      </c>
      <c r="BZ10" t="s">
        <v>218</v>
      </c>
      <c r="CA10" s="40" t="s">
        <v>345</v>
      </c>
      <c r="CB10" s="40" t="s">
        <v>353</v>
      </c>
      <c r="CC10"/>
      <c r="CG10" s="40"/>
      <c r="CH10" s="40"/>
      <c r="CK10"/>
      <c r="CN10" s="40"/>
      <c r="CO10" s="40"/>
      <c r="CQ10"/>
      <c r="CS10"/>
      <c r="CU10" s="40"/>
      <c r="CV10" s="40"/>
      <c r="CX10"/>
      <c r="DB10" s="40"/>
      <c r="DC10" s="40"/>
      <c r="DI10" s="40"/>
      <c r="DJ10" s="40"/>
      <c r="DP10" s="40"/>
      <c r="DQ10" s="40"/>
      <c r="DU10" s="39"/>
      <c r="DY10" t="s">
        <v>428</v>
      </c>
      <c r="DZ10" t="s">
        <v>428</v>
      </c>
    </row>
    <row r="11" spans="1:130" x14ac:dyDescent="0.4">
      <c r="A11" s="39">
        <v>43032.525254629632</v>
      </c>
      <c r="B11" s="30">
        <v>42935.561805555553</v>
      </c>
      <c r="D11" s="39"/>
      <c r="E11" s="39" t="s">
        <v>221</v>
      </c>
      <c r="F11" s="39" t="s">
        <v>219</v>
      </c>
      <c r="G11" s="39" t="s">
        <v>119</v>
      </c>
      <c r="H11" t="s">
        <v>336</v>
      </c>
      <c r="I11" t="s">
        <v>299</v>
      </c>
      <c r="J11" t="s">
        <v>371</v>
      </c>
      <c r="K11" t="s">
        <v>372</v>
      </c>
      <c r="M11" s="35">
        <v>2.09</v>
      </c>
      <c r="N11" t="s">
        <v>261</v>
      </c>
      <c r="Q11" t="s">
        <v>604</v>
      </c>
      <c r="R11">
        <v>6</v>
      </c>
      <c r="T11" s="29" t="str">
        <f>IFERROR(MID(AllRACandidatesTable[[#This Row],[RATemplate]],1,LEN(AllRACandidatesTable[[#This Row],[RATemplate]])-8),"RA") &amp; " " &amp; AllRACandidatesTable[[#This Row],[prop_id0]] &amp; " " &amp; AllRACandidatesTable[[#This Row],[last0]]</f>
        <v>RA 1750514 Tobin-Hochstadt</v>
      </c>
      <c r="X11">
        <v>4</v>
      </c>
      <c r="AA11" s="39">
        <v>43007.019444444442</v>
      </c>
      <c r="AB11">
        <v>1</v>
      </c>
      <c r="AD11"/>
      <c r="AE11" s="19" t="str">
        <f>HYPERLINK("https://www.ejacket.nsf.gov/ej/showProposal.do?Continue=Y&amp;ID="&amp;AllRACandidatesTable[[#This Row],[prop_id0]],"eJ")</f>
        <v>eJ</v>
      </c>
      <c r="AF11" s="19" t="str">
        <f>HYPERLINK("mailto:"&amp;AllRACandidatesTable[[#This Row],[email]]&amp;"&amp;subject=Your NSF Proposal:  "&amp;AllRACandidatesTable[[#This Row],[Div]]&amp;" "&amp;AllRACandidatesTable[[#This Row],[prop_id0]], AllRACandidatesTable[[#This Row],[email]])</f>
        <v>samth@cs.indiana.edu</v>
      </c>
      <c r="AG11" s="19" t="str">
        <f>HYPERLINK("mailto:"&amp;AllRACandidatesTable[[#This Row],[allPIemail]]&amp;"&amp;subject=NSF Proposal:  "&amp;AllRACandidatesTable[[#This Row],[Div]]&amp;" "&amp;AllRACandidatesTable[[#This Row],[prop_id0]], "PIs@")</f>
        <v>PIs@</v>
      </c>
      <c r="AH11" t="s">
        <v>301</v>
      </c>
      <c r="AI11" t="s">
        <v>407</v>
      </c>
      <c r="AJ11" s="35" t="s">
        <v>408</v>
      </c>
      <c r="AK11" t="s">
        <v>608</v>
      </c>
      <c r="AL11" t="s">
        <v>409</v>
      </c>
      <c r="AM11" s="41">
        <v>501687</v>
      </c>
      <c r="AN11" s="41">
        <v>501687</v>
      </c>
      <c r="AP11"/>
      <c r="AQ11" s="39"/>
      <c r="AR11" t="s">
        <v>433</v>
      </c>
      <c r="AS11" t="s">
        <v>260</v>
      </c>
      <c r="AT11" s="39" t="s">
        <v>575</v>
      </c>
      <c r="AU11" s="39">
        <v>43007</v>
      </c>
      <c r="AV11" s="29">
        <v>9</v>
      </c>
      <c r="AW11" t="s">
        <v>606</v>
      </c>
      <c r="AX11" s="40" t="s">
        <v>577</v>
      </c>
      <c r="AY11"/>
      <c r="AZ11" s="40"/>
      <c r="BA11"/>
      <c r="BB11" s="39"/>
      <c r="BC11" s="29"/>
      <c r="BD11" s="39"/>
      <c r="BG11" s="39"/>
      <c r="BH11"/>
      <c r="BJ11" s="39"/>
      <c r="BM11" t="s">
        <v>609</v>
      </c>
      <c r="BN11" s="41">
        <v>501687</v>
      </c>
      <c r="BO11" s="41">
        <v>501687</v>
      </c>
      <c r="BP11">
        <v>0</v>
      </c>
      <c r="BQ11" s="39">
        <v>43282</v>
      </c>
      <c r="BR11">
        <v>60</v>
      </c>
      <c r="BS11" t="s">
        <v>340</v>
      </c>
      <c r="BT11" t="s">
        <v>302</v>
      </c>
      <c r="BU11" t="s">
        <v>579</v>
      </c>
      <c r="BV11" t="s">
        <v>580</v>
      </c>
      <c r="BW11" t="s">
        <v>222</v>
      </c>
      <c r="BX11" s="8" t="s">
        <v>220</v>
      </c>
      <c r="BY11" t="s">
        <v>217</v>
      </c>
      <c r="BZ11" t="s">
        <v>218</v>
      </c>
      <c r="CA11" s="40" t="s">
        <v>345</v>
      </c>
      <c r="CB11" s="40" t="s">
        <v>353</v>
      </c>
      <c r="CC11"/>
      <c r="CG11" s="40"/>
      <c r="CH11" s="40"/>
      <c r="CK11"/>
      <c r="CN11" s="40"/>
      <c r="CO11" s="40"/>
      <c r="CQ11"/>
      <c r="CS11"/>
      <c r="CU11" s="40"/>
      <c r="CV11" s="40"/>
      <c r="CX11"/>
      <c r="DB11" s="40"/>
      <c r="DC11" s="40"/>
      <c r="DI11" s="40"/>
      <c r="DJ11" s="40"/>
      <c r="DP11" s="40"/>
      <c r="DQ11" s="40"/>
      <c r="DU11" s="39"/>
      <c r="DY11" t="s">
        <v>410</v>
      </c>
      <c r="DZ11" t="s">
        <v>410</v>
      </c>
    </row>
    <row r="12" spans="1:130" x14ac:dyDescent="0.4">
      <c r="A12" s="39">
        <v>43032.525254629632</v>
      </c>
      <c r="B12" s="30">
        <v>42933.731249999997</v>
      </c>
      <c r="D12" s="39"/>
      <c r="E12" s="39" t="s">
        <v>221</v>
      </c>
      <c r="F12" s="39" t="s">
        <v>219</v>
      </c>
      <c r="G12" s="39" t="s">
        <v>119</v>
      </c>
      <c r="H12" t="s">
        <v>336</v>
      </c>
      <c r="I12" t="s">
        <v>299</v>
      </c>
      <c r="J12" t="s">
        <v>371</v>
      </c>
      <c r="K12" t="s">
        <v>372</v>
      </c>
      <c r="M12" s="35">
        <v>3</v>
      </c>
      <c r="N12" t="s">
        <v>343</v>
      </c>
      <c r="Q12" t="s">
        <v>610</v>
      </c>
      <c r="R12">
        <v>5.75</v>
      </c>
      <c r="T12" s="29" t="str">
        <f>IFERROR(MID(AllRACandidatesTable[[#This Row],[RATemplate]],1,LEN(AllRACandidatesTable[[#This Row],[RATemplate]])-8),"RA") &amp; " " &amp; AllRACandidatesTable[[#This Row],[prop_id0]] &amp; " " &amp; AllRACandidatesTable[[#This Row],[last0]]</f>
        <v>RA 1749576 Mainland</v>
      </c>
      <c r="X12">
        <v>4</v>
      </c>
      <c r="AA12" s="39">
        <v>43006.334027777775</v>
      </c>
      <c r="AB12">
        <v>1</v>
      </c>
      <c r="AD12"/>
      <c r="AE12" s="19" t="str">
        <f>HYPERLINK("https://www.ejacket.nsf.gov/ej/showProposal.do?Continue=Y&amp;ID="&amp;AllRACandidatesTable[[#This Row],[prop_id0]],"eJ")</f>
        <v>eJ</v>
      </c>
      <c r="AF12" s="19" t="str">
        <f>HYPERLINK("mailto:"&amp;AllRACandidatesTable[[#This Row],[email]]&amp;"&amp;subject=Your NSF Proposal:  "&amp;AllRACandidatesTable[[#This Row],[Div]]&amp;" "&amp;AllRACandidatesTable[[#This Row],[prop_id0]], AllRACandidatesTable[[#This Row],[email]])</f>
        <v>gbm26@drexel.edu</v>
      </c>
      <c r="AG12" s="19" t="str">
        <f>HYPERLINK("mailto:"&amp;AllRACandidatesTable[[#This Row],[allPIemail]]&amp;"&amp;subject=NSF Proposal:  "&amp;AllRACandidatesTable[[#This Row],[Div]]&amp;" "&amp;AllRACandidatesTable[[#This Row],[prop_id0]], "PIs@")</f>
        <v>PIs@</v>
      </c>
      <c r="AH12" t="s">
        <v>301</v>
      </c>
      <c r="AI12" t="s">
        <v>380</v>
      </c>
      <c r="AJ12" s="35" t="s">
        <v>381</v>
      </c>
      <c r="AK12" t="s">
        <v>611</v>
      </c>
      <c r="AL12" t="s">
        <v>382</v>
      </c>
      <c r="AM12" s="41">
        <v>495570</v>
      </c>
      <c r="AN12" s="41">
        <v>495570</v>
      </c>
      <c r="AP12"/>
      <c r="AQ12" s="39"/>
      <c r="AR12" t="s">
        <v>433</v>
      </c>
      <c r="AS12" t="s">
        <v>344</v>
      </c>
      <c r="AT12" s="39" t="s">
        <v>575</v>
      </c>
      <c r="AU12" s="39">
        <v>43007</v>
      </c>
      <c r="AW12" t="s">
        <v>612</v>
      </c>
      <c r="AX12" s="40" t="s">
        <v>577</v>
      </c>
      <c r="AY12"/>
      <c r="AZ12" s="40"/>
      <c r="BA12"/>
      <c r="BB12" s="39"/>
      <c r="BC12" s="29"/>
      <c r="BD12" s="39"/>
      <c r="BG12" s="39"/>
      <c r="BH12"/>
      <c r="BJ12" s="39"/>
      <c r="BM12" t="s">
        <v>613</v>
      </c>
      <c r="BN12" s="41">
        <v>495570</v>
      </c>
      <c r="BO12" s="41">
        <v>495570</v>
      </c>
      <c r="BP12">
        <v>0</v>
      </c>
      <c r="BQ12" s="39">
        <v>43101</v>
      </c>
      <c r="BR12">
        <v>60</v>
      </c>
      <c r="BS12" t="s">
        <v>340</v>
      </c>
      <c r="BT12" t="s">
        <v>302</v>
      </c>
      <c r="BU12" t="s">
        <v>579</v>
      </c>
      <c r="BV12" t="s">
        <v>580</v>
      </c>
      <c r="BW12" t="s">
        <v>222</v>
      </c>
      <c r="BX12" s="8" t="s">
        <v>220</v>
      </c>
      <c r="BY12" t="s">
        <v>217</v>
      </c>
      <c r="BZ12" t="s">
        <v>218</v>
      </c>
      <c r="CA12" s="40" t="s">
        <v>345</v>
      </c>
      <c r="CB12" s="40" t="s">
        <v>353</v>
      </c>
      <c r="CC12"/>
      <c r="CG12" s="40"/>
      <c r="CH12" s="40"/>
      <c r="CK12"/>
      <c r="CN12" s="40"/>
      <c r="CO12" s="40"/>
      <c r="CQ12"/>
      <c r="CS12"/>
      <c r="CU12" s="40"/>
      <c r="CV12" s="40"/>
      <c r="CX12"/>
      <c r="DB12" s="40"/>
      <c r="DC12" s="40"/>
      <c r="DI12" s="40"/>
      <c r="DJ12" s="40"/>
      <c r="DP12" s="40"/>
      <c r="DQ12" s="40"/>
      <c r="DU12" s="39"/>
      <c r="DY12" t="s">
        <v>383</v>
      </c>
      <c r="DZ12" t="s">
        <v>383</v>
      </c>
    </row>
    <row r="13" spans="1:130" x14ac:dyDescent="0.4">
      <c r="A13" s="39">
        <v>43032.525254629632</v>
      </c>
      <c r="B13" s="30">
        <v>42934.681250000001</v>
      </c>
      <c r="D13" s="39"/>
      <c r="E13" s="39" t="s">
        <v>221</v>
      </c>
      <c r="F13" s="39" t="s">
        <v>219</v>
      </c>
      <c r="G13" s="39" t="s">
        <v>119</v>
      </c>
      <c r="H13" t="s">
        <v>336</v>
      </c>
      <c r="I13" t="s">
        <v>299</v>
      </c>
      <c r="J13" t="s">
        <v>371</v>
      </c>
      <c r="K13" t="s">
        <v>372</v>
      </c>
      <c r="M13" s="35">
        <v>3</v>
      </c>
      <c r="N13" t="s">
        <v>343</v>
      </c>
      <c r="Q13" t="s">
        <v>614</v>
      </c>
      <c r="R13">
        <v>5.25</v>
      </c>
      <c r="T13" s="29" t="str">
        <f>IFERROR(MID(AllRACandidatesTable[[#This Row],[RATemplate]],1,LEN(AllRACandidatesTable[[#This Row],[RATemplate]])-8),"RA") &amp; " " &amp; AllRACandidatesTable[[#This Row],[prop_id0]] &amp; " " &amp; AllRACandidatesTable[[#This Row],[last0]]</f>
        <v>RA 1749960 Guha</v>
      </c>
      <c r="X13">
        <v>4</v>
      </c>
      <c r="AA13" s="39">
        <v>43006.286111111112</v>
      </c>
      <c r="AB13">
        <v>1</v>
      </c>
      <c r="AD13"/>
      <c r="AE13" s="19" t="str">
        <f>HYPERLINK("https://www.ejacket.nsf.gov/ej/showProposal.do?Continue=Y&amp;ID="&amp;AllRACandidatesTable[[#This Row],[prop_id0]],"eJ")</f>
        <v>eJ</v>
      </c>
      <c r="AF13" s="19" t="str">
        <f>HYPERLINK("mailto:"&amp;AllRACandidatesTable[[#This Row],[email]]&amp;"&amp;subject=Your NSF Proposal:  "&amp;AllRACandidatesTable[[#This Row],[Div]]&amp;" "&amp;AllRACandidatesTable[[#This Row],[prop_id0]], AllRACandidatesTable[[#This Row],[email]])</f>
        <v>arjun@cs.umass.edu</v>
      </c>
      <c r="AG13" s="19" t="str">
        <f>HYPERLINK("mailto:"&amp;AllRACandidatesTable[[#This Row],[allPIemail]]&amp;"&amp;subject=NSF Proposal:  "&amp;AllRACandidatesTable[[#This Row],[Div]]&amp;" "&amp;AllRACandidatesTable[[#This Row],[prop_id0]], "PIs@")</f>
        <v>PIs@</v>
      </c>
      <c r="AH13" t="s">
        <v>301</v>
      </c>
      <c r="AI13" t="s">
        <v>387</v>
      </c>
      <c r="AJ13" s="35" t="s">
        <v>388</v>
      </c>
      <c r="AK13" t="s">
        <v>615</v>
      </c>
      <c r="AL13" t="s">
        <v>389</v>
      </c>
      <c r="AM13" s="41">
        <v>532375</v>
      </c>
      <c r="AN13" s="41">
        <v>532375</v>
      </c>
      <c r="AP13"/>
      <c r="AQ13" s="39"/>
      <c r="AR13" t="s">
        <v>433</v>
      </c>
      <c r="AS13" t="s">
        <v>344</v>
      </c>
      <c r="AT13" t="s">
        <v>575</v>
      </c>
      <c r="AU13" s="39">
        <v>43007</v>
      </c>
      <c r="AW13" t="s">
        <v>616</v>
      </c>
      <c r="AX13" s="40" t="s">
        <v>577</v>
      </c>
      <c r="AY13"/>
      <c r="AZ13" s="40"/>
      <c r="BA13"/>
      <c r="BB13" s="39"/>
      <c r="BC13" s="29"/>
      <c r="BD13" s="39"/>
      <c r="BG13" s="39"/>
      <c r="BH13"/>
      <c r="BJ13" s="39"/>
      <c r="BM13" t="s">
        <v>617</v>
      </c>
      <c r="BN13" s="41">
        <v>532375</v>
      </c>
      <c r="BO13" s="41">
        <v>532375</v>
      </c>
      <c r="BP13">
        <v>0</v>
      </c>
      <c r="BQ13" s="39">
        <v>43101</v>
      </c>
      <c r="BR13">
        <v>60</v>
      </c>
      <c r="BS13" t="s">
        <v>340</v>
      </c>
      <c r="BT13" t="s">
        <v>302</v>
      </c>
      <c r="BU13" t="s">
        <v>579</v>
      </c>
      <c r="BV13" t="s">
        <v>580</v>
      </c>
      <c r="BW13" t="s">
        <v>222</v>
      </c>
      <c r="BX13" s="8" t="s">
        <v>220</v>
      </c>
      <c r="BY13" t="s">
        <v>217</v>
      </c>
      <c r="BZ13" t="s">
        <v>218</v>
      </c>
      <c r="CA13" s="40" t="s">
        <v>345</v>
      </c>
      <c r="CB13" s="40" t="s">
        <v>353</v>
      </c>
      <c r="CC13"/>
      <c r="CG13" s="40"/>
      <c r="CH13" s="40"/>
      <c r="CK13"/>
      <c r="CN13" s="40"/>
      <c r="CO13" s="40"/>
      <c r="CQ13"/>
      <c r="CS13"/>
      <c r="CU13" s="40"/>
      <c r="CV13" s="40"/>
      <c r="CX13"/>
      <c r="DB13" s="40"/>
      <c r="DC13" s="40"/>
      <c r="DI13" s="40"/>
      <c r="DJ13" s="40"/>
      <c r="DP13" s="40"/>
      <c r="DQ13" s="40"/>
      <c r="DU13" s="39"/>
      <c r="DY13" t="s">
        <v>390</v>
      </c>
      <c r="DZ13" t="s">
        <v>390</v>
      </c>
    </row>
    <row r="14" spans="1:130" x14ac:dyDescent="0.4">
      <c r="A14" s="39">
        <v>43032.525254629632</v>
      </c>
      <c r="B14" s="30">
        <v>42934.72152777778</v>
      </c>
      <c r="D14" s="39"/>
      <c r="E14" s="39" t="s">
        <v>221</v>
      </c>
      <c r="F14" s="39" t="s">
        <v>219</v>
      </c>
      <c r="G14" s="39" t="s">
        <v>119</v>
      </c>
      <c r="H14" t="s">
        <v>336</v>
      </c>
      <c r="I14" t="s">
        <v>299</v>
      </c>
      <c r="J14" t="s">
        <v>371</v>
      </c>
      <c r="K14" t="s">
        <v>376</v>
      </c>
      <c r="M14" s="35">
        <v>3</v>
      </c>
      <c r="N14" t="s">
        <v>343</v>
      </c>
      <c r="Q14" t="s">
        <v>618</v>
      </c>
      <c r="R14">
        <v>5.2</v>
      </c>
      <c r="T14" s="29" t="str">
        <f>IFERROR(MID(AllRACandidatesTable[[#This Row],[RATemplate]],1,LEN(AllRACandidatesTable[[#This Row],[RATemplate]])-8),"RA") &amp; " " &amp; AllRACandidatesTable[[#This Row],[prop_id0]] &amp; " " &amp; AllRACandidatesTable[[#This Row],[last0]]</f>
        <v>RA 1750019 Eades III</v>
      </c>
      <c r="X14">
        <v>5</v>
      </c>
      <c r="AA14" s="39">
        <v>43007.331250000003</v>
      </c>
      <c r="AB14">
        <v>1</v>
      </c>
      <c r="AD14"/>
      <c r="AE14" s="19" t="str">
        <f>HYPERLINK("https://www.ejacket.nsf.gov/ej/showProposal.do?Continue=Y&amp;ID="&amp;AllRACandidatesTable[[#This Row],[prop_id0]],"eJ")</f>
        <v>eJ</v>
      </c>
      <c r="AF14" s="19" t="str">
        <f>HYPERLINK("mailto:"&amp;AllRACandidatesTable[[#This Row],[email]]&amp;"&amp;subject=Your NSF Proposal:  "&amp;AllRACandidatesTable[[#This Row],[Div]]&amp;" "&amp;AllRACandidatesTable[[#This Row],[prop_id0]], AllRACandidatesTable[[#This Row],[email]])</f>
        <v>heades@augusta.edu</v>
      </c>
      <c r="AG14" s="19" t="str">
        <f>HYPERLINK("mailto:"&amp;AllRACandidatesTable[[#This Row],[allPIemail]]&amp;"&amp;subject=NSF Proposal:  "&amp;AllRACandidatesTable[[#This Row],[Div]]&amp;" "&amp;AllRACandidatesTable[[#This Row],[prop_id0]], "PIs@")</f>
        <v>PIs@</v>
      </c>
      <c r="AH14" t="s">
        <v>301</v>
      </c>
      <c r="AI14" t="s">
        <v>391</v>
      </c>
      <c r="AJ14" s="35" t="s">
        <v>392</v>
      </c>
      <c r="AK14" t="s">
        <v>619</v>
      </c>
      <c r="AL14" t="s">
        <v>393</v>
      </c>
      <c r="AM14" s="41">
        <v>500272</v>
      </c>
      <c r="AN14" s="41">
        <v>500272</v>
      </c>
      <c r="AP14"/>
      <c r="AQ14" s="39"/>
      <c r="AR14" t="s">
        <v>433</v>
      </c>
      <c r="AS14" t="s">
        <v>344</v>
      </c>
      <c r="AT14" s="39" t="s">
        <v>575</v>
      </c>
      <c r="AU14" s="39">
        <v>43007</v>
      </c>
      <c r="AW14" t="s">
        <v>620</v>
      </c>
      <c r="AX14" s="40" t="s">
        <v>577</v>
      </c>
      <c r="AY14"/>
      <c r="AZ14" s="40"/>
      <c r="BA14"/>
      <c r="BB14" s="39"/>
      <c r="BC14" s="29"/>
      <c r="BD14" s="39"/>
      <c r="BG14" s="39"/>
      <c r="BH14"/>
      <c r="BJ14" s="39"/>
      <c r="BM14" t="s">
        <v>621</v>
      </c>
      <c r="BN14" s="41">
        <v>500272</v>
      </c>
      <c r="BO14" s="41">
        <v>500272</v>
      </c>
      <c r="BP14">
        <v>0</v>
      </c>
      <c r="BQ14" s="39">
        <v>43160</v>
      </c>
      <c r="BR14">
        <v>60</v>
      </c>
      <c r="BS14" t="s">
        <v>340</v>
      </c>
      <c r="BT14" t="s">
        <v>302</v>
      </c>
      <c r="BU14" t="s">
        <v>579</v>
      </c>
      <c r="BV14" t="s">
        <v>586</v>
      </c>
      <c r="BW14" t="s">
        <v>222</v>
      </c>
      <c r="BX14" s="8" t="s">
        <v>220</v>
      </c>
      <c r="BY14" t="s">
        <v>217</v>
      </c>
      <c r="BZ14" t="s">
        <v>218</v>
      </c>
      <c r="CA14" s="40" t="s">
        <v>345</v>
      </c>
      <c r="CB14" s="40" t="s">
        <v>353</v>
      </c>
      <c r="CC14"/>
      <c r="CG14" s="40"/>
      <c r="CH14" s="40"/>
      <c r="CK14"/>
      <c r="CN14" s="40"/>
      <c r="CO14" s="40"/>
      <c r="CQ14"/>
      <c r="CS14"/>
      <c r="CU14" s="40"/>
      <c r="CV14" s="40"/>
      <c r="CX14"/>
      <c r="DB14" s="40"/>
      <c r="DC14" s="40"/>
      <c r="DI14" s="40"/>
      <c r="DJ14" s="40"/>
      <c r="DP14" s="40"/>
      <c r="DQ14" s="40"/>
      <c r="DU14" s="39"/>
      <c r="DY14" t="s">
        <v>394</v>
      </c>
      <c r="DZ14" t="s">
        <v>394</v>
      </c>
    </row>
    <row r="15" spans="1:130" x14ac:dyDescent="0.4">
      <c r="A15" s="39">
        <v>43032.525254629632</v>
      </c>
      <c r="B15" s="30">
        <v>42935.388194444444</v>
      </c>
      <c r="D15" s="39"/>
      <c r="E15" s="39" t="s">
        <v>221</v>
      </c>
      <c r="F15" s="39" t="s">
        <v>219</v>
      </c>
      <c r="G15" s="39" t="s">
        <v>119</v>
      </c>
      <c r="H15" t="s">
        <v>336</v>
      </c>
      <c r="I15" t="s">
        <v>299</v>
      </c>
      <c r="J15" t="s">
        <v>371</v>
      </c>
      <c r="K15" t="s">
        <v>372</v>
      </c>
      <c r="M15" s="35">
        <v>3</v>
      </c>
      <c r="N15" t="s">
        <v>343</v>
      </c>
      <c r="Q15" t="s">
        <v>614</v>
      </c>
      <c r="R15">
        <v>5.25</v>
      </c>
      <c r="T15" s="29" t="str">
        <f>IFERROR(MID(AllRACandidatesTable[[#This Row],[RATemplate]],1,LEN(AllRACandidatesTable[[#This Row],[RATemplate]])-8),"RA") &amp; " " &amp; AllRACandidatesTable[[#This Row],[prop_id0]] &amp; " " &amp; AllRACandidatesTable[[#This Row],[last0]]</f>
        <v>RA 1750142 Zhang</v>
      </c>
      <c r="X15">
        <v>4</v>
      </c>
      <c r="AA15" s="39">
        <v>43007.431944444441</v>
      </c>
      <c r="AB15">
        <v>1</v>
      </c>
      <c r="AD15"/>
      <c r="AE15" s="19" t="str">
        <f>HYPERLINK("https://www.ejacket.nsf.gov/ej/showProposal.do?Continue=Y&amp;ID="&amp;AllRACandidatesTable[[#This Row],[prop_id0]],"eJ")</f>
        <v>eJ</v>
      </c>
      <c r="AF15" s="19" t="str">
        <f>HYPERLINK("mailto:"&amp;AllRACandidatesTable[[#This Row],[email]]&amp;"&amp;subject=Your NSF Proposal:  "&amp;AllRACandidatesTable[[#This Row],[Div]]&amp;" "&amp;AllRACandidatesTable[[#This Row],[prop_id0]], AllRACandidatesTable[[#This Row],[email]])</f>
        <v>zhang@cse.psu.edu</v>
      </c>
      <c r="AG15" s="19" t="str">
        <f>HYPERLINK("mailto:"&amp;AllRACandidatesTable[[#This Row],[allPIemail]]&amp;"&amp;subject=NSF Proposal:  "&amp;AllRACandidatesTable[[#This Row],[Div]]&amp;" "&amp;AllRACandidatesTable[[#This Row],[prop_id0]], "PIs@")</f>
        <v>PIs@</v>
      </c>
      <c r="AH15" t="s">
        <v>301</v>
      </c>
      <c r="AI15" t="s">
        <v>395</v>
      </c>
      <c r="AJ15" s="35" t="s">
        <v>396</v>
      </c>
      <c r="AK15" t="s">
        <v>622</v>
      </c>
      <c r="AL15" t="s">
        <v>397</v>
      </c>
      <c r="AM15" s="41">
        <v>498999</v>
      </c>
      <c r="AN15" s="41">
        <v>498999</v>
      </c>
      <c r="AP15"/>
      <c r="AQ15" s="39"/>
      <c r="AR15" t="s">
        <v>433</v>
      </c>
      <c r="AS15" t="s">
        <v>344</v>
      </c>
      <c r="AT15" s="39" t="s">
        <v>575</v>
      </c>
      <c r="AU15" s="39">
        <v>43007</v>
      </c>
      <c r="AW15" t="s">
        <v>616</v>
      </c>
      <c r="AX15" s="40" t="s">
        <v>577</v>
      </c>
      <c r="AY15"/>
      <c r="AZ15" s="40"/>
      <c r="BA15"/>
      <c r="BB15" s="39"/>
      <c r="BC15" s="29"/>
      <c r="BD15" s="39"/>
      <c r="BG15" s="39"/>
      <c r="BH15"/>
      <c r="BJ15" s="39"/>
      <c r="BM15" t="s">
        <v>623</v>
      </c>
      <c r="BN15" s="41">
        <v>498999</v>
      </c>
      <c r="BO15" s="41">
        <v>498999</v>
      </c>
      <c r="BP15">
        <v>0</v>
      </c>
      <c r="BQ15" s="39">
        <v>43282</v>
      </c>
      <c r="BR15">
        <v>60</v>
      </c>
      <c r="BS15" t="s">
        <v>340</v>
      </c>
      <c r="BT15" t="s">
        <v>302</v>
      </c>
      <c r="BU15" t="s">
        <v>579</v>
      </c>
      <c r="BV15" t="s">
        <v>580</v>
      </c>
      <c r="BW15" t="s">
        <v>222</v>
      </c>
      <c r="BX15" s="8" t="s">
        <v>220</v>
      </c>
      <c r="BY15" t="s">
        <v>217</v>
      </c>
      <c r="BZ15" t="s">
        <v>218</v>
      </c>
      <c r="CA15" s="40" t="s">
        <v>345</v>
      </c>
      <c r="CB15" s="40" t="s">
        <v>353</v>
      </c>
      <c r="CC15"/>
      <c r="CG15" s="40"/>
      <c r="CH15" s="40"/>
      <c r="CK15"/>
      <c r="CN15" s="40"/>
      <c r="CO15" s="40"/>
      <c r="CQ15"/>
      <c r="CS15"/>
      <c r="CU15" s="40"/>
      <c r="CV15" s="40"/>
      <c r="CX15"/>
      <c r="DB15" s="40"/>
      <c r="DC15" s="40"/>
      <c r="DI15" s="40"/>
      <c r="DJ15" s="40"/>
      <c r="DP15" s="40"/>
      <c r="DQ15" s="40"/>
      <c r="DU15" s="39"/>
      <c r="DY15" t="s">
        <v>398</v>
      </c>
      <c r="DZ15" t="s">
        <v>398</v>
      </c>
    </row>
    <row r="16" spans="1:130" x14ac:dyDescent="0.4">
      <c r="A16" s="39">
        <v>43032.525254629632</v>
      </c>
      <c r="B16" s="30">
        <v>42935.551388888889</v>
      </c>
      <c r="D16" s="39"/>
      <c r="E16" s="39" t="s">
        <v>221</v>
      </c>
      <c r="F16" s="39" t="s">
        <v>219</v>
      </c>
      <c r="G16" s="39" t="s">
        <v>119</v>
      </c>
      <c r="H16" t="s">
        <v>336</v>
      </c>
      <c r="I16" t="s">
        <v>299</v>
      </c>
      <c r="J16" t="s">
        <v>371</v>
      </c>
      <c r="K16" t="s">
        <v>372</v>
      </c>
      <c r="M16" s="35">
        <v>3</v>
      </c>
      <c r="N16" t="s">
        <v>343</v>
      </c>
      <c r="Q16" t="s">
        <v>624</v>
      </c>
      <c r="R16">
        <v>5</v>
      </c>
      <c r="T16" s="29" t="str">
        <f>IFERROR(MID(AllRACandidatesTable[[#This Row],[RATemplate]],1,LEN(AllRACandidatesTable[[#This Row],[RATemplate]])-8),"RA") &amp; " " &amp; AllRACandidatesTable[[#This Row],[prop_id0]] &amp; " " &amp; AllRACandidatesTable[[#This Row],[last0]]</f>
        <v>RA 1750482 Wood</v>
      </c>
      <c r="X16">
        <v>4</v>
      </c>
      <c r="AA16" s="39">
        <v>43005.90625</v>
      </c>
      <c r="AB16">
        <v>1</v>
      </c>
      <c r="AD16"/>
      <c r="AE16" s="19" t="str">
        <f>HYPERLINK("https://www.ejacket.nsf.gov/ej/showProposal.do?Continue=Y&amp;ID="&amp;AllRACandidatesTable[[#This Row],[prop_id0]],"eJ")</f>
        <v>eJ</v>
      </c>
      <c r="AF16" s="19" t="str">
        <f>HYPERLINK("mailto:"&amp;AllRACandidatesTable[[#This Row],[email]]&amp;"&amp;subject=Your NSF Proposal:  "&amp;AllRACandidatesTable[[#This Row],[Div]]&amp;" "&amp;AllRACandidatesTable[[#This Row],[prop_id0]], AllRACandidatesTable[[#This Row],[email]])</f>
        <v>bwood5@wellesley.edu</v>
      </c>
      <c r="AG16" s="19" t="str">
        <f>HYPERLINK("mailto:"&amp;AllRACandidatesTable[[#This Row],[allPIemail]]&amp;"&amp;subject=NSF Proposal:  "&amp;AllRACandidatesTable[[#This Row],[Div]]&amp;" "&amp;AllRACandidatesTable[[#This Row],[prop_id0]], "PIs@")</f>
        <v>PIs@</v>
      </c>
      <c r="AH16" t="s">
        <v>301</v>
      </c>
      <c r="AI16" t="s">
        <v>403</v>
      </c>
      <c r="AJ16" s="35" t="s">
        <v>404</v>
      </c>
      <c r="AK16" t="s">
        <v>342</v>
      </c>
      <c r="AL16" t="s">
        <v>405</v>
      </c>
      <c r="AM16" s="41">
        <v>475283</v>
      </c>
      <c r="AN16" s="41">
        <v>475283</v>
      </c>
      <c r="AP16"/>
      <c r="AQ16" s="39"/>
      <c r="AR16" t="s">
        <v>433</v>
      </c>
      <c r="AS16" t="s">
        <v>344</v>
      </c>
      <c r="AT16" s="39" t="s">
        <v>575</v>
      </c>
      <c r="AU16" s="39">
        <v>43007</v>
      </c>
      <c r="AW16" t="s">
        <v>625</v>
      </c>
      <c r="AX16" s="40" t="s">
        <v>577</v>
      </c>
      <c r="AY16"/>
      <c r="AZ16" s="40"/>
      <c r="BA16"/>
      <c r="BB16" s="39"/>
      <c r="BC16" s="29"/>
      <c r="BD16" s="39"/>
      <c r="BG16" s="39"/>
      <c r="BH16"/>
      <c r="BJ16" s="39"/>
      <c r="BM16" t="s">
        <v>626</v>
      </c>
      <c r="BN16" s="41">
        <v>475283</v>
      </c>
      <c r="BO16" s="41">
        <v>475283</v>
      </c>
      <c r="BP16">
        <v>0</v>
      </c>
      <c r="BQ16" s="39">
        <v>43191</v>
      </c>
      <c r="BR16">
        <v>60</v>
      </c>
      <c r="BS16" t="s">
        <v>340</v>
      </c>
      <c r="BT16" t="s">
        <v>302</v>
      </c>
      <c r="BU16" t="s">
        <v>579</v>
      </c>
      <c r="BV16" t="s">
        <v>580</v>
      </c>
      <c r="BW16" t="s">
        <v>222</v>
      </c>
      <c r="BX16" s="8" t="s">
        <v>220</v>
      </c>
      <c r="BY16" t="s">
        <v>217</v>
      </c>
      <c r="BZ16" t="s">
        <v>218</v>
      </c>
      <c r="CA16" s="40" t="s">
        <v>345</v>
      </c>
      <c r="CB16" s="40" t="s">
        <v>353</v>
      </c>
      <c r="CC16"/>
      <c r="CG16" s="40"/>
      <c r="CH16" s="40"/>
      <c r="CK16"/>
      <c r="CN16" s="40"/>
      <c r="CO16" s="40"/>
      <c r="CQ16"/>
      <c r="CS16"/>
      <c r="CU16" s="40"/>
      <c r="CV16" s="40"/>
      <c r="CX16"/>
      <c r="DB16" s="40"/>
      <c r="DC16" s="40"/>
      <c r="DI16" s="40"/>
      <c r="DJ16" s="40"/>
      <c r="DP16" s="40"/>
      <c r="DQ16" s="40"/>
      <c r="DU16" s="39"/>
      <c r="DY16" t="s">
        <v>406</v>
      </c>
      <c r="DZ16" t="s">
        <v>406</v>
      </c>
    </row>
    <row r="17" spans="1:130" x14ac:dyDescent="0.4">
      <c r="A17" s="39">
        <v>43032.525254629632</v>
      </c>
      <c r="B17" s="30">
        <v>42935.705555555556</v>
      </c>
      <c r="D17" s="39"/>
      <c r="E17" s="39" t="s">
        <v>221</v>
      </c>
      <c r="F17" s="39" t="s">
        <v>219</v>
      </c>
      <c r="G17" s="39" t="s">
        <v>119</v>
      </c>
      <c r="H17" t="s">
        <v>336</v>
      </c>
      <c r="I17" t="s">
        <v>299</v>
      </c>
      <c r="J17" t="s">
        <v>371</v>
      </c>
      <c r="K17" t="s">
        <v>372</v>
      </c>
      <c r="M17" s="35">
        <v>3</v>
      </c>
      <c r="N17" t="s">
        <v>343</v>
      </c>
      <c r="Q17" t="s">
        <v>627</v>
      </c>
      <c r="R17">
        <v>4</v>
      </c>
      <c r="T17" s="29" t="str">
        <f>IFERROR(MID(AllRACandidatesTable[[#This Row],[RATemplate]],1,LEN(AllRACandidatesTable[[#This Row],[RATemplate]])-8),"RA") &amp; " " &amp; AllRACandidatesTable[[#This Row],[prop_id0]] &amp; " " &amp; AllRACandidatesTable[[#This Row],[last0]]</f>
        <v>RA 1751185 Khatchadourian</v>
      </c>
      <c r="X17">
        <v>5</v>
      </c>
      <c r="AA17" s="39">
        <v>43004.020138888889</v>
      </c>
      <c r="AB17">
        <v>1</v>
      </c>
      <c r="AD17"/>
      <c r="AE17" s="19" t="str">
        <f>HYPERLINK("https://www.ejacket.nsf.gov/ej/showProposal.do?Continue=Y&amp;ID="&amp;AllRACandidatesTable[[#This Row],[prop_id0]],"eJ")</f>
        <v>eJ</v>
      </c>
      <c r="AF17" s="19" t="str">
        <f>HYPERLINK("mailto:"&amp;AllRACandidatesTable[[#This Row],[email]]&amp;"&amp;subject=Your NSF Proposal:  "&amp;AllRACandidatesTable[[#This Row],[Div]]&amp;" "&amp;AllRACandidatesTable[[#This Row],[prop_id0]], AllRACandidatesTable[[#This Row],[email]])</f>
        <v>raffi.khatchadourian@hunter.cuny.edu</v>
      </c>
      <c r="AG17" s="19" t="str">
        <f>HYPERLINK("mailto:"&amp;AllRACandidatesTable[[#This Row],[allPIemail]]&amp;"&amp;subject=NSF Proposal:  "&amp;AllRACandidatesTable[[#This Row],[Div]]&amp;" "&amp;AllRACandidatesTable[[#This Row],[prop_id0]], "PIs@")</f>
        <v>PIs@</v>
      </c>
      <c r="AH17" t="s">
        <v>301</v>
      </c>
      <c r="AI17" t="s">
        <v>421</v>
      </c>
      <c r="AJ17" s="35" t="s">
        <v>422</v>
      </c>
      <c r="AK17" t="s">
        <v>628</v>
      </c>
      <c r="AL17" t="s">
        <v>423</v>
      </c>
      <c r="AM17" s="41">
        <v>580408</v>
      </c>
      <c r="AN17" s="41">
        <v>580408</v>
      </c>
      <c r="AO17" s="29">
        <v>1</v>
      </c>
      <c r="AP17" t="s">
        <v>629</v>
      </c>
      <c r="AQ17" s="39">
        <v>42998.461111111108</v>
      </c>
      <c r="AR17" t="s">
        <v>433</v>
      </c>
      <c r="AS17" t="s">
        <v>344</v>
      </c>
      <c r="AT17" s="39" t="s">
        <v>575</v>
      </c>
      <c r="AU17" s="39">
        <v>43007</v>
      </c>
      <c r="AW17" t="s">
        <v>630</v>
      </c>
      <c r="AX17" s="40" t="s">
        <v>577</v>
      </c>
      <c r="AY17"/>
      <c r="AZ17" s="40"/>
      <c r="BA17"/>
      <c r="BB17" s="39"/>
      <c r="BC17" s="29"/>
      <c r="BD17" s="39"/>
      <c r="BG17" s="39"/>
      <c r="BH17"/>
      <c r="BJ17" s="39"/>
      <c r="BM17" t="s">
        <v>631</v>
      </c>
      <c r="BN17" s="41">
        <v>580408</v>
      </c>
      <c r="BO17" s="41">
        <v>580408</v>
      </c>
      <c r="BP17">
        <v>0</v>
      </c>
      <c r="BQ17" s="39">
        <v>43344</v>
      </c>
      <c r="BR17">
        <v>60</v>
      </c>
      <c r="BS17" t="s">
        <v>340</v>
      </c>
      <c r="BT17" t="s">
        <v>302</v>
      </c>
      <c r="BU17" t="s">
        <v>579</v>
      </c>
      <c r="BV17" t="s">
        <v>580</v>
      </c>
      <c r="BW17" t="s">
        <v>222</v>
      </c>
      <c r="BX17" s="8" t="s">
        <v>220</v>
      </c>
      <c r="BY17" t="s">
        <v>217</v>
      </c>
      <c r="BZ17" t="s">
        <v>218</v>
      </c>
      <c r="CA17" s="40" t="s">
        <v>345</v>
      </c>
      <c r="CB17" s="40" t="s">
        <v>353</v>
      </c>
      <c r="CC17"/>
      <c r="CG17" s="40"/>
      <c r="CH17" s="40"/>
      <c r="CK17"/>
      <c r="CN17" s="40"/>
      <c r="CO17" s="40"/>
      <c r="CQ17"/>
      <c r="CS17"/>
      <c r="CU17" s="40"/>
      <c r="CV17" s="40"/>
      <c r="CX17"/>
      <c r="DB17" s="40"/>
      <c r="DC17" s="40"/>
      <c r="DI17" s="40"/>
      <c r="DJ17" s="40"/>
      <c r="DP17" s="40"/>
      <c r="DQ17" s="40"/>
      <c r="DU17" s="39"/>
      <c r="DY17" t="s">
        <v>424</v>
      </c>
      <c r="DZ17" t="s">
        <v>424</v>
      </c>
    </row>
    <row r="18" spans="1:130" x14ac:dyDescent="0.4">
      <c r="A18" s="39">
        <v>43032.525254629632</v>
      </c>
      <c r="B18" s="30">
        <v>42935.757638888892</v>
      </c>
      <c r="D18" s="39"/>
      <c r="E18" s="39" t="s">
        <v>221</v>
      </c>
      <c r="F18" s="39" t="s">
        <v>219</v>
      </c>
      <c r="G18" s="39" t="s">
        <v>119</v>
      </c>
      <c r="H18" t="s">
        <v>336</v>
      </c>
      <c r="I18" t="s">
        <v>299</v>
      </c>
      <c r="J18" t="s">
        <v>371</v>
      </c>
      <c r="K18" t="s">
        <v>376</v>
      </c>
      <c r="M18" s="35">
        <v>3</v>
      </c>
      <c r="N18" t="s">
        <v>343</v>
      </c>
      <c r="Q18" t="s">
        <v>610</v>
      </c>
      <c r="R18">
        <v>5.75</v>
      </c>
      <c r="T18" s="29" t="str">
        <f>IFERROR(MID(AllRACandidatesTable[[#This Row],[RATemplate]],1,LEN(AllRACandidatesTable[[#This Row],[RATemplate]])-8),"RA") &amp; " " &amp; AllRACandidatesTable[[#This Row],[prop_id0]] &amp; " " &amp; AllRACandidatesTable[[#This Row],[last0]]</f>
        <v>RA 1751333 Cerny</v>
      </c>
      <c r="X18">
        <v>4</v>
      </c>
      <c r="AA18" s="39">
        <v>43007.356249999997</v>
      </c>
      <c r="AB18">
        <v>1</v>
      </c>
      <c r="AD18"/>
      <c r="AE18" s="19" t="str">
        <f>HYPERLINK("https://www.ejacket.nsf.gov/ej/showProposal.do?Continue=Y&amp;ID="&amp;AllRACandidatesTable[[#This Row],[prop_id0]],"eJ")</f>
        <v>eJ</v>
      </c>
      <c r="AF18" s="19" t="str">
        <f>HYPERLINK("mailto:"&amp;AllRACandidatesTable[[#This Row],[email]]&amp;"&amp;subject=Your NSF Proposal:  "&amp;AllRACandidatesTable[[#This Row],[Div]]&amp;" "&amp;AllRACandidatesTable[[#This Row],[prop_id0]], AllRACandidatesTable[[#This Row],[email]])</f>
        <v>pavol.cerny@colorado.edu</v>
      </c>
      <c r="AG18" s="19" t="str">
        <f>HYPERLINK("mailto:"&amp;AllRACandidatesTable[[#This Row],[allPIemail]]&amp;"&amp;subject=NSF Proposal:  "&amp;AllRACandidatesTable[[#This Row],[Div]]&amp;" "&amp;AllRACandidatesTable[[#This Row],[prop_id0]], "PIs@")</f>
        <v>PIs@</v>
      </c>
      <c r="AH18" t="s">
        <v>301</v>
      </c>
      <c r="AI18" t="s">
        <v>429</v>
      </c>
      <c r="AJ18" s="35" t="s">
        <v>430</v>
      </c>
      <c r="AK18" t="s">
        <v>632</v>
      </c>
      <c r="AL18" t="s">
        <v>431</v>
      </c>
      <c r="AM18" s="41">
        <v>542402</v>
      </c>
      <c r="AN18" s="41">
        <v>542402</v>
      </c>
      <c r="AP18"/>
      <c r="AQ18" s="39"/>
      <c r="AR18" t="s">
        <v>433</v>
      </c>
      <c r="AS18" t="s">
        <v>344</v>
      </c>
      <c r="AT18" s="39" t="s">
        <v>575</v>
      </c>
      <c r="AU18" s="39">
        <v>43007</v>
      </c>
      <c r="AW18" t="s">
        <v>612</v>
      </c>
      <c r="AX18" s="40" t="s">
        <v>577</v>
      </c>
      <c r="AY18"/>
      <c r="AZ18" s="40"/>
      <c r="BA18"/>
      <c r="BB18" s="39"/>
      <c r="BC18" s="29"/>
      <c r="BD18" s="39"/>
      <c r="BG18" s="39"/>
      <c r="BH18"/>
      <c r="BJ18" s="39"/>
      <c r="BM18" t="s">
        <v>633</v>
      </c>
      <c r="BN18" s="41">
        <v>542402</v>
      </c>
      <c r="BO18" s="41">
        <v>542402</v>
      </c>
      <c r="BP18">
        <v>0</v>
      </c>
      <c r="BQ18" s="39">
        <v>43282</v>
      </c>
      <c r="BR18">
        <v>60</v>
      </c>
      <c r="BS18" t="s">
        <v>340</v>
      </c>
      <c r="BT18" t="s">
        <v>302</v>
      </c>
      <c r="BU18" t="s">
        <v>579</v>
      </c>
      <c r="BV18" t="s">
        <v>586</v>
      </c>
      <c r="BW18" t="s">
        <v>222</v>
      </c>
      <c r="BX18" s="8" t="s">
        <v>220</v>
      </c>
      <c r="BY18" t="s">
        <v>217</v>
      </c>
      <c r="BZ18" t="s">
        <v>218</v>
      </c>
      <c r="CA18" s="40" t="s">
        <v>345</v>
      </c>
      <c r="CB18" s="40" t="s">
        <v>353</v>
      </c>
      <c r="CC18"/>
      <c r="CG18" s="40"/>
      <c r="CH18" s="40"/>
      <c r="CK18"/>
      <c r="CN18" s="40"/>
      <c r="CO18" s="40"/>
      <c r="CQ18"/>
      <c r="CS18"/>
      <c r="CU18" s="40"/>
      <c r="CV18" s="40"/>
      <c r="CX18"/>
      <c r="DB18" s="40"/>
      <c r="DC18" s="40"/>
      <c r="DI18" s="40"/>
      <c r="DJ18" s="40"/>
      <c r="DP18" s="40"/>
      <c r="DQ18" s="40"/>
      <c r="DU18" s="39"/>
      <c r="DY18" t="s">
        <v>432</v>
      </c>
      <c r="DZ18" t="s">
        <v>432</v>
      </c>
    </row>
  </sheetData>
  <conditionalFormatting sqref="V2:V18">
    <cfRule type="expression" dxfId="90" priority="1">
      <formula>LEFT($Q2,1)="E"</formula>
    </cfRule>
  </conditionalFormatting>
  <dataValidations count="1">
    <dataValidation type="list" allowBlank="1" showInputMessage="1" showErrorMessage="1" sqref="S2:S18">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18</xdr:col>
                    <xdr:colOff>125186</xdr:colOff>
                    <xdr:row>0</xdr:row>
                    <xdr:rowOff>174171</xdr:rowOff>
                  </from>
                  <to>
                    <xdr:col>20</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AB2:AB18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5"/>
  <sheetViews>
    <sheetView topLeftCell="A12" workbookViewId="0">
      <selection activeCell="C26" sqref="C26"/>
    </sheetView>
  </sheetViews>
  <sheetFormatPr defaultRowHeight="14.6" x14ac:dyDescent="0.4"/>
  <cols>
    <col min="1" max="1" width="16.765625" style="73" customWidth="1"/>
    <col min="2" max="2" width="16.61328125" style="73" customWidth="1"/>
    <col min="3" max="3" width="69.765625" style="73" customWidth="1"/>
    <col min="4" max="16384" width="9.23046875" style="73"/>
  </cols>
  <sheetData>
    <row r="1" spans="1:2" x14ac:dyDescent="0.4">
      <c r="A1" s="73" t="s">
        <v>703</v>
      </c>
    </row>
    <row r="2" spans="1:2" x14ac:dyDescent="0.4">
      <c r="A2" s="74" t="s">
        <v>704</v>
      </c>
      <c r="B2" s="73" t="s">
        <v>705</v>
      </c>
    </row>
    <row r="3" spans="1:2" x14ac:dyDescent="0.4">
      <c r="A3" s="74" t="s">
        <v>706</v>
      </c>
      <c r="B3" s="75"/>
    </row>
    <row r="4" spans="1:2" x14ac:dyDescent="0.4">
      <c r="A4" s="74" t="s">
        <v>707</v>
      </c>
      <c r="B4" s="73" t="s">
        <v>708</v>
      </c>
    </row>
    <row r="5" spans="1:2" x14ac:dyDescent="0.4">
      <c r="A5" s="74" t="s">
        <v>709</v>
      </c>
      <c r="B5" s="73" t="s">
        <v>710</v>
      </c>
    </row>
    <row r="7" spans="1:2" x14ac:dyDescent="0.4">
      <c r="A7" s="76" t="s">
        <v>711</v>
      </c>
      <c r="B7" s="77" t="s">
        <v>689</v>
      </c>
    </row>
    <row r="8" spans="1:2" x14ac:dyDescent="0.4">
      <c r="A8" s="78" t="s">
        <v>711</v>
      </c>
      <c r="B8" s="79" t="s">
        <v>689</v>
      </c>
    </row>
    <row r="9" spans="1:2" x14ac:dyDescent="0.4">
      <c r="A9" s="78" t="s">
        <v>692</v>
      </c>
      <c r="B9" s="79"/>
    </row>
    <row r="10" spans="1:2" x14ac:dyDescent="0.4">
      <c r="A10" s="78" t="s">
        <v>712</v>
      </c>
      <c r="B10" s="79"/>
    </row>
    <row r="11" spans="1:2" x14ac:dyDescent="0.4">
      <c r="A11" s="78" t="s">
        <v>713</v>
      </c>
      <c r="B11" s="79"/>
    </row>
    <row r="12" spans="1:2" x14ac:dyDescent="0.4">
      <c r="A12" s="78" t="s">
        <v>714</v>
      </c>
      <c r="B12" s="79"/>
    </row>
    <row r="13" spans="1:2" x14ac:dyDescent="0.4">
      <c r="A13" s="78" t="s">
        <v>715</v>
      </c>
      <c r="B13" s="79"/>
    </row>
    <row r="14" spans="1:2" x14ac:dyDescent="0.4">
      <c r="A14" s="78" t="s">
        <v>716</v>
      </c>
      <c r="B14" s="79"/>
    </row>
    <row r="15" spans="1:2" x14ac:dyDescent="0.4">
      <c r="A15" s="78" t="s">
        <v>717</v>
      </c>
      <c r="B15" s="79"/>
    </row>
    <row r="16" spans="1:2" x14ac:dyDescent="0.4">
      <c r="A16" s="78" t="s">
        <v>718</v>
      </c>
      <c r="B16" s="79"/>
    </row>
    <row r="17" spans="1:3" x14ac:dyDescent="0.4">
      <c r="A17" s="78" t="s">
        <v>687</v>
      </c>
      <c r="B17" s="79"/>
    </row>
    <row r="18" spans="1:3" x14ac:dyDescent="0.4">
      <c r="A18" s="80" t="s">
        <v>719</v>
      </c>
      <c r="B18" s="81"/>
    </row>
    <row r="24" spans="1:3" x14ac:dyDescent="0.4">
      <c r="A24" s="82" t="s">
        <v>235</v>
      </c>
      <c r="B24" s="83" t="s">
        <v>720</v>
      </c>
      <c r="C24" s="84" t="s">
        <v>721</v>
      </c>
    </row>
    <row r="25" spans="1:3" ht="291.45" x14ac:dyDescent="0.4">
      <c r="A25" s="73" t="s">
        <v>722</v>
      </c>
      <c r="B25" s="85">
        <v>43067.219606481478</v>
      </c>
      <c r="C25" s="86" t="s">
        <v>723</v>
      </c>
    </row>
    <row r="26" spans="1:3" ht="409.6" x14ac:dyDescent="0.4">
      <c r="A26" s="73" t="s">
        <v>724</v>
      </c>
      <c r="B26" s="85">
        <v>43067.219606481478</v>
      </c>
      <c r="C26" s="86" t="s">
        <v>725</v>
      </c>
    </row>
    <row r="27" spans="1:3" ht="364.3" x14ac:dyDescent="0.4">
      <c r="A27" s="73" t="s">
        <v>726</v>
      </c>
      <c r="B27" s="85">
        <v>43067.219606481478</v>
      </c>
      <c r="C27" s="86" t="s">
        <v>727</v>
      </c>
    </row>
    <row r="28" spans="1:3" ht="409.6" x14ac:dyDescent="0.4">
      <c r="A28" s="73" t="s">
        <v>728</v>
      </c>
      <c r="B28" s="85">
        <v>43067.219606481478</v>
      </c>
      <c r="C28" s="86" t="s">
        <v>729</v>
      </c>
    </row>
    <row r="29" spans="1:3" ht="409.6" x14ac:dyDescent="0.4">
      <c r="A29" s="73" t="s">
        <v>730</v>
      </c>
      <c r="B29" s="85">
        <v>43067.219606481478</v>
      </c>
      <c r="C29" s="86" t="s">
        <v>731</v>
      </c>
    </row>
    <row r="30" spans="1:3" ht="409.6" x14ac:dyDescent="0.4">
      <c r="A30" s="73" t="s">
        <v>732</v>
      </c>
      <c r="B30" s="85">
        <v>43067.219606481478</v>
      </c>
      <c r="C30" s="86" t="s">
        <v>733</v>
      </c>
    </row>
    <row r="31" spans="1:3" ht="409.6" x14ac:dyDescent="0.4">
      <c r="A31" s="73" t="s">
        <v>734</v>
      </c>
      <c r="B31" s="85">
        <v>43067.219606481478</v>
      </c>
      <c r="C31" s="86" t="s">
        <v>735</v>
      </c>
    </row>
    <row r="32" spans="1:3" ht="72.900000000000006" x14ac:dyDescent="0.4">
      <c r="A32" s="73" t="s">
        <v>736</v>
      </c>
      <c r="B32" s="85">
        <v>43067.219606481478</v>
      </c>
      <c r="C32" s="86" t="s">
        <v>737</v>
      </c>
    </row>
    <row r="33" spans="1:3" ht="409.6" x14ac:dyDescent="0.4">
      <c r="A33" s="73" t="s">
        <v>738</v>
      </c>
      <c r="B33" s="85">
        <v>43067.219606481478</v>
      </c>
      <c r="C33" s="86" t="s">
        <v>739</v>
      </c>
    </row>
    <row r="34" spans="1:3" ht="409.6" x14ac:dyDescent="0.4">
      <c r="A34" s="73" t="s">
        <v>740</v>
      </c>
      <c r="B34" s="85">
        <v>43067.219606481478</v>
      </c>
      <c r="C34" s="86" t="s">
        <v>741</v>
      </c>
    </row>
    <row r="35" spans="1:3" ht="409.6" x14ac:dyDescent="0.4">
      <c r="A35" s="73" t="s">
        <v>742</v>
      </c>
      <c r="B35" s="85">
        <v>43067.219606481478</v>
      </c>
      <c r="C35" s="86" t="s">
        <v>743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RoboRA</vt:lpstr>
      <vt:lpstr>ckCoding</vt:lpstr>
      <vt:lpstr>ckAwd</vt:lpstr>
      <vt:lpstr>Budgets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inst_id</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pi_id</vt:lpstr>
      <vt:lpstr>pm_ibm_logn_id</vt:lpstr>
      <vt:lpstr>prop_atr_code</vt:lpstr>
      <vt:lpstr>prop_stts_abbr</vt:lpstr>
      <vt:lpstr>prop_titl_txt</vt:lpstr>
      <vt:lpstr>HiddenSettings!RA_allRAdata</vt:lpstr>
      <vt:lpstr>HiddenSettings!RA_awdCheck</vt:lpstr>
      <vt:lpstr>HiddenSettings!RA_budgInfo</vt:lpstr>
      <vt:lpstr>HiddenSettings!RA_leads</vt:lpstr>
      <vt:lpstr>HiddenSettings!RA_panl</vt:lpstr>
      <vt:lpstr>HiddenSettings!RA_PRCglossary</vt:lpstr>
      <vt:lpstr>HiddenSettings!RA_prop</vt:lpstr>
      <vt:lpstr>HiddenSettings!RA_propCheck</vt:lpstr>
      <vt:lpstr>HiddenSettings!RA_propPRCs</vt:lpstr>
      <vt:lpstr>HiddenSettings!RA_revs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2017-11-28T10:32:22Z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