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tables/table11.xml" ContentType="application/vnd.openxmlformats-officedocument.spreadsheetml.table+xml"/>
  <Override PartName="/xl/queryTables/queryTable6.xml" ContentType="application/vnd.openxmlformats-officedocument.spreadsheetml.query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7003" activeTab="3"/>
  </bookViews>
  <sheets>
    <sheet name="RoboRA" sheetId="7" r:id="rId1"/>
    <sheet name="ckCoding" sheetId="3" r:id="rId2"/>
    <sheet name="ckAwd" sheetId="10" r:id="rId3"/>
    <sheet name="Budgets" sheetId="5" r:id="rId4"/>
    <sheet name="ProjText" sheetId="6" r:id="rId5"/>
    <sheet name="PRCs" sheetId="11" r:id="rId6"/>
    <sheet name="Advanced" sheetId="1" r:id="rId7"/>
    <sheet name="RAData" sheetId="2" r:id="rId8"/>
    <sheet name="HiddenSettings" sheetId="9" r:id="rId9"/>
  </sheets>
  <functionGroups builtInGroupCount="18"/>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3">Budgets!$K$2</definedName>
    <definedName name="from_date">Advanced!$E$12</definedName>
    <definedName name="inst_id">Advanced!#REF!</definedName>
    <definedName name="Mac_connect_string" localSheetId="8">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8">HiddenSettings!$B$4</definedName>
    <definedName name="pgm_annc_id">Advanced!$D$15</definedName>
    <definedName name="pgm_ele_code">Advanced!$D$18</definedName>
    <definedName name="pi_id">Advanced!#REF!</definedName>
    <definedName name="pm_ibm_logn_id">Advanced!$D$14</definedName>
    <definedName name="projText" localSheetId="8">HiddenSettings!$C$36</definedName>
    <definedName name="prop_atr_code">Advanced!$D$23</definedName>
    <definedName name="prop_stts_abbr">Advanced!$D$19</definedName>
    <definedName name="prop_titl_txt">Advanced!$D$22</definedName>
    <definedName name="Query_from_RPTSERVER" localSheetId="3" hidden="1">Budgets!$A$3:$E$34</definedName>
    <definedName name="Query_from_RPTSERVER" localSheetId="2" hidden="1">ckAwd!$A$1:$AW$17</definedName>
    <definedName name="Query_from_RPTSERVER" localSheetId="1" hidden="1">ckCoding!$A$1:$BJ$32</definedName>
    <definedName name="Query_from_RPTSERVER" localSheetId="5" hidden="1">PRCs!$A$2:$B$9</definedName>
    <definedName name="Query_from_RPTSERVER" localSheetId="4" hidden="1">ProjText!$B$1:$P$100</definedName>
    <definedName name="Query_from_RPTSERVER" localSheetId="7" hidden="1">RAData!$A$1:$EA$963</definedName>
    <definedName name="query_params" localSheetId="6">Advanced!$D$12:$E$23</definedName>
    <definedName name="query_params" localSheetId="8">HiddenSettings!$A$7:$B$18</definedName>
    <definedName name="RA_allRAdata" localSheetId="8">HiddenSettings!$C$31</definedName>
    <definedName name="RA_awdCheck" localSheetId="8">HiddenSettings!$C$34</definedName>
    <definedName name="RA_budgInfo" localSheetId="8">HiddenSettings!$C$33</definedName>
    <definedName name="RA_leads" localSheetId="8">HiddenSettings!$C$26</definedName>
    <definedName name="RA_panl" localSheetId="8">HiddenSettings!$C$30</definedName>
    <definedName name="RA_PRCglossary" localSheetId="8">HiddenSettings!$C$32</definedName>
    <definedName name="RA_prop" localSheetId="8">HiddenSettings!$C$28</definedName>
    <definedName name="RA_propCheck" localSheetId="8">HiddenSettings!$C$35</definedName>
    <definedName name="RA_propPRCs" localSheetId="8">HiddenSettings!$C$27</definedName>
    <definedName name="RA_revs" localSheetId="8">HiddenSettings!$C$29</definedName>
    <definedName name="revtable" localSheetId="8">HiddenSettings!$C$25</definedName>
    <definedName name="rpt_pwd" comment="reportserver password" localSheetId="8">HiddenSettings!$B$3</definedName>
    <definedName name="signer1">RoboRA!$L$10</definedName>
    <definedName name="signer2">RoboRA!$L$11</definedName>
    <definedName name="StdDeclTemplate">RoboRA!$G$11</definedName>
    <definedName name="to_date">Advanced!$D$12</definedName>
    <definedName name="user_id" comment="reportserver user_id" localSheetId="8">HiddenSettings!$B$2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02" i="2" l="1"/>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929" i="2"/>
  <c r="Y930" i="2"/>
  <c r="Y931" i="2"/>
  <c r="Y932"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561" i="2"/>
  <c r="Y562" i="2"/>
  <c r="Y563" i="2"/>
  <c r="Y564" i="2"/>
  <c r="Y565" i="2"/>
  <c r="Y566" i="2"/>
  <c r="Y567" i="2"/>
  <c r="Y568" i="2"/>
  <c r="Y569" i="2"/>
  <c r="Y570" i="2"/>
  <c r="Y571" i="2"/>
  <c r="Y572" i="2"/>
  <c r="Y573" i="2"/>
  <c r="Y574" i="2"/>
  <c r="Y575" i="2"/>
  <c r="Y576" i="2"/>
  <c r="Y577" i="2"/>
  <c r="Y578" i="2"/>
  <c r="Y579" i="2"/>
  <c r="Y580" i="2"/>
  <c r="Y581" i="2"/>
  <c r="Y582" i="2"/>
  <c r="Y583" i="2"/>
  <c r="Y584" i="2"/>
  <c r="Y585" i="2"/>
  <c r="Y586" i="2"/>
  <c r="Y587" i="2"/>
  <c r="Y588" i="2"/>
  <c r="Y589" i="2"/>
  <c r="Y590" i="2"/>
  <c r="Y591" i="2"/>
  <c r="Y592" i="2"/>
  <c r="Y593" i="2"/>
  <c r="Y594" i="2"/>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933" i="2"/>
  <c r="Y934" i="2"/>
  <c r="Y935" i="2"/>
  <c r="Y936" i="2"/>
  <c r="Y937" i="2"/>
  <c r="Y938" i="2"/>
  <c r="Y939" i="2"/>
  <c r="Y940" i="2"/>
  <c r="Y941" i="2"/>
  <c r="Y942" i="2"/>
  <c r="Y943" i="2"/>
  <c r="Y944" i="2"/>
  <c r="Y945" i="2"/>
  <c r="Y946" i="2"/>
  <c r="Y947" i="2"/>
  <c r="Y948" i="2"/>
  <c r="Y949" i="2"/>
  <c r="Y950" i="2"/>
  <c r="Y951" i="2"/>
  <c r="Y952" i="2"/>
  <c r="Y953" i="2"/>
  <c r="Y954" i="2"/>
  <c r="Y955" i="2"/>
  <c r="Y956" i="2"/>
  <c r="Y957" i="2"/>
  <c r="Y958" i="2"/>
  <c r="Y959" i="2"/>
  <c r="Y960" i="2"/>
  <c r="Y961" i="2"/>
  <c r="Y962" i="2"/>
  <c r="Y963"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 i="2"/>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J2" i="3"/>
  <c r="I2" i="3" s="1"/>
  <c r="J3" i="3"/>
  <c r="I3" i="3" s="1"/>
  <c r="J4" i="3"/>
  <c r="I4" i="3" s="1"/>
  <c r="J5" i="3"/>
  <c r="I5" i="3" s="1"/>
  <c r="J6" i="3"/>
  <c r="I6" i="3" s="1"/>
  <c r="J7" i="3"/>
  <c r="I7" i="3" s="1"/>
  <c r="J8" i="3"/>
  <c r="I8" i="3" s="1"/>
  <c r="J9" i="3"/>
  <c r="I9" i="3" s="1"/>
  <c r="J10" i="3"/>
  <c r="I10" i="3" s="1"/>
  <c r="J11" i="3"/>
  <c r="I11" i="3" s="1"/>
  <c r="J12" i="3"/>
  <c r="I12" i="3" s="1"/>
  <c r="J13" i="3"/>
  <c r="I13" i="3" s="1"/>
  <c r="J14" i="3"/>
  <c r="I14" i="3" s="1"/>
  <c r="J15" i="3"/>
  <c r="I15" i="3" s="1"/>
  <c r="J16" i="3"/>
  <c r="I16" i="3" s="1"/>
  <c r="J17" i="3"/>
  <c r="I17" i="3" s="1"/>
  <c r="J18" i="3"/>
  <c r="I18" i="3" s="1"/>
  <c r="J19" i="3"/>
  <c r="I19" i="3" s="1"/>
  <c r="J20" i="3"/>
  <c r="I20" i="3" s="1"/>
  <c r="J21" i="3"/>
  <c r="I21" i="3" s="1"/>
  <c r="J22" i="3"/>
  <c r="I22" i="3" s="1"/>
  <c r="J23" i="3"/>
  <c r="I23" i="3" s="1"/>
  <c r="J24" i="3"/>
  <c r="I24" i="3" s="1"/>
  <c r="J25" i="3"/>
  <c r="I25" i="3" s="1"/>
  <c r="J26" i="3"/>
  <c r="I26" i="3" s="1"/>
  <c r="J27" i="3"/>
  <c r="I27" i="3" s="1"/>
  <c r="J28" i="3"/>
  <c r="I28" i="3" s="1"/>
  <c r="J29" i="3"/>
  <c r="I29" i="3" s="1"/>
  <c r="J30" i="3"/>
  <c r="I30" i="3" s="1"/>
  <c r="J31" i="3"/>
  <c r="I31" i="3" s="1"/>
  <c r="J32" i="3"/>
  <c r="I32" i="3" s="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P2" i="3"/>
  <c r="P3" i="3" s="1"/>
  <c r="P4" i="3" s="1"/>
  <c r="P5" i="3" s="1"/>
  <c r="P6" i="3" s="1"/>
  <c r="P7" i="3" s="1"/>
  <c r="P8" i="3" s="1"/>
  <c r="P9" i="3" s="1"/>
  <c r="P10" i="3" s="1"/>
  <c r="P11" i="3" s="1"/>
  <c r="P12" i="3" s="1"/>
  <c r="P13" i="3" s="1"/>
  <c r="P14" i="3" s="1"/>
  <c r="P15" i="3" s="1"/>
  <c r="P16" i="3" s="1"/>
  <c r="P17" i="3" s="1"/>
  <c r="P18" i="3" s="1"/>
  <c r="P19" i="3" s="1"/>
  <c r="P20" i="3" s="1"/>
  <c r="P21" i="3" s="1"/>
  <c r="P22" i="3" s="1"/>
  <c r="P23" i="3" s="1"/>
  <c r="P24" i="3" s="1"/>
  <c r="P25" i="3" s="1"/>
  <c r="P26" i="3" s="1"/>
  <c r="P27" i="3" s="1"/>
  <c r="P28" i="3" s="1"/>
  <c r="P29" i="3" s="1"/>
  <c r="P30" i="3" s="1"/>
  <c r="P31" i="3" s="1"/>
  <c r="P32" i="3" s="1"/>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V17" i="10"/>
  <c r="R17" i="10"/>
  <c r="M17" i="10"/>
  <c r="L17" i="10" s="1"/>
  <c r="K17" i="10"/>
  <c r="V16" i="10"/>
  <c r="R16" i="10"/>
  <c r="M16" i="10"/>
  <c r="L16" i="10" s="1"/>
  <c r="K16" i="10"/>
  <c r="V15" i="10"/>
  <c r="R15" i="10"/>
  <c r="M15" i="10"/>
  <c r="L15" i="10"/>
  <c r="K15" i="10"/>
  <c r="V14" i="10"/>
  <c r="R14" i="10"/>
  <c r="M14" i="10"/>
  <c r="L14" i="10" s="1"/>
  <c r="K14" i="10"/>
  <c r="V13" i="10"/>
  <c r="R13" i="10"/>
  <c r="M13" i="10"/>
  <c r="L13" i="10" s="1"/>
  <c r="K13" i="10"/>
  <c r="V12" i="10"/>
  <c r="R12" i="10"/>
  <c r="M12" i="10"/>
  <c r="L12" i="10" s="1"/>
  <c r="K12" i="10"/>
  <c r="V11" i="10"/>
  <c r="R11" i="10"/>
  <c r="M11" i="10"/>
  <c r="L11" i="10" s="1"/>
  <c r="K11" i="10"/>
  <c r="V10" i="10"/>
  <c r="R10" i="10"/>
  <c r="M10" i="10"/>
  <c r="L10" i="10" s="1"/>
  <c r="K10" i="10"/>
  <c r="V9" i="10"/>
  <c r="R9" i="10"/>
  <c r="M9" i="10"/>
  <c r="L9" i="10" s="1"/>
  <c r="K9" i="10"/>
  <c r="V8" i="10"/>
  <c r="R8" i="10"/>
  <c r="M8" i="10"/>
  <c r="L8" i="10" s="1"/>
  <c r="K8" i="10"/>
  <c r="V7" i="10"/>
  <c r="R7" i="10"/>
  <c r="M7" i="10"/>
  <c r="L7" i="10"/>
  <c r="K7" i="10"/>
  <c r="V6" i="10"/>
  <c r="R6" i="10"/>
  <c r="M6" i="10"/>
  <c r="L6" i="10" s="1"/>
  <c r="K6" i="10"/>
  <c r="V5" i="10"/>
  <c r="R5" i="10"/>
  <c r="M5" i="10"/>
  <c r="L5" i="10" s="1"/>
  <c r="K5" i="10"/>
  <c r="V4" i="10"/>
  <c r="R4" i="10"/>
  <c r="M4" i="10"/>
  <c r="L4" i="10" s="1"/>
  <c r="K4" i="10"/>
  <c r="V3" i="10"/>
  <c r="R3" i="10"/>
  <c r="M3" i="10"/>
  <c r="L3" i="10"/>
  <c r="K3" i="10"/>
  <c r="V2" i="10"/>
  <c r="S2" i="10"/>
  <c r="S3" i="10" s="1"/>
  <c r="S4" i="10" s="1"/>
  <c r="S5" i="10" s="1"/>
  <c r="S6" i="10" s="1"/>
  <c r="S7" i="10" s="1"/>
  <c r="S8" i="10" s="1"/>
  <c r="S9" i="10" s="1"/>
  <c r="S10" i="10" s="1"/>
  <c r="S11" i="10" s="1"/>
  <c r="S12" i="10" s="1"/>
  <c r="S13" i="10" s="1"/>
  <c r="S14" i="10" s="1"/>
  <c r="S15" i="10" s="1"/>
  <c r="S16" i="10" s="1"/>
  <c r="S17" i="10" s="1"/>
  <c r="R2" i="10"/>
  <c r="M2" i="10"/>
  <c r="L2" i="10" s="1"/>
  <c r="K2" i="10"/>
  <c r="P101" i="6" l="1"/>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K2" i="5" l="1"/>
  <c r="I2" i="5"/>
  <c r="D6" i="5" l="1"/>
  <c r="D10" i="5"/>
  <c r="D14" i="5"/>
  <c r="D18" i="5"/>
  <c r="D22" i="5"/>
  <c r="D26" i="5"/>
  <c r="D30" i="5"/>
  <c r="D34" i="5"/>
  <c r="D5" i="5"/>
  <c r="D17" i="5"/>
  <c r="D29" i="5"/>
  <c r="D7" i="5"/>
  <c r="D11" i="5"/>
  <c r="D15" i="5"/>
  <c r="D19" i="5"/>
  <c r="D23" i="5"/>
  <c r="D27" i="5"/>
  <c r="D31" i="5"/>
  <c r="D13" i="5"/>
  <c r="D21" i="5"/>
  <c r="D33" i="5"/>
  <c r="D4" i="5"/>
  <c r="D8" i="5"/>
  <c r="D12" i="5"/>
  <c r="D16" i="5"/>
  <c r="D20" i="5"/>
  <c r="D24" i="5"/>
  <c r="D28" i="5"/>
  <c r="D32" i="5"/>
  <c r="D9" i="5"/>
  <c r="D25" i="5"/>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J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M1" authorId="0" shapeId="0">
      <text>
        <r>
          <rPr>
            <b/>
            <sz val="9"/>
            <color indexed="81"/>
            <rFont val="Tahoma"/>
            <family val="2"/>
          </rPr>
          <t>Snoeyink, Jack S.:</t>
        </r>
        <r>
          <rPr>
            <sz val="9"/>
            <color indexed="81"/>
            <rFont val="Tahoma"/>
            <family val="2"/>
          </rPr>
          <t xml:space="preserve">
Basic research percentage, usually set to 100%</t>
        </r>
      </text>
    </comment>
    <comment ref="O1" authorId="0" shapeId="0">
      <text>
        <r>
          <rPr>
            <b/>
            <sz val="9"/>
            <color indexed="81"/>
            <rFont val="Tahoma"/>
            <family val="2"/>
          </rPr>
          <t>Snoeyink, Jack S.:</t>
        </r>
        <r>
          <rPr>
            <sz val="9"/>
            <color indexed="81"/>
            <rFont val="Tahoma"/>
            <family val="2"/>
          </rPr>
          <t xml:space="preserve">
Click link to send email to project lead PI
</t>
        </r>
      </text>
    </comment>
    <comment ref="S1" authorId="0" shapeId="0">
      <text>
        <r>
          <rPr>
            <b/>
            <sz val="9"/>
            <color indexed="81"/>
            <rFont val="Tahoma"/>
            <family val="2"/>
          </rPr>
          <t>Snoeyink, Jack S.:</t>
        </r>
        <r>
          <rPr>
            <sz val="9"/>
            <color indexed="81"/>
            <rFont val="Tahoma"/>
            <family val="2"/>
          </rPr>
          <t xml:space="preserve">
Click link to visit proposal in eJacket</t>
        </r>
      </text>
    </comment>
    <comment ref="Y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A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Proposal program reference codes</t>
        </r>
      </text>
    </comment>
    <comment ref="J1" authorId="0" shapeId="0">
      <text>
        <r>
          <rPr>
            <b/>
            <sz val="9"/>
            <color indexed="81"/>
            <rFont val="Tahoma"/>
            <family val="2"/>
          </rPr>
          <t>Snoeyink, Jack S.:</t>
        </r>
        <r>
          <rPr>
            <sz val="9"/>
            <color indexed="81"/>
            <rFont val="Tahoma"/>
            <family val="2"/>
          </rPr>
          <t xml:space="preserve">
State is red if EPSCoR code 9150 is not properly applied.</t>
        </r>
      </text>
    </comment>
    <comment ref="M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P1" authorId="0" shapeId="0">
      <text>
        <r>
          <rPr>
            <b/>
            <sz val="9"/>
            <color indexed="81"/>
            <rFont val="Tahoma"/>
            <family val="2"/>
          </rPr>
          <t>Snoeyink, Jack S.:</t>
        </r>
        <r>
          <rPr>
            <sz val="9"/>
            <color indexed="81"/>
            <rFont val="Tahoma"/>
            <family val="2"/>
          </rPr>
          <t xml:space="preserve">
Basic research percentage, usually set to 100%</t>
        </r>
      </text>
    </comment>
    <comment ref="R1" authorId="0" shapeId="0">
      <text>
        <r>
          <rPr>
            <b/>
            <sz val="9"/>
            <color indexed="81"/>
            <rFont val="Tahoma"/>
            <family val="2"/>
          </rPr>
          <t>Snoeyink, Jack S.:</t>
        </r>
        <r>
          <rPr>
            <sz val="9"/>
            <color indexed="81"/>
            <rFont val="Tahoma"/>
            <family val="2"/>
          </rPr>
          <t xml:space="preserve">
Click link to send email to project lead PI
</t>
        </r>
      </text>
    </comment>
    <comment ref="V1" authorId="0" shapeId="0">
      <text>
        <r>
          <rPr>
            <b/>
            <sz val="9"/>
            <color indexed="81"/>
            <rFont val="Tahoma"/>
            <family val="2"/>
          </rPr>
          <t>Snoeyink, Jack S.:</t>
        </r>
        <r>
          <rPr>
            <sz val="9"/>
            <color indexed="81"/>
            <rFont val="Tahoma"/>
            <family val="2"/>
          </rPr>
          <t xml:space="preserve">
Click link to visit proposal in eJacket</t>
        </r>
      </text>
    </comment>
    <comment ref="AD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F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I1" authorId="0" shapeId="0">
      <text>
        <r>
          <rPr>
            <b/>
            <sz val="9"/>
            <color indexed="81"/>
            <rFont val="Tahoma"/>
            <family val="2"/>
          </rPr>
          <t>Snoeyink, Jack S.:</t>
        </r>
        <r>
          <rPr>
            <sz val="9"/>
            <color indexed="81"/>
            <rFont val="Tahoma"/>
            <family val="2"/>
          </rPr>
          <t xml:space="preserve">
No panel summaries should remain unmarked.  </t>
        </r>
      </text>
    </comment>
    <comment ref="AL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AO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3.xml><?xml version="1.0" encoding="utf-8"?>
<comments xmlns="http://schemas.openxmlformats.org/spreadsheetml/2006/main">
  <authors>
    <author>Snoeyink, Jack S.</author>
  </authors>
  <commentList>
    <comment ref="H2" authorId="0" shapeId="0">
      <text>
        <r>
          <rPr>
            <b/>
            <sz val="9"/>
            <color indexed="81"/>
            <rFont val="Tahoma"/>
            <family val="2"/>
          </rPr>
          <t>Snoeyink, Jack S.:</t>
        </r>
        <r>
          <rPr>
            <sz val="9"/>
            <color indexed="81"/>
            <rFont val="Tahoma"/>
            <family val="2"/>
          </rPr>
          <t xml:space="preserve">
You can probably ignore this.
This 7-letter pm_ibm_logn_id is used to construct a unique id to jump to the ejacket  RA page. By default it uses the first PM id (=f4), but it can be over-ridden.  (note: the ibm_logn_id is often the lan_id, truncated to 7 letters instead of 8.)</t>
        </r>
      </text>
    </comment>
    <comment ref="J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R1" authorId="0" shapeId="0">
      <text>
        <r>
          <rPr>
            <b/>
            <sz val="9"/>
            <color indexed="81"/>
            <rFont val="Tahoma"/>
            <family val="2"/>
          </rPr>
          <t>Snoeyink, Jack S.:</t>
        </r>
        <r>
          <rPr>
            <sz val="9"/>
            <color indexed="81"/>
            <rFont val="Tahoma"/>
            <family val="2"/>
          </rPr>
          <t xml:space="preserve">
Any note here will be included just after the data block and before the RA text.  Good place to explain Es for Declines, which is why they are highlighted pale yellow. (Note: to stop highlighting E/Vs, too, change the conditional formatting formula to =left($Q2,2)= "E,")</t>
        </r>
      </text>
    </comment>
    <comment ref="S1" authorId="0" shapeId="0">
      <text>
        <r>
          <rPr>
            <b/>
            <sz val="9"/>
            <color indexed="81"/>
            <rFont val="Tahoma"/>
            <family val="2"/>
          </rPr>
          <t>Snoeyink, Jack S.:</t>
        </r>
        <r>
          <rPr>
            <sz val="9"/>
            <color indexed="81"/>
            <rFont val="Tahoma"/>
            <family val="2"/>
          </rPr>
          <t xml:space="preserve">
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BudgetBlocksQuery1" type="1" refreshedVersion="6" background="1" saveData="1">
    <dbPr connection="dsn=RPTSERVER;database=rptdb;server=RPTSQL.nsf.gov;port=5000;UID=ccfuser;" command="SET NOCOUNT ON _x000d__x000a_SELECT DISTINCT CASE WHEN p.lead_prop_id IS NULL THEN 'I' WHEN p.lead_prop_id &lt;&gt; p.prop_id THEN 'N' ELSE 'L' END AS ILN,_x000d__x000a_isnull(p.lead_prop_id,p.prop_id) AS lead, p.prop_id, p.pi_id, p.inst_id_x000d__x000a_INTO #myPid FROM csd.prop p_x000d__x000a_JOIN csd.panl_prop pp ON p.prop_id = pp.prop_id_x000d__x000a_WHERE p.prop_stts_code IN ('00','01','02','08','09') AND pp.panl_id in ('p172027','p170288','p180207','p180208')_x000d__x000a_ORDER BY lead, ILN, p.prop_id_x000d__x000a_CREATE INDEX myPid_idx ON #myPid(prop_id)_x000d__x000a_INSERT INTO #myPid _x000d__x000a_SELECT DISTINCT CASE WHEN p.lead_prop_id IS NULL THEN 'I' WHEN p.lead_prop_id &lt;&gt; p.prop_id THEN 'N' ELSE 'L' END AS ILN,_x000d__x000a_isnull(p.lead_prop_id,p.prop_id) AS lead, p.prop_id, p.pi_id, p.inst_id_x000d__x000a_FROM #myPid pid_x000d__x000a_JOIN csd.prop p ON p.lead_prop_id = pid.lead_x000d__x000a_WHERE pid.ILN &lt; 'M' AND NOT EXISTS (SELECT * FROM #myPid px WHERE px.prop_id = p.prop_id)_x000d__x000a__x000d__x000a_-- project leads_x000d__x000a_SELECT p.ILN, p.lead_x000d__x000a_INTO #myLead_x000d__x000a_FROM #myPid p_x000d__x000a_WHERE p.ILN &lt; 'M' _x000d__x000a_CREATE INDEX myLead_idx ON #myLead(lead)_x000d__x000a_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SELECT prop_id,R,id=identity(18), 0 as 'seq'_x000d__x000a_INTO #myBudgPRCs _x000d__x000a_FROM (SELECT DISTINCT p.prop_id,bpr.pgm_ref_code AS R_x000d__x000a_      FROM #myPid p_x000d__x000a_      JOIN csd.budg_pgm_ref bpr ON bpr.prop_id = p.prop_id) bpr_x000d__x000a_ORDER BY prop_id,R_x000d__x000a_SELECT prop_id,MIN(id) as 'start'_x000d__x000a_INTO #mySt2 _x000d__x000a_FROM #myBudgPRCs _x000d__x000a_GROUP BY prop_id_x000d__x000a_UPDATE #myBudgPRCs set seq = id-M.start FROM #myBudgPRCs rb, #mySt2 M_x000d__x000a_WHERE rb.prop_id = M.prop_id _x000d__x000a_CREATE INDEX myBudgPRCs ON #myBudgPRCs(prop_id, seq)_x000d__x000a_drop table #mySt2_x000d__x000a__x000d__x000a_SELECT p.prop_id,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udgPRCs bp WHERE bp.prop_id = p.prop_id) AS bPRCs_x000d__x000a_FROM #myPid p_x000d__x000a_order by p.prop_id_x000d__x000a_"/>
  </connection>
  <connection id="2" name="Query from RPTSERVER" type="1" refreshedVersion="6" background="1" saveData="1">
    <dbPr connection="dsn=RPTSERVER;database=rptdb;server=RPTSQL.nsf.gov;port=5000;UID=ccfuser;" command="SET NOCOUNT ON _x000d__x000a_SELECT DISTINCT CASE WHEN p.lead_prop_id IS NULL THEN 'I' WHEN p.lead_prop_id &lt;&gt; p.prop_id THEN 'N' ELSE 'L' END AS ILN,_x000d__x000a_isnull(p.lead_prop_id,p.prop_id) AS lead, p.prop_id, p.pi_id, p.inst_id_x000d__x000a_INTO #myPid FROM csd.prop p_x000d__x000a_JOIN csd.panl_prop pp ON p.prop_id = pp.prop_id_x000d__x000a_WHERE p.prop_stts_code IN ('00','01','02','08','09') AND pp.panl_id in ('p172027','p170288','p180207','p180208')_x000d__x000a_ORDER BY lead, ILN, p.prop_id_x000d__x000a_CREATE INDEX myPid_idx ON #myPid(prop_id)_x000d__x000a_INSERT INTO #myPid _x000d__x000a_SELECT DISTINCT CASE WHEN p.lead_prop_id IS NULL THEN 'I' WHEN p.lead_prop_id &lt;&gt; p.prop_id THEN 'N' ELSE 'L' END AS ILN,_x000d__x000a_isnull(p.lead_prop_id,p.prop_id) AS lead, p.prop_id, p.pi_id, p.inst_id_x000d__x000a_FROM #myPid pid_x000d__x000a_JOIN csd.prop p ON p.lead_prop_id = pid.lead_x000d__x000a_WHERE pid.ILN &lt; 'M' AND NOT EXISTS (SELECT * FROM #myPid px WHERE px.prop_id = p.prop_id)_x000d__x000a__x000d__x000a_-- project leads_x000d__x000a_SELECT p.ILN, p.lead_x000d__x000a_INTO #myLead_x000d__x000a_FROM #myPid p_x000d__x000a_WHERE p.ILN &lt; 'M' _x000d__x000a_CREATE INDEX myLead_idx ON #myLead(lead)_x000d__x000a_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SELECT lead, convert(text, convert(varchar(16384),js.PROJ_SUMM_TXT) + convert(varchar(16384),js.INTUL_MERT) + convert(varchar(16384),js.BRODR_IMPT)) as summ_x000d__x000a_INTO #mySumm_x000d__x000a_FROM #myPids p _x000d__x000a_JOIN FLflpdb.flp.proj_summ js ON js.SPCL_CHAR_PDF &lt;&gt; 'Y' AND js.TEMP_PROP_ID = p.TEMP_PROP_ID_x000d__x000a_WHERE p.ILN &lt; 'M'_x000d__x000a__x000d__x000a_SELECT prop.nsf_rcvd_date, nullif(prop.dd_rcom_date,'1900-01-01') AS dd_rcom_date,_x000d__x000a_prop.pgm_annc_id, o2.dir_div_abbr as Dir, prop.org_code, CASE WHEN prop.org_code &lt;&gt; prop.orig_org_code THEN prop.orig_org_code END AS origORG, _x000d__x000a_prop.pgm_ele_code+' - '+pgm_ele_name as Pgm, CASE WHEN prop.pgm_ele_code &lt;&gt; prop.orig_pgm_ele_code THEN prop.orig_pgm_ele_code ELSE ' ' END AS origPEC,_x000d__x000a_prop.pm_ibm_logn_id as PO, prop.obj_clas_code, natr_rqst.natr_rqst_abbr, prop_stts.prop_stts_abbr, p.ILN, p.lead, org.dir_div_abbr as Div, p.prop_id,p.TEMP_PROP_ID,_x000d__x000a_pi.pi_last_name, pi.pi_frst_name, inst.inst_shrt_name AS inst_name, inst.st_code, pi.pi_emai_addr,_x000d__x000a_prop.prop_titl_txt, prop.rqst_dol, prop.rqst_eff_date, prop.rqst_mnth_cnt, prop.cntx_stmt_id, prop.prop_stts_code, prop_stts.prop_stts_txt, prop.inst_id, prop.pi_id_x000d__x000a_INTO #myProps FROM (SELECT DISTINCT * FROM #myPids ) p_x000d__x000a_JOIN csd.prop prop ON p.prop_id = prop.prop_id_x000d__x000a_JOIN csd.org org ON prop.org_code = org.org_code_x000d__x000a_JOIN csd.org o2 ON left(prop.org_code,2)+'000000' = o2.org_code_x000d__x000a_JOIN csd.pgm_ele pe ON prop.pgm_ele_code = pe.pgm_ele_code_x000d__x000a_JOIN csd.inst inst ON prop.inst_id = inst.inst_id_x000d__x000a_JOIN csd.pi_vw pi ON prop.pi_id = pi.pi_id_x000d__x000a_JOIN csd.prop_stts prop_stts ON prop.prop_stts_code = prop_stts.prop_stts_code_x000d__x000a_JOIN csd.natr_rqst natr_rqst ON natr_rqst.natr_rqst_code = prop.natr_rqst_code_x000d__x000a_WHERE pi.prim_addr_flag='Y'_x000d__x000a_ORDER BY lead, ILN DROP TABLE #myPids CREATE INDEX p1 ON #myProps(lead)_x000d__x000a_SELECT p.lead, p.pi_last_name, rs.string, rs.score, rev_prop_vw.revr_id, rev_prop_vw.rev_rtrn_date, id=identity(18), 0 as 'seq'_x000d__x000a_INTO #myRevs_x000d__x000a_FROM #myProps p, csd.rev_prop_vw rev_prop_vw, tempdb.guest.revScores rs_x000d__x000a_WHERE p.ILN &lt; 'M' AND p.lead = rev_prop_vw.prop_id AND rev_prop_vw.rev_prop_rtng_ind = rs.yn _x000d__x000a_ORDER BY lead, score DESC_x000d__x000a__x000d__x000a_SELECT lead, MIN(id) as 'start' INTO #myStarts FROM #myRevs GROUP BY lead_x000d__x000a_UPDATE #myRevs set seq = id-M.start FROM #myRevs r, #myStarts M WHERE r.lead = M.lead_x000d__x000a_DROP TABLE #myStarts_x000d__x000a_SELECT   rv.lead, rv.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s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pi_last_name,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Props p, FLflpdb.flp.panl_prop_summ panl_prop_summ, FLflpdb.flp.panl_rcom_def panl_rcom_def, csd.panl panl_x000d__x000a_WHERE  p.ILN &lt; 'M' AND p.lead = panl_prop_summ.PROP_ID AND panl_prop_summ.PANL_ID = panl.panl_id_x000d__x000a_  AND panl_prop_summ.RCOM_SEQ_NUM = panl_rcom_def.RCOM_SEQ_NUM AND panl_prop_summ.PANL_ID = panl_rcom_def.PANL_ID_x000d__x000a_UNION ALL SELECT p.lead, p.pi_last_name, 'POCmnt', p.PO, p.prop_id, cmt.cmnt_cre_id, '', '', convert(varchar,cmt.cmnt_prop_stts_code), cmt.beg_eff_date, cmt.end_eff_date,'', cmt.cmnt_x000d__x000a_FROM #myProps p, FLflpdb.flp.cmnt_prop cmt WHERE p.prop_id = cmt.prop_id AND (p.ILN &lt; 'M' OR LEN(cmt.cmnt) &lt;&gt; (SELECT LEN(l.cmnt) FROM FLflpdb.flp.cmnt_prop l WHERE p.lead = l.prop_id))_x000d__x000a_UNION ALL SELECT p.lead, p.pi_last_name, 'RA' as docType, p.PO, '', ra.last_updt_user, '', '', null, null, ra.last_updt_tmsp, '', ra.prop_rev_anly_txt_x000d__x000a_FROM #myProps p, csd.prop_rev_anly_vw ra WHERE p.ILN &lt; 'M' AND p.lead = ra.prop_id_x000d__x000a_UNION ALL SELECT p.lead, p.pi_last_name, 'Abstr', p.PO, '', a.last_updt_user, a.cent_mrkr_prop, a.cent_mrkr_awd, null, null, a.last_updt_tmsp,'', a.abst_narr_txt_x000d__x000a_FROM #myProps p, csd.abst a WHERE p.prop_id = a.awd_id AND (p.ILN &lt; 'M' OR LEN(a.abst_narr_txt) &lt;&gt;  (SELECT LEN(l.abst_narr_txt) FROM csd.abst l WHERE p.lead = l.awd_id))_x000d__x000a_UNION ALL SELECT p.lead, p.pi_last_name, 'SummProj',p.PO, '', '', '', null, null, null, p.nsf_rcvd_date,'', s.summ_x000d__x000a_FROM #myProps p, #mySumm s WHERE p.ILN &lt; 'M' AND s.lead = p.lead_x000d__x000a_UNION ALL SELECT p.lead, p.pi_last_name, 'xDiaryNt',p.PO, p.prop_id, crtd_by_user, ej_diry_note_kywd, null, null, null, crtd_date,'', ej_diry_note_txt_x000d__x000a_FROM #myProps p, FLflpdb.flp.ej_diry_note d WHERE d.prop_id = p.prop_id_x000d__x000a_ORDER BY lead, docType, revr_last_name, revr_id_x000d__x000a_DROP TABLE #myRevs,#myProps, #mySumm_x000d__x000a_"/>
  </connection>
  <connection id="3" name="RAMailMerge" type="1" refreshedVersion="6" background="1" saveData="1">
    <dbPr connection="dsn=RPTSERVER;database=rptdb;server=RPTSQL.nsf.gov;port=5000;UID=ccfuser;" command="SET NOCOUNT ON _x000d__x000a_SELECT DISTINCT CASE WHEN p.lead_prop_id IS NULL THEN 'I' WHEN p.lead_prop_id &lt;&gt; p.prop_id THEN 'N' ELSE 'L' END AS ILN,_x000d__x000a_isnull(p.lead_prop_id,p.prop_id) AS lead, p.prop_id, p.pi_id, p.inst_id_x000d__x000a_INTO #myPid FROM csd.prop p_x000d__x000a_JOIN csd.panl_prop pp ON p.prop_id = pp.prop_id_x000d__x000a_WHERE p.prop_stts_code IN ('00','01','02','08','09') AND pp.panl_id in ('p172027','p170288','p180207','p180208')_x000d__x000a_ORDER BY lead, ILN, p.prop_id_x000d__x000a_CREATE INDEX myPid_idx ON #myPid(prop_id)_x000d__x000a_INSERT INTO #myPid _x000d__x000a_SELECT DISTINCT CASE WHEN p.lead_prop_id IS NULL THEN 'I' WHEN p.lead_prop_id &lt;&gt; p.prop_id THEN 'N' ELSE 'L' END AS ILN,_x000d__x000a_isnull(p.lead_prop_id,p.prop_id) AS lead, p.prop_id, p.pi_id, p.inst_id_x000d__x000a_FROM #myPid pid_x000d__x000a_JOIN csd.prop p ON p.lead_prop_id = pid.lead_x000d__x000a_WHERE pid.ILN &lt; 'M' AND NOT EXISTS (SELECT * FROM #myPid px WHERE px.prop_id = p.prop_id)_x000d__x000a__x000d__x000a_-- project leads_x000d__x000a_SELECT p.ILN, p.lead_x000d__x000a_INTO #myLead_x000d__x000a_FROM #myPid p_x000d__x000a_WHERE p.ILN &lt; 'M' _x000d__x000a_CREATE INDEX myLead_idx ON #myLead(lead)_x000d__x000a_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declare @adhoc char(7), @olddate datetime_x000d__x000a_SELECT @adhoc = '.ad hoc ',  @olddate = '1/1/2000' -- for formatting dates_x000d__x000a_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_x000d__x000a_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_x000d__x000a_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_x000d__x000a_FROM #myRevs r_x000d__x000a_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_x000d__x000a_FROM #myRevs r_x000d__x000a_WHERE confl = 0_x000d__x000a_GROUP BY lead, panl_id_x000d__x000a_CREATE INDEX myRevPanl_ix ON #myRevPanl(lead, panl_id)_x000d__x000a_SELECT p.prop_id, eb.revn_num as RN, SUM(eb.budg_tot_dol) as T_x000d__x000a_,nullif(SUM(sub_ctr_dol),0) AS sub_ctr_tot, nullif(SUM(frgn_trav_dol),0) AS frgn_trav_tot, nullif(SUM(pdoc_grnt_dol),0) AS pdoc_tot,nullif(SUM( part_dol),0) AS part_tot_dol, nullif(SUM(grad_pers_tot_cnt),0) AS grad_tot_cnt,_x000d__x000a_nullif(SUM(sr_pers_cnt),0) AS sr_tot_cnt, nullif(SUM(sr_summ_mnth_cnt),0) AS sr_sumr_mnths, nullif(SUM(sr_acad_mnth_cnt),0) AS sr_acad_mnths, nullif(SUM(sr_cal_mnth_cnt),0) AS sr_cal_mnths_x000d__x000a_INTO #myPropBudg_x000d__x000a_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_x000d__x000a_-- per-proposal data _x000d__x000a_SELECT pid.lead, pid.ILN, pid.prop_id,_x000d__x000a_pi_last_name as L, pi_frst_name as F, inst_shrt_name as I, pi_emai_addr AS M, rqst_dol as D, _x000d__x000a_prc.R, b.T, b.RN, inst.st_code,_x000d__x000a_id=identity(18), 0 as seq _x000d__x000a_INTO #myProp_x000d__x000a_FROM #myPid pid_x000d__x000a_JOIN csd.prop p ON p.prop_id = pid.prop_id_x000d__x000a_LEFT JOIN csd.pi_vw pi ON pi.pi_id = p.pi_id_x000d__x000a_LEFT JOIN csd.inst inst ON inst.inst_id = p.inst_id_x000d__x000a_LEFT JOIN #myPRCs prc ON prc.prop_id = pid.prop_id_x000d__x000a_LEFT JOIN #myPropBudg b ON b.prop_id = p.prop_id_x000d__x000a_WHERE pi.prim_addr_flag='Y'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SELECT pn.panl_id AS I, panl_name AS PN, panl_end_date AS E, _x000d__x000a_  (SELECT COUNT(DISTINCT revr_id) FROM csd.panl_revr r WHERE r.panl_id = pn.panl_id) AS P,_x000d__x000a_  convert(varchar(126),NULL) AS S_x000d__x000a_INTO #myPanl_x000d__x000a_FROM (SELECT DISTINCT panl_id FROM #myLead pid_x000d__x000a_      JOIN csd.panl_prop pp ON pp.prop_id = pid.lead) pn_x000d__x000a_JOIN csd.panl panl ON panl.panl_id = pn.panl_id_x000d__x000a_CREATE INDEX myPanl_ix ON #myPanl(I)_x000d__x000a__x000d__x000a_SELECT pp.panl_id, s.RCOM_SEQ_NUM, RCOM_ABBR, Count(s.PROP_ID) AS rtCount_x000d__x000a_INTO #myPanlOutcomes_x000d__x000a_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_x000d__x000a_DROP TABLE #myPanlOutcomes_x000d__x000a__x000d__x000a_--per project panel summary DROP TABLE #myProjPanl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_x000d__x000a_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_x000d__x000a_SELECT lead, MIN(id) as start INTO #myPStarts FROM #myProjPanl GROUP BY lead_x000d__x000a_UPDATE #myProjPanl SET seq = id-M.start FROM #myProjPanl r, #myPStarts M  WHERE r.lead = M.lead_x000d__x000a_DROP TABLE #myPStarts_x000d__x000a__x000d__x000a_SELECT lead, count(I) AS nPanl, min(RS)+isnull(min(RK),0)/100.0 AS RecRkMin, nullif(sum(summ_unrls),0) as nPSunrls, _x000d__x000a_    nullif(sum(summ_unmrkd),0) as nPSunmrkd _x000d__x000a_INTO #myPropPanlSum_x000d__x000a_FROM #myProjPanl GROUP BY lead_x000d__x000a_SELECT getdate() AS pulldate, nsf_rcvd_date, _x000d__x000a_nullif(dd_rcom_date,'1900-01-01') AS dd_rcom_date, ra.RAupdate, _x000d__x000a_cntx_stmt_id, prop.pgm_annc_id, prop.org_code, prop.pgm_ele_code,_x000d__x000a_prop.pm_ibm_logn_id as PO,_x000d__x000a_prop_stts_abbr,natr_rqst.natr_rqst_abbr,prop.obj_clas_code,_x000d__x000a_org.dir_div_abbr as Div, _x000d__x000a_nPanl, isnull(RecRkMin,99) AS RecRkMin, pn0.RA as rec0, pn1.RA as rec1, pn2.RA as rec2, _x000d__x000a_rs.*, -- lead, Nrev, Nunmkd, min, avg, max scores, allReviews, last_rev_date _x000d__x000a_rm.Nunrlsbl, projTot.rqst_tot,budg_tot,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0.P as pnlst1, pn0.C as confl1,_x000d__x000a_ pn2.I AS panl_id2, pn2.RT AS RCOM_TXT2, pn2.RK AS rank2, pn2.PN AS panl_name2,pn2.E AS panl_end2,pn2.V AS revs2,pn2.S AS PanlString2,pn0.P as pnlst2, pn0.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s.lead = p.lead_x000d__x000a_LEFT JOIN csd.po_vw po_vw ON po_vw.po_ibm_logn_id = prop.pm_ibm_logn_id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 mp WHERE mp.seq = 0) p0 ON p0.lead = p.lead_x000d__x000a_LEFT JOIN (SELECT * FROM #myProp mp WHERE mp.seq = 1) p1 ON p1.lead = p.lead_x000d__x000a_LEFT JOIN (SELECT * FROM #myProp mp WHERE mp.seq = 2) p2 ON p2.lead = p.lead_x000d__x000a_LEFT JOIN (SELECT * FROM #myProp mp WHERE mp.seq = 3) p3 ON p3.lead = p.lead_x000d__x000a_LEFT JOIN (SELECT * FROM #myProp mp WHERE mp.seq = 4) p4 ON p4.lead = p.lead_x000d__x000a_LEFT JOIN (SELECT * FROM #myProp mp WHERE mp.seq = 5) p5 ON p5.lead = p.lead_x000d__x000a_LEFT JOIN (SELECT * FROM #myProp mp WHERE mp.seq = 6) p6 ON p6.lead = p.lead_x000d__x000a_LEFT JOIN (SELECT lead, SUM(D) AS rqst_tot, SUM(T) AS budg_tot, MAX(RN) AS budRevnMax_x000d__x000a_           FROM #myProp GROUP BY lead) projTot ON projTot.lead = p.lead_x000d__x000a__x000d__x000a_UNION ALL SELECT @olddate,@olddate,@olddate,@olddate -- example to set mail merge format.  _x000d__x000a_,'cntxt stmt','NSF 00-000','12345678','1234','12345678','1234','12345','1234','1234'_x000d__x000a_,0,-0.99999999,'NRFP','NRFP','NRFP','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PO signature name string','Proposal status details','Nature of request full name','Object Class full name','DIR'_x000d__x000a_,'Directorate name retrieved by modified org_code from org. This example is for formatting; please do not remove this line............'_x000d__x000a_,'Email of lead PI on the project','list of all emails for Pis on Lead and non-lead proposals on the project.  Does not include the co-Pis. '_x000d__x000a_"/>
  </connection>
  <connection id="4" name="RAMailMerge1" type="1" refreshedVersion="6" background="1" saveData="1">
    <dbPr connection="dsn=RPTSERVER;database=rptdb;server=RPTSQL.nsf.gov;port=5000;UID=ccfuser;" command="SET NOCOUNT ON _x000d__x000a_SELECT DISTINCT CASE WHEN p.lead_prop_id IS NULL THEN 'I' WHEN p.lead_prop_id &lt;&gt; p.prop_id THEN 'N' ELSE 'L' END AS ILN,_x000d__x000a_isnull(p.lead_prop_id,p.prop_id) AS lead, p.prop_id, p.pi_id, p.inst_id_x000d__x000a_INTO #myPid FROM csd.prop p_x000d__x000a_JOIN csd.panl_prop pp ON p.prop_id = pp.prop_id_x000d__x000a_WHERE p.prop_stts_code IN ('00','01','02','08','09') AND pp.panl_id in ('p172027','p170288','p180207','p180208')_x000d__x000a_ORDER BY lead, ILN, p.prop_id_x000d__x000a_CREATE INDEX myPid_idx ON #myPid(prop_id)_x000d__x000a_INSERT INTO #myPid _x000d__x000a_SELECT DISTINCT CASE WHEN p.lead_prop_id IS NULL THEN 'I' WHEN p.lead_prop_id &lt;&gt; p.prop_id THEN 'N' ELSE 'L' END AS ILN,_x000d__x000a_isnull(p.lead_prop_id,p.prop_id) AS lead, p.prop_id, p.pi_id, p.inst_id_x000d__x000a_FROM #myPid pid_x000d__x000a_JOIN csd.prop p ON p.lead_prop_id = pid.lead_x000d__x000a_WHERE pid.ILN &lt; 'M' AND NOT EXISTS (SELECT * FROM #myPid px WHERE px.prop_id = p.prop_id)_x000d__x000a__x000d__x000a_-- project leads_x000d__x000a_SELECT p.ILN, p.lead_x000d__x000a_INTO #myLead_x000d__x000a_FROM #myPid p_x000d__x000a_WHERE p.ILN &lt; 'M' _x000d__x000a_CREATE INDEX myLead_idx ON #myLead(lead)_x000d__x000a_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declare @adhoc char(7), @olddate datetime_x000d__x000a_SELECT @adhoc = '.ad hoc ',  @olddate = '1/1/2000' -- for formatting dates_x000d__x000a_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_x000d__x000a_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_x000d__x000a_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_x000d__x000a_FROM #myRevs r_x000d__x000a_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_x000d__x000a_FROM #myRevs r_x000d__x000a_WHERE confl = 0_x000d__x000a_GROUP BY lead, panl_id_x000d__x000a_CREATE INDEX myRevPanl_ix ON #myRevPanl(lead, panl_id)_x000d__x000a_SELECT p.prop_id, eb.revn_num as RN, SUM(eb.budg_tot_dol) as T_x000d__x000a_,nullif(SUM(sub_ctr_dol),0) AS sub_ctr_tot, nullif(SUM(frgn_trav_dol),0) AS frgn_trav_tot, nullif(SUM(pdoc_grnt_dol),0) AS pdoc_tot,nullif(SUM( part_dol),0) AS part_tot_dol, nullif(SUM(grad_pers_tot_cnt),0) AS grad_tot_cnt,_x000d__x000a_nullif(SUM(sr_pers_cnt),0) AS sr_tot_cnt, nullif(SUM(sr_summ_mnth_cnt),0) AS sr_sumr_mnths, nullif(SUM(sr_acad_mnth_cnt),0) AS sr_acad_mnths, nullif(SUM(sr_cal_mnth_cnt),0) AS sr_cal_mnths_x000d__x000a_INTO #myPropBudg_x000d__x000a_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_x000d__x000a_-- per-proposal data _x000d__x000a_SELECT pid.lead, pid.ILN, pid.prop_id,_x000d__x000a_pi_last_name as L, pi_frst_name as F, inst_shrt_name as I, pi_emai_addr AS M, rqst_dol as D, _x000d__x000a_prc.R, b.T, b.RN, inst.st_code,_x000d__x000a_id=identity(18), 0 as seq _x000d__x000a_INTO #myProp_x000d__x000a_FROM #myPid pid_x000d__x000a_JOIN csd.prop p ON p.prop_id = pid.prop_id_x000d__x000a_LEFT JOIN csd.pi_vw pi ON pi.pi_id = p.pi_id_x000d__x000a_LEFT JOIN csd.inst inst ON inst.inst_id = p.inst_id_x000d__x000a_LEFT JOIN #myPRCs prc ON prc.prop_id = pid.prop_id_x000d__x000a_LEFT JOIN #myPropBudg b ON b.prop_id = p.prop_id_x000d__x000a_WHERE pi.prim_addr_flag='Y'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SELECT pn.panl_id AS I, panl_name AS PN, panl_end_date AS E, _x000d__x000a_  (SELECT COUNT(DISTINCT revr_id) FROM csd.panl_revr r WHERE r.panl_id = pn.panl_id) AS P,_x000d__x000a_  convert(varchar(126),NULL) AS S_x000d__x000a_INTO #myPanl_x000d__x000a_FROM (SELECT DISTINCT panl_id FROM #myLead pid_x000d__x000a_      JOIN csd.panl_prop pp ON pp.prop_id = pid.lead) pn_x000d__x000a_JOIN csd.panl panl ON panl.panl_id = pn.panl_id_x000d__x000a_CREATE INDEX myPanl_ix ON #myPanl(I)_x000d__x000a__x000d__x000a_SELECT pp.panl_id, s.RCOM_SEQ_NUM, RCOM_ABBR, Count(s.PROP_ID) AS rtCount_x000d__x000a_INTO #myPanlOutcomes_x000d__x000a_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_x000d__x000a_DROP TABLE #myPanlOutcomes_x000d__x000a__x000d__x000a_--per project panel summary DROP TABLE #myProjPanl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_x000d__x000a_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_x000d__x000a_SELECT lead, MIN(id) as start INTO #myPStarts FROM #myProjPanl GROUP BY lead_x000d__x000a_UPDATE #myProjPanl SET seq = id-M.start FROM #myProjPanl r, #myPStarts M  WHERE r.lead = M.lead_x000d__x000a_DROP TABLE #myPStarts_x000d__x000a__x000d__x000a_SELECT lead, count(I) AS nPanl, min(RS)+isnull(min(RK),0)/100.0 AS RecRkMin, nullif(sum(summ_unrls),0) as nPSunrls, _x000d__x000a_    nullif(sum(summ_unmrkd),0) as nPSunmrkd _x000d__x000a_INTO #myPropPanlSum_x000d__x000a_FROM #myProjPanl GROUP BY lead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_x000d__x000a_FROM (SELECT p.prop_id, pi_id FROM #myPid p _x000d__x000a_      UNION ALL SELECT p.prop_id, a.pi_id FROM #myPid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sf_rcvd_date, prop_stts_txt, nullif(dd_rcom_date,'1900-01-01') AS dd_rcom_date, ra.RAupdate, _x000d__x000a_cntx_stmt_id, prop.pgm_annc_id, prop.org_code, prop.pgm_ele_code,_x000d__x000a_prop.pm_ibm_logn_id as PO, prop_stts_abbr,natr_rqst.natr_rqst_abbr,prop.obj_clas_code,_x000d__x000a_org.dir_div_abbr as Div, p.lead, p.ILN, p.prop_id,_x000d__x000a_p.L AS pi_last_name, p.F AS pi_frst_name, p.I AS inst, p.st_code, p.M as email, _x000d__x000a_p.R as propPRCs, _x000d__x000a_bas_rsch_pct, apld_rsch_pct+educ_trng_pct+land_buld_fix_equp_pct+mjr_equp_pct+non_invt_pct AS other_pct,  _x000d__x000a_nPanl, nPSunmrkd, nPSunrls, RecRkMin, _x000d__x000a_rs.nRev, rs.allReviews, rs.avg_score, rs.last_rev_date,_x000d__x000a_Nunmkd, Nunrlsbl, NrlsdCDNPS, NpendSlct, NdiffFLeJ,_x000d__x000a_prop.rqst_eff_date,prop.rqst_mnth_cnt,_x000d__x000a_p.D AS rqst_tot, b.RN as brevn, b.T as budg_tot,  _x000d__x000a_b.sub_ctr_tot, b.frgn_trav_tot, b.pdoc_tot,b.part_tot_dol, b.grad_tot_cnt, _x000d__x000a_b.sr_tot_cnt, b.sr_sumr_mnths, b.sr_acad_mnths, b.sr_cal_mnths,_x000d__x000a_NfmlPIs,NhispPIs,NhndcpPIs,NnonWhtAsnPIs,_x000d__x000a_prop.prop_titl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pPanlSum pl ON pl.lead = p.prop_id_x000d__x000a_ORDER BY p.lead, p.ILN, p.prop_id_x000d__x000a__x000d__x000a_DROP TABLE #myDmog DROP TABLE #myPid DROP TABLE #myPRCs DROP TABLE #myCtry DROP TABLE #myRevs DROP TABLE #myPanl_x000d__x000a_"/>
  </connection>
  <connection id="5" name="RAMailMerge11" type="1" refreshedVersion="6" background="1" saveData="1">
    <dbPr connection="dsn=RPTSERVER;database=rptdb;server=RPTSQL.nsf.gov;port=5000;UID=ccfuser;" command="SET NOCOUNT ON _x000d__x000a_SELECT DISTINCT CASE WHEN p.lead_prop_id IS NULL THEN 'I' WHEN p.lead_prop_id &lt;&gt; p.prop_id THEN 'N' ELSE 'L' END AS ILN,_x000d__x000a_isnull(p.lead_prop_id,p.prop_id) AS lead, p.prop_id, p.pi_id, p.inst_id_x000d__x000a_INTO #myPid FROM csd.prop p_x000d__x000a_JOIN csd.panl_prop pp ON p.prop_id = pp.prop_id_x000d__x000a_WHERE p.prop_stts_code IN ('00','01','02','08','09') AND pp.panl_id in ('p172027','p170288','p180207','p180208')_x000d__x000a_ORDER BY lead, ILN, p.prop_id_x000d__x000a_CREATE INDEX myPid_idx ON #myPid(prop_id)_x000d__x000a_INSERT INTO #myPid _x000d__x000a_SELECT DISTINCT CASE WHEN p.lead_prop_id IS NULL THEN 'I' WHEN p.lead_prop_id &lt;&gt; p.prop_id THEN 'N' ELSE 'L' END AS ILN,_x000d__x000a_isnull(p.lead_prop_id,p.prop_id) AS lead, p.prop_id, p.pi_id, p.inst_id_x000d__x000a_FROM #myPid pid_x000d__x000a_JOIN csd.prop p ON p.lead_prop_id = pid.lead_x000d__x000a_WHERE pid.ILN &lt; 'M' AND NOT EXISTS (SELECT * FROM #myPid px WHERE px.prop_id = p.prop_id)_x000d__x000a__x000d__x000a_-- project leads_x000d__x000a_SELECT p.ILN, p.lead_x000d__x000a_INTO #myLead_x000d__x000a_FROM #myPid p_x000d__x000a_WHERE p.ILN &lt; 'M' _x000d__x000a_CREATE INDEX myLead_idx ON #myLead(lead)_x000d__x000a_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SELECT p.prop_id, ctry.ctry_name, id=identity(18), 0 as 'seq' INTO #myCtry_x000d__x000a_FROM #myPid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_x000d__x000a_OTH_AGCY_SUBM_FLAG,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INTO #myCovrInfo_x000d__x000a_FROM #myPid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sf_rcvd_date, prop_stts_txt, nullif(dd_rcom_date,'1900-01-01') AS dd_rcom_date, ra.RAupdate, _x000d__x000a_cntx_stmt_id, prop.pgm_annc_id, prop.org_code, prop.pgm_ele_code,_x000d__x000a_prop.pm_ibm_logn_id as PO, prop_stts_abbr,natr_rqst.natr_rqst_abbr,prop.obj_clas_code,ai.awd_istr_abbr as rcom_istr_abbr,_x000d__x000a_org.dir_div_abbr as Div, p.lead, p.ILN, p.prop_id,_x000d__x000a_p.L AS pi_last_name, p.F AS pi_frst_name, p.I AS inst, p.st_code, p.M as email, 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udgPRCs bp WHERE bp.prop_id = p.prop_id) AS bPRCs,_x000d__x000a_c.humn_date, c.vrtb_date,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prop.rqst_eff_date,prop.rqst_mnth_cnt,_x000d__x000a_p.D AS rqst_tot, b.RN as brevn, b.T as budg_tot, _x000d__x000a_nullif((SELECT sum(budg_splt_tot_dol) FROM csd.budg_splt s _x000d__x000a_        WHERE s.prop_id = p.prop_id),0) as splt_tot, _x000d__x000a_b.sub_ctr_tot, b.frgn_trav_tot, b.pdoc_tot,b.part_tot_dol, b.grad_tot_cnt, _x000d__x000a_b.sr_tot_cnt, b.sr_sumr_mnths, b.sr_acad_mnths, b.sr_cal_mnths,_x000d__x000a_prop.prop_titl_txt,a.abst_narr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
  </connection>
  <connection id="6" name="RAMailMerge111" type="1" refreshedVersion="6" background="1" saveData="1">
    <dbPr connection="dsn=RPTSERVER;database=rptdb;server=RPTSQL.nsf.gov;port=5000;UID=ccfuser;" command="SET NOCOUNT ON _x000d__x000a_SELECT DISTINCT CASE WHEN p.lead_prop_id IS NULL THEN 'I' WHEN p.lead_prop_id &lt;&gt; p.prop_id THEN 'N' ELSE 'L' END AS ILN,_x000d__x000a_isnull(p.lead_prop_id,p.prop_id) AS lead, p.prop_id, p.pi_id, p.inst_id_x000d__x000a_INTO #myPid FROM csd.prop p_x000d__x000a_JOIN csd.panl_prop pp ON p.prop_id = pp.prop_id_x000d__x000a_WHERE p.prop_stts_code IN ('00','01','02','08','09') AND pp.panl_id in ('p172027','p170288','p180207','p180208')_x000d__x000a_ORDER BY lead, ILN, p.prop_id_x000d__x000a_CREATE INDEX myPid_idx ON #myPid(prop_id)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INSERT INTO #myPid _x000d__x000a_SELECT DISTINCT CASE WHEN p.lead_prop_id IS NULL THEN 'I' WHEN p.lead_prop_id &lt;&gt; p.prop_id THEN 'N' ELSE 'L' END AS ILN,_x000d__x000a_isnull(p.lead_prop_id,p.prop_id) AS lead, p.prop_id, p.pi_id, p.inst_id_x000d__x000a_FROM #myPid pid_x000d__x000a_JOIN csd.prop p ON p.lead_prop_id = pid.lead_x000d__x000a_WHERE pid.ILN &lt; 'M' AND NOT EXISTS (SELECT * FROM #myPid px WHERE px.prop_id = p.prop_id)_x000d__x000a__x000d__x000a_-- project leads_x000d__x000a_SELECT p.ILN, p.lead_x000d__x000a_INTO #myLead_x000d__x000a_FROM #myPid p_x000d__x000a_WHERE p.ILN &lt; 'M' _x000d__x000a_CREATE INDEX myLead_idx ON #myLead(lead)_x000d__x000a_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SELECT p.prop_atr_code AS PRC, prc.pgm_ref_txt AS PRC_Description_x000d__x000a_FROM (SELECT DISTINCT prop_atr_code FROM #myPRCdata) p_x000d__x000a_JOIN csd.pgm_ref prc ON prc.pgm_ref_code = p.prop_atr_code_x000d__x000a_ORDER BY PRC_x000d__x000a_"/>
  </connection>
</connections>
</file>

<file path=xl/sharedStrings.xml><?xml version="1.0" encoding="utf-8"?>
<sst xmlns="http://schemas.openxmlformats.org/spreadsheetml/2006/main" count="35252" uniqueCount="1019">
  <si>
    <t>prop_id</t>
  </si>
  <si>
    <t>eJ</t>
  </si>
  <si>
    <t>RA</t>
  </si>
  <si>
    <t>solicitation</t>
  </si>
  <si>
    <t>pgm_ele_code</t>
  </si>
  <si>
    <t>org_code</t>
  </si>
  <si>
    <t>Column1</t>
  </si>
  <si>
    <t>nsf_rcvd_date</t>
  </si>
  <si>
    <t>pgm_annc_id</t>
  </si>
  <si>
    <t>lead</t>
  </si>
  <si>
    <t>pi_last_name</t>
  </si>
  <si>
    <t>inst_name</t>
  </si>
  <si>
    <t>pi_emai_addr</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</si>
  <si>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</si>
  <si>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</si>
  <si>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</si>
  <si>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</si>
  <si>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</si>
  <si>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</si>
  <si>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</si>
  <si>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</si>
  <si>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</si>
  <si>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</si>
  <si>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</si>
  <si>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</si>
  <si>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</si>
  <si>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</si>
  <si>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</si>
  <si>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</si>
  <si>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</si>
  <si>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</si>
  <si>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</si>
  <si>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</si>
  <si>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</si>
  <si>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</si>
  <si>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</si>
  <si>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</si>
  <si>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</si>
  <si>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</si>
  <si>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</si>
  <si>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</si>
  <si>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</si>
  <si>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</si>
  <si>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</si>
  <si>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</si>
  <si>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</si>
  <si>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</si>
  <si>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</si>
  <si>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</si>
  <si>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</si>
  <si>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</si>
  <si>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</si>
  <si>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</si>
  <si>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</si>
  <si>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</si>
  <si>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</si>
  <si>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</si>
  <si>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</si>
  <si>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</si>
  <si>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</si>
  <si>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</si>
  <si>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</si>
  <si>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</si>
  <si>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</si>
  <si>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</si>
  <si>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</si>
  <si>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</si>
  <si>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</si>
  <si>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</si>
  <si>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</si>
  <si>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</si>
  <si>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</si>
  <si>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</si>
  <si>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</si>
  <si>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</si>
  <si>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</si>
  <si>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</si>
  <si>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</si>
  <si>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</si>
  <si>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</si>
  <si>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</si>
  <si>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</si>
  <si>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</si>
  <si>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</si>
  <si>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</si>
  <si>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</si>
  <si>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</si>
  <si>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</si>
  <si>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</si>
  <si>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</si>
  <si>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rqst_dol</t>
  </si>
  <si>
    <t>humn_date</t>
  </si>
  <si>
    <t>vrtb_date</t>
  </si>
  <si>
    <t>PO</t>
  </si>
  <si>
    <t>obj_clas_code</t>
  </si>
  <si>
    <t>natr_rqst_code</t>
  </si>
  <si>
    <t>prop_stts_code</t>
  </si>
  <si>
    <t>inst_id</t>
  </si>
  <si>
    <t>st_code</t>
  </si>
  <si>
    <t>pi_id</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</si>
  <si>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</si>
  <si>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</si>
  <si>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</si>
  <si>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</si>
  <si>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</si>
  <si>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</si>
  <si>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</si>
  <si>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</si>
  <si>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</si>
  <si>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</si>
  <si>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</si>
  <si>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</si>
  <si>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</si>
  <si>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</si>
  <si>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</si>
  <si>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</si>
  <si>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</si>
  <si>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</si>
  <si>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</si>
  <si>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</si>
  <si>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</si>
  <si>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</si>
  <si>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</si>
  <si>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</si>
  <si>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</si>
  <si>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</si>
  <si>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</si>
  <si>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</si>
  <si>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</si>
  <si>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</si>
  <si>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</si>
  <si>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</si>
  <si>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</si>
  <si>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</si>
  <si>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</si>
  <si>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</si>
  <si>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EPSCoR check</t>
  </si>
  <si>
    <t>pm_logn_id (7 letters):</t>
  </si>
  <si>
    <t>Sr pers #, months</t>
  </si>
  <si>
    <t>budget data by revision</t>
  </si>
  <si>
    <t>blocks to copy for RA or budget calculatiosn</t>
  </si>
  <si>
    <t>Budget worksheet:  latest revised budget numbers by proj, proposal, &amp; year. Copy cols V-Z  into RAs or budget calculations.</t>
  </si>
  <si>
    <t>@pi email</t>
  </si>
  <si>
    <t>Country</t>
  </si>
  <si>
    <t>abst_narr_txt</t>
  </si>
  <si>
    <t>frgn_trvl_dol</t>
  </si>
  <si>
    <t>NfmlPIs</t>
  </si>
  <si>
    <t>NhispPIs</t>
  </si>
  <si>
    <t>NhndcpPIs</t>
  </si>
  <si>
    <t>NnonWhtAsnPIs</t>
  </si>
  <si>
    <t>WMD</t>
  </si>
  <si>
    <t>WMD?9102</t>
  </si>
  <si>
    <t>Nrev</t>
  </si>
  <si>
    <t>NrevUnreleasable</t>
  </si>
  <si>
    <t>NrevUnmarked</t>
  </si>
  <si>
    <t>Npanl</t>
  </si>
  <si>
    <t>NpanlUnreleasable</t>
  </si>
  <si>
    <t>NpanlUnmarked</t>
  </si>
  <si>
    <t>Available templates:</t>
  </si>
  <si>
    <t>Note: Award templates file names must begin with Awd</t>
  </si>
  <si>
    <t xml:space="preserve">            All others are  declines.</t>
  </si>
  <si>
    <t>RATemplate</t>
  </si>
  <si>
    <t>RAsigner</t>
  </si>
  <si>
    <t>RAps_note</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</si>
  <si>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</si>
  <si>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</si>
  <si>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</si>
  <si>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</si>
  <si>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</si>
  <si>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</si>
  <si>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</si>
  <si>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</si>
  <si>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</si>
  <si>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</si>
  <si>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</si>
  <si>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</si>
  <si>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</si>
  <si>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</si>
  <si>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</si>
  <si>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</si>
  <si>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</si>
  <si>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</si>
  <si>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</si>
  <si>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</si>
  <si>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</si>
  <si>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</si>
  <si>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</si>
  <si>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</si>
  <si>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</si>
  <si>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</si>
  <si>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</si>
  <si>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</si>
  <si>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</si>
  <si>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</si>
  <si>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</si>
  <si>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</si>
  <si>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</si>
  <si>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</si>
  <si>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</si>
  <si>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</si>
  <si>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</si>
  <si>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</si>
  <si>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</si>
  <si>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RAfname</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</si>
  <si>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</si>
  <si>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</si>
  <si>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</si>
  <si>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</si>
  <si>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</si>
  <si>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</si>
  <si>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</si>
  <si>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</si>
  <si>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</si>
  <si>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</si>
  <si>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</si>
  <si>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</si>
  <si>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</si>
  <si>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</si>
  <si>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</si>
  <si>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</si>
  <si>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</si>
  <si>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</si>
  <si>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</si>
  <si>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</si>
  <si>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</si>
  <si>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</si>
  <si>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</si>
  <si>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</si>
  <si>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</si>
  <si>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</si>
  <si>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</si>
  <si>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</si>
  <si>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</si>
  <si>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</si>
  <si>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</si>
  <si>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</si>
  <si>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</si>
  <si>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</si>
  <si>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E,V,G,F,P</t>
  </si>
  <si>
    <t>@PI</t>
  </si>
  <si>
    <t>@all</t>
  </si>
  <si>
    <t>SUNY Buffalo</t>
  </si>
  <si>
    <t>F/P</t>
  </si>
  <si>
    <t>05010000</t>
  </si>
  <si>
    <t>MIT</t>
  </si>
  <si>
    <t>CCF</t>
  </si>
  <si>
    <t>Division of Computing and Communication Foundations</t>
  </si>
  <si>
    <t>Decline: select template</t>
  </si>
  <si>
    <t>Awds: select template</t>
  </si>
  <si>
    <t>Preferences</t>
  </si>
  <si>
    <t>Autoload to eJacket Preferences</t>
  </si>
  <si>
    <t>by populating mail merge templates from reportserver data.</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</si>
  <si>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</si>
  <si>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</si>
  <si>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</si>
  <si>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</si>
  <si>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</si>
  <si>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</si>
  <si>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</si>
  <si>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</si>
  <si>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</si>
  <si>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</si>
  <si>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</si>
  <si>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</si>
  <si>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</si>
  <si>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</si>
  <si>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</si>
  <si>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</si>
  <si>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</si>
  <si>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</si>
  <si>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</si>
  <si>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</si>
  <si>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</si>
  <si>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</si>
  <si>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</si>
  <si>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</si>
  <si>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</si>
  <si>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</si>
  <si>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for filled-in RA drafts: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</si>
  <si>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</si>
  <si>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</si>
  <si>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</si>
  <si>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</si>
  <si>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</si>
  <si>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</si>
  <si>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</si>
  <si>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</si>
  <si>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</si>
  <si>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</si>
  <si>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</si>
  <si>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</si>
  <si>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</si>
  <si>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</si>
  <si>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</si>
  <si>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</si>
  <si>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</si>
  <si>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Michael</t>
  </si>
  <si>
    <t xml:space="preserve">        </t>
  </si>
  <si>
    <t>02</t>
  </si>
  <si>
    <t>CO</t>
  </si>
  <si>
    <t>PA</t>
  </si>
  <si>
    <t>0038950000</t>
  </si>
  <si>
    <t>WI</t>
  </si>
  <si>
    <t>0037986000</t>
  </si>
  <si>
    <t>WA</t>
  </si>
  <si>
    <t>CA</t>
  </si>
  <si>
    <t xml:space="preserve">1045      </t>
  </si>
  <si>
    <t>0021782000</t>
  </si>
  <si>
    <t>MA</t>
  </si>
  <si>
    <t>0028373000</t>
  </si>
  <si>
    <t>NY</t>
  </si>
  <si>
    <t>MD</t>
  </si>
  <si>
    <t>GA</t>
  </si>
  <si>
    <t>7798</t>
  </si>
  <si>
    <t>ABANERJ</t>
  </si>
  <si>
    <t>1749539</t>
  </si>
  <si>
    <t>Ziarek</t>
  </si>
  <si>
    <t>lziarek@buffalo.edu</t>
  </si>
  <si>
    <t>NAMLA</t>
  </si>
  <si>
    <t>1749570</t>
  </si>
  <si>
    <t>Tatlock</t>
  </si>
  <si>
    <t>ztatlock@cs.washington.edu</t>
  </si>
  <si>
    <t>1749576</t>
  </si>
  <si>
    <t>Mainland</t>
  </si>
  <si>
    <t>Drexel University</t>
  </si>
  <si>
    <t>gbm26@drexel.edu</t>
  </si>
  <si>
    <t>1749654</t>
  </si>
  <si>
    <t>Gordon</t>
  </si>
  <si>
    <t>csg63@drexel.edu</t>
  </si>
  <si>
    <t>1749960</t>
  </si>
  <si>
    <t>Guha</t>
  </si>
  <si>
    <t>U of Massachusetts Amherst</t>
  </si>
  <si>
    <t>arjun@cs.umass.edu</t>
  </si>
  <si>
    <t>1750019</t>
  </si>
  <si>
    <t>Eades III</t>
  </si>
  <si>
    <t>AURI</t>
  </si>
  <si>
    <t>heades@augusta.edu</t>
  </si>
  <si>
    <t>1750142</t>
  </si>
  <si>
    <t>Zhang</t>
  </si>
  <si>
    <t>PA St U University Park</t>
  </si>
  <si>
    <t>zhang@cse.psu.edu</t>
  </si>
  <si>
    <t>1750465</t>
  </si>
  <si>
    <t>Greenberg</t>
  </si>
  <si>
    <t>Pomona College</t>
  </si>
  <si>
    <t>michael.greenberg@pomona.edu</t>
  </si>
  <si>
    <t>1750482</t>
  </si>
  <si>
    <t>Wood</t>
  </si>
  <si>
    <t>Wellesley College</t>
  </si>
  <si>
    <t>bwood5@wellesley.edu</t>
  </si>
  <si>
    <t>1750514</t>
  </si>
  <si>
    <t>Tobin-Hochstadt</t>
  </si>
  <si>
    <t>Indiana University</t>
  </si>
  <si>
    <t>samth@cs.indiana.edu</t>
  </si>
  <si>
    <t>1750886</t>
  </si>
  <si>
    <t>Univ of Louisiana at Lafay</t>
  </si>
  <si>
    <t>sxc2311@louisiana.edu</t>
  </si>
  <si>
    <t>1750965</t>
  </si>
  <si>
    <t>D'Antoni</t>
  </si>
  <si>
    <t>loris@cs.wisc.edu</t>
  </si>
  <si>
    <t>1751011</t>
  </si>
  <si>
    <t>Carbin</t>
  </si>
  <si>
    <t>mcarbin@csail.mit.edu</t>
  </si>
  <si>
    <t>1751185</t>
  </si>
  <si>
    <t>Khatchadourian</t>
  </si>
  <si>
    <t>CUNY Hunter College</t>
  </si>
  <si>
    <t>raffi.khatchadourian@hunter.cuny.edu</t>
  </si>
  <si>
    <t>1751195</t>
  </si>
  <si>
    <t>Van Horn</t>
  </si>
  <si>
    <t>U of MD College Park</t>
  </si>
  <si>
    <t>dvanhorn@cs.umd.edu</t>
  </si>
  <si>
    <t>1751333</t>
  </si>
  <si>
    <t>Cerny</t>
  </si>
  <si>
    <t>U of Colorado Boulder</t>
  </si>
  <si>
    <t>pavol.cerny@colorado.edu</t>
  </si>
  <si>
    <t>P172382</t>
  </si>
  <si>
    <t xml:space="preserve"> SHF FM/PL CAREER</t>
  </si>
  <si>
    <t xml:space="preserve"> Panel Summary       
 _x000D_
SUMMARY OF PROPOSED RESEARCH ACTIVITY_x000D_
_x000D_
This proposal focuses on adding real-time computing capabilities to mobile phones, thus enabling safety-critical applications.  This requires novel solutions to integrate traditional applications with one or more coexisting real-time applications, while allowing limited communication between them.  The PI will explore type-system extensions to characterize these communications, and invent new approaches to worst-case-execution-time analysis in a runtime compilation (JIT) setting._x000D_
_x000D_
INTELLECTUAL MERIT_x000D_
_x000D_
Strengths:_x000D_
_x000D_
Real-time on Android is important and likely to happen, so this proposal fills a need to explore the challenges and do basic research to inform subsequent industry attempts in this area.  The previous work provides strong evidence that the proposed work can be accomplished._x000D_
_x000D_
Weaknesses:_x000D_
_x000D_
Some panelists were left with technical questions, which could be addressed in minor revisions. Panelists were not clear on the novelty of some aspects of the WCET analysis and inter-partition communication._x000D_
_x000D_
Suggestions for improvement:_x000D_
_x000D_
The proposal covers a broad area.  The panel would appreciate some extra detail on what a full (strawman) solution would look like without the proposed work, versus with the proposed work.  This implies a clearer exposition of the state of the art in full-scale real time systems (which must deal with some asynchronous messages from outside), and would provide more clarity around the novelty of the proposal._x000D_
_x000D_
BROADER IMPACTS _x000D_
_x000D_
Strengths:_x000D_
_x000D_
There's a natural outreach component to programming mobile devices, either because young people already have them (phones) or because of an embedded component (Raspberry Pi, robots, etc).  The PI has a strong track record of high-school outreach.  The PI has an impressive record of system building._x000D_
_x000D_
CAREER SOLICITATION-SPECIFIC REMARKS_x000D_
_x000D_
Integration of research and education:_x000D_
The PI presents solid plans on educational materials and tools for real-time Android at the high-school and university levels._x000D_
_x000D_
SUMMARY STATEMENT_x000D_
_x000D_
This is a strong proposal worthy of funding.  It suggests a compelling mix of technologies to address real-time (hard-deadline) applications on Android mobile devices.  The proposal covers a lot of ground and could do with a few more technical details plus direct comparison to prior art._x000D_
_x000D_
The recommendation of the panel is: Competitive._x000D_
_x000D_
The panelists concur that the Panel Summary accurately reflects the panel discussion._x000D_
</t>
  </si>
  <si>
    <t>ACHTCHE</t>
  </si>
  <si>
    <t>ZY0862037</t>
  </si>
  <si>
    <t>Aldrich</t>
  </si>
  <si>
    <t>jonathan.aldrich@cs.cmu.edu</t>
  </si>
  <si>
    <t xml:space="preserve">In the context of the five review elements, please _x000D_
evaluate the strengths and weaknesses of the proposal with respect to intellectual merit._x000D_
_x000D_
Overall, the proposal is strong with respect to intellectual merit.  While a great deal of research has examined real-time systems development, almost none of it targets the kind of dynamic composition that is necessary in an open world of interacting real-time and non-real-time applications.  The proposal makes a compelling case that support for such systems is going to be important in many future application domains, from internet of things to medical devices to military systems._x000D_
_x000D_
There is no one solution to the problem; rather, a wide-ranging set of research problems must be addressed in order to create a virtual machine that supports adaptable real-time applications, a specification and verification system for specifying their constraints and ensuring they are met, and an approach for programming such applications.  The PI has expertise that matches the range of problems, and outlines a detailed set of research questions that, when answered, address the larger problem._x000D_
_x000D_
If anything the research agenda laid out is a bit ambitious for the amount of time and money that is requested here.  But a CAREER proposal can reach beyond a single grant to set the path that an investigater can pursue in their career, and this proposal does so well; if funded, I believe the PI will make excellent research progress under this grant.  _x000D_
_x000D_
There are genuinely transformative aspects of this proposal.  Most notably, the real-time systems community has traditionally placed major restrictions on real-time systems that prohibit unplanned composition and adaptation.  This proposal is aimed squarely at this problem, and if successful could change the trajectory of the real-time systems field in a direction that would be very positive._x000D_
_x000D_
_x000D_
In the context of the five review elements, please _x000D_
evaluate the strengths and weaknesses of the proposal with respect to broader impacts._x000D_
_x000D_
Extensible ecosystems such as Android, iOS, and Eclipse have revolutionized their markets, but that revolution has not yet occurred in systems with real-time components.  If successful, we could see a similarly broad impact on systems that have timing constraints, including medical devices and the internet of things._x000D_
_x000D_
The PI's education plan is strong.  It includes the kind of course integration that is common in NSF proposals, but goes beyond in extending the PI's demonstrated track record in reaching out to high school and middle school teachers.  I also appreciate the PI's attention to diversity in his outreach and advising activities._x000D_
_x000D_
_x000D_
Please evaluate the strengths and _x000D_
weaknesses of the proposal with respect to any additional solicitation-specific review criteria, if _x000D_
applicable_x000D_
_x000D_
_x000D_
_x000D_
Summary Statement_x000D_
_x000D_
This is a very strong proposal and I would like to see it funded._x000D_
_x000D_
</t>
  </si>
  <si>
    <t>TS0862697</t>
  </si>
  <si>
    <t>Grossman</t>
  </si>
  <si>
    <t>djg@cs.washington.edu</t>
  </si>
  <si>
    <t xml:space="preserve">In the context of the five review elements, please _x000D_
evaluate the strengths and weaknesses of the proposal with respect to intellectual merit._x000D_
_x000D_
Strengths:_x000D_
_x000D_
* Real-time systems are only growing in importance (drones, Internet_x000D_
of Things, health applications, ...) and the field would benefit_x000D_
from more PL-influenced work like that in the proposal._x000D_
_x000D_
* PI clearly has years of experience on Real-Time for Java._x000D_
_x000D_
* Some of the particular research questions posed seem timely and_x000D_
interesting, specifically (1) allowing multiple real-time tasks to share_x000D_
computation and (2) bringing WCET analysis to the JIT setting by_x000D_
doing parts of the analysis ahead-of-time and other parts JIT, (3)_x000D_
the issues of failure resilience._x000D_
_x000D_
* Non-trivial implementation and application plans._x000D_
_x000D_
Weaknesses:_x000D_
_x000D_
* I wish I had been more convinced that the advances in the proposal_x000D_
are /necessary/ rather than doing adaptation and relaxed-isolation_x000D_
in a more heavyweight way, basically by doing the current static_x000D_
approach during "slack time".  That is, there are surely downsides_x000D_
to treating any combination of communicating applications as "one_x000D_
big application" and to treating adaptation as a "reanalayze and_x000D_
restart" event, but are those downsides so significant in practice?_x000D_
They probably are, but I'm not sure and I'd prefer performing the_x000D_
work here against that strawman/baseline._x000D_
_x000D_
* I am worried about the feasibility of adding resource-consumption to_x000D_
session types.  In my view, adding resource consumption to even_x000D_
"regular" types has been a difficult row to hoe for researchers for_x000D_
many years [see for example, all the cost-analysis work done in the_x000D_
OCaml setting among others], and it wasn't clear to me why the_x000D_
setting here would be easier.  It /might/ be if the types can remain_x000D_
at somewhat coarse service-level APIs, but I wasn't sure if that_x000D_
would be possible._x000D_
_x000D_
_x000D_
In the context of the five review elements, please _x000D_
evaluate the strengths and weaknesses of the proposal with respect to broader impacts._x000D_
_x000D_
Strengths:_x000D_
_x000D_
* Excellent ongoing work with high school teachers and students._x000D_
_x000D_
* Solid plans on educational materials/tools for real-time and Android_x000D_
at both the high school and university levels._x000D_
_x000D_
* Practical real-time systems are truly important for society._x000D_
_x000D_
Weaknesses:_x000D_
_x000D_
* None_x000D_
_x000D_
_x000D_
Please evaluate the strengths and _x000D_
weaknesses of the proposal with respect to any additional solicitation-specific review criteria, if _x000D_
applicable_x000D_
_x000D_
_x000D_
_x000D_
Summary Statement_x000D_
_x000D_
Practical and interesting work at the cutting-edge of making real-time_x000D_
systems more dynamic and adaptable, but I had concerns about the_x000D_
motivation of some of the key pieces of the work._x000D_
_x000D_
_x000D_
</t>
  </si>
  <si>
    <t>PS0733704</t>
  </si>
  <si>
    <t>Lea</t>
  </si>
  <si>
    <t>dl@cs.oswego.edu</t>
  </si>
  <si>
    <t xml:space="preserve">In the context of the five review elements, please _x000D_
evaluate the strengths and weaknesses of the proposal with respect to intellectual merit._x000D_
_x000D_
_x000D_
The evolution of mobile devices into platforms that at least sometimes_x000D_
need to support real-time and safety-critical applications seems_x000D_
unstoppable.  This proposal documents how far we are from_x000D_
understanding how to reliably do so, in the course of proposing a set_x000D_
of related efforts addressing underlying problems as well as their_x000D_
application. The scope of these efforts seems appropriate for a CAREER_x000D_
award to thie PI._x000D_
_x000D_
The PI's message/service approach seems to be among the few reasonable_x000D_
paths for attacking the main issues, and this proposal in part builds_x000D_
on the PIs prior success.  The motivation and surveys of related work_x000D_
are well done, indicating clear expertise in its many facets:_x000D_
prioritizing messages and events, partial isolation, Run-time support_x000D_
including GC, and WCET analysis. Some of the ideas for addressing_x000D_
these are clearer than others (which is OK as part of a long-term_x000D_
proposal). The planned work on messaging, partial isolation, and GC_x000D_
seem well-reasoned and likely to at least partially succeed._x000D_
_x000D_
Of the proposed work, section 5.2 on type-based approaches seems the_x000D_
most tentative and least worked out. Even so, the appraoch seems worth_x000D_
pursuing. The PI might also consider using other work on semiformal_x000D_
QoS annotations that seem relevant._x000D_
_x000D_
The section 5.3 discussions about WCET in JITs are also_x000D_
(understandably) a bit fuzzy. It would help if the proposal more_x000D_
clearly defined possible success criteria._x000D_
_x000D_
_x000D_
In the context of the five review elements, please _x000D_
evaluate the strengths and weaknesses of the proposal with respect to broader impacts._x000D_
_x000D_
_x000D_
Success will surely somehow impact mobile development and_x000D_
applications, although it is hard to predict exactly how._x000D_
_x000D_
The ties to educational efforts, even with high school students, make_x000D_
sense. Programming such devices is intrinsically fun, and the PI's_x000D_
efforts have a chance of attracting more diverse students to working_x000D_
on worthwhile problems._x000D_
_x000D_
Please evaluate the strengths and _x000D_
weaknesses of the proposal with respect to any additional solicitation-specific review criteria, if _x000D_
applicable_x000D_
_x000D_
_x000D_
_x000D_
Summary Statement_x000D_
_x000D_
The PI proposes a multifaceted effort to establish techniques,_x000D_
methods, and tools for evolving mobile platforms (in particular,_x000D_
Android) so that they can reliably support real-time and_x000D_
safety-critical applications. The desirablility of this outcome (both_x000D_
in terms of scientific and social contributions) is obvious.  The_x000D_
proposal clearly indicates areas of investigation and problems that_x000D_
need solution. The preliminary ideas and plans for addressing them_x000D_
vary from solid to plausible, and build upon appropriate related_x000D_
research._x000D_
_x000D_
</t>
  </si>
  <si>
    <t>MG0941511</t>
  </si>
  <si>
    <t>Newton</t>
  </si>
  <si>
    <t>rrnewton@indiana.edu</t>
  </si>
  <si>
    <t xml:space="preserve">In the context of the five review elements, please _x000D_
evaluate the strengths and weaknesses of the proposal with respect to intellectual merit._x000D_
_x000D_
This is a proposal that combines and generalizes existing techniques_x000D_
in novel ways.  It aims to create mobile software platforms (e.g. on_x000D_
phones) that combine realtime and traditional appliactions, keeping_x000D_
some legacy elements of the Android ecosystem, but developing new_x000D_
programming languages techniques (type systems, runtime features) for_x000D_
these hybrid programs.  This has the potential to advance_x000D_
understanding in a way that could bring hard real-time programming_x000D_
that much closer to being a practical, widespread, everyday affair._x000D_
_x000D_
The originality and novelty in the proposal comes from (1) improving_x000D_
individual techniques (WCET analysis, type systems, etc), and (2)_x000D_
solving new problems at the interface between hard-realtime and_x000D_
traditional appliactions._x000D_
_x000D_
The plan is sound, and it is greatly bolstered by the previous work of_x000D_
the PI, which already demonstrates an extensive record of work on_x000D_
runtime systems and compilers, including creating and releasing the_x000D_
systems that this work would build upon (Fiji VM, RTDroid).  This_x000D_
creates a strong foundation for the existing work and makes a_x000D_
convincing case that the (extensive) engineering portion of this_x000D_
proposal will also come to fruition._x000D_
_x000D_
As demonstrated in these previous works, the requisite resources are_x000D_
available to the PI to conduct the project._x000D_
_x000D_
My few reservations about the proposal come from how it covers a lot_x000D_
of ground, some of it superficially.  The explanation of related work_x000D_
and background information in the field is crystal clear.  But when it_x000D_
comes to proposed work, there are statements of the form "we will_x000D_
explore X", with out much detail of how that will go._x000D_
_x000D_
For instance, section 4.2 explains PRP and WFPT, but leaves quite a_x000D_
bit of guessing as to how these could be used in the proposed_x000D_
GC/JIT-as-a-service design.  The proposal states in what area work_x000D_
will be performed, and what the results may be, but it doesn't go very_x000D_
deeply into the new ideas and proposed techniques.  I.e. it would be_x000D_
good to at least sketch out new algorithms, type systems etc._x000D_
_x000D_
I was left some technical questions, such as:_x000D_
_x000D_
(1) How does the 8ms/32ms 1MB/2MB example avoid unbounded buffering of_x000D_
results?  The example is confusing, because the proposed extension of_x000D_
the session types only talks about the size of the data, and not what_x000D_
the data means, accoustically: e.g., "contiguous windows, 44 KHz".  If_x000D_
the cochlear implant application produces messages every 8ms,_x000D_
presumably these are windows of 8ms of audio.  If the other service_x000D_
fires every 32ms, but combines only the first *two* messages from the_x000D_
cochlear service, it is either getting only 16ms/32ms of data_x000D_
(dropping half the time series, confusing a stateful algorithm), or it_x000D_
is buffering data in an unbounded way, with the cochlear service_x000D_
producing more messages than it consumes in each 32ms epoch._x000D_
_x000D_
(2) Why does it make sense to ever interpret bytecode in the realtime_x000D_
partitions?  Through reading most of the proposal, I was implicitly_x000D_
assuming that real time applications would be completely compiled at_x000D_
the time they were scheduled and activated.  Thus I was surprised to_x000D_
read that WCET analysis was to be applied for bytecode interpretation._x000D_
_x000D_
----------------------_x000D_
_x000D_
Minor comments on presentation:_x000D_
_x000D_
Use of hyphenation could be better in this proposal.  For_x000D_
instance I was taught that "JIT based validation" should be_x000D_
"JIT-based", because an "A B C" noun phrase like this by default_x000D_
associates right "A (B C)"._x000D_
_x000D_
There are various typos such as "form" =&gt; "from"._x000D_
"light weight specification"_x000D_
"that they adheres"_x000D_
_x000D_
_x000D_
In the context of the five review elements, please _x000D_
evaluate the strengths and weaknesses of the proposal with respect to broader impacts._x000D_
_x000D_
This work is poised to connect the somewhat specialized field of_x000D_
real-time embedded systems programming with the broader world of_x000D_
mobile app development.  The PI's investment in the Android/Java_x000D_
platform increases the practical reach of this work._x000D_
_x000D_
The case for impact on education, recruitment, and human capital are_x000D_
good, and include a high level of demonstrated outreach activities by_x000D_
the PI._x000D_
_x000D_
_x000D_
Please evaluate the strengths and _x000D_
weaknesses of the proposal with respect to any additional solicitation-specific review criteria, if _x000D_
applicable_x000D_
_x000D_
_x000D_
_x000D_
Summary Statement_x000D_
_x000D_
This is a good proposal that builds on a strong line of previous work_x000D_
to go address a timely challenge: offloading real-time computation_x000D_
from edge devices to powerful mobile phones carried by most people._x000D_
_x000D_
The outreach plan is very good.  The PI has a demonstrated record of_x000D_
working with high school teachers.  It capitilizes on the use of_x000D_
embedded programming (e.g. on Raspberry Pi and mobile devices) in_x000D_
promoting computing with younger age groups._x000D_
_x000D_
_x000D_
</t>
  </si>
  <si>
    <t>HH0806900</t>
  </si>
  <si>
    <t>Stoller</t>
  </si>
  <si>
    <t>stoller@cs.stonybrook.edu</t>
  </si>
  <si>
    <t xml:space="preserve">In the context of the five review elements, please _x000D_
evaluate the strengths and weaknesses of the proposal with respect to intellectual merit._x000D_
_x000D_
STRENGTHS_x000D_
_x000D_
This project would develop an Android runtime system that supports execution of multiple real-time and non real-time applications, allowing them to interact in the "software as a service" style, while providing timing guarantees for real-time applications.  Furthermore, the runtime will be "adaptive" in the sense of allowing applications to be added, removed, and updated dynamically.  The runtime system will reject applications if the performance requirements of the existing and new applications together cannot be guaranteed._x000D_
_x000D_
The proposed systems would be based on the PI's substantial prior work on Fiji VM, a mixed-criticality real-time JVM, and RTDroid, a real-time version of Android._x000D_
_x000D_
The running example, of two audio-related real-time applications, is helpful._x000D_
_x000D_
The PI is well qualified to perform the proposed work._x000D_
_x000D_
The evaluation plan involves realistic software and applications with which the PI has experience._x000D_
_x000D_
WEAKNESSES_x000D_
_x000D_
JIT creates significant complications, especially for WCET analysis.  Is JIT necessary?  JIT was replaced with ahead-of-time (AOT) compilation in the Android Runtime (ART) in Android 5 and 6.  Android 7 modifies the ART to support optional use of JIT to optimize executables produced by AOT compilation, but this could simply be turned off for real-time applications.  It is common to accept somewhat lower performance for real-time applications, in exchange for simplicity and predictability.  It would be good to know how much performance is at stake here, i.e., how much benefit the JIT adds to ART._x000D_
_x000D_
The proposal lacks an overview of scheduling in RTDroid, making it difficult to understand how the proposed extensions fit into an overall scheduling framework.  The comparison to existing work on adaptive real-time systems in Section 2 is brief and does not fully convey why existing worn on real-time scheduling of communicating tasks is insufficient "in the context of the software as a service model"._x000D_
_x000D_
In the running example, as shown in Figure 4, why do the cochlear implant application and acoustic ranging application use the same transmission service?  The cochlear implant application needs to send processed audio back to the cochlear implant, while the acoustic ranging application needs to send range information to other apps, e.g., the museum's app._x000D_
_x000D_
In the example in Section 5.2, giving the acoustic ranging application "any 2 MB" of information seems brittle.  perhaps it needs 2MB of lower-resolution audio representing the entire 32 ms.  Or perhaps it would be satisfied with two consecutive 8ms samples, or perhaps it needs two non-consecutive samples.  This is issue is addressed, to some extent, in the last paragraph of Section 6.  Include a forward pointer to that discussion._x000D_
_x000D_
Section 5.3 proposes to us offline platform-agnostic analysis to identify worst-case path, and then use online platform-dependent analysis to compute its execution time.  What if the worst-case path is platform-dependent?_x000D_
_x000D_
In the context of the five review elements, please _x000D_
evaluate the strengths and weaknesses of the proposal with respect to broader impacts._x000D_
_x000D_
STRENGTHS_x000D_
_x000D_
Android's dominance in the mobile phone market makes it an attractive platform for many real-time applications, if it can be modified to provide the required timing guarantees, without too much loss of flexibility.  This project could make a significant contribution towards that goal._x000D_
_x000D_
The PI has a good record of participation in K-12 outreach activities and supervision of research by undergraduates and M.S. students.  This project would help the PI update and expand those efforts._x000D_
_x000D_
Some of the proposed research would be incorporated in the PI's graduate classes on programming languages._x000D_
_x000D_
WEAKNESSES_x000D_
_x000D_
Real-time versions of Java have been around for a long time (for example, the first final release of the JSR for RTSJ was in 2002) and have gained little adoption so far, as far as I know.  "Adaptivity" makes the challenge even greater._x000D_
_x000D_
Please evaluate the strengths and _x000D_
weaknesses of the proposal with respect to any additional solicitation-specific review criteria, if _x000D_
applicable_x000D_
_x000D_
_x000D_
_x000D_
Summary Statement_x000D_
_x000D_
This project aims to develop an Android runtime system that supports execution of multiple real-time and non real-time applications, allowing them to interact in the "software as a service" style, while providing timing guarantees for real-time applications.  This could be a significant step towards use of Android-based systems in real-time applications._x000D_
_x000D_
</t>
  </si>
  <si>
    <t>Traditionally  real-time embedded systems have been statically defined to ensure predictability. This proposal aims at developing the foundations for dynamic, adaptable real-time systems, specifically targeting mobile platforms. The increasing need for real-time guarantees in mobile embedded systems poses a unique set of challenges, including changing software, just-in-time (JIT) compilation, and dynamic interactions between applications of differing criticality levels.  Under this proposal we will investigate language level, compiler, and runtime techniques to enable the construction mobile real-time systems.This proposal will result in three research contributions. (1) Under this award, the PI will investigating a novel partitioned runtime, including support for executing multiple real-time and non real-time applications, cross application communication abstractions with concrete predictability guarantees, as well as  partitioned VM-level services, such as JIT compilation and garbage collection. The runtime will be expressive enough to support Android's APIs and execution model, yet afford predictability guarantees necessary for real-time support. (2) The PI will develop a series of validation mechanisms to ensure real-time guarantees for mobile systems. The PI will investigate lightweight specifications and behavioral types for describing communication patterns in real-time mobile systems and explore how leverage both to validate added or replaced applications. The PI will develop novel hybrid worst case execution time analysis, supported through static compilation as well as just-in-time compilation, to validate timing of new applications in the system. (3) The PI will investigate a programming model for expressing adaptability in mobile systems.This research will produce an adaptable real-time system framework, RTDroid, capable of executing on embedded and mobile systems.  This infrastructure will enable the use of Android in classic real-time settings, such as UAV flight systems. It will also enable the advancement of real-time mobile applications for sensing, personalized health care, command and control, as well as automotive domains. This award will allow the PI to advance his education and outreach plans, including the creation of a new Java-based real-time and embedded systems course at SUNY Buffalo leveraging the infrastructure built under this award and integrating mobile, event-based programming and RTDroid into the courses he already teaches. The technologies and systems developed under this proposal will also provide masters students and undergraduate students a basis for writing a thesis, exploring an independent study, or performing a capstone project. The project will result in the training and education of Ph.D. students.  As an active member of the Computer Science Teachers Association (CSTA),  Interdisciplinary Science and Engineering Partnership (ISEP), and Computer Science for High School (CS4HS), the PI plans to leverage the software systems and applications developed under this award to continue his outreach activities, including teaching professional development workshops for local high school and middle school teachers. Most notably, under the ISEP program high school teachers participate in the PI's lab during summer to gain experience with Android. This has a direct impact on 12 local middle and high schools. Lastly, this award will serve to advanced the career of the PI,  providing a foundation for the PI's research program focused on exploring the viability of dynamically defined real-time systems, capable of adapting their software components to the system's contextual needs.</t>
  </si>
  <si>
    <t xml:space="preserve"> Panel Summary       
  SUMMARY OF PROPOSED RESEARCH ACTIVITY _x000D_
_x000D_
This proposal targets formal verification of distributed systems which are error-prone and very difficult to get right. Moreover, correctness of distributed systems is a critical problem for the dependability of the national cyber-infrastructure. The proposed work will combine an interactive theorem prover (Coq) with a verification framework and a verification methodology, with the goal of minimizing the manual effort required for the verification of not only the specifications, but also the implementations of distributed systems. _x000D_
_x000D_
INTELLECTUAL MERIT _x000D_
_x000D_
Strengths:_x000D_
* The proposal has a clear and ambitious goal. Being able to verify not only the specifications but also the implementations of realistic distributed systems would be a significant intellectual achievement. _x000D_
_x000D_
* Currently, formal verification of non-trivial software systems with interactive theorem provers requires heroic efforts from the developers. A verification framework and methodology that can reduce this huge human cost will be a transformative contribution to formal verification of distributed systems. _x000D_
_x000D_
* The proposal contains a well thought out and well articulated research plan that consists of 8 research questions that will be investigated, and 3 case studies that will be used for evaluation. The proposal lists concrete steps that will be taken to implement the presented research plan. _x000D_
_x000D_
* The PI has a very strong track record and is well qualified to conduct the proposed research. His preliminary results on Raft, BGP and SSH protocols demonstrate that the proposed work is feasible and is likely to succeed. _x000D_
_x000D_
* Proposed verification methodology integrates promising concepts such as verified system transformers and formal shim verification that were developed by the PI, with classical verification strategies such as compositional verification, observational refinement, and assume/guarantee reasoning, resulting in a powerful verification toolbox._x000D_
_x000D_
Weaknesses:_x000D_
* Formal verification approaches inevitably rely on a trust base and the proposed approach is no exception since it relies on the correctness of Coq. However, the proposed work adds more components to this trust base (such as verified system transformers), but this issue is not discussed in the proposal. _x000D_
_x000D_
* Proposal does not adequately discuss the connections between some of the proposed techniques (such as compositional verification and assume/guarantee reasoning) and the extensive prior work on these topics in the verification community. _x000D_
_x000D_
Suggestions for improvement:_x000D_
* A discussion on reliability of the trust base would improve the proposal._x000D_
_x000D_
* PI should discuss the languages that are supported by the verification framework, identifying restrictions on the languages that will be used by the developers. _x000D_
_x000D_
BROADER IMPACTS _x000D_
_x000D_
Strengths:_x000D_
* Fault-tolerant distributed systems have enormous importance for our society since many critical software services rely on them. By developing a methodology for improving dependability of fault-tolerant distributed systems, this proposal can have a big impact on our society. _x000D_
_x000D_
* Proposal has an educational plan that is aligned with the proposed research. Introducing interactive theorem provers to the computing curriculum is a realistic and worthy goal._x000D_
_x000D_
* PI serves as a mentor in a program that targets increasing retention of under-served populations. Through this program, PI plans to integrate undergraduate students to research. _x000D_
_x000D_
CAREER SOLICITATION-SPECIFIC REMARKS_x000D_
_x000D_
The PI has strong support from his institution. He has a senior faculty mentor, he will receive annual review and feedback from two senior faculty members, and he received a  sizable start-up package. _x000D_
_x000D_
Educational component of the proposal includes plans to integrate the research topic of the proposal to the computing curriculum. This integration is positive and realistic.  _x000D_
_x000D_
SUMMARY STATEMENT _x000D_
_x000D_
This proposal will develop a verification framework and methodology for distributed systems that will reduce the manual effort required for formal verification. The proposal has a well articulated research plan with clear goals and concrete steps. The PI has a very strong track record and his preliminary results indicate that the proposed research can succeed. If successful, the proposed research can be transformative for formal verification of distributed systems._x000D_
_x000D_
The proposal does not adequately address some questions, such as the trust base required by the proposed approach, relationship to prior verification approaches, and the expertise required by the users of the proposed approach. Addressing these questions would have ranked the proposal higher. _x000D_
_x000D_
The recommendation of the panel is Competitive._x000D_
The panelists concur that the Panel Summary accurately reflects the panel discussion. 
</t>
  </si>
  <si>
    <t>YH0778768</t>
  </si>
  <si>
    <t>Bultan</t>
  </si>
  <si>
    <t>bultan@cs.ucsb.edu</t>
  </si>
  <si>
    <t xml:space="preserve">In the context of the five review elements, please _x000D_
evaluate the strengths and weaknesses of the proposal with respect to intellectual merit._x000D_
_x000D_
The proposal focuses on formal verification of distributed systems, which is an extremely critical problem for reliability of the cyber-infrastructure. As the PI notes, failures in distributed systems are not uncommon, resulting in major outages of critical systems. Hence, this is a timely and significant problem.  _x000D_
_x000D_
PI proposes the develop a verification framework and verification methodology based on Coq proof assistant to address this problem.  PI has identified a list of research questions and presents promising ideas to address them. PI's earlier work makes him well qualified to attack the identified research questions. Proposal is well balanced between practical and formal aspects of the proposed work, and is likely to result in contributions in both directions._x000D_
_x000D_
Some of the claims about prior systems are exaggerated or inaccurate. For example, see Zhendong Su's work that identified bugs in the CompCert compiler._x000D_
_x000D_
In the context of the five review elements, please _x000D_
evaluate the strengths and weaknesses of the proposal with respect to broader impacts._x000D_
_x000D_
Due to ubiquitous use of distributed systems in current society, the broader impacts of the proposed work can be very significant. Eliminating errors from critical distributed system components would result in a highly dependable cyber-infrastructure, which would benefit all parts of the society. _x000D_
_x000D_
Since the technical approach presented in this proposal relies on semi-automated verification, its large scale applicability may be limited. The verification approach may require strong background in formal methods or significant expertise in developing machine checkable proofs. This may limit its usability in practice. The PI has some ideas about how to improve general applicability of the proposed approach. _x000D_
_x000D_
The educational component of the proposal is not very strong. A more innovative and comprehensive educational plan would have improved the proposal._x000D_
_x000D_
Please evaluate the strengths and _x000D_
weaknesses of the proposal with respect to any additional solicitation-specific review criteria, if _x000D_
applicable_x000D_
_x000D_
_x000D_
_x000D_
Summary Statement_x000D_
_x000D_
This proposal focuses on a significant and timely problem. The PI has a strong track record in development of verified software systems. The proposal identifies interesting research questions and presents  promising technical approaches for addressing them. PI's earlier results demonstrate that the proposed work is feasible. Educational component of the proposal is not very strong and could be improved._x000D_
_x000D_
</t>
  </si>
  <si>
    <t>YH0957717</t>
  </si>
  <si>
    <t>Burckhardt</t>
  </si>
  <si>
    <t>sburckha@microsoft.com</t>
  </si>
  <si>
    <t xml:space="preserve">In the context of the five review elements, please _x000D_
evaluate the strengths and weaknesses of the proposal with respect to intellectual merit._x000D_
_x000D_
Pro: _x000D_
_x000D_
- The chosen problems, tools, and techniques are relevant and current in both areas (formal verification, distributed systems)._x000D_
_x000D_
- The formulated goals appear cutting edge of what is being done in this area._x000D_
_x000D_
- The plan is worked out carefully: it formulates 8 research questions, 3 case studies, and lists many very concrete steps._x000D_
_x000D_
- the PI has a good track record of verifying distributed protocols (e.g. Raft) which is challenging in practice._x000D_
_x000D_
Contra: _x000D_
_x000D_
- A method of evaluating success is not elaborated._x000D_
_x000D_
- The ideas are not exceedingly creative or original, and do not strongly connect to older publications in formal verification and distributed computing. A lot is being re-invented without much attribution._x000D_
_x000D_
- Some claims in the proposal seem a bit overblown (e.g saying "Verdi is the first and only compositional technique", or "no compiler validation study to date has found a test case that causes CompCert to produce incorrect code" which is at best misleading)._x000D_
_x000D_
_x000D_
In the context of the five review elements, please _x000D_
evaluate the strengths and weaknesses of the proposal with respect to broader impacts._x000D_
_x000D_
Pro:_x000D_
_x000D_
- Given technology trends, the time seems right to invest into the combination of distributed systems &amp; formal verification_x000D_
_x000D_
- There is a very high demand for developers that can build distributed systems, and using formal methods is a great way to teach those skills._x000D_
_x000D_
Contra:_x000D_
_x000D_
- I see little reason to believe that the proposed methodology would be accessible to a wide developer audience. This type of formal verification requires high skill and education level, and is thus an expensive undertaking in a context where PhD students are not easily affordable._x000D_
_x000D_
_x000D_
Please evaluate the strengths and _x000D_
weaknesses of the proposal with respect to any additional solicitation-specific review criteria, if _x000D_
applicable_x000D_
_x000D_
_x000D_
_x000D_
Summary Statement_x000D_
_x000D_
Overall, the proposal looks strong to me: it addresses an important problem that is respected both in academic and industrial circles, and is likely to advance the state of the art, given the track record of the PI. _x000D_
_x000D_
_x000D_
</t>
  </si>
  <si>
    <t xml:space="preserve">In the context of the five review elements, please _x000D_
evaluate the strengths and weaknesses of the proposal with respect to intellectual merit._x000D_
_x000D_
STRENGTHS_x000D_
_x000D_
This project will develop a practical framework, based on Coq, for formal verification of safety and liveness properties of distributed system implementations in realistic fault models.  It will support features such as reconfiguration to dynamically add nodes, vertical composition for layered systems, horizontal composition to compose systems via rely/guarantee reasoning.  Using Coq as a substrate provides high confidence in the verification results, because correctness of Coq proofs are checked by a small core._x000D_
_x000D_
The project will also develop a verification methodology to make proofs more robust and re-usable as the distributed systems evolve._x000D_
_x000D_
The PI has published significant work on this topic and is very well qualified to perform the proposed work._x000D_
_x000D_
WEAKNESSES_x000D_
_x000D_
The proposal says "Verdi provides the first and only compositional technique for implementing and verifying distributed systems by separating the concerns of application correctness and fault tolerance."  The claim is a bit vague, so it might be accurate in some sense, but this idea underlies other work, such as Hadzilacos and Toueg's work on "A Modular Approach to Fault-Tolerant Broadcasts and Related Problems"._x000D_
_x000D_
The proposal says that "Industrial practitioners are already using our verified Raft prototype as a guide in exploring designs and alternate implementations."  It would be nice to support this with some details or citations._x000D_
_x000D_
Little is said about the programming language.  What programming language is the message handling code written in?  What constructs and features does the programming language include?  Are there limitations on the use of hard-to-verify features such as imperative update?  What libraries can be used?  How is the verified system "extracted" to OCaml?  How efficient is the generated code?  How easy is it to integrate the generated code into a larger distributed system mostly implemented in a different programming language (Ocaml is not as widely used as many of us would like)?_x000D_
_x000D_
The discussion of horizontal composition in RQ3 did not clearly present any novel issues.  The main issue discussed is a generic issue in assume-guarantee reasoning for systems with message-based or event-based communication._x000D_
_x000D_
The discussion of DSLs in RQ6 provides little intuition about the nature and expressiveness of the proposed DSL for distributed systems._x000D_
_x000D_
Scalability is an omnipresent concern for formal verification.  The proposal says little about it.  For example, in the preliminary work, how large were the programs?  What was the ratio of (manually written) lines of proof to lines of code?_x000D_
_x000D_
In the context of the five review elements, please _x000D_
evaluate the strengths and weaknesses of the proposal with respect to broader impacts._x000D_
_x000D_
STRENGTHS_x000D_
_x000D_
Fault-tolerant distributed systems have enormous practical importance.  Designing and implementing them correctly is notoriously difficult.  This makes them a promising application domain for formal methods.  The PI's preliminary work on  protocols such as Raft, SSH, and BGP is promising._x000D_
_x000D_
The PI has incorporated formal methods in two graduate courses and will further incorporate some pieces of the proposed work as course projects.  _x000D_
_x000D_
The PI is a mentor in a program for increasing retention of students from under-served populations, and would try to involve some of those students in the proposed research._x000D_
_x000D_
WEAKNESSES_x000D_
_x000D_
The developer effort and developer expertise needed to produce verified implementations with the proposed approach will largely determine its level of broader impact, but they are not discussed much in the proposal._x000D_
_x000D_
Please evaluate the strengths and _x000D_
weaknesses of the proposal with respect to any additional solicitation-specific review criteria, if _x000D_
applicable_x000D_
_x000D_
_x000D_
_x000D_
Summary Statement_x000D_
_x000D_
This project will develop a practical framework, based on Coq, for formal verification of safety and liveness properties of distributed system implementations in realistic fault models._x000D_
_x000D_
</t>
  </si>
  <si>
    <t>BE0520021</t>
  </si>
  <si>
    <t>Vardi</t>
  </si>
  <si>
    <t>vardi@cs.rice.edu</t>
  </si>
  <si>
    <t xml:space="preserve">In the context of the five review elements, please _x000D_
evaluate the strengths and weaknesses of the proposal with respect to intellectual merit._x000D_
_x000D_
COMMENT: There seems to be a mismatch in the numbering of the references, which made the bibliography useless._x000D_
_x000D_
This work will develop a practical verification framework, implemented in the popular Coq proof assistant, that enables formally reasoning about distributed system implementations in realistic fault models. The goal is driven by a clear goal, which is is to enable the construction of much more reliable distributed systems. The PI has already demonstrated a major success on this front: the first formally verified implementation of the high-performance Raft consensus protocol used in dozens of distributed systems. The proposal formulates eight research questions that need to be address to meet the goal. Three case studies are proposed to evaluate the approach._x000D_
_x000D_
Until today, verification of real system has always been a heroic effort. This proposal, focusing on distributed systems, will, if successful, reduce the level of required heroism._x000D_
_x000D_
_x000D_
In the context of the five review elements, please _x000D_
evaluate the strengths and weaknesses of the proposal with respect to broader impacts._x000D_
_x000D_
1. The PI aims to introduce proof assistants into the undergraduate curriculum. IMHO, this will not have a broader impact unless accompanied by broadly available course-ware._x000D_
2. The PI serves as a mentor for under-served populations._x000D_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very strong: clear vision, clear goal, and clear research path. Broader impact can be stronger if accompanied by open course-ware._x000D_
_x000D_
</t>
  </si>
  <si>
    <t>Distributed systems underlie most uses of a modern computer, including cloud computing, e-commerce, social networking, and content delivery services; it is critical that these systems operate correctly. Implementing distributed systems is difficult because they must handle both concurrency and failure: machines may arbitrarily crash, and networks may reorder, drop, or duplicate packets, creating numerous opportunities for unexpected corner cases. Further, popular services must support hundreds of thousands of simultaneous requests which requires highly optimized and scalable software._x000D_
Despite the importance of distributed software, we lack a coherent framework and methodology for their correct construction. The state of the art is little more than code review, test, and pray, even though the set of possible behaviors is often too complex to permit good test coverage. The result is predictable: critical systems fail, leading to data loss, major service outages, and embarrassment. On a single day in summer 2015, the NYSE halted trading, United grounded _x000D_
flights, and the Wall Street Journal website failed, all due to errors in distributed systems. _x000D_
The PI's goal is to change this reality: to develop the tools and techniques needed to make verifying highly-tuned distributed systems implementations practical. Previous research has focused on verifying simplified models of algorithms, leaving open the question of whether implementations match the model. This project aims to close this formality gap and ease the burden for programmers to implement correct, high-performance, and maintainable distributed systems._x000D_
Keywords: programming languages, distributed systems, formal verification, reliability.This work will develop a practical verification framework, implemented in the popular Coq proof assistant, that enables formally reasoning about distributed system implementations in realistic fault models. The PI will initially focus on developing techniques to compositionally verify safety properties where the programmer can independently prove correctness for applications as well as reusable fault-tolerance components. The programmer can then compose the proofs to make strong end-to-end guarantees._x000D_
The PI will extend this framework to verify rich specifications for a broad class of critical systems, including reconfiguration and system updates to dynamically add nodes or replace software in a running system, vertical composition to modularly optimize system layers via observational refinement, and horizontal composition to compose entire systems via rely/guarantee reasoning. The PI will also develop a new verification methodology to achieve these goals. Reproving systems as they evolve is the most difficult aspect of large verification efforts, but the topic is relatively unexplored, leading to ad-hoc, labor-intensive approaches. One key insight is planning for change by modularizing both framework and system architectures to better accommodate updating proofs in response to changes in specifications or code.This project is the foundation of the PI's long term agenda to develop rigorous engineering principles for the teaching and construction of core computational infrastructure. Teaching and building such systems today remains more art than science, with numerous appeals to intuition backed only by incomplete testing. Providing reliability guarantees for infrastructure similar to the high standard found in more established engineering disciplines demands training a new generation of engineers in techniques this project will develop. If successful, this work will benefit every corner of society by enabling a new generation of engineers to create high-performance, verified distributed implementations. All software produced will be publicly available.</t>
  </si>
  <si>
    <t xml:space="preserve"> Panel Summary       
 SUMMARY OF PROPOSED RESEARCH ACTIVITY_x000D_
_x000D_
The PI proposes to advance the state of the art for compiling code to accelerators, by using highly application-specialized domain-specific languages. _x000D_
_x000D_
INTELLECTUAL MERIT_x000D_
_x000D_
+ The proposal, the institution, and the excellent track-record on software-defined radio, convey interdisciplinary thinking and access to domain expertise._x000D_
_x000D_
- Lack of technical focus: a lot of different applications are mentioned, each potentially very difficult to solve, without a clear common generalization._x000D_
_x000D_
- Needs a stronger evaluation plan on the technical results._x000D_
_x000D_
- Needs a more convincing argument why the proposed approach would fare better than previous work (e.g. LiquidMetal)._x000D_
_x000D_
- Needs more technical detail on how the compilation for accelerators is intended to work, and how it compares to the many efforts already underway in this area. There is considerable work in this area (some of which is not referenced, see individual reviewer comments for details).  _x000D_
_x000D_
BROADER IMPACTS _x000D_
_x000D_
+ Compiling code to accelerators is known to be difficult, yet in high demand, making this a high-risk, high-reward scenario with disruptive potential._x000D_
_x000D_
+ The education plan conveys commitment to education. It describes how the research can be integrated via existing programs for co-op and senior design projects, and how participation in these programs can be used as a measure of success._x000D_
_x000D_
CAREER SOLICITATION-SPECIFIC REMARKS_x000D_
_x000D_
+ The education plan is clear and believable, and has already shown some success, using an earlier university grant for a full-time undergraduate research co-op position._x000D_
_x000D_
ADDITIONAL REMARKS_x000D_
_x000D_
A letter of support by the department head promises reduced teaching load for junior faculty, mentoring by senior faculty, and lab resources._x000D_
_x000D_
SUMMARY STATEMENT_x000D_
_x000D_
The PI's track-record demonstrates that there is promise for the idea of compiling highly application-specific DSLs for accelerators. However, in its current form, the proposal needs a serious revision to improve the technical focus._x000D_
_x000D_
The recommendation of the panel is Low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</si>
  <si>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proposed work aims developing domain-specific languages for heterogenous systems particularly targeting resource constrained applications. The PI identifies several domains to target such as software-defined radio, network routing, deep learning, etc. _x000D_
_x000D_
On the positive side, the PI lists many promising application areas to target, increasing the potential for impact if the proposed approach succeeds. On the negative side, the proposal is not very clear about the technical approaches that will be applicable across all these areas. I would have liked to see a more coherent research vision._x000D_
_x000D_
Proposed work seems to rely too much on the prior work by the PI. Moreover, there is some overlap with an NSF project by the same PI that has just been funded. _x000D_
_x000D_
The proposal can be improved by clearly stating the research ideas  that are applicable across all the areas listed in the proposal. In its current form the proposal is rather disjointed and feels like a list of several separate projects on separate domain specific languages._x000D_
_x000D_
In the context of the five review elements, please _x000D_
evaluate the strengths and weaknesses of the proposal with respect to broader impacts._x000D_
_x000D_
The proposal lists a variety of areas that the proposed research targets and advances in many of these areas (such as deep learning, computer vision etc.) can lead to broad societal impact. _x000D_
_x000D_
The PI has an educational plan that will integrate the research results to the computing  classes. The education plan has several components including outreach to high school students, curricular development, cooperative education, senior design projects etc. A comprehensive education plan that covers many levels of education is a strength of this proposal._x000D_
_x000D_
Please evaluate the strengths and _x000D_
weaknesses of the proposal with respect to any additional solicitation-specific review criteria, if _x000D_
applicable_x000D_
_x000D_
_x000D_
_x000D_
Summary Statement_x000D_
_x000D_
The goal of the proposal is to develop domain specific languages and tools to support software development on heterogeneous systems for resource constrained applications.  The PI  plans to target a variety of application areas. However, the proposal does not make a convincing case for a research vision that is applicable across all the listed application areas._x000D_
_x000D_
</t>
  </si>
  <si>
    <t xml:space="preserve">In the context of the five review elements, please _x000D_
evaluate the strengths and weaknesses of the proposal with respect to intellectual merit._x000D_
_x000D_
Pro:_x000D_
_x000D_
- Programming GPUs and FPGAs is a current, important, and interesting problem (e.g. for IoT and for accelerating servers)._x000D_
_x000D_
- The proposal conveys a refreshing balance between more theoretically oriented domains (functional programming, Haskell) and a pragmatic, performance-oriented approach._x000D_
_x000D_
- The related work section seems quite thorough and indicates familiarity with many prior efforts in this area. Thus, the work is more likely to produce new results._x000D_
_x000D_
- The proposal contains a clear work plan, and reasonably achievable goals, yet remains ambitious and has a consistent long-term theme that is likely to remain relevant._x000D_
_x000D_
_x000D_
_x000D_
In the context of the five review elements, please _x000D_
evaluate the strengths and weaknesses of the proposal with respect to broader impacts._x000D_
_x000D_
Pro:_x000D_
_x000D_
- The education plan seems quite broad, including high school, undergraduate, and graduate students._x000D_
_x000D_
- The PI's track record demonstrates successful collaborations, publications, and publicly available projects on github. It seems likely that the trend would continue._x000D_
_x000D_
_x000D_
_x000D_
_x000D_
Please evaluate the strengths and _x000D_
weaknesses of the proposal with respect to any additional solicitation-specific review criteria, if _x000D_
applicable_x000D_
_x000D_
_x000D_
_x000D_
Summary Statement_x000D_
_x000D_
Overall, this looked like a very strong proposal to me. It demonstrates (1) familiarity with the general problem and previous work, (2) experience solving specific similar instances of the same general nature, and (3) competence in combining research areas that don't traditionally mix very easily (programming languages, heterogeneous systems)._x000D_
_x000D_
</t>
  </si>
  <si>
    <t xml:space="preserve">In the context of the five review elements, please _x000D_
evaluate the strengths and weaknesses of the proposal with respect to intellectual merit._x000D_
_x000D_
This proposal deals with the problem of compiling high-level and_x000D_
domain-specific languages to FPGAs, and to heterogeneous combinations_x000D_
of devices. A solution to this problem, or progress towards a_x000D_
solution, would be of great importance._x000D_
_x000D_
The novelty in the proposed approach comes not so much from specific_x000D_
new techniques (rewrite methods, autotuning methods, cost models,_x000D_
program partitioning methods), as from the application of these_x000D_
techniques to the software-defined-radio (SDR) domain, the_x000D_
most-developed of the proposed application areas._x000D_
_x000D_
I am concerned about the plan to carry out the proposed activities._x000D_
The scope of the proposal is broad.  Many techniques are applied_x000D_
to many application domains (SDR, video codecs, deep learning, vision,_x000D_
software-defined networking, DSP).  Actually, at some points in the_x000D_
project description it's easy to forget about the non-SDR_x000D_
applications, as the proposal focuses mostly on SDR and the Ziria DSL_x000D_
for it.  But then those other domains come back in the management_x000D_
plan, which highlights that the plan really is quite broad in scope._x000D_
_x000D_
The work on Ziria seems very strong, and the proposed extensions of_x000D_
that work are good ones.  I think the broader scope weakens the_x000D_
proposal.  However, when it comes to Ziria and SDR, it's also unclear_x000D_
which pieces of proposed work in fall under the NSF SMALL and which_x000D_
under this proposal.  Spelling that out in more detail would_x000D_
strengthen the proposal, as would narrowing the focus on new_x000D_
implementation techniques and highlighting their novelty._x000D_
_x000D_
_x000D_
In the context of the five review elements, please _x000D_
evaluate the strengths and weaknesses of the proposal with respect to broader impacts._x000D_
_x000D_
The other systems cited in the related work of this proposal have not_x000D_
led to reusable infrastructure.  To argue that this one would requires_x000D_
explaining what it will do differently._x000D_
_x000D_
_x000D_
Please evaluate the strengths and _x000D_
weaknesses of the proposal with respect to any additional solicitation-specific review criteria, if _x000D_
applicable_x000D_
_x000D_
_x000D_
_x000D_
Summary Statement_x000D_
_x000D_
This proposal targets a class of DSLs towards FPGAs and heterogeneous_x000D_
systems.  The previous and proposed work on SDR is strong, but the_x000D_
proposal needs a stronger argument as to why this project is the one_x000D_
to (finally) crack the high-productivity programming for the FPGA nut._x000D_
_x000D_
_x000D_
</t>
  </si>
  <si>
    <t>HK0815259</t>
  </si>
  <si>
    <t>Saraswat</t>
  </si>
  <si>
    <t>vijay@saraswat.org</t>
  </si>
  <si>
    <t xml:space="preserve">In the context of the five review elements, please _x000D_
evaluate the strengths and weaknesses of the proposal with respect to intellectual merit._x000D_
_x000D_
The proposal is intended to make it easier for programmers to develop code that runs on (single-node) heterogenous systems, particularly those with FPGAs. It proposes work on domain-specific languages (DSLs) for resource-constrained applications, for partitioning computations across the elements of a heterogeneous system and for reusable language and runtime support._x000D_
_x000D_
This proposal is in a fairly mature and stable area of research. A number of efforts, particularly by people with significant experiece in design automation and compiler techniques are not cited in the proposal: e.g._x000D_
work by Deming Chen and team at UIUC on FCUDA, _x000D_
work by Fleming et al from MIT on the LEAP FPGA operating system, _x000D_
Kulkarni et al from Xilinx (2004) _x000D_
Stewart et al (Heriot-Watt U) on RIPL_x000D_
Pouchet et al Polyhedral-Based Data Reuse Optimization for Configurable Computing (automatic C to FPGA translation), PolyOpt/HLS: Polyhedral-Based Data Reuse Optimization for FPGA, etc_x000D_
_x000D_
Projects like the Liquid Metal project at IBM (started in 2008, involved many senior programming languages and systems researchers) have tried before to tackle the issue of providing a high level programming model that can implemented across a heterogeneous system, specifically CPUs with GPU and FPGA accelerators, with limited success. Existing work (see Chen et al above) already attacks the problem of running static deep neural networks on FPGAs. It is not clear to me that the line of attack in this proposal is informed by the successes, failures and limitations of these projects (e.g. the need to support neural networks whose structure is dynamically determined by the input observation). _x000D_
_x000D_
The author has done significant work in resource-constrained applications (e.g. software defined radio), and domain-specific languages for SDR such as Ziria. However the ambitions for this proposal are considerably broader. The author has less experience in other areas key to this proposal, such as the design of more mainstream programming models / languages suitable for execution on heterogeneous hardware, and sophisticated compiler analyses and runtimes (e.g. poyhedral analyses). _x000D_
_x000D_
_x000D_
_x000D_
In the context of the five review elements, please _x000D_
evaluate the strengths and weaknesses of the proposal with respect to broader impacts._x000D_
_x000D_
The expected broader impact of this proposal is limited to making software defined radio easier to program._x000D_
_x000D_
Please evaluate the strengths and _x000D_
weaknesses of the proposal with respect to any additional solicitation-specific review criteria, if _x000D_
applicable_x000D_
_x000D_
_x000D_
_x000D_
Summary Statement_x000D_
_x000D_
This is a proposal in a relatively mature area with a lot of existing work (designing domain specific programming models for efficient execution on heterogeneous hardware). The potential for significant impact from the work outlined in this proposal is limited._x000D_
_x000D_
</t>
  </si>
  <si>
    <t>Heterogeneous systems, composed of CPUs coupled with special-purpose devices like DSPs, GPUs, and FPGAs, offer a tantalizing promise: orders of magnitude more computation per Watt, per dollar, or per unit time than commodity CPUs. However, programming these systems from scratch can be very challenging and often requires learning new low-level languages and tools. One approach to taming this complexity is through a domain-specific language (DSL) or library tailored to a specific application domain, e.g., Google's Tensorflow or Stanford's OptiML. While many domain-specific tools exist to leverage GPUs for machine learning, other domains are not so well served, and new heterogeneous platforms are fast approaching---for example, Intel's recent purchase of Altera is a strong indication that FPGAs will soon be much more prevalent._x000D_
_x000D_
I propose to develop tools and techniques to exploit these new platforms along three research thrusts: 1) Domain-specific languages for resource-constrained applications: Resource-constrained applications, like software-defined radio (SDR) and computer vision, are ideal candidates for heterogeneous systems because they do not require fully general computation and are therefore more likely to fit within the constraints of platforms like FPGAs. 2) Model-based techniques for automatically partitioning computation across heterogeneous systems: Currently, computation is either partitioned across devices manually by programmers or statically by a tool designer. However, optimal placement of computation may differ across platforms based on factors such as interconnect speed and computational capability. 3) Reusable language and runtime support for DSLs targeting heterogeneous systems: Though DSLs insulate the programmer from the low-level details of programming complex systems, they do nothing to help DSL designers avoid reinventing the wheel for each new DSL. I will leverage results from both my prior work and research thrusts 1 and 2 to design and implement infrastructure that language designers can use to quickly produce new DSLs for heterogeneous systems.There are currently no reusable tools or techniques that allow porting code applications to FPGAs from other platforms without significant rewrites. We will produce tools across several applications domains that enable code portability across all components of heterogeneous systems and can automatically partition programs across these components. The progress made by tackling these constrained domains will inform and enable progress on the general problems of how to automatically partition computation across devices and how to design infrastructure that is reusable across different domain-specific languages.New language abstractions and techniques that allow programmers to easily distribute computation across different devices are vital for tackling the increasingly heterogeneous world of computation, and the results of the proposed research will impact not only researchers in our chosen application domains, but also developers (and users) of new DSLs. Results will be published in peer-reviewed journals, and all software will be available under an open source license. The proposed budget provides for several six-month co-op terms, utilizing Drexel?s unique co-op program to enable undergraduate participation in the proposed research; I have already worked with one undergraduate co-op student on SDR-related research, which produced a publication. Half of these co-op cycles will be reserved for women and underrepresented minorities. One of my two current graduate students is a woman.</t>
  </si>
  <si>
    <t xml:space="preserve"> Panel Summary       
 SUMMARY OF PROPOSED RESEARCH ACTIVITY_x000D_
_x000D_
This proposal will develop novel techniques for Operating System (OS) verification. Prior work on formal verification of OS has demonstrated applicability of verification techniques to OS, but made simplifying assumptions, and did not address verification of some core systems concepts such as location virtualization, caching and interface protocols. The proposed work will address these concepts by introducing new logical modalities for location virtualization and caching, and using behavioral subtyping for interface protocols based on a new bisimulation relation. _x000D_
_x000D_
INTELLECTUAL MERIT_x000D_
_x000D_
Strengths:_x000D_
* This is a technically strong proposal with ambitious and intellectually challenging goals. _x000D_
_x000D_
* The PI has a clear research plan. Proposed technical ideas for verification of location virtualization, caching and interface protocols are novel and promising._x000D_
_x000D_
* The PI clearly positions the proposed work within the framework of prior research. He explains what was missing in prior work on OS verification, how he intends to build on prior results, and how he plans to extend them beyond what was done before. _x000D_
_x000D_
* The PI has a strong background and record in the OS verification area, and is well qualified to conduct the proposed research._x000D_
_x000D_
Weaknesses:_x000D_
* The proposal is inconsistent with respect to the scope of x86-64 CPU formalization. The claims in the introduction are too general, whereas,  later in the proposal, the PI notes that a formal model for a fragment of x86-64 is being developed. In general, precise and realistic scoping of  the proposed work is crucial for this proposal given the highly ambitious goal. _x000D_
_x000D_
Suggestions for improvement:_x000D_
* The PI can improve the proposal by carefully identifying the limits of the project's scope both with respect to formalization of the x86-64 CPUs and with respect to OS verification in general.  _x000D_
_x000D_
BROADER IMPACTS _x000D_
_x000D_
Strengths:_x000D_
* Operating systems are the core components of software systems, therefore errors in operating systems can have catastrophic consequences. By developing techniques that  will enable verification of operating systems, the proposed work can improve the dependability of software systems in general, leading to great benefits for society._x000D_
_x000D_
* Educational component of the proposal provides a realistic plan for incorporating verification to computing curriculum that involves course and textbook development, evaluation, and integration with research._x000D_
_x000D_
Weaknesses:_x000D_
* A more innovative education plan and a broader impact statement that discusses the potential benefits of the project beyond its immediate outcomes would improve the proposal. _x000D_
 _x000D_
CAREER SOLICITATION-SPECIFIC REMARKS_x000D_
_x000D_
The PI has institutional support in the form of senior faculty mentoring and reduced teaching load. The educational goals of the proposal is well aligned with the educational goals of the institution.  _x000D_
_x000D_
The proposal presents a reasonable education plan that incorporates the research theme of the proposal to the curriculum and integrates undergraduate students to the research project. _x000D_
_x000D_
SUMMARY STATEMENT_x000D_
_x000D_
This is a scientifically strong proposal with exciting and ambitious goals. OS verification is a significant problem with tremendous potential impact.  The PI has several novel technical ideas that can improve the state of OS verification significantly. The PI has a strong track record and is well qualified to conduct the proposed research._x000D_
_x000D_
By clearly explaining and limiting the scope of the project, the PI can improve the proposal. _x000D_
_x000D_
The recommendation of the panel is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</si>
  <si>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goal of this proposal is to develop novel abstractions that will enable verification of operating system kernels. Building on existing work low level system code verification using proof assistants, the PI intends to build an extended formal modeling approach for verification of kernels. In particular, the proposed extensions will handle core systems concepts such as location virtualization, caching and verification of protocols for kernel interfaces. _x000D_
_x000D_
The proposed work includes development of a formal and realistic CPU model and development of new separation logics that capture the proposed abstractions. The PI plans to build on existing proof assistant Coq. _x000D_
_x000D_
Although the PI elaborates on how to extend the existing logical frameworks to handle more sophisticated operating system concepts, the PI does not discuss automated reasoning techniques for these novel logics. It seems like the work will rely on existing automated reasoning techniques in Coq. _x000D_
_x000D_
Overall, the proposed approach is promising and reasonable. The PI's focus on realistic modeling of operating system concepts is positive. On the positive side, building on existing tools and techniques makes the proposed approach more realistic. However, on the negative side, it results in a rather incremental research vision._x000D_
_x000D_
In the context of the five review elements, please _x000D_
evaluate the strengths and weaknesses of the proposal with respect to broader impacts._x000D_
_x000D_
Verification of operating system code is of huge importance for modern society. So,  positive results from the proposed work can have a big societal impact. The proposal focuses on practical aspects of formal verification and is likely to practical results that can have impact in real-world software systems._x000D_
_x000D_
The educational component of the proposal is not very innovative and mainly focuses on integration of concepts from formal methods area to computing courses._x000D_
_x000D_
Please evaluate the strengths and _x000D_
weaknesses of the proposal with respect to any additional solicitation-specific review criteria, if _x000D_
applicable_x000D_
_x000D_
_x000D_
_x000D_
Summary Statement_x000D_
_x000D_
Proposal focuses on a timely and important problem. The proposed work builds on existing results on verified system code development, but extends them to more realistic models. A more innovative educational plan and a more broad research vision (for example that involves automated reasoning techniques) would have resulted in a stronger proposal._x000D_
_x000D_
</t>
  </si>
  <si>
    <t xml:space="preserve">In the context of the five review elements, please _x000D_
evaluate the strengths and weaknesses of the proposal with respect to intellectual merit._x000D_
_x000D_
This is an excellent project that will advance knowledge within the field of OS verification in a way that closes a key gap in previous work._x000D_
_x000D_
The proposed work includes several novel components which are clearly laid out and explained against the backdrop of the (large) body of prior art in this area.  While previous works have verified complete (small) operating systems, they have oversimplified in a number of ways compared to contemporary OS kernels deployed in practice.  This proposal aims to close a significant portion of the distance between the two._x000D_
_x000D_
The plan is well-structured and well-explained in the proposal.  The only objection I have is that creating a new OS for this project is a large endeavor given the amount of funding.  However, this worry was adequately addressed in the planning section of the proposal, which does a good job of dividing the work and deliverables into small pieces that reward partial progress.  While introducing a new kernel, the proposal also does a good job of leveraging existing components to avoid a boil-the-ocean, build-everything-from-scratch plan -- Iris, preliminary work on x86 formalization, etc.  Nevertheless, the proposal remains a highly ambitious one._x000D_
_x000D_
The PI has a strong background and record of previous publications which is commiserate with the proposed work._x000D_
_x000D_
In the context of the five review elements, please _x000D_
evaluate the strengths and weaknesses of the proposal with respect to broader impacts._x000D_
_x000D_
This work targets an important area of research which is of interest to several groups of people within computer science and beyond.  Along with machine learning, the future dissemination of formally verified software is one of the major ways in which the impact of computing on society can be reshaped and improved._x000D_
_x000D_
Please evaluate the strengths and _x000D_
weaknesses of the proposal with respect to any additional solicitation-specific review criteria, if _x000D_
applicable_x000D_
_x000D_
_x000D_
_x000D_
Summary Statement_x000D_
_x000D_
A strong proposal in OS verification from a well-qualified PI._x000D_
_x000D_
</t>
  </si>
  <si>
    <t xml:space="preserve">In the context of the five review elements, please _x000D_
evaluate the strengths and weaknesses of the proposal with respect to intellectual merit._x000D_
_x000D_
Proposal seeks to develop a verified operting system kernel with realistic design, accounting for a variety of sophisticated, complicated hardware/OS features that are needed in real systems and are currently ignored by verification efforts (e.g. location virtualization, caching, asymmetric protocols). This is a very strong proposal from a researcher who has been intimately involved in (developing frameworks for) verifying complex properties of aliasing, concurrent code, and in implementing sophisticated features for OS kernels._x000D_
_x000D_
Strengths: (a) Excellent (realistic, but challenging and impactful) choice of goal .. though there are some issues (see below) (b) The author deeply understands the set of techniques that will be needed to address this challenge (foundational verification, separation logics, use of modalities for specifications, proving properties of protocols, operating system internals), (c)_x000D_
_x000D_
Weakness: My main concern is the author being able to develop a *realistic* model of x86 hardware. I know through peronal experience that "careful perusal of the processor documentation" from hardware vendors is not enough by far. Unfortunately, the engineers who write these documents often have only an intuitive understanding of the underlying mechanisms, and not the training to translate this understanding into precise language. Further, hardware vendors tend to want to preserve some level of flexibility in their architectures, hence expose even less information than may seem logically necessary, so that their future architecture decisions are not constrained. This is why people like Peter Sewell and colleagues have had to work with engineers from hardware vendors to try and get formal memory model specifications on the table. I strongly suggest the author try to establish a collaboration with hardware vendors or research groups on memory models that have such relationships._x000D_
_x000D_
_x000D_
In the context of the five review elements, please _x000D_
evaluate the strengths and weaknesses of the proposal with respect to broader impacts._x000D_
_x000D_
Broader impact as claimed in the proposal is credible and appropriate._x000D_
_x000D_
Please evaluate the strengths and _x000D_
weaknesses of the proposal with respect to any additional solicitation-specific review criteria, if _x000D_
applicable_x000D_
_x000D_
_x000D_
_x000D_
Summary Statement_x000D_
_x000D_
This has my strong support. It will be an exciting, worthwhile project with really valuable outcomes, even if the grand project (unified set of principles) is not realized in its full glory. My only concern is with the complexity of developing a realistic hardware memory model, as outlined above._x000D_
_x000D_
</t>
  </si>
  <si>
    <t xml:space="preserve">In the context of the five review elements, please _x000D_
evaluate the strengths and weaknesses of the proposal with respect to intellectual merit._x000D_
_x000D_
This project aims at constructing a new; detailed formal model of x86-64 CPUs; designs new proof techniques to reason about these intricate behaviors; and validates them in the_x000D_
construction of a verified kernel. _x000D_
_x000D_
There is no question about the importance of the proposed research. Program verification has been a goal of computer since Hoare's classical 1969 paper. Yet program correctness requires also reasoning about the underlying OS and the underlying hardware, as has been argued already by Hoare in 1969._x000D_
_x000D_
Yet, the ambition of these project is unreasonable, IMHO. Other OS verification projects, which have not modeled all aspects of the OS, have been carried out by teams of researchers. Developing an accurate model of the X86-64 is also a project for a team of researchers. While, I have no doubt that the PI can successful develop theory and tools for reasoning about OS kernels, the stated goal of this project is not feasible for a 5-year single investigator project. Furthermore, I'd question whether certain aspects of the project, such as constructing a fully accurate model of the X86-64, are appropriate for an academic project carried out by graduate postdoctoral students._x000D_
_x000D_
In the context of the five review elements, please _x000D_
evaluate the strengths and weaknesses of the proposal with respect to broader impacts._x000D_
_x000D_
The broader-impact statement essentially argues that the proposed research itself, which will produce results, train students, and develop tools will have a broad impact. This is unquestionably true, but NSF asks proposer to go from broad impact, to broader impact. This is missing here._x000D_
_x000D_
Please evaluate the strengths and _x000D_
weaknesses of the proposal with respect to any additional solicitation-specific review criteria, if _x000D_
applicable_x000D_
_x000D_
_x000D_
_x000D_
Summary Statement_x000D_
_x000D_
This is a well-motivated research project but with overambitious goals and weak broader-impact plan._x000D_
_x000D_
</t>
  </si>
  <si>
    <t>This project aims to improve our ability to formally (mathematically) verify the behavior of low level software, namely operating system kernels.  It focuses on novel verification approaches for three core systems concepts: location virtualization (in the form of virtual memory management address translation, and the logical blocks of copy-on-write filesystems); caching (the TLB that caches address translations, CPU store buffers that lead to the x86's weak memory model, the CPU cache bypassed by device memory access, and the filesystem cache); and sophisticated modular use of statically-checked protocols for generic interfaces in the kernel (such as device drivers or VFS nodes). The subsystems and hardware interactions these three concepts cover are critical pieces of any operating system kernel, and some of the most difficult to implement correctly. Incorrect implementation or management can lead to crashes, data corruption, or security vulnerabilities. This project constructs a new; detailed formal model of x86-64 CPUs; designs new proof techniques to reason about these intricate behaviors; and validates them in the construction of a verified kernel. The project also develops a free textbook and curriculum on building dependable software through informal application of ideas from verification, suitable for those with little software engineering background, and reaches out to practicing developers (many of whom have never studied such material).Recent research has shown the feasibility of verified operating system kernels, but makes aggressive simplifying assumptions about hardware (caches in particular), functionality, and internal interfaces between subsystems.  These simplifications make verification easier, but restrict the utility of and trust in the resulting systems. This project will implement and formally verify the core of a new general-purpose OS kernel that avoids these oversimplifications.  We will construct a new detailed formal CPU model, covering subtle hardware behaviors ignored by prior work.  We will construct new separation logics (Hoare logics) that incorporate insights from modal logic --- in particular, ideas from hybrid logic --- and apply them to some of the most challenging parts of kernel verification.  As part of this, we will distill common formal reasoning principles for location virtualization, caching, and composition of statically-checked protocols, which apply to other classes of software beyond kernels. The PI's unique combination of industry experience with the relevant kernel subsystems and research background in the required verification techniques supports that these three concepts are the heart of the challenge for verifying these central kernel components and hardware interactions, and that applying tools from modal logic is highly likely to yield a flexible and powerful framework for verifying systems software.Reasoning about a range of concepts in a single verification framework is a general problem, and solving these specific instances in an OS kernel will yield insights and techniques that generalize to other setting. Byproducts of the research include precise formal models of hardware, verification infrastructure (Hoare logics), and a verified OS kernel, all of which will be made publicly available for use as the basis of future research.  A critical component of this proposal is not only graduate student training, but the involvement of undergraduates in the research process. Drexel University has a strong commitment to undergraduate research, allowing students to spend their required 6-month full time internships as full-time research assistants, providing some intramural funding to support this. This project crosses several areas of research on software quality, and will supplement existing programs to support 3 undergraduates for 6 months of full-time involvement in key aspects of the project.  The PI will specifically seek to involve students from underrepresented groups in this project. The new course curriculum will teach skills for precise reasoning about software correctness (informally and with static analysis tools used in industry) in a way suitable for non-traditional software developers (non-computing scientists and self-taught developers).  Moreover we will enhance the impact of the curriculum by creating a freely-available textbook, and reaching to practicing developers through industry-focused conferences that welcome such material.</t>
  </si>
  <si>
    <t xml:space="preserve"> Panel Summary       
 SUMMARY OF PROPOSED RESEARCH ACTIVITY_x000D_
_x000D_
  The PI proposes to add certain extensions to JavaScript (JS)_x000D_
  to include better support for control operators, concurrency,_x000D_
  debugging, separate compilation, and blocking I/O operations._x000D_
  These features will then be available to compile high-level_x000D_
  languages -- e.g. Ocaml, Scala and Pyret --  down to, but_x000D_
  will be translated into plain JavaScript, so as to be_x000D_
  executable on existing browsers._x000D_
_x000D_
  JavaScript is the native language of the Web and has fast_x000D_
  implementations inside modern web browsers. Improving support_x000D_
  for JavaScript will make it possible to run applications written_x000D_
  in other languages directly inside the web browser._x000D_
_x000D_
  The goal of this work is to enable general purpose applications,_x000D_
  specifically, Integrated Development Environments (IDEs)_x000D_
  inside the web browser._x000D_
_x000D_
INTELLECTUAL MERIT_x000D_
_x000D_
  Strengths_x000D_
_x000D_
  * The proposal tackles a nice problem area with potential_x000D_
    for real impact on platforms for modern programming languages._x000D_
_x000D_
  * Web-based IDEs can be very useful in many situations, opening up_x000D_
    programming to new classes of developers._x000D_
_x000D_
  * The proposal addresses non-trivial PL design and_x000D_
    implementation questions, using the PI's deep experience_x000D_
    with JavaScript._x000D_
_x000D_
  * Many of the ideas (e.g. supporting debugger abstractions)_x000D_
    could apply more broadly than JavaScript._x000D_
_x000D_
  Weaknesses_x000D_
_x000D_
  * Some of the tasks appear to be more about engineering_x000D_
    around well known idiosyncrasies of JavaScript and_x000D_
    its present implementation._x000D_
_x000D_
  * The proposal should discuss Web-Assembly more_x000D_
    thoroughly as it aims to solve the same set of_x000D_
    problems, and has significant industrial support._x000D_
    The argument that JS takes care of a lot_x000D_
    (e.g. closure conversion) is not sufficient,_x000D_
    especially as most languages compile to LLVM,_x000D_
    which will have a Web-Assembly back end._x000D_
_x000D_
  * The "post-PC" aspect should be de-emphasized as laptops_x000D_
    may not be prohibitively expensive, and dually, tablets_x000D_
    need not remain as restricted as they are now in 4-5_x000D_
    years (the period of this research)._x000D_
_x000D_
  Suggestions_x000D_
_x000D_
  The proposal would be much stronger with:_x000D_
_x000D_
  1. A better comparison against Web-Assembly (e.g. an_x000D_
     argument about how the work would not be subsumed_x000D_
     by web-assembly in 4-5 years.) For example, could_x000D_
     the higher level abstractions be built on top of_x000D_
     web-assembly?_x000D_
_x000D_
  2. Discussion about how the proposed tasks could shed_x000D_
     light on the notion of "transpiling" beyond the_x000D_
     setting of JavaScript in the browser._x000D_
_x000D_
BROADER IMPACTS_x000D_
_x000D_
  Strengths_x000D_
_x000D_
  + The work will directly allow a much larger class of users,_x000D_
    e.g. casual programmers, middle- and high-schoolers to_x000D_
    access powerful computational systems on "post-PC"_x000D_
    devices, through the kind of browser-based computing_x000D_
    environments proposed here._x000D_
_x000D_
  + The proposal has a significant education component,_x000D_
    for graduate and under graduate curricula, and also_x000D_
    for high school education, through the "Holyoke Codes"_x000D_
    initiative and via collaboration with the BOOTSTRAP_x000D_
    program which will together bring introductory data-science_x000D_
    workshops to underprivileged and under-represented minority_x000D_
    groups._x000D_
_x000D_
CAREER SOLICITATION-SPECIFIC REMARKS_x000D_
_x000D_
  The proposal aims to improve the IDE for PYRET,_x000D_
  a language that has been developed to teach_x000D_
  introductory programming and already has thousands_x000D_
  of users. The PI has detailed plans for teaching workshops_x000D_
  using PYRET using the Bootstrap data science curriculum._x000D_
_x000D_
ADDITIONAL REMARKS_x000D_
_x000D_
  The PI has strong connections with the PYRET and BOOTSTRAP teams,_x000D_
  and has letters of support from them._x000D_
_x000D_
SUMMARY STATEMENT_x000D_
_x000D_
  While the proposal tackles some interesting questions_x000D_
  we encourage the PI to make a stronger case for why the_x000D_
  presented approach is likely to be more durable than_x000D_
  other routes currently being pursued aggressively in_x000D_
  industry._x000D_
_x000D_
The recommendation of the panel is Low Competitive._x000D_
_x000D_
The panelists concur that the Panel Summary accurately reflects the panel discussion._x000D_
_x000D_
_x000D_
</t>
  </si>
  <si>
    <t xml:space="preserve">In the context of the five review elements, please _x000D_
evaluate the strengths and weaknesses of the proposal with respect to intellectual merit._x000D_
_x000D_
The proposal's intellectual merit is focused on how to extend JavaScript with features that enable better cross-compilers from other languages.  These features include better support for control operators, concurrency, debugging, separate compilation, and blocking I/O operations._x000D_
_x000D_
These are hard problems and important to solve if we are going to have languages that target JavaScript.  Seeing the work on WebAssembly, however, which already addresses separate compilation and debugging, and plans to support exceptional control and concurrency in the near future, I doubt if in 3-5 years from now JavaScript is going to be a compelling target for any but the most trivial compilers.  WebAssembly will very likely be faster, cleaner, and in most respects more capable than either JavaScript today or JavaScript as envisioned in this proposal (there are exceptions, such as call/cc, native support for closures and blocking I/O, but the first of these is needed by very few languages and is arguably a famous-but-bad idea, the second is well-understood, and the last is a poor match for typical programs that target the web).  I don't think it makes sense for the NSF to invest in building a tool that will not be clearly better than an already-prototyped standard with concrete plans to do many of the same things and a ton of industry buy-in._x000D_
_x000D_
Unfortunately, the scientific problems proposed are positioned strongly in terms of translation to JavaScript, and when that motivation goes away, it's not clear how much enduring scientific contribution is left._x000D_
_x000D_
Additional minor feedback: First, I definitely buy the argument that in some cases hosting IDEs in the web browser on tablets and similar devices can expand the reach of computing to more students.  On the other hand, it's worth noting that screen real estate is a big plus for programmers; programming on a tablet is not going to be a great experience for professionals or even advanced students in the forseeable future.  Second, sequential consistency is great for programmers, but usually more relaxed memory models are considered better for target languages.  This could be argued better._x000D_
_x000D_
The PI is well-qualified to carry out the proposed plan._x000D_
_x000D_
In the context of the five review elements, please _x000D_
evaluate the strengths and weaknesses of the proposal with respect to broader impacts._x000D_
_x000D_
Having a form of JavaScript with better support for control operators, concurrency, debugging, and seaparate compilation would make it easier to target the web from full-function programming languages, and this would in turn enhance productivity of engineers and the features of applications across the software industry (Blocking I/O is more of a library issue than a language one, but is important in some cross-compilation scenarios).  Balancing this is the high likelihood that WebAssembly will be a more attractive target for the vast majority of high-level languages by the time the envisioned research is complete.  Unfortunately, the proposal's innovations are primarily positioned in terms of extensions to JavaScript, rather than foundational ideas that could be applied in many cross-compilation settings._x000D_
_x000D_
The proposal's education plan is strong, particularly the outreach to high school students with Holyoke Codes, which will encourage underprivileged and underrepresented students to engage with computer science at an early age._x000D_
_x000D_
Please evaluate the strengths and _x000D_
weaknesses of the proposal with respect to any additional solicitation-specific review criteria, if _x000D_
applicable_x000D_
_x000D_
_x000D_
_x000D_
Summary Statement_x000D_
_x000D_
This proposal would produce a piece of infrastructure that would be very useful today, but is less likely to be useful in 5 years due to competing technologies such as WebAssembly that are likely to be better choices.  A proposal focused on fundamental science could still be funded, and indeed there are some interesting scientific questions raised in the proposal, but not enough detail is given on how these questions should be approached.  To improve the proposal, focus on the enduring scientific merit of the questions you want to answer, and the ideas you have for answering them._x000D_
_x000D_
_x000D_
</t>
  </si>
  <si>
    <t xml:space="preserve">In the context of the five review elements, please _x000D_
evaluate the strengths and weaknesses of the proposal with respect to intellectual merit._x000D_
_x000D_
Strengths:_x000D_
_x000D_
* A nice problem area that combines potential real-impact on platforms_x000D_
for modern programming languages with non-trivial PL design and_x000D_
implementation questions._x000D_
_x000D_
* Leverages the PI's deep knowledge of JavaScript and features like_x000D_
concurrency, continuations, etc._x000D_
_x000D_
* Ideas, like ways to support a "stop" button and ways to support_x000D_
appropriate debugger abstractions, may apply more broadly._x000D_
_x000D_
* Overall, a coherent story with plans to build a real system that_x000D_
solves several well-identified research problems._x000D_
_x000D_
Weaknesses:_x000D_
_x000D_
* Alas, despite being well-motivated, the thrust of the work still_x000D_
seems to be a lot of hacking around well-known JavaScript warts in_x000D_
ways that leave the work both at the mercy of ever-changing JS_x000D_
implementations and potentially in the mode of "solving a bunch of_x000D_
small problems in marginally interesting ways"._x000D_
_x000D_
* I was left unconvinced by the dismissal of WebAssembly as a platform_x000D_
to build on. [Note: I have no connection to WebAssembly nor any_x000D_
expertise, so I'm not claiming it's great or the one way forward or_x000D_
anything].  It seems to me that in implementing a language, you want_x000D_
a simple back-end language like WebAssembly, particularly because it_x000D_
doesn't impose all the legacy constraints of a complicated language_x000D_
intended for humans like JS.  Sure, that means things like closure_x000D_
conversion aren't provided out-of-the-box, but one can develop a_x000D_
mid-level IR "from whole cloth" on top of WebAssembly and go from_x000D_
there._x000D_
_x000D_
* The issues surrounding blocking I/O on top of non-blocking I/O_x000D_
(namely extending BrowserFS and getting event-queuing right) seemed_x000D_
minor._x000D_
_x000D_
* I found the emphasis on "then students/programmers can use_x000D_
ChromeBooks and Tablets" a bit confusing and overdone -- it was_x000D_
often not clear if the benefit was as devices for /programming/ (in_x000D_
the end I think it was) or for /deploying/ applications these_x000D_
post-PC devices.  But laptops are not prohibitively expensive, nor_x000D_
is it clear that ChromeBooks and tablets will remain as restrictive_x000D_
as they currently are for the 4-5 years necessary for this research._x000D_
_x000D_
_x000D_
In the context of the five review elements, please _x000D_
evaluate the strengths and weaknesses of the proposal with respect to broader impacts._x000D_
_x000D_
Strengths:_x000D_
_x000D_
* Both the summer workshop and the wide-deployment are legitimate and_x000D_
well-thought-out broader impacts.  Kudos!_x000D_
_x000D_
Weaknesses:_x000D_
_x000D_
None_x000D_
_x000D_
_x000D_
Please evaluate the strengths and _x000D_
weaknesses of the proposal with respect to any additional solicitation-specific review criteria, if _x000D_
applicable_x000D_
_x000D_
_x000D_
_x000D_
Summary Statement_x000D_
_x000D_
Solid proposal for extending JavaScript to be a reasonable target_x000D_
language for modern high-level languages, but I have concerns about_x000D_
the motivation as described above as to whether this is "really the_x000D_
way to go" and whether it will remain as well-motivated for the next_x000D_
4-5 years._x000D_
_x000D_
_x000D_
</t>
  </si>
  <si>
    <t>QG0882668</t>
  </si>
  <si>
    <t>Jhala</t>
  </si>
  <si>
    <t>rjhala@eng.ucsd.edu</t>
  </si>
  <si>
    <t xml:space="preserve">In the context of the five review elements, please _x000D_
evaluate the strengths and weaknesses of the proposal with respect to intellectual merit._x000D_
_x000D_
_x000D_
The PI will develop new mechanisms for Javascript that are_x000D_
needed to build modern IDE (development environments) inside_x000D_
web browsers. These include e.g. primitives for concurrency_x000D_
control, threads, IO (handling files), and ways to implement_x000D_
them using pure JavaScript. (These mechanisms are essential_x000D_
to IDEs and not natively supported by JS, meaning either_x000D_
"transpilers" ignore these features or have complex_x000D_
implementations for them.)_x000D_
The PI will also develop type systems to ensure isolation of_x000D_
objects obtained from code run by untrusted parties (so they_x000D_
can be run in isolation) and implement a multi-lingual IDE_x000D_
to evaluate the contributions._x000D_
_x000D_
_x000D_
In the context of the five review elements, please _x000D_
evaluate the strengths and weaknesses of the proposal with respect to broader impacts._x000D_
_x000D_
_x000D_
The proposed work will affect all programmers as the idea is_x000D_
to move IDEs into the browser. Specifically, it will improve_x000D_
the IDE for the PYRET language which already runs in the browser._x000D_
_x000D_
The PI has a strong plan for high-school outreach working in_x000D_
collaboration with Holyoke Codes and the Holyoke High-school_x000D_
district serves a large URM population._x000D_
_x000D_
The PI will develop a computing course for 25 high school students,_x000D_
and teach the "Bootstrap" data-science curriculum as a week long_x000D_
workshop, created by the team that is developing PYRET._x000D_
_x000D_
_x000D_
Please evaluate the strengths and _x000D_
weaknesses of the proposal with respect to any additional solicitation-specific review criteria, if _x000D_
applicable_x000D_
_x000D_
_x000D_
_x000D_
Summary Statement_x000D_
_x000D_
_x000D_
The PI argues that with the rise of smartphones and tablets,_x000D_
software development itself will move into the browser i.e._x000D_
happen with JavaScript (JS) as the underlying computational_x000D_
substrate. The PI argues that JS (as in the browser) lacks_x000D_
several key features (threads, support for multiple files, isolation)_x000D_
that are essential for using it as the target of modern languages._x000D_
(These languages then either forgo key features when being run_x000D_
in the browser, or are very difficult to implement.)_x000D_
The PI proposes to extend JS with constructs that account_x000D_
for such features, making it easy to compile (or "transpile")_x000D_
modern languages down into JS. This, together with features_x000D_
that, e.g. make it easier to trace code (for debugging) will_x000D_
make it easier to run arbitrary code in the browser, and in_x000D_
particular, to write IDEs that run in the browser._x000D_
_x000D_
_x000D_
## Pros  _x000D_
_x000D_
+ The PI is one of the experts on the semantics of JS, with_x000D_
an impressive track record both on building new libraries (FlapJax),_x000D_
developing rigorous semantics (LambdaJS) and type systems for JS._x000D_
_x000D_
+ The proposal identifies several limitations that make it hard_x000D_
to run, say, arbitrary Java or Scala or Haskell programs in_x000D_
a web browser._x000D_
_x000D_
+ The concrete proposed tasks seem feasible; specifically, the_x000D_
identified tasks of developing control operators, threads,_x000D_
debugging support and separate compilation._x000D_
_x000D_
## Cons_x000D_
_x000D_
- I don't buy the main premise of the proposal_x000D_
(building IDEs in the browser.)_x000D_
_x000D_
- The proposed work is both not ambitious enough_x000D_
(from a purely scientific point of view) and yet,_x000D_
too ambitious (from an implementation/engineering)_x000D_
point of view._x000D_
_x000D_
- The evaluation plan was not persuasive -- it is not_x000D_
enough to say "it is hard to add new features to PYRET we will make it easier"_x000D_
PYRET is a large system and it is hard to add new features to _any__x000D_
large system (especially one written in JS!) How do we know that PYRET_x000D_
will not have to be significantly re-engineered to benefit from your_x000D_
new constructs (i.e. the requirements needed to, e.g. have pauseable_x000D_
computations, breakpoints etc. may be scattered across the entire_x000D_
code base!)_x000D_
_x000D_
I did not find the PI's vision here -- IDEs in the browser -- persuasive._x000D_
_x000D_
First: why? Just because I have a phone/tablet with me all the time,_x000D_
doesn't mean I want to *program* on that phone. I can see the merit_x000D_
of approaches like Pyret -- where the in-browser-IDE makes distribution_x000D_
trivial. But Pyret is meant very specifically for introductory programming._x000D_
There are several other similar (if less sophisticated IDEs) for other_x000D_
languages (e.g. see the recent paper on the OCAML MOOC at ICFP 2017),_x000D_
or pythontutor (which has millions of users). Sure, these are not_x000D_
full-fledged  IDEs by a long shot and lack many of the features_x000D_
described here, but nevertheless they seem quite adequate for_x000D_
teaching purposes. However, for general purpose programming,_x000D_
I (and most professional developers) would likely want keyboards_x000D_
that make loud clacking sounds, and a big screen. Why, then,_x000D_
would they be tethered to a browser?_x000D_
_x000D_
Second, even if one assumed that yes, we _do_ want visual-studio_x000D_
in the browser, there are already vast amounts of engineering_x000D_
resources being poured in by Google, Facebook, Microsoft etc._x000D_
into developing things like WebAssembly. The proposal says that_x000D_
WebAssembly is not upto that task as other than its limitations_x000D_
JS is a very nice target and instead we'd have to reimplement_x000D_
different modern languages in web-assembly (instead of the proposed_x000D_
approach of adding a few targeted features to JS.)_x000D_
_x000D_
"Such a compiler would have to implement closure conversion,_x000D_
lambda lifting, garbage collection ..."_x000D_
_x000D_
I find that argument unpersuasive because really, once there is_x000D_
an LLVM (say) backend for web-assembly (also happening as part of_x000D_
the above engineering resources being poured into it) then_x000D_
every language that compiles to LLVM will directly be executable_x000D_
in the browser. (And, at this point, pretty much every large_x000D_
modern language has some sort of LLVM back-end going on.)_x000D_
_x000D_
Third, that said, the PI seems to be rather too optimistic about_x000D_
the engineering work needed to achieve their goals. For example,_x000D_
the task of producing high-quality (JS) code for all browsers_x000D_
is extremely ambitious (and the proposal would be much stronger_x000D_
if there was some actual implementation of one or more of the operators_x000D_
_x000D_
To summarize, while the PI makes some interesting concrete proposals_x000D_
for extending JavaScript with new features, the proposal as as whole_x000D_
does not persuade me of the scientific importance of these extensions._x000D_
Much of the individual bits are already implemented in different systems;_x000D_
(the proposal here is valuable -- to "refactor" those out into language_x000D_
level primitives that can be easily reused) but still, the overall value_x000D_
of doing so remains unclear. Seems like the work will require a *great*_x000D_
deal of engineering, not clear if the PI has the prior experience/expertise_x000D_
for this sort of engineering. Ultimately, this engineering may be_x000D_
made obsolete by ongoing trends in the browser space (WebAssembly)._x000D_
_x000D_
_x000D_
</t>
  </si>
  <si>
    <t xml:space="preserve">In the context of the five review elements, please _x000D_
evaluate the strengths and weaknesses of the proposal with respect to intellectual merit._x000D_
_x000D_
NOTE: Unfortunately, the bibliography is inconsistent with citations in the main body of the proposal, making it very difficult to follow the text._x000D_
Evidence:_x000D_
The first page cites [115] ... entries in the bib go up to just [108]!_x000D_
The first paragraph cites "tablet computers are now required at several  medical schools [70] and are transforming practice in several industries, such as construction [66] and energy [55]". Turns out [70] is a reference to the U Mass Undergraduate FAQ, [66] to a paper on compiling path queries and [55] to the TeJaS paper on retrofitting type systems to JavaScript :-(._x000D_
_x000D_
This is regrettable because otherwise the proposal appears to be a fine proposal, worthy of support._x000D_
_x000D_
Certain extensions to JavaScript are proposed, called BabelScript. BableScript is intended to support the three major use cases for compilation to JavaScript: supporting web programming in a variety of languages, supporting native applications (e.g. games), and supporting web-based IDEs. The BableScript extensions are intended to support (a) call with current continuation (and allied constructs), (b) concurrency constructs, (c) debugging abstractions, (d) separate compilation (using a linker to check consistency of static types), (e) blocking I/O in support of a file system and networking library. The intent is to implement BabelScript by translating into JavaScript, and to offer BabelScript as a target language for compilers from other languages, such as OCaml, Scala and Pyret. With BabelScript implemented, it would be possible to support powerful IDEs for such languages, with support included for setting break-points and stepping through code. This would be very valuable and impactful._x000D_
_x000D_
On (b), surprisingly specific constructs are not described. Instead, what is specified is that the language will have sequentially consistent (SC) semantics. Unfortunately, it is expensive and hard for the entire implementation stack (compiler, runtime, architecture, hardware)  maintain SC semantics, see e.g. the discussion in "A Theory of Memory Models", Saraswat et al PPoPP 2007. Some pretty basic compiler transformations are not valid under SC, e.g. transforming [x=1;r=y]] to [r=y;x=1]. Instead, much of the work in the research community assumes a weaker property ("the fundamental property of weak memory models" [ibid]): Programs whose SC executions have no races must have only SC executions. The author may want to reconsider this decision. _x000D_
_x000D_
I strongly support this work. In some ways I think of it is revisiting something as sophisticated and powerful as the Java Virtual Machine, but in the execution environment of a browser. The proposal is creative and potentially seminal -- enabling significant new work on sophisticated programming model implementations delivered through the browser. The proposed plan is quite reasonable. Some of the research activities proposed carry less risk, but many others are challenging, and addressing them will provide a breakthrough. _x000D_
_x000D_
The PI has strong qualifications to lead this research, as evidenced in Section 1.3.  Significant research already done in this area, a commitment to producing high quality open source artifacts (that will be critical to having a broader impact). He has deep linkages with strong programming languages and systems groups (at U Mass and Brown U), that should contribute to the success of the proposed research. _x000D_
_x000D_
The PI has strong qualifications to lead this research, as evidenced in Section 1.3.  Significant research already done in this area, a commitment to producing high quality open source artifacts (that will be critical to having a broader impact). He has deep linkages with strong programming languages and systems groups (at U Mass and Brown U), that should contribute to the success of the proposed research._x000D_
_x000D_
In the context of the five review elements, please _x000D_
evaluate the strengths and weaknesses of the proposal with respect to broader impacts._x000D_
_x000D_
The proposed work has a significant education component, for graduate and under graduate curricula, and also for high school education, through the "Holyoke Codes" initiative. A much larger class of users (students, industry users) will be able to access powerful computational systems on "post-PC" devices, through the kind of browser-based computing environments proposed here. We are already seeing significant post-PC uses in industry (small and medium business -- retail outlets, restaurants, hospitals); this research project is on the right exploding growth curve._x000D_
_x000D_
_x000D_
Please evaluate the strengths and _x000D_
weaknesses of the proposal with respect to any additional solicitation-specific review criteria, if _x000D_
applicable_x000D_
_x000D_
_x000D_
_x000D_
Summary Statement_x000D_
_x000D_
This is a proposal to extend JavaScript (to a system called BabelScript) with significant support for hosting programming languages with sophisticated control structures and concurrency in a safe fashion. If it is successful it will provide a powerful computing platform for the post-PC era. The proposer is very well qualified to execute on this project.  _x000D_
_x000D_
I rate this is a very strong proposal, worthy of support._x000D_
_x000D_
</t>
  </si>
  <si>
    <t>Traditional PCs are on their way out. The market for laptops and desktops has shrunk for two years and is predicted to shrink for several more. This transformation is most evident in education, where 58% of new devices are ChromeBooks. In homes, tablet ownership has skyrocketed to 45%, while PCs are stagnant. Post-PC devices are easier to use than PCs, easier to secure, and just as capable for most personal computing tasks, with the exception of programming._x000D_
_x000D_
Concurrent with the decline of PCs, web browsers have evolved into a universally-supported virtual machine with JavaScript as its language. Several "coding schools" and research groups have exploited this trend to build web-based IDEs for PCs and post-PC devices. Unfortunately, JavaScript has limitations that make many programs difficult to write.  The natural solution is to compile a better language to JavaScript and scores of compilers already do so.  However, instead of addressing the limitations of the web, the vast majority of compilers succumb to JavaScript's limitations.  For example, BuckleScript (OCaml) drops tail calls, RacketScript (Racket) drops continuations, Transcrypt (Python) drops exact arithmetic, and ClojureScript (Clojure) drops concurrency and transactional memory. Thus, the most distinctive and powerful features of many programming languages are lost in translation to JavaScript.  These compilers force programmers to restructure code that runs continuously for more than a few seconds to avoid crashing the browser tab and to rewrite code that uses platform features, such as the file system, that browsers do not support. These limitations also affect web-based IDEs. For example, most don't allow programs to span multiple files and many simply crash on infinite loops!_x000D_
_x000D_
Conventional wisdom states that there is a tradeoff between the completeness of a web-based compiler and the complexity of its implementation. A handful of research compilers strive to be complete, but most compilers balk at the effort required to implement non-trivial language features correctly and efficiently. In contrast, we propose to formalize a a few carefully-chosen extensions to JavaScript to make it a better compiler target. We propose to compile this extended language to ordinary JavaScript and thus dramatically lower the effort needed to compile sophisticated language features. Instead of re-engineering compilers, we present a plan to eliminate the deficiencies in several existing compilers using our extended JavaScript. Since different browsers have different performance characteristics, we propose to develop several compilation strategies that exploit individual browsers to maximize performance. To tackle large codebases, we propose to develop a compiler that supports separate compilation, using a type system to verify that compilation artifacts preserve necessary invariants. Finally, our extended JavaScript will include primitives needed by web-based debugging tools. In a collaborative effort, we propose to apply our approach to the Pyret IDE, which has thousands of users._x000D_
_x000D_
EDUCATIONAL GOAL. We propose a workshop series that teaches data science and functional programming to high school students.The key technical contributions are: (1) new concurrency, control, synchronous I/O, and debugging primitives for JavaScript, their formalization, and transformation to ordinary JavaScript; (2) a type system for JavaScript to ensure that compiled objects can be safely linked and run in isolation; (3) enhancements to several existing compilers that currently omit language features that don't map easily to the Web; (4) extensive performance evaluation; and (5) a multi-lingual web-based IDE that leverages all of the above.This project will make it dramatically easier to compile sophisticated languages to the Web. This project will also impact professional programmers by enabling them to use post-PC devices for tasks that currently require a traditional PC or a cloud-hosted VM. Finally, this proposal directly addresses the needs of students, who are most likely to only own a post-PC device. By lowering capital cost, this project will make computer science education more broadly accessible.</t>
  </si>
  <si>
    <t xml:space="preserve"> Panel Summary       
 SUMMARY OF PROPOSED RESEARCH ACTIVITY_x000D_
The goal of this proposal is to develop Tenli - a platform that takes the verification of resource-dependent systems seriously.  Tenli is planned to be a proof assistants that integrates sub-structural logics with dependent types. The technical challenges are (1) the development of a formal model, (2) the design of core and surface languages, which includes various sub-structural logics and a dependent types system, and (3) using Tenli for designing two new domain-specific languages: one for the verification of resource dependent systems using separation logic, and the other to be used in the study of the mathematical formalization of natural languages._x000D_
_x000D_
INTELLECTUAL MERIT_x000D_
Strength: Sub-structural logics are very important for programs with state. Integration between dependent types and sub-structural logics will be an important advance. _x000D_
Weakness:  There is the large gap between the highly theoretical focus of the proposal and its ambition to apply it to real-world program verification.  The proposal reflects a lack of awareness of the enormous chasm between the development of proof assistants for sub-structural logics and the reality of system verification in the real world. Also, the proposal lacks a realistic plan capability for carrying out the proposed research_x000D_
_x000D_
Suggested improvements:_x000D_
Offer a stronger rationale about the applicability of Tenli to actual program verification._x000D_
_x000D_
Develop a more realistic implementation and evaluation plan, or steer the project in a more theoretical direction._x000D_
_x000D_
BROADER IMPACT _x000D_
The broader impact aspect of this proposal is focused on reaching out with formal methods both to the undergraduate curriculum and the local software industry._x000D_
Formal methods have been successful in the industry in one of two settings: (1) very highly trained experts using sophisticated manual tools, or (2) verification engineers using highly automated tools. The tech-transfer is very broad and somewhat unfocsed._x000D_
_x000D_
Suggested improvement: the educational plan is good, the tech-transfer plan needs to be more realistic._x000D_
_x000D_
CAREER SOLICITATION-SPECIFIC REMARKS_x000D_
Plan for integrating research and education is not realistic enough._x000D_
_x000D_
Institutional letter should address the issue of resources needed for carrying out the proposed research._x000D_
_x000D_
Summary Statement _x000D_
_x000D_
This project aims at developing a powerful proof assistant based on sub-structural logics and dependent types. Finding users for this tool will be quite more difficult than envisioned in this proposal. _x000D_
_x000D_
The recommendation of the panel is Low Competitive. _x000D_
_x000D_
The panelists concur that the Panel Summary accurately reflects the panel discussion._x000D_
_x000D_
_x000D_
</t>
  </si>
  <si>
    <t xml:space="preserve">In the context of the five review elements, please _x000D_
evaluate the strengths and weaknesses of the proposal with respect to intellectual merit._x000D_
_x000D_
Overall, the proposal is strong with respect to intellectual merit.  Verification tools such as Coq and Agda that are based on dependent types are the state of the art in proof assistants.  But current tools do not build in substructural logics, which are required to do modular proofs in a wide variety of domains involving resources.  Encodings substructural logics is possible but has major disadvantages in practice.  This proposal would build a new tool, tenli, that merges these approaches seamlessly, at the same time supporting a broad range of substructural logics._x000D_
_x000D_
The technical approach proposed seems sound, though my lack of expertise with category theory made it difficult for me to understand all the details (an example would have helped a bit; also most NSF proposals focus a bit more on the technical approach in the writeup).  The approach extends prior work by Benton, Krishnaswami, and others to integrate logics using adjoint models, but in this case supports integrating different substructural logics as well as integrating them with intuitionistic logic.  Evaluation of the tool is done by building a separation logic library and by modeling natural language using the tools developed._x000D_
_x000D_
The PI is well-qualified, including experience from graduate school as well as current projects in the key areas required for this proposal._x000D_
_x000D_
_x000D_
In the context of the five review elements, please _x000D_
evaluate the strengths and weaknesses of the proposal with respect to broader impacts._x000D_
_x000D_
The proposal includes an impressive education plan, involving comprehensive integration of formal methods into Augusta University's curriculum, teaching local industry about formal methods (broadly construed), and working with rural high school teachers to expand offerings for their students.  I was impressed to see a real evaluation plan, using surveys before and after the interfentions discussed to see if the use of formal methods increased.  To me it was a bit questionable to include unit testing suites and generic "automated tools" as formal methods; the use of these techniques is already increasing and they do not involve proof.  But I was glad to see a definition that was generous enough to include things like static analysis.  The proposal was also strong in terms of the groundwork that was laid, e.g. lining up possible companies already to take the industry course, and considering tools on the practical side to focus on when teaching the course._x000D_
_x000D_
Overall, this proposal is one of the strongest I have ever read in terms of broader impacts.  The PI brings a passion to reaching rural high school students that is rooted in his own experience; and offers a practical plan for industry-focused coursework that could have a major impact on local industry.  Carrying out the plan will be a lot of work; however, based on the PI's background I believe he has the commitment to make it happen._x000D_
_x000D_
_x000D_
Please evaluate the strengths and _x000D_
weaknesses of the proposal with respect to any additional solicitation-specific review criteria, if _x000D_
applicable_x000D_
_x000D_
_x000D_
_x000D_
Summary Statement_x000D_
_x000D_
This is a very strong proposal and I would like to see it be funded._x000D_
_x000D_
</t>
  </si>
  <si>
    <t xml:space="preserve">In the context of the five review elements, please _x000D_
evaluate the strengths and weaknesses of the proposal with respect to intellectual merit._x000D_
_x000D_
The proposed work is to develop a new proof assistant that extends capabilities of existing proof assistants such as Coq and Isabelle. The PI plans to integrate substructural logics with dependent types, enabling verification of resource dependent systems. _x000D_
_x000D_
In recent years, software development with formal guarantees has had successful applications, resulting in significant results such as a verified compiler and a microkernel. The goal of this proposal is to advance this area further by developing a proof assistant that supports more expressive logics. _x000D_
_x000D_
I believe that extending capabilities of proof assistants with the goal of proving properties of software systems is an important research direction, given the tremendous importance of security and dependability of software. However, this proposal only provides a very high level motivation for the proposed research and does not give examples demonstrating how the proposed approach will achieve the identified objectives. The technical focus of the proposal is rather narrow and is on the theoretical side. It is hard to asses its potential impact in practice. _x000D_
_x000D_
The proposal could be improved by providing some motivating code examples and by explaining how the proposed logics would advance program verification by some concrete examples. _x000D_
_x000D_
The evaluation plan for the research component of the proposal is not sufficient in my view. Two case studies would not be sufficient for evaluating the proposed work. A more ambitious evaluation plan would improve the proposal._x000D_
_x000D_
In the context of the five review elements, please _x000D_
evaluate the strengths and weaknesses of the proposal with respect to broader impacts._x000D_
_x000D_
Proof assistants are likely to become more influential in software development in the future. So, I believe that, if this project succeeds in development of a proof assistant that is more easily applicable to software development, than it can have a broader impact beyond the field of computing. However, since the author does not clearly present the advantages of the proposed proof assistant in practice, it is hard to assess it is potential broader impacts. _x000D_
_x000D_
The PI plans to evaluate impact of adding new components to computing education. I find this to be too general as a goal. The authors discussion in the proposal focuses on teaching formal methods. However, even within formal methods, the author lists a long list of topics. So, in contrast to the research component of the proposal, the educational component is rather too broad. Moreover, the educational component of the proposal is rather disjoint from the research part. An educational component focusing on proof assistants would have been more appropriate for this proposal in my view._x000D_
_x000D_
Please evaluate the strengths and _x000D_
weaknesses of the proposal with respect to any additional solicitation-specific review criteria, if _x000D_
applicable_x000D_
_x000D_
As a CAREER proposal the proposed work does not provide a broad, long term research vision. Although the proposed work could be technically interesting in some sub-areas of computer science, a CAREER proposal should provide a broader vision._x000D_
_x000D_
Summary Statement_x000D_
_x000D_
Proof assistants have had some success in development of dependable software systems in recent years. This proposal presents a new proof assistant that integrates substructural logics with dependent types and, therefore, will provide better support for verification of resource dependent systems. The research focus of the proposal is rather narrow and the PI does not do a good job in explaining practical applications of the proposed proof assistant. The planned evaluation of the proposed research is too limited. The stated goal of the education component is too broad, and is rather disjoint from the research component of the proposal._x000D_
_x000D_
</t>
  </si>
  <si>
    <t xml:space="preserve">In the context of the five review elements, please _x000D_
evaluate the strengths and weaknesses of the proposal with respect to intellectual merit._x000D_
_x000D_
Strengths:_x000D_
_x000D_
* A clear and elegant architecture of supporting 16 substructural_x000D_
logics in a dependently typed language / proof assistant by_x000D_
modularly combinining smaller logics via modal operators and guided_x000D_
by categorical interpretations._x000D_
_x000D_
* Knowledge of related work in reasoning about resources in_x000D_
dependently typed languages._x000D_
_x000D_
* Mathemtically rich focus combined with verification ideas that are_x000D_
relevant to real software._x000D_
_x000D_
Weaknesses:_x000D_
_x000D_
* Despite ample discussion on the topic, I was left unconvinced that a_x000D_
new proof assistant as opposed to a library in an existing one was_x000D_
the way to go.  Indeed writing such libraries "manually" is a lot of_x000D_
work and complex and error prone (page 4), but so is a new proof_x000D_
assistant!  And the library approach allows for potential_x000D_
interactions with all the other libraries and modules written by_x000D_
others.  In short, why not implement MI in Coq or Agda?_x000D_
_x000D_
* I think the evaluation is a bit weak -- the idea is to implement two_x000D_
particular DSLs on top of the framework.  But what would not be_x000D_
clear is (a) are the DSLs "good" or "useful" or what-not and (b) if_x000D_
the benefits of the framework are substantial in development the_x000D_
DSLs._x000D_
_x000D_
* I have some reservations about embarking on such a deep mathematical_x000D_
and software-implementation journey with a "rotating cast of_x000D_
characters" (beyond one post-doc for two years, it's summer visits_x000D_
by graduate students and semester-long rotations by upper-division_x000D_
undergraduates).  I worry that, despite the great value in training_x000D_
junior researchers, the on-ramping time spent by the PI will be_x000D_
enormous.  I recommend making clearer what the potential "three_x000D_
month projects" are within the larger agenda._x000D_
_x000D_
_x000D_
In the context of the five review elements, please _x000D_
evaluate the strengths and weaknesses of the proposal with respect to broader impacts._x000D_
_x000D_
Strengths:_x000D_
_x000D_
* The focus on rural high schools, motivated by the PIs own impressive_x000D_
overcoming of educational limitations, is inspiring._x000D_
_x000D_
* The idea to engage with small-medium regional companies with respect_x000D_
to formal methods, both via surveys and via a free Master's course,_x000D_
is different from most approaches and worthy of investigation._x000D_
_x000D_
* The curriculum innovations are ambitious but achievable._x000D_
_x000D_
Weaknesses:_x000D_
_x000D_
* I fear the survey of local/regional businesses w.r.t. the use of_x000D_
formal methods will prove inconclusive while requiring significant_x000D_
effort.  Survey design and deployment, particularly to a somewhat_x000D_
ill-defined target (how do you find companies? how do you ensure_x000D_
they agree what a functional programming language is? etc.) would_x000D_
require significant expertise and effort, likely beyond the benefits._x000D_
_x000D_
Summary statement:_x000D_
_x000D_
While the foundational work and new proof assistant proposed here are_x000D_
elegant and reasonably well motivated, I have reservations about the_x000D_
approaches advocated (new proof assistant, broad survey of local_x000D_
industry) and about the ability to pursue the project with so many_x000D_
short-term contributors._x000D_
_x000D_
_x000D_
Please evaluate the strengths and _x000D_
weaknesses of the proposal with respect to any additional solicitation-specific review criteria, if _x000D_
applicable_x000D_
_x000D_
_x000D_
_x000D_
Summary Statement_x000D_
_x000D_
While the foundational work and new proof assistant proposed here are_x000D_
elegant and reasonably well motivated, I have reservations about the_x000D_
approaches advocated (new proof assistant, broad survey of local_x000D_
industry) and about the ability to pursue the project with so many_x000D_
short-term contributors._x000D_
_x000D_
_x000D_
</t>
  </si>
  <si>
    <t xml:space="preserve">In the context of the five review elements, please _x000D_
evaluate the strengths and weaknesses of the proposal with respect to intellectual merit._x000D_
_x000D_
The author is proposing the development of a foundational framework (and its implementation) that combines dependent types with substructural logics. This extends the work of Nick Benton and colleagues on integrating intuitionistic logic with linear logic (based on the LNL framework of Benton) by permitting linear logic to be replaced by any of the sixteen substructural logics obtained by the orthogonal decomposition given by the associativity, exchange, weakening, contraction rules._x000D_
_x000D_
The conception of this project is powerful, and it can be immensely impactful. However, it would benefit from a further elaboration of the basic ideas, particularly in terms of the application on the natural language side so that an extended five year research agenda can be laid out and meaningfully evaluated. While I am personally willing to bet that this proposal can lead to powerful results, it would be very beneficial to develop substantially more detail around the applied projects that are to be built on top of it, perhaps even to develop MI and DTL enough that several representative programs and types can be shown._x000D_
_x000D_
The potential impact of this work is immense. Substructural logics are *the* tool to enable reasonig about a host of complex resource-constrained phenomena in computer science, and dependent types offer power and flexibility critical to actual use._x000D_
_x000D_
There is a huge gap between the potential fundamental breakthrough of the logical aspect of the proposal and the naivette of the educational side. Perhaps the author will benefit from mentoring from senior logic faculty on how best to approach an education plan and broader impact plan._x000D_
_x000D_
_x000D_
In the context of the five review elements, please _x000D_
evaluate the strengths and weaknesses of the proposal with respect to broader impacts._x000D_
_x000D_
Needs much further development._x000D_
_x000D_
Please evaluate the strengths and _x000D_
weaknesses of the proposal with respect to any additional solicitation-specific review criteria, if _x000D_
applicable_x000D_
_x000D_
_x000D_
_x000D_
Summary Statement_x000D_
_x000D_
The author should be strongly encouraged to continue pursuing this line of work, and develop additional material that can underpin a compelling CAREER submission next time around._x000D_
_x000D_
</t>
  </si>
  <si>
    <t xml:space="preserve">In the context of the five review elements, please _x000D_
evaluate the strengths and weaknesses of the proposal with respect to intellectual merit._x000D_
_x000D_
The goal of this proposal is to develop Tenli - a platform that takes the verification of resource-dependent systems seriously. Tenil is planned to be a proof assistants that integrates sub-structural logics with dependent types. The technical challenges are (1) the development of a formal model, (2) the design of core and surface languages, which includes various sub-structural logics and a dependent types system, and (3) Using Tenli for designing two new domain-specific languages: one for the verification of resource dependent systems using separation logic, and the other to be used in the study of the mathematical formalization of natural languages._x000D_
_x000D_
For this reviewer, the weakness of this proposal is the large gap between its highly theoretical focus -- it is at the theoretical end of formal-methods research -- and its ambition to apply it to real-world program verification. I'd have no problem with a proposal that aims to lay theoretical foundations for resource-dependent system verification, but I am troubled by the lack of awareness in this proposal of the enormous chasm between the development of proof assistant for sub-structural logics and the reality of system verification._x000D_
_x000D_
In the context of the five review elements, please _x000D_
evaluate the strengths and weaknesses of the proposal with respect to broader impacts._x000D_
_x000D_
The broader impact aspect of this proposal is focused  on reaching out with formal methods both to the undergraduate curriculum and the local software industry. Here also the proposal does not seem to be aware of the enormous challenge of such outreach. Formal methods have been successful in the industry in one of two settings: (1) very highly trained experts using sophisticated manual tools, or (2) verification engineers using highly automated tools. Tenil will be a highly sophisticated manual tool. I am quite skeptical that it will find usage either in the undergraduate curriculum at Augusta University or in the local software industry,_x000D_
_x000D_
Please evaluate the strengths and _x000D_
weaknesses of the proposal with respect to any additional solicitation-specific review criteria, if _x000D_
applicable_x000D_
_x000D_
_x000D_
_x000D_
Summary Statement_x000D_
_x000D_
This project aims at developing a powerful proof assistant based on sub-structural logics and dependent types. Finding users for this tool will be quite more difficult than envisioned in this proposal._x000D_
_x000D_
</t>
  </si>
  <si>
    <t>The research objective of this project is to design and construct a new proof assistant, called Tenli, that integrates substructural logics with dependent types. Tenli will be the first proof assistant to natively support sixteen different substructural logics that can be used independently or can be mixed to model resource dependent systems that one can then reason about using dependent type theory. Combining substructural logics with dependent types natively will result in the ability to conduct reasoning similar to separation logic._x000D_
_x000D_
The research proposal consists of several objectives: (1) we will fully develop the formal model that corresponds to the surface and core languages of Tenli, (2) we will design the core and surface languages of Tenli which includes various substructural logics and a dependent types system, and (3) we will evaluate Tenli by using it to design two new domain-specific languages: one for the verification of resource dependent systems using separation logic, and the other to be used in the study of the mathematical formalization of natural languages._x000D_
_x000D_
The education objective of this proposal is to asses and increase the level of industry adoption of formal methods techniques and tools by integrating formal methods into the undergraduate curriculum, and by providing continuing education opportunities to employees of local area businesses._x000D_
_x000D_
The education proposal consists of several objectives: (1) we will gather data via a survey on the use of formal methods at small to medium sized companies throughout the South Eastern United States, (2) we will integrate formal methods concepts into the undergraduate computer science curriculum at Augusta University, and (3) we will provide a continuing education opportunity to local area businesses by running a free computer science masters course introducing the use of formal methods in practice.This project is the first to integrate substructural logics with dependent types at a grand scale to build a system for the verification of resource dependent systems.  Educationally, this project will be the first to not only integrate formal methods into the undergraduate curriculum, but to also measure its effectiveness of increasing the level of adoption of formal methods in the industry.Tenli will have a major impact in several domains by supplying a much need tool that will be applicable to the meta-theory of programming language, formal verification using dependent types, linguistics, security, and many others.  This research will provide training and mentoring opportunities for undergraduates, graduate students, and postdoctoral researchers.  The undergraduates of Augusta University will obtain valuable research experience that is currently lacking. Visiting graduate students will obtain the chance to work with a researcher outside of their institution.  The postdoctoral researcher will be able to elevate their career using this project. All of the students will obtain the experience of engaging in the research community by presenting their work at workshops and conferences.  Educationally, this project will impact undergraduate students by introducing them to formal methods for building correct and secure software and systems, even further, it will spread formal methods awareness to the general public.</t>
  </si>
  <si>
    <t xml:space="preserve"> Panel Summary       
 SUMMARY OF PROPOSED RESEARCH ACTIVITY_x000D_
_x000D_
This project would develop an expressive type system for information flow security for an assembly-like language, a type inference algorithm for it, and a type system that analyzes information flow through low-level timing channels._x000D_
_x000D_
INTELLECTUAL MERIT_x000D_
_x000D_
+ Expressive type systems are a promising approach to ensuring that programs satisfy information flow policies.  _x000D_
_x000D_
+ The type system for timing channels is novel.  _x000D_
_x000D_
+ The PI is well qualified to do the proposed work._x000D_
_x000D_
- The proposal prominently claims that the proposed type system will be easy-to-use and have a low annotation burden, but provides insufficient evidence to support this claim.  Existing source-level information-flow type systems, such as Jif, are not easy to use.  Usability will be even more challenging at the assembly-language level._x000D_
_x000D_
BROADER IMPACTS _x000D_
_x000D_
- The broader impacts of the proposed work may be limited by usability issues._x000D_
_x000D_
+ The PI would incorporate the proposed research in graduate courses, incorporate simpler but related material in undergraduate courses, and get involved in K-12 outreach programs._x000D_
_x000D_
CAREER SOLICITATION-SPECIFIC REMARKS_x000D_
_x000D_
The proposed research and education activities are well integrated._x000D_
_x000D_
SUMMARY STATEMENT_x000D_
_x000D_
The proposed work is novel and challenging.  If usability is an emphasis of the proposal, the proposal should include some preliminary evidence to support the usability claims and a plan to evaluate them._x000D_
_x000D_
The recommendation of the panel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</si>
  <si>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proposal has both significant strengths and weaknesses for intellectual merit.  The problem is an important one: keeping private information from being compromised is a longstanding hard problem in computing systems more generally, and in programming systems more specifically.  This proposal is ambitious in seeking a rigorous approach to mitigating timing channels related to cache effects, and in seeking to create tools that have high precision and are easy to use._x000D_
_x000D_
The technical approach proposed is novel and interesting.  Instead of use flow- or path-sensitive analysis directly, the approach renames variables and uses dependent security labels to get the effect of doing so, but hopefully at less cost.  This also supports some of the flexibility that would come from a program logic, but staying in the mostly-simpler world of type systems.  Other parts of the technical plan describe how to allow the user to specify properties at the source level but do the analysis at the LLVM IR level; and an interesting approach for dealing with timing channels._x000D_
_x000D_
The proposal describes an interesting approach for handling the complication of mutable variables, but does not mention the most interesting case here: heap variables that can be not only mutated, but also aliased.  Alias analysis can of course be used to simplify the problem, but is also a major source of imprecision (and programmer confusion, since the programmer must understand what the alias analysis does in order to understand the information flow analysis's results)._x000D_
_x000D_
A very significant weakness of this proposal is that it highlights ease-of-use as an explicit goal, but does not recognize the scale of the problem, nor propose a realistic approach to making an easy-to-use tool, nor propose any solid way to evaluate this.  I've seen students (both undergraduate and graduate) try to use Jif, and the results were not good; essentially only the students already doing research in PL succeeded.  Section 2.2 of this proposal appears to frame Jif as representing a "light-weight" tool (a major stretch, given what I have seen) and argues that systems with subtyping are widely adopted--which is true for OO subtyping but not true for Jif.  But the proposed research appears to be less usable than Jif; the property to be checked is more complex (because it involves timing channels) as is the type system (because it is dependently typed), and any errors are discovered at the level of the LLVM IR (rather than the source code the programmer wrote and presumably understands) and may involve prediates that were inferred (again, more difficult to understand than predicates the programmer specifies).  Ease of use must consider not just what can be automated, but what the user must do when automation (e.g. inference) fails; and there is no plan for that here.  The evaluation plan mentions ease of use as a metric, but proposes no way to evaluate it except to see if students can finish verification in course projects._x000D_
_x000D_
Essentially, the proposal's plan and claims with respect to ease of use are not credible, and that will limit the impact of the work significantly.  If ease of use is to be a design principle, then formative evaluation techniques such as qualitative user studies should be used; and if the PI  wants to make claims about ease of use, he should do quantitative studies with users.  See publications in venues such as the PLATEAU workshop for examples of usability techniques applied to languages and tools._x000D_
_x000D_
The PI is well-qualified to carry out all aspects of the plan except those involving ease of use; I do not see a record of research in the area of language or tool usability._x000D_
_x000D_
_x000D_
In the context of the five review elements, please _x000D_
evaluate the strengths and weaknesses of the proposal with respect to broader impacts._x000D_
_x000D_
A solution to the problem of information flow, particular in the presence of timing leaks, would have a major impact on security in the software industry.  I'm not sure this proposal is going to get us there given the ease of use issues above._x000D_
_x000D_
In terms of specific activities proposed, the broader impacts portion of the proposal is unusually detailed and is reasonably strong (though again, ease of use issues may interfere with successfully introducing information flow analysis at the undergraduate level).  I think the K-12 outreach planned is great.  It's also good to know the PI is focused on diversity issues and has worked with students from underrepresented backgrounds._x000D_
_x000D_
_x000D_
Please evaluate the strengths and _x000D_
weaknesses of the proposal with respect to any additional solicitation-specific review criteria, if _x000D_
applicable_x000D_
_x000D_
_x000D_
_x000D_
Summary Statement_x000D_
_x000D_
This is a proposal with a lot of interesting ideas, but I am not convinced that it will yield a practical tool as described.  The most important things to do in order to improve the proposal are (A) either don't make claims about ease of use, or come up with a credible plan to evaluate them with users, and (B) come up with a believable story for what the user should do when the analysis  tool reports a spurious information flow leak (i.e. not a real leak, but one due to the imprecision of the tool; all tools will sometimes be imprecise)._x000D_
_x000D_
_x000D_
</t>
  </si>
  <si>
    <t xml:space="preserve">In the context of the five review elements, please _x000D_
evaluate the strengths and weaknesses of the proposal with respect to intellectual merit._x000D_
_x000D_
The proposal argues that high-level source language is_x000D_
insufficient for reasoning about security, due to compiler_x000D_
bugs, compiler optimizations, and covert (timing) channels_x000D_
that are absent at source level._x000D_
_x000D_
Proposal aims to build precise information flow type system_x000D_
for low-level code (e.g. LLVM IR) that is precise, automated_x000D_
via inference, has formal security guarantees, tunable precision_x000D_
so "common case is easy"._x000D_
_x000D_
_x000D_
In the context of the five review elements, please _x000D_
evaluate the strengths and weaknesses of the proposal with respect to broader impacts._x000D_
_x000D_
The PI will package the research results in to modules that_x000D_
can be added into undergraduate and graduate courses spanning_x000D_
security, programming languages and formal methods._x000D_
_x000D_
For undergraduates, there will be new exercises and modules_x000D_
using existing information flow systems like JIF._x000D_
_x000D_
For graduates, there will be new assignments that focus on_x000D_
implementing type inference, including the advanced ideas_x000D_
that will be developed here._x000D_
_x000D_
The proposal also includes a substantial K-12 outreach program_x000D_
including participation in summer camps tailored to increasing_x000D_
participation of girls in computing; Penn State's_x000D_
"Community Science Night", and programs aimed at_x000D_
stimulating interest in STEM among high-school students._x000D_
The goal in the above is to cultivate awareness of security_x000D_
via hands on exercises, puzzles, and discussions of widely_x000D_
reported security vulnerabilities._x000D_
_x000D_
Please evaluate the strengths and _x000D_
weaknesses of the proposal with respect to any additional solicitation-specific review criteria, if _x000D_
applicable_x000D_
_x000D_
_x000D_
_x000D_
Summary Statement_x000D_
_x000D_
## Summary_x000D_
_x000D_
The concrete goals are to develop an Information_x000D_
flow type system for LLVM IR, a type checking_x000D_
algorithm that supports inference for the easy_x000D_
cases (and hence is tunable by guarding security_x000D_
labels with program assertions that allow path sensitivity),_x000D_
timing semantics for LLVM IR, and implementation_x000D_
and evaluation on real world benchmarks._x000D_
_x000D_
The main technical challenges that will be addressed are_x000D_
(1) compiling /transforming source labels into LLVM/IR,_x000D_
(2) developing a low-level type system and algorithms_x000D_
for adaptively inferring suitable predicate guards._x000D_
_x000D_
## Pros  _x000D_
_x000D_
+ PI has identified a challenging and important problem: securing_x000D_
software requires reasoning not just at high-level but also,_x000D_
ultimately about machine code._x000D_
_x000D_
+ General verification is indeed very hard, but security properties may_x000D_
indeed be much more tractable._x000D_
_x000D_
+ PI has a strong track record touching many of the different aspects_x000D_
of this broad and ambitious proposal._x000D_
_x000D_
+ There is lots of related work in this space, including_x000D_
dependent type systems for information flow control._x000D_
The main advance here is the combination of predicates_x000D_
and labels to provide tunable precision and high   _x000D_
automation in the common case. This is plausible (but_x000D_
would have been stronger with evidence that this_x000D_
combination is valuable in the given space.)_x000D_
_x000D_
## Cons_x000D_
_x000D_
- Not persuaded about approach in that are dependencies_x000D_
and invariants (path sensitivity) is really the problem_x000D_
with Iflow?_x000D_
_x000D_
- While I find the idea of the predicate-guarded labels and path_x000D_
sensitivity interesting on its own, I was not persuaded by the_x000D_
running examples that it is actually useful in the context of_x000D_
information flow control. (I don't mean that its _not_ useful,_x000D_
just that the examples did not persuade me.)_x000D_
_x000D_
- Furthermore, is there evidence, e.g. from the high-level language_x000D_
setting (e.g. JIF/JFLow) that adding path sensitivity would help_x000D_
there? If so, that would be concrete evidence of it being needed_x000D_
at the low-level setting. If not, what is it about the low-level_x000D_
setting that makes it so critical or beneficial?_x000D_
_x000D_
- The evaluation plan could be better sketched out. What kinds of applications_x000D_
will be considered? Benchmarks similar to JIF/JFlow? Implementations_x000D_
of cryptographic primitives (where timing channels are important?)_x000D_
Web Browsers? All of these have quite different information flow_x000D_
requirements and are likely to require different approaches._x000D_
_x000D_
_x000D_
## Details_x000D_
_x000D_
Information flow is hard because policies are hard._x000D_
_x000D_
In reality one cannot use the usual Hi/Lo because that's too coarse;_x000D_
need many principals, different read/write capabilities, need_x000D_
declassification etc. all of which makes just the policies_x000D_
really hard (c.f. the JFlow benchmarks.)_x000D_
_x000D_
Ultimately, the hard questions are these: where do you declassify?_x000D_
_x000D_
What policy do you want?_x000D_
_x000D_
It would be nice to have compelling evidence that_x000D_
_x000D_
(a) *path sensitivity* which is the main technical_x000D_
issue the PI wants to work on, is really a big_x000D_
problem as far as information flow control is_x000D_
concerned, and_x000D_
_x000D_
(b) if it is indeed the problem, then the methods_x000D_
being proposed are upto the task._x000D_
_x000D_
The examples given seem quite unrealistic in that_x000D_
they demonstrate what path-sensitivity _is_ but_x000D_
they don't persuade me that this is the kind of_x000D_
path sensitivity that is needed to reason precisely_x000D_
about information flow._x000D_
_x000D_
Yes, some of the previous dependent type systems _x000D_
have undecidable type checking, but so will you _x000D_
unless you constrain the specification language._x000D_
Furthermore, the reason the other systems (e.g. F*) _x000D_
has undecidable checking is because they allow for _x000D_
expressive specifications; put another way, if one _x000D_
limits oneself to simpler specifications in those _x000D_
languages then checking is again decidable._x000D_
_x000D_
While I find the idea of the predicate-guarded labels _x000D_
and path sensitivity interesting on its own, I was not _x000D_
persuaded by the running examples that it is actually _x000D_
useful in the context of information flow control. _x000D_
(I don't mean that its _not_ useful, just that the _x000D_
examples did not persuade me.)_x000D_
_x000D_
Note that combining predicates and labels is closely related_x000D_
to the notion of "reduced products" for abstract interpretation_x000D_
which let one compose two different abstract interpretations_x000D_
(e.g. one for the predicates and one for the labels.)_x000D_
The idea has been explored, e.g. in the software model_x000D_
checking community see the CPA checker tool._x000D_
_x000D_
The proposal would also benefit from details about using constraint_x000D_
solving to solve the typing constraints. The PI describes a "self-adaptive"_x000D_
approach but appears unaware of the large literature on CEGAR (counterexample_x000D_
guided abstraction refinement) which is exactly what they are looking_x000D_
to do. That said, CEGAR works in limited settings where the invariants_x000D_
fall into very specific patterns (e.g. certain flags are set or not.)_x000D_
_x000D_
Again, it is difficult to judge whether CEGAR or general, iterative_x000D_
approaches will work here, because in general the PI is trying_x000D_
to infer loop invariants which can, without appropriate domain_x000D_
knowledge, be quite a tall order. (Again, maybe the invariants/predicates_x000D_
here _are_ simple, but I don't have evidence to judge that one way_x000D_
or another...)  _x000D_
_x000D_
Note that the one piece of prior work is the PI's excellent work_x000D_
on Bayesian algorithms for minimizing infeasible typing constraints._x000D_
However as the PI notes, there are already ways to minimize constraints_x000D_
with MAXSMT, and the problem of computing invariants (or "predicate inference")_x000D_
is a far bigger can of worms than just minimizing constraints._x000D_
(see the CEGAR literature.)_x000D_
_x000D_
Finally, the PI is perhaps too optimistic about the ease of_x000D_
compiling source level labels down to LLVM IR. In general_x000D_
one will have to deal with all kinds of transforms and_x000D_
rewrites inside LLVM that are likely to make this very_x000D_
challenging indeed, purely from an engineering point_x000D_
of view._x000D_
I would have more confidence that such "transformation functions"_x000D_
were feasible if there was either some preliminary work by the PI_x000D_
or others where actual source level information was in fact_x000D_
propagated to the LLVM IR._x000D_
_x000D_
_x000D_
</t>
  </si>
  <si>
    <t xml:space="preserve">In the context of the five review elements, please _x000D_
evaluate the strengths and weaknesses of the proposal with respect to intellectual merit._x000D_
_x000D_
The author lays out a comprehensive, ambitious research plan to attack the problem of estbalishing strong information-flow based security properties of code. The core of the proposal is to extend the author's work on data-dependent security labels and timing contracts [101] with, among other things, a flow-, path- and state-sensitive type system for the LLVM Intermediate Language (IR), and a new type inference algorithm. (Note, though, that  "type" system design will face significant challenges; one has to be careful about putting together data-dependence and polymorphism so that unsoundness does not creep in.)_x000D_
_x000D_
The proposal is bold, but realizable, and definitely worth trying. It will be transformative if it succeeds.  The author is very well qualified to execute this research program, given his past work in this area, published in major conferences. _x000D_
_x000D_
Note:_x000D_
* Some more thought is needed for the "self-adaptive" algorithm. There may be multiple ways to relax constraints, the resulting non-determinism will need to be handled._x000D_
_x000D_
* The author might be better off trying to get end-to-end security guarantees with a somewhat simpler first-order language, e.g. a first-order functional language, before attempting a source language with mutation and aliasing._x000D_
_x000D_
_x000D_
_x000D_
_x000D_
_x000D_
In the context of the five review elements, please _x000D_
evaluate the strengths and weaknesses of the proposal with respect to broader impacts._x000D_
_x000D_
The need for secure systems is pervasive, particularly in our modern on-line era. Besides integrating this material into undergraduate and graduate courses, the author is also pursuing K-12 education opportunities. This seems reasonable for such a proposal._x000D_
_x000D_
Please evaluate the strengths and _x000D_
weaknesses of the proposal with respect to any additional solicitation-specific review criteria, if _x000D_
applicable_x000D_
_x000D_
_x000D_
_x000D_
Summary Statement_x000D_
_x000D_
An interesting, challenging project with significant upside on success._x000D_
_x000D_
</t>
  </si>
  <si>
    <t xml:space="preserve">In the context of the five review elements, please _x000D_
evaluate the strengths and weaknesses of the proposal with respect to intellectual merit._x000D_
_x000D_
STRENGTHS_x000D_
_x000D_
The main products of this project would be (1) a type system with dependent security labels for information flow security for an assembly-like language.  The security labels would be expressive enough to capture path-sensitivity and state-sensitivity, (2) a type inference algorithm for this type system, and (3) a type system that provably controls timing channels, including low-level effects such as variable-timing machine instructions and cache effects._x000D_
_x000D_
The PI is very well qualified to do the proposed work, especially to develop the proposed type systems and prove soundness._x000D_
_x000D_
WEAKNESSES_x000D_
_x000D_
The claims about ease-of-use and low annotation burden seems to be mostly optimistic speculation.  Although the PI has published work on related problems, e.g., [57,102,37,105], there is little evidence to support the claim that the proposed type system will be easy-to-use and have a low annotation burden.  For example, [57] does not discuss type inference or any applications.  [102] considers a type system for differential privacy with type inference but considers only very small programs (&lt;= 14 lines).  [37,105] present a type system for information flow for a variant of Verilog, a hardware description language, and its application to verification of non-interference for TrustZone on a MIPS processor.  This is an impressive case study, but it is unclear how much that success implies for verification of application-specific information-flow policies for software.  Information-flow type systems such as Jif are not particularly easy to use._x000D_
_x000D_
The relationship between the dependent type system for information flow (Section 4) and the type system that controls timing channels (Section 5) is unclear.  Type inference for the type system that controls timing channels is not discussed._x000D_
_x000D_
The evaluation plan is vague.  The proposal devotes a total of 6 words ("cryptography, web applications, and IoT applications") to describing candidate applications expected to be used to evaluate the proposed techniques.  The proposal says nothing about the expected size of these applications._x000D_
_x000D_
The proposed type system apparently does not capture decentralized information flow.  Since Jif is probably the best-known work on type-based information-flow assurance, I would have liked to see some discussion of what kinds of applications require reasoning about decentralized information flow, and how difficult would it be to add support for this._x000D_
_x000D_
In the context of the five review elements, please _x000D_
evaluate the strengths and weaknesses of the proposal with respect to broader impacts._x000D_
_x000D_
STRENGTHS_x000D_
_x000D_
The PI proposes to incorporate the proposed research in graduate courses, to incorporate simpler but related material in undergraduate courses, and to get involved in some of Penn State's existing programs for K-12 outreach.  The PI has mentored some undergraduate and M.S. research projects and proposes to continue and expand those efforts.  One of the undergraduates has joined the Ph.D. program at Penn State._x000D_
_x000D_
Information leaks are a practical problem, with increased importance as multi-tenancy in cloud platforms, and information sharing between applications and between organizations, becomes more common.  If the proposed type system can meet the goals of low annotation burden and ease-of-use, it could help reduce the prevalence of information leaks in commercial software._x000D_
_x000D_
WEAKNESSES_x000D_
_x000D_
Achieving the proposed goals of low annotation burden and ease-of-use is a major technical challenge.  The proposal briefly describes the proposed approach to label inference and predicate inference in Section 4.2, but it is hard to predict how successful they will be._x000D_
_x000D_
Please evaluate the strengths and _x000D_
weaknesses of the proposal with respect to any additional solicitation-specific review criteria, if _x000D_
applicable_x000D_
_x000D_
_x000D_
_x000D_
Summary Statement_x000D_
_x000D_
This project would develop type-based techniques for proving information-flow properties of software, taking explicit flows, implicit flows, and timing channels into account.  The approach is interesting but presents significant technical challenges._x000D_
_x000D_
</t>
  </si>
  <si>
    <t>Since their inception, high-level programming languages (e.g., C, ML, Java) have been an extremely successful abstraction for software development. The success is rooted in clean semantics that specifies the run-time behavior of a program, while leaving out the overwhelming low-level details (e.g., registers, heap-allocated memory, data cache) that, most of the time, have little to do with the functional correctness of the software._x000D_
_x000D_
However, the source language abstractions can be inadequate for reasoning about software security. Although most existing information flow analyses work at the source-language level, the low-level executable of a "verified" program might be insecure since compilers may have bugs, and optimizing compilers in general do not preserve information flow security. Moreover, source-level verification can be inadequate in face of side-channel attacks since those side channels (e.g., timing and power channels) are invisible in the source-language semantics._x000D_
_x000D_
This proposal outlines a long-term endeavor that will eventually enable rigorous and useful information flow analysis for low-level code. In particular, this proposal focuses on three major obstacles of achieving such a goal: precision, ease-of-use and timing-channel security, and lays out a research plan for addressing each obstacle. The key enabling technique is a static type system with dependent security labels (i.e., security labels whose meaning depend on program states). The novel type system enables tunable trade-offs between precision and verification complexity, and consequently, offers the following benefits: 1) high precision: the proposed system provides high precision currently only offered by heavy-weight verification methods based on program logics, 2) ease-of-use: the analysis incurs little annotation burden on programmers. Moreover, it infers most of the required security annotations, 3) rigorous security: the type system comes with a rigorous security guarantee: it provably controls all illegal information flows, including those via timing channels, 4) tunable precision: the analysis provides tunable precision knobs so that easy problems can be verified in an easy way.Significant expected results of this project include: 1) An assembly-like language with dependent security labels for information flow security, 2) A light-weight yet permissive type system that offers tunable analysis precision, 3) A formalization of the language and a soundness proof that any well-typed program obeys information flow policy, 4) A type inference engine for inferring security labels, including the ones that depend on program states, 5) An abstract timing semantics that captures information flows via timing for low-level code, 6) A type system that provably controls timing channels, 7) A thorough study of the expressive power of the proposed analysis on real-world applications, and 8) An implementation of the proposed information analyses, as well as an evaluation on real-world applications.The new security mechanisms that will be developed in this proposal can have a significant impact on how computing systems are designed, making the next generation of software, computing devices and platforms inherently more secure. The educational goal of this project is to foster a next generation of computer scientists who treat security as a first-class concern in software development, and who can wrap their heads around the important concepts behind software security. Another goal is to raise awareness of security programming for the general public, including high school students. The results of the research will be integrated into existing and new undergraduate and graduate courses, as well as outreach activities to achieve the educational goals. Special attention will be given to encourage undergraduates, women and students from under-represented groups to participate in the education activities.</t>
  </si>
  <si>
    <t xml:space="preserve"> Panel Summary       
  SUMMARY OF PROPOSED RESEARCH ACTIVITY_x000D_
_x000D_
The PI proposes to study the semantics of the POSIX shell, build tools that enable users to work more effectively with the shell, and study the fundamental language design principles for shell and related interactive forms of programming.  The shell is critical but poorly understood, and if successful the proposed research will help shell programmers avoid introducing bugs and will pave the way for improved shells and interactive programming languages._x000D_
_x000D_
_x000D_
INTELLECTUAL MERIT_x000D_
_x000D_
Strengths:_x000D_
 + The shell has unique features, fundamentally different from other PLs, and so is of inherent intellectual interest._x000D_
 + Preliminary work already yielded insights (and a bug) and suggests deeper study would be fruitful._x000D_
 + A technically sound and multifaceted research plan incorporating formal models and proofs, validation of the model via testing, and a compiler and analysis tools for the shell._x000D_
 + The PI is very well-qualified to carry out the work_x000D_
_x000D_
Suggestions for improvement:_x000D_
 - Could have provided a more detailed evaluation plan for the compiler and tools to be built, and considered a wider range of properties to formally prove in the research plan._x000D_
_x000D_
 _x000D_
BROADER IMPACTS _x000D_
_x000D_
Strengths_x000D_
 + The shell is very widely used, and shell script bugs are common, so static analysis tools and improved shell scripting languages could have a major impact on industry_x000D_
 _x000D_
 + The educational materials to be developed cover a currently ignored area (shell scripting languages) but one that many would benefit from learning about_x000D_
_x000D_
 + The involvement of the Pomona IT department in development of the educational materials lends credibility that the materials developed will be relevant to similar IT professionals._x000D_
_x000D_
 _x000D_
CAREER SOLICITATION-SPECIFIC REMARKS_x000D_
_x000D_
The proposal strongly integrates research on shell scripting with development of educational materials and course units that cover the shell in a principled, technical way, drawing directly on the research to be performed._x000D_
_x000D_
The letter from the Pomona Computer Science Department Chair indicates strong support for the research, and links the PI's plans to the plans of the IT department which is mentioned as a collaborator and test subject for some of the materials.  It indicates that Prof. Greenberg receives mentoring, including from a senior professor (Kim Bruce) in his area._x000D_
_x000D_
_x000D_
ADDITIONAL REMARKS_x000D_
_x000D_
The research has the potential to be transformative in two ways: first, in building tools for shell scripting languages that can help programmers avoid common bugs; and second, in designing future shell scripting and related interactive languages that have better properties. Because shell scripting is so important and because there are virtually no existing tools or formal understanding of the language design, the potential benefits are much more in the transformative category than incremental._x000D_
_x000D_
_x000D_
SUMMARY STATEMENT_x000D_
_x000D_
Because this proposal addresses an important real-world problem, addresses a question of inherent intellectual interest, includes a technically sound research plan, and could have significant impact both on education and industry, the panel felt the proposal had many strengths that led to the recommendation below.  There are also areas for improvement that influenced our recommendation, including exploring a wider variety of properties to verify and providing a more concrete evaluation plan for the tools to be developed._x000D_
    _x000D_
The recommendation of the panel is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</si>
  <si>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Overall, the proposal is strong with respect to intellectual merit.  The shell is a critically important piece of infrastructure, but is poorly understood. Because the semantics of the shell is so different from those of other programming languages, the proposed research is of inherent intellectual interest._x000D_
_x000D_
The research has the potential to be transformative in two ways: first, in building tools for shell scripting languages that can help programmers avoid common bugs; and second, in designing future shell scripting and related interactive languages that have better properties.  Because shell scripting is so important and so poorly served by current tools, the potential benefits are great._x000D_
_x000D_
The proposed approach is sound; it involves formally modeling the semantics of the POSIX shell; evaluating the formal model via proof, via POSIX test suites, and via comparison with existing shells on real-world tasks; building a compiler for the POSIX shell as well as static analyses; and exploring better language designs for the shell and other forms of interactive programming.  The last of these is not as well-defined as the others, but that is expected, as its exact shape will depend on the early stages of the research._x000D_
_x000D_
My main suggestion for improvement of the proposal would be a concrete plan for evaluating the compiler and analysis tool to be developed._x000D_
_x000D_
The PI's existing work formalizing the shell makes him the best-qualified person in the world to carry out this research; the proposal already has a lot of very interesting insight, and the proposed research will surely create more._x000D_
_x000D_
_x000D_
In the context of the five review elements, please _x000D_
evaluate the strengths and weaknesses of the proposal with respect to broader impacts._x000D_
_x000D_
As described above, the shell is a critically important piece of infrastructure, but shell programming is very error-prone.  So tools that can avoid bugs, or better programming languages, can have a transformative impact in practice._x000D_
_x000D_
The PI's educational plan will also contribute to broader impacts; the plan is specific and involves not just teaching the PI's own courses, but jointly developing educational materials with Pomona's IT department; this gives the plan credibility.  In general educational meterials related to the shell that take a principled and semantic approach would be a completely new kind of thing, and would be widely useful in courses at other universities.  The widespread use of the shell gives these educational materials greater impact than tools or educational materials developed in a typical PL- or formal methods-related proposal._x000D_
_x000D_
Please evaluate the strengths and _x000D_
weaknesses of the proposal with respect to any additional solicitation-specific review criteria, if _x000D_
applicable_x000D_
_x000D_
_x000D_
_x000D_
Summary Statement_x000D_
_x000D_
This is an excellent, potentially transformative proposal and I would like to see it be funded._x000D_
_x000D_
</t>
  </si>
  <si>
    <t xml:space="preserve">In the context of the five review elements, please _x000D_
evaluate the strengths and weaknesses of the proposal with respect to intellectual merit._x000D_
_x000D_
Pro:_x000D_
_x000D_
- The goals are clearly articulated, ranging from very concrete and measurable goals (executable formal semantics) to more open-ended creative investigations (programming language design for interactive programming)  _x000D_
_x000D_
- The PI's publication record, and the sketched semantics in the proposal, indicate solid formal foundations and good writing skills._x000D_
_x000D_
- The rigourus study of non-academic programming languages is generally regarded positively by  the academic community; publications, and some level of attention, are likely._x000D_
_x000D_
Contra:_x000D_
_x000D_
- Pomona College is an undergraduate institution; it may be difficult to achieve some of the more ambitious ideas (e.g. mechanically verified proofs of nontrivial properties) _x000D_
_x000D_
_x000D_
_x000D_
In the context of the five review elements, please _x000D_
evaluate the strengths and weaknesses of the proposal with respect to broader impacts._x000D_
_x000D_
Pro:_x000D_
_x000D_
- shell programming has remained relevant for decades, and is in fact becoming more relevant for the cloud. Research that makes shell programming easier, safer, or more modern, has the potential to improve developer productivity in the long term._x000D_
_x000D_
- Applying rigorous PL principles to shell programming seems likely to have an immediate educational value, which is credibly outlined by the proposal_x000D_
_x000D_
Contra:_x000D_
_x000D_
- The rigourus study of non-academic programming languages has a nice academic track record, but does not easily translate into actual impact (such as new languages with significant adoption, widely used mature tools) beyond education_x000D_
_x000D_
_x000D_
Please evaluate the strengths and _x000D_
weaknesses of the proposal with respect to any additional solicitation-specific review criteria, if _x000D_
applicable_x000D_
_x000D_
_x000D_
_x000D_
Summary Statement_x000D_
_x000D_
Overall, the proposal makes a convincing case that shell programming is worth more academic investigation, both from a semantic viewpoint, and as a model for interactive programming. Understanding and cleaning up shell semantics can benefit the community both short term (mostly via education) and long term (by enabling tools, and influencing the design of more modern shell variants)._x000D_
_x000D_
_x000D_
_x000D_
</t>
  </si>
  <si>
    <t>XG0977013</t>
  </si>
  <si>
    <t>Chugh</t>
  </si>
  <si>
    <t>rchugh@cs.uchicago.edu</t>
  </si>
  <si>
    <t xml:space="preserve">In the context of the five review elements, please _x000D_
evaluate the strengths and weaknesses of the proposal with respect to intellectual merit._x000D_
_x000D_
*** Strengths_x000D_
_x000D_
+ Shell programming is pervasive, used as critical glue in a vast_x000D_
array of personal and business computer systems, yet its semantics is_x000D_
often unintuitive and misunderstood. It is worthwhile to clarify the_x000D_
semantics, in order to identify practical opportunities to improve the_x000D_
language to support the construction of tools for analyzing scripts_x000D_
--- both of these outcomes have the potential to improve the_x000D_
reliability and security of many systems administration tasks._x000D_
_x000D_
+ The proposed technical approach --- a structural operational_x000D_
semantics of POSIX shell language and a verified translation of this_x000D_
source language to a more conventional lower level language ---_x000D_
follows in a successful tradition for formalizing and analyzing_x000D_
programs in other real-world languages, such as C, Java, and_x000D_
JavaScript. As such, this approach will reuse as well as contribute to_x000D_
tools and libraries that can serve as foundations for subsequent work_x000D_
by other researchers and tool builders._x000D_
_x000D_
+ In preliminary work, the PI has developed a semantics for shell_x000D_
programming, and started testing it for conformance; the subsequent_x000D_
specification, metatheoretic, and translation and verification work_x000D_
will build on this initial effort. This preliminary effort discovered_x000D_
a bug in one shell's implementation of the POSIX standard; additional_x000D_
inconsistencies are likely to be uncovered by this work._x000D_
_x000D_
+ The PI is well-qualified to carry out this proposal, having made_x000D_
several contributions to programming language semantics, as well_x000D_
having the implementation skills and insights needed to address this_x000D_
problem space, which has received relatively little attention from the_x000D_
academic programming languages and static analysis communities._x000D_
_x000D_
_x000D_
*** Weaknesses_x000D_
_x000D_
- Part of the benefit of formalizing a messy, real-world language is_x000D_
to explain existing complicated, misunderstood features in a new and_x000D_
illuminating way --- these explanations could help even more_x000D_
programmers and tool builders than the ones that will build directly_x000D_
off the formal artifacts produced by this work. The proposal does not_x000D_
suggest whether or not the initial semantics has led to such moments._x000D_
_x000D_
- Analyzing shell programs will require complex and probably custom_x000D_
string analyses. But there is no preliminary work to evaluate_x000D_
whether existing string analyses will help with any idioms of shell_x000D_
programming and, if not, what kinds of techniques will be pursued to_x000D_
overcome the obstacles._x000D_
_x000D_
- Comparisons with LISP/Racket-style macros and the JavaScript eval_x000D_
command are not discussed. Although there are probably many unique_x000D_
characteristics of string expansion in shell scripting, it seems worth_x000D_
addressing whether or not some efforts for macros and eval could be_x000D_
adapted for this setting. This might also help to make the "principles_x000D_
for interactive programming" angle of the proposal, which is not_x000D_
described in much detail, more concrete and plausible._x000D_
_x000D_
- The proposal does not provide a concrete evaluation plan for the_x000D_
semantics and tools. For the semantics, desired theorems are only_x000D_
very briefly mentioned. For the tools, there is no discussion of what_x000D_
benchmark programs will be analyzed and little discussion of the_x000D_
kinds of bugs that will be pursued. The proposal mentions one recent_x000D_
bug ("Stream cleaning") that is used for motivation; it would be_x000D_
useful to collect additional examples to serve as milestones for_x000D_
evaluation._x000D_
_x000D_
_x000D_
*** Suggestions for Improvement_x000D_
_x000D_
The proposal would be strengthened by incorporating more preliminary_x000D_
work on tools that leverage the semantics, and by explaining how_x000D_
existing tools (e.g. the ShellCheck linter is cited) fall short. The_x000D_
goal to build an automatic script "hardening" tool is very compelling;_x000D_
it would be even more so with some initial discussion of how this goal_x000D_
will be realized._x000D_
_x000D_
Preliminary work collecting and analyzing shell programs from GitHub_x000D_
has confirmed that at least one language "wart" --- the side-effecting_x000D_
alias command --- is not used much in practice and, hence, is one_x000D_
potential opportunity for consideration of language redesign._x000D_
Additional surveying efforts like this may help form a more concrete_x000D_
plan for evaluating language design proposals with respect to existing_x000D_
benchmarks._x000D_
_x000D_
In the context of the five review elements, please _x000D_
evaluate the strengths and weaknesses of the proposal with respect to broader impacts._x000D_
_x000D_
*** Strengths_x000D_
_x000D_
+ The PI has supervised several undergraduate student research_x000D_
projects._x000D_
_x000D_
+ The PI has already taught workshops on shell scripting. This_x000D_
material will be informed and improved by the results of the research,_x000D_
and will be used to redesign the curriculum around shell programming_x000D_
and tools._x000D_
_x000D_
+ The PI's institution, Pomona College, is committed to undergraduate_x000D_
education and the diversity of its student body._x000D_
_x000D_
+ The PI plans to work with the Pomona College IT department, which_x000D_
will help ground the work in a more practical setting (campus-wide_x000D_
systems operations) than just classroom and research settings._x000D_
_x000D_
+ The tools and educational material that result from this work will_x000D_
be freely distributed._x000D_
_x000D_
+ The PI has been a long-time and major contributor to the open source_x000D_
Software Foundations textbook, which has been used by many students,_x000D_
teachers, and researchers to learn formal verification in the context_x000D_
of the Coq theorem prover._x000D_
_x000D_
_x000D_
*** Weaknesses_x000D_
_x000D_
No significant weaknesses._x000D_
_x000D_
Please evaluate the strengths and _x000D_
weaknesses of the proposal with respect to any additional solicitation-specific review criteria, if _x000D_
applicable_x000D_
_x000D_
_x000D_
_x000D_
Summary Statement_x000D_
_x000D_
Shell programming languages are used pervasively in computer systems,_x000D_
so it is important to formalize their semantics to better understand_x000D_
their behavior and to facilitate the construction of bug finding tools._x000D_
The PI proposes a scientific approach that has proven successful for_x000D_
formalizing and analyzing other large, real-world programming_x000D_
languages, and the PI possesses the qualifications to successfully_x000D_
carry out the approach._x000D_
_x000D_
After defining the language semantics (the first major phase of the_x000D_
work), designing static analysis tools (the second phase) will pose_x000D_
significant challenges because of the need to reason about strings_x000D_
precisely. The proposal does not contain a thorough examination of_x000D_
current state-of-the-art string analyses or provide initial insights_x000D_
for how to push the boundaries to enable analysis of shell programming_x000D_
idioms. Therefore, there is less certainty about the outcomes of the_x000D_
second phase of work. Nevertheless, any success along either of the_x000D_
two major fronts is likely to have practical impact for researchers,_x000D_
students, and IT professionals._x000D_
_x000D_
</t>
  </si>
  <si>
    <t xml:space="preserve">In the context of the five review elements, please _x000D_
evaluate the strengths and weaknesses of the proposal with respect to intellectual merit._x000D_
_x000D_
Strengths:_x000D_
_x000D_
* Great topic -- using real semantics ideas to tackle an extremely_x000D_
messy but important beast.  As the PI notes, there's a nice analogy_x000D_
to some of the work on JavaScript semantics from several years ago,_x000D_
but with plenty of new challenges here._x000D_
_x000D_
* The range of proposed tools is good._x000D_
_x000D_
* The PI's abilities both with formal semantics and with the shell are_x000D_
clear._x000D_
_x000D_
* A great mix of fixing practical issues (spaces in filenames are_x000D_
really, really broken in most scripts) and deeper research vision_x000D_
(how to define languages precisely while retaining convenient_x000D_
interactivity)._x000D_
_x000D_
Weaknesses:_x000D_
_x000D_
* Perhaps a bit, just a bit, too focused on all the dark corners of_x000D_
the bash shell -- could probably get 90+% of the benefit while still_x000D_
ignoring 5% of the shell's 'crazier features'._x000D_
_x000D_
* I was disappointed by the "theorems one might prove" and wish to_x000D_
suggest several properties more ambitious than "expansions have_x000D_
minimal side effects" and less ambitious than "compiler is semantics_x000D_
preserving" such as (a) substitution commutes with evalution [under_x000D_
certain conditions], (b) redirection is idempotent, (c) variable_x000D_
shadowing "works" in that value of the variable in the outer_x000D_
environment is irrelevant and unchanged, (d) etc._x000D_
_x000D_
* I'd encourage more thought about which properties might be a better_x000D_
fit for testing vs. static analysis.  For example, as gnarly as_x000D_
filenames with spaces (or multiple dots or whatever) may be, that_x000D_
seems reasonably easy to test for.  Whereas static analysis seems_x000D_
better for things like termination or ensuring that side effects to_x000D_
the variable environment are as-expected or similar._x000D_
_x000D_
* I wasn't convinced, as was claimed in the summary that "string_x000D_
expansion seems to be the keystone of the shell's interactive_x000D_
appeal".  That may well be correct -- I'm not convinced it's false_x000D_
-- but the fact that the semantics has lots of expansion rules seems_x000D_
distinct from being a source of appeal._x000D_
_x000D_
* I'd be concerned about using Lem with Coq as while it claims to_x000D_
support it I believe most of the heavy-duty uses to date have been_x000D_
with Isabelle/HOL.  [I could be wrong, so this is not something I'll_x000D_
weigh heavily -- giving it as feedback to the PI.]_x000D_
_x000D_
_x000D_
In the context of the five review elements, please _x000D_
evaluate the strengths and weaknesses of the proposal with respect to broader impacts._x000D_
_x000D_
Strengths:_x000D_
_x000D_
* Affects a broad class of near-programmers, namely sys-ops and_x000D_
dev-ops types, as well as literally everyone who is impacted by_x000D_
their work._x000D_
_x000D_
* History of working with URM undergraduates_x000D_
_x000D_
* Plans for educational materials on using the shell and avoiding pitfalls_x000D_
_x000D_
Weaknesses:_x000D_
_x000D_
* Not clear the educational materials fill a void, though perhaps they_x000D_
do._x000D_
_x000D_
* Nothing particularly ambitious on the broader impacts side._x000D_
_x000D_
_x000D_
Please evaluate the strengths and _x000D_
weaknesses of the proposal with respect to any additional solicitation-specific review criteria, if _x000D_
applicable_x000D_
_x000D_
_x000D_
_x000D_
Summary Statement_x000D_
_x000D_
An excellent topic area with a nice agenda proposed by a PI with_x000D_
expertise in two key areas (semantics, the shell) needed for success,_x000D_
but some key parts of the proposal and emphases may benefit from_x000D_
refinement._x000D_
_x000D_
_x000D_
</t>
  </si>
  <si>
    <t xml:space="preserve">In the context of the five review elements, please _x000D_
evaluate the strengths and weaknesses of the proposal with respect to intellectual merit._x000D_
_x000D_
The author proposes to study POSIX shell as a programming language, formalize it, build tools exploiting this formalization, and, more generally, better understand principles of shell design._x000D_
_x000D_
This is a worthwhile goal, with many concrete technical challenges that need to be addressed, and worthy of support. Shell languages are used widely, and ofte have very obscure features. So a clean-but-real viewpoint could be very valuable. The proposal is well planned, and adequately resourced, and the author is well-qualified. _x000D_
_x000D_
I have rated the project "Good" and not higher because in my view this is an applied project with somewhat limited potential for far-reaching impact on foundations, or on other application areas. (So lower scores on (1) and (2).)_x000D_
_x000D_
_x000D_
_x000D_
In the context of the five review elements, please _x000D_
evaluate the strengths and weaknesses of the proposal with respect to broader impacts._x000D_
_x000D_
Limited broader impact to society at large._x000D_
_x000D_
Please evaluate the strengths and _x000D_
weaknesses of the proposal with respect to any additional solicitation-specific review criteria, if _x000D_
applicable_x000D_
_x000D_
_x000D_
_x000D_
Summary Statement_x000D_
_x000D_
The proposal is good but does not fare so well in a competitive situation._x000D_
_x000D_
</t>
  </si>
  <si>
    <t>The POSIX shell---the standard non-proprietary command-line interface---is a cornerstone of computer systems, from administration and management to development and deployment. Shell implements a unique programming model: its string expansion semantics and expressive concurrency primitives; its use, ranging from line-by-line interactivity to the complex architecture of the Linux boot sequence and system administration scripts; its idiosyncratic "print before run" development process; its reliance on external programs written in arbitrary languages. Shell scripts are a cornerstone of development operations, or DevOps---a rapidly growing $2 billion industry._x000D_
_x000D_
For such a powerful and economically important system, the shell is barely understood: its semantics are based on string expansion, and widely considered obtuse and unworthy of attention. But the consequences of not understanding shell scripts can be disastrous.This proposal presents a research plan for formally understanding the POSIX shell in order to (a) better support the shell with tools, and (b) glean insights from the shell to build, support, and understand better interactive programming languages._x000D_
_x000D_
- Formalizing the POSIX shell: Despite being a 'Turing complete' programming language, the shell's semantics differ markedly from conventional languages. Formalizing the shell's semantics will not only help tool developers interpret the English of the POSIX standard, but such a semantics will be interestingly novel. A formal model of the shell is a critical first step towards a verified shell, as part of field-wide efforts at verifying whole systems._x000D_
_x000D_
- Tools for the POSIX shell: Existing tools to analyze shell programs for errors or malicious behaviors are largely syntactic; semantics will enrich these tools, allowing users, administrators, and programmers less error-prone control of their computers. A compiler will translate the shell down to a more analyzable, first-order core language, making shell's strange evaluation behavior explicit; the compiler's correctness can be checked with both formal models and testing. Challenges await for analyses in this domain---reasoning about strings in particular, but also understanding the behavior of commonly used programs like grep and find. Translating shell to a more conventional language means not having to invent an abstract interpretation for the shell's unconventional evaluation model._x000D_
_x000D_
- Interactive programming and language design: While many programming languages have "read-eval-print loops" and offer some interactivity, none can rival the shell. Is there a language that keeps some of the shell's defining characteristics while eliminating other features to increase predictability and security?  As a conjecture, string expansion seems to be the keystone of the shell's interactive appeal. With a clear model of the shell, it will be possible to devise a language that keeps the shell's nimble interactivity but avoids its most dangerous pitfalls.Tools for eliminating shell bugs will help system administrators and programmers; more powerful semantic analysis tools for shell would be of immense interest in practice. Educational materials, from introductory material for undergraduates and new system administrators up to best practices for experienced shell programmers, will be developed jointly with the Pomona College IT department and be hosted and distributed by the Liberal Arts Consortium for Online Learning (LACOL). Initial research efforts have already involved undergraduates. Miniaturized versions of shell features (expansion, pipes, redirection) will be adapted to appear in coursework. All of the research products produced will be open source and freely available.</t>
  </si>
  <si>
    <t xml:space="preserve"> Panel Summary       
 SUMMARY OF PROPOSED RESEARCH ACTIVITY_x000D_
_x000D_
The PI proposes a unified data-race detection framework, allowing significant improvements to the precision-efficiency tradeoff. The idea is to seamlessly combine static and dynamic techniques (data sharing specifications / assertions, dynamic DRF)._x000D_
_x000D_
INTELLECTUAL MERIT_x000D_
_x000D_
+ The citations and prior work demonstrate that the PI is intimately familiar with the extensive prior work on race detection, and has already contributed to the field._x000D_
_x000D_
+ The proposed technical improvements (data sharing annotations, detecting re-privatizations) are reasonable ideas, and appear achievable. _x000D_
_x000D_
- In its current form, the research plan does not present a direction with essential impact. _x000D_
_x000D_
- The proposal needs a more ambitious, unique, and creative spin to compete with the best career proposals._x000D_
_x000D_
- More detail about the proposed annotations, and how they relate to the types in various race-free type systems, would be helpful._x000D_
_x000D_
BROADER IMPACTS _x000D_
_x000D_
+ Race detection is an important educational tool for teaching parallelism and concurrency._x000D_
_x000D_
+ The proposal contains an appealing education plan, and it conveys a deep commitment to education, at a women's undergraduate college._x000D_
_x000D_
- Given the extensive prior research in this area, it is unclear how the proposed annotations would significantly improve over previous annotation methods, and have significant impact._x000D_
_x000D_
CAREER SOLICITATION-SPECIFIC REMARKS_x000D_
_x000D_
+ The education plan integrates important education goals (teaching concurrent and parallel programming) with the main ideas of the research proposal (race detection, sharing annotations)_x000D_
_x000D_
ADDITIONAL REMARKS_x000D_
_x000D_
+ The work plan and requested resources seem appropriate, and the proposal includes detailed documentation on work plan, postdoctoral mentoring, and data management._x000D_
_x000D_
SUMMARY STATEMENT_x000D_
_x000D_
Overall, the proposal convinces on the educational aspect. However, as written, and given the maturity of the field, it is difficult to imagine that the results would have a broad impact._x000D_
The recommendation of the panel is Low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</si>
  <si>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Pro:_x000D_
_x000D_
- Race detection is a mature field, but the PI appears to know it well, and has collaborated with other leading researchers in the area. It appears likely that progress can be published and advance the state of the art._x000D_
_x000D_
- The goals appear attainable within the available resource constraints._x000D_
_x000D_
Contra:_x000D_
_x000D_
- The main spin of the proposal, a "unified analysis framework", does not excite. Combining static (programming-model based) and dynamic (happens-before) race detection sounds a bit too easy, and it is not clear that it will truly improve the utility of race-detection tools; ease-of-use being a key issue with race detection in practice, such hybrid tools suffer the disadvantages of both approaches (runtime AND annotation overhead), and asking programmers to be involved in navigating this tradeoff makes tools more complicated._x000D_
_x000D_
In the context of the five review elements, please _x000D_
evaluate the strengths and weaknesses of the proposal with respect to broader impacts._x000D_
_x000D_
Pro:_x000D_
_x000D_
- Understanding concurrency and parallelism on multi-cores is an important skill for developers, and the concept of DRF is crucial to educating programmers. Advancing DRF tools and promoting general knowledge about them, to the point where they become more widely known, especially in education scenarios, is an important long-term goal.  _x000D_
_x000D_
Contra:_x000D_
_x000D_
- Progress seems likely to remain incremental: despite impressive advances and many excellent papers in the field of race detection, adoption of race detection tools in practice is still very modest. _x000D_
_x000D_
_x000D_
Please evaluate the strengths and _x000D_
weaknesses of the proposal with respect to any additional solicitation-specific review criteria, if _x000D_
applicable_x000D_
_x000D_
_x000D_
_x000D_
Summary Statement_x000D_
_x000D_
_x000D_
Overall, the proposal describes a carefully planned out approach, with reasonable goals, and relatively low risk. Significant educational value, and some progress and advancement of the state of the art seem likely. Given the maturity of the research area, a major breakthrough is more difficult to imagine._x000D_
_x000D_
</t>
  </si>
  <si>
    <t xml:space="preserve">In the context of the five review elements, please _x000D_
evaluate the strengths and weaknesses of the proposal with respect to intellectual merit._x000D_
_x000D_
This proposal aims to advance the field of data-race detection (aka_x000D_
data-race freedom checking / DRF checking) by applying various_x000D_
optimizations to precise and imprecise race detectors._x000D_
_x000D_
The PI is an expert in the DRF checking and is well equipped to make_x000D_
continued progress in the area.  Likewise, resources for the proposed_x000D_
work are adequate._x000D_
_x000D_
Unfortunately, this proposal suffers from a severe case of "telling"_x000D_
rather than "showing". It describes the benefits of specialization_x000D_
advice provided by the programmer, without showing an example program_x000D_
or an example of what this advice would look like.  There is far too_x000D_
much prose description covering too much ground with insufficient_x000D_
detail.  The proposal is written in an inside-baseball style that_x000D_
doesn't even define DRF until after it has been used several times.  The_x000D_
existing state of the art detectors are not described in much detail._x000D_
_x000D_
Much of the proposal describes optimizations to dynamic race_x000D_
detectors, but it's hard to believe that these incremental_x000D_
improvements will bring these checkers in range of "always on"_x000D_
deployment in production.  Thus, the role of partial annotations by_x000D_
the programmer to reduce dynamic overheads must be critical to this_x000D_
plan, and it must be fleshed out more fully in the proposal.  The goal_x000D_
of incremental annotation suggests similarities to "gradual typing",_x000D_
and perhaps there is a theorem to prove here similar to the gradual_x000D_
guarantee.  Alas, the proposal does not show even a preliminary design_x000D_
for these annotations._x000D_
_x000D_
Splitting the focus of the proposal between imprecise and precise DRF_x000D_
checkers dilutes it.  I think the proposal would be stronger if it_x000D_
focused exclusively on optimizing precise DRF to the point of_x000D_
practicality, using a well-developed design for incremental annotations._x000D_
_x000D_
_x000D_
In the context of the five review elements, please _x000D_
evaluate the strengths and weaknesses of the proposal with respect to broader impacts._x000D_
_x000D_
The field of DRF checking will continue to have impact on programming_x000D_
debugging.  If it becomes cheap enough for production deployment, then_x000D_
it would have a broader impact on software development._x000D_
_x000D_
Please evaluate the strengths and _x000D_
weaknesses of the proposal with respect to any additional solicitation-specific review criteria, if _x000D_
applicable_x000D_
_x000D_
_x000D_
_x000D_
Summary Statement_x000D_
_x000D_
Possibly a good project, but undermined by lack of clarity and detail_x000D_
in the proposal document, and thus difficult to assess the technical_x000D_
aspects of the proposal._x000D_
_x000D_
_x000D_
</t>
  </si>
  <si>
    <t xml:space="preserve">In the context of the five review elements, please _x000D_
evaluate the strengths and weaknesses of the proposal with respect to intellectual merit._x000D_
_x000D_
The author is proposing a flexible framework for reasoning about shared memory concurrency, in particular about data race freedom (DRF) and data sharing between threads._x000D_
_x000D_
Specific goals are to improve the precision of efficient analysis, and the efficiency of precise analysis on top of a "tunable substrate" that allows "the programmer to tune the tradeoff between precision, efficiency, and effort". In particular, this leads to work on profiling tools, new analyses for DRF, a unified tool that combines adaptive and predictive techniques with specialization advice, and flexible sharing assertions._x000D_
_x000D_
The propsoed work seems quite reasonable in the context of advancing the state of the art in reasoning about shared memory programs. A number of combinations of techniques are spelt out._x000D_
_x000D_
Unfortunately, this reviewer found the discussion rather hard to follow in several places. Sec 4.3 presents a key component of the proposal, a DRF analysis specialization framework. While the goals for such a framework are laid out, it is not quite clear how this framework is to be designed. Some concrete examples would have helped. As such, it is hard to figure out whether to see what technical shape the desired framework might take, and how impactful it could be._x000D_
Indeed the last paragraph seems to suggest that the author is not sure either -- he suggests the the initial work would pursue threads separately, and then, aspirationally. look to unify them in one framework._x000D_
_x000D_
The author is well qualified to pursue this research, and has made several research contributions in this space._x000D_
_x000D_
In the context of the five review elements, please _x000D_
evaluate the strengths and weaknesses of the proposal with respect to broader impacts._x000D_
_x000D_
The possibilities for broader impact that are discussed are about par for the course for program analysis proposals: integrate techniques into core courses on parallelism and concurrency, help students analyze programs; provide a pathway into research The author proposes to release the source code under an open source license, which is commendable._x000D_
_x000D_
Please evaluate the strengths and _x000D_
weaknesses of the proposal with respect to any additional solicitation-specific review criteria, if _x000D_
applicable_x000D_
_x000D_
_x000D_
_x000D_
Summary Statement_x000D_
_x000D_
The author has proposed a collection of techniques for improving analysis of shared memory concurrent programs, particularly in connection with reasoning about shared mutable data. However it is not clear that the proposed unifying theme -- a unified analysis framework -- is actually realizable as more than a collection of known techniques (with incremental advances added on). It would have been very helpful to see some arguments -- worked out with concrete examples -- showing how the proposed framework would significant improve our ability to reason about such programs._x000D_
_x000D_
</t>
  </si>
  <si>
    <t xml:space="preserve">In the context of the five review elements, please _x000D_
evaluate the strengths and weaknesses of the proposal with respect to intellectual merit._x000D_
_x000D_
STRENGTHS_x000D_
_x000D_
The project would develop new techniques for dynamic checking of data race freedom (DRF) that would reduce runtime overhead and support flexible trade-offs between runtime overhead, detection accuracy (measured by missed races and false reports of races), and programmer effort (in providing hints or guarantees about the program's synchronization behavior)._x000D_
_x000D_
The PI has published work in this area, including some preliminary steps toward the proposed work._x000D_
_x000D_
WEAKNESSES_x000D_
_x000D_
It is unclear what forms of synchronization, beyond locks and escape analysis, will be taken into account to determine race-freedom.  Wait-notify?  Synchronization constructs in java.util.concurrent?  Application-specific synchronization algorithms?_x000D_
_x000D_
While the PI has achieved some nice performance improvement using ownership information and adaptive techniques to reduce synchronization overhead in the FastTrack race detector, the proposed approaches to overhead reduction in Section 4.2 (Reprivatization and Targeted Optimizations) involve difficult technical challenges (as discussed there), and it is unclear how much benefit is possible._x000D_
_x000D_
Please explain the phrase "non-data execution context"._x000D_
_x000D_
In the context of the five review elements, please _x000D_
evaluate the strengths and weaknesses of the proposal with respect to broader impacts._x000D_
_x000D_
STRENGTHS_x000D_
_x000D_
DRF is an important correctness requirement for many concurrent programs._x000D_
The project would advance the state-of-the-art in efficient dynamic data race detection, using sophisticated algorithms and programmer-provided information._x000D_
_x000D_
The PI would integrate material on concurrency and program analysis in multiple courses at multiple levels in the undergraduate CS curriculum.  The PI is involved in a pilot program that provides mentoring to students, especially students from underrepresented minorities, in challenging classes._x000D_
_x000D_
WEAKNESSES_x000D_
_x000D_
The potential for broader impact on software development depends on what synchronization constructs are taken into account by the proposed techniques and whether it is possible to overcome the difficult technical challenges involved in exploiting them to reduce overhead while preserving race detection accuracy at an acceptable level._x000D_
_x000D_
Please evaluate the strengths and _x000D_
weaknesses of the proposal with respect to any additional solicitation-specific review criteria, if _x000D_
applicable_x000D_
_x000D_
_x000D_
_x000D_
Summary Statement_x000D_
_x000D_
The project would develop new techniques for dynamic checking of data race freedom (DRF) that would reduce runtime overhead and support flexible trade-offs between runtime overhead, detection precision (measured by missed races and false reports of races), and programmer effort._x000D_
_x000D_
</t>
  </si>
  <si>
    <t>Shared-memory multithreading is widely used, yet its programmability suffers from a lack of support for checking or asserting facts about implicit data sharing and thread interactions in programs. At the core, two crucial properties of multithreaded programs are entirely invisible in the programming model: (1) Are thread interactions well synchronized? Data race freedom (DRF) is a general correctness foundation that merits the same automatic checking as memory safety and type safety. (2) How are data shared among threads? Flexible data sharing specifications and assertions are key reasoning tools for correct robust multithreaded programs. Past research implements these correctness foundations, but often separately and with key limitations on effectiveness: DRF checkers are slow or imprecise; data sharing checkers are unsound or insufficiently flexible._x000D_
_x000D_
This proposal posits that the intrinsically linked properties of data race freedom and data sharing hold the keys to efficient or effective analysis of each other. The project envisions a unified analysis framework that supports a flexible continuum between automatic DRF checking and manually specified sharing checking. The core technical foundation is a novel class of analysis that accepts advice and assertions to specialize checking to be efficient and precise for a given program with minimal programmer effort.This proposal considers questions about the essence of safe multithreading and its analysis: Can specialization via adaptive, profile-guided, and manual advice or explicit assertions substantially improve the efficiency, precision, or programmer effort of DRF or sharing analysis? How is the specialization of general analyses linked to the specification of individual application behavior? What new types of reasoning and efficiency-precision-effort tradeoffs does a unified approach to checking DRF and sharing assertions enable?_x000D_
_x000D_
The proposed research seeks to answer these questions through development of new algorithms, analyses, runtime systems, and profiling tools to support a unified DRF and sharing analysis frame- work. Key research objectives within this framework include: (1) developing general adaptive policies that employ untrusted advice and binding assertions to select from a catalog of specialized analysis components and optimizations; (2) developing profile-guided heuristics and manual annotations for advice, along with novel analysis optimizations that exploit the patterns revealed by advice; (3) evaluating the efficacy of unified treatment of analysis specialization and specification.If successful, the proposed techniques will effect several significant improvements on multithreading programmability: (1) reduce the penalty for always-on multithreading safety guarantees; (2) provide crucial and flexible support for transparent reasoning about multithreaded programs during debugging, testing, verification, and production; (3) improve reliability of multithreaded programs by eliminating classes of concurrency bugs, a growing concern in key human infrastructure._x000D_
_x000D_
The proposed education plan will integrate parallel and concurrent thinking at all levels of an undergraduate computer science curriculum that currently lacks these crucial topics. Integrating program analysis into the core undergraduate curriculum will train future programmers and researchers in rigorous program reasoning techniques. Integrating research discussions with ongoing mentoring programs attached to these courses will encourage broader participation in research, especially among students of identities underrepresented in CS. The proposed research and education efforts will be undertaken at an undergraduate women's college, where they will build a pipeline from courses to undergraduate research experiences that broaden participation in programming systems research and related fields.</t>
  </si>
  <si>
    <t>9</t>
  </si>
  <si>
    <t xml:space="preserve"> Panel Summary       
 SUMMARY OF PROPOSED RESEARCH ACTIVITY_x000D_
_x000D_
The PI proposes to add both refinement types and dependent type theory to verify software in a gradual way, so that programmers can incrementally add specifications to code, and so that tools can verify those specifications statically where possible and dynamically otherwise.  This is important because today verification tends to be an all-or-nothing activity, but modern software development practices motivate a more incremental approach._x000D_
_x000D_
INTELLECTUAL MERIT_x000D_
_x000D_
Strengths:_x000D_
 + Incremental specification and gradual verification is an important problem_x000D_
 _x000D_
 + Promising initial work, including a type refinement system for Racket_x000D_
_x000D_
 + Interesting high-level approach, involving gradualizing dependent type theory, integrating refinement types with dependent types, and improving error messages_x000D_
_x000D_
Weaknesses / Suggestions for improvement:_x000D_
 - Should give more detail on potential solutions to the problems proposed_x000D_
 _x000D_
 - Some aspects of the proposal (e.g. the design of Pudding) were difficult to understand and should be clarified_x000D_
_x000D_
 - Should describe relationship to closely related recent work on gradual refinement types, which addresses one of the major thrusts of the proposal_x000D_
_x000D_
 - The core scientific issues addressed by the proposal could be stated more clearly and should be separated from the prior work and from the implementation issues._x000D_
 _x000D_
BROADER IMPACTS _x000D_
_x000D_
The proposal includes a strong educational plan that would extend the HTDP and BOOTSTRAP introductory curricula with gradual types, extend graduate coursework to include gradual verification, and measure the impact of gradual typing on student learning_x000D_
 _x000D_
_x000D_
CAREER SOLICITATION-SPECIFIC REMARKS_x000D_
_x000D_
Smoothly integrating the research on gradual verification with coursework at both the undergraduate and graduate level is a significant strength of this proposal._x000D_
_x000D_
_x000D_
SUMMARY STATEMENT_x000D_
_x000D_
This proposal addresses a significant problem, with potential high impact, and suggests an innovative overall approach.  However, there were also some weaknesses to the proposal that require significant revisions to make it convincing, including a lack of detail on solution ideas, a lack of clarity in key aspects of the solution design, and missing closely related work._x000D_
_x000D_
The recommendation of the panel is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</si>
  <si>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Overall, the proposal has significant intellectual merit, but also some weaknesses in that it does not describe a planned design for some of the most critical questions, and misses a comparison to the most closely related work._x000D_
_x000D_
The problem of introducing verification incrementally into high-assurance systems is real and very important.  It raises fundamental questions about how to build verification tools that are of inherent intellectual interest._x000D_
_x000D_
The proposal includes innovations with the potential for transformative effects.  One of these is extending gradual typing to dependent type theory; another is the smooth integration of refinement types with dependent types.  Little work has been done to date in either of these questions, but a solution could change the way programming languages are designed and the experience of programmers working with them._x000D_
_x000D_
A lot of excellent preliminary work as been done, including the design of a refinement system for Typed Racket.  The design of the proposed work appears to be sound so far as it is described.  I thought the high-level description of the design of Pudding sounds promising, but there were a couple of things missing from the description; Figure 1 is referenced but does not show Pudding; Figure 2 is not referenced but does show Pudding, however it does not show a use of the function that is defined (which is how Figure 1 was described).  There is similarly a missing example of how to write the actual code for a rule; that might be in Figure 4 instead of inline in the text, but I couldn't understand Figure 4.  These omissions made me a bit less confident about the Pudding design._x000D_
_x000D_
Several sections gave very few ideas about how the research is to be pursued.  For example, no ideas are described for how to integrate dependent function types with dynamic enforcement; this is surprising as there is very prominent, recent work dealing with exactly this issue, and I wanted to see how this proposal's approach compares:_x000D_
_x000D_
Nicolßs Lehmann, ╔ric Tanter.  Gradual Refinement Types.  POPL 2017._x000D_
_x000D_
I was surprised and disappointed that this paper, in a top PL conference, in an area where the PI is an expert, and with a name almost identical to section 5.1 of the proposal, was not even cited._x000D_
_x000D_
Likewise, there are no ideas given for how to do dynamic checks when Pudding specifications interact with dynamically-typed code.  I don't expect the research to be done, of course, but I think there should be a plausible story for how it might be worked out.  In general, less focus on already-done work (it's already done, right?) and more ideas for the work to be carried out would strengthen the proposal._x000D_
_x000D_
I liked the ideas in section 6, although I noted that the ideas described are primarily about providing better error messages, feedback, and tools for refinement types and computational type theory, and not really at all about the gradual aspect of the problem, which is what was sold as "primary" in the introduction.  That said, the PI has an excellent track record of considering usability of tools, and I believe the proposed work would continue in that vein._x000D_
_x000D_
Overall, the PI's existing work on gradual type systems qualifies him very well to carry out a majority of the work envisioned.  He has not published in the area of Computational Type Theory, but I don't see that as a significant weakness because the proposal makes clear he has become very familiar with the ideas in that field._x000D_
_x000D_
_x000D_
In the context of the five review elements, please _x000D_
evaluate the strengths and weaknesses of the proposal with respect to broader impacts._x000D_
_x000D_
Successful research in this space could significantly increase the use of verification in practice and consequently significantly raise the reliability of software.  The PI has a solid track record in this space, both in terms of educational impact and in terms of technology transfer._x000D_
_x000D_
I thought the proposal's plan for educational impact was excellent; particular standouts were the ability for students to make progress without typechecking the entire program but still receiving feedback on the critical portion of their definitions; and the ability to run programs when type errors remain, resulting in error messages that may be clearer in an educational context (though note that while run-time error messages *describe* the problem most clearly, static types are often better at *isolating* it because they perform local checks, while run-time errors concern data structures that may have come from much earlier in the execution).  I also applaud the PI's plan to measure whether students are more effective starting with existing programs; we don't have enough studies of the effectiveness of gradual typing, and this would make an important contribution in that direction._x000D_
_x000D_
Please evaluate the strengths and _x000D_
weaknesses of the proposal with respect to any additional solicitation-specific review criteria, if _x000D_
applicable_x000D_
_x000D_
_x000D_
_x000D_
Summary Statement_x000D_
_x000D_
This is a strong proposal in many ways, but has some weaknesses in terms of describing the research plan and comparing to prominent recent related work in the proposed area._x000D_
_x000D_
</t>
  </si>
  <si>
    <t xml:space="preserve">In the context of the five review elements, please _x000D_
evaluate the strengths and weaknesses of the proposal with respect to intellectual merit._x000D_
_x000D_
This proposal combines gradual typing with refinement types and type theory based verification in order provide a full verification approach for modern programming languages. _x000D_
_x000D_
The proposed work builds on PI's earlier work on gradual typing and recent results on development of verified software systems using type systems and proof assistants. Although there have been successful results obtained in developing verified software, these projects require significant manual effort from experts. The PI's goal is to develop a gradual automated verification approach which is applicable in practice. _x000D_
_x000D_
The PI has a strong track record and has some preliminary results demonstrating that the proposed approach is feasible. Overall, the proposed approach is promising._x000D_
_x000D_
The presentation in the proposal is centered around Typed Racket and the proposed dependent type theory-based prover Pudding. This makes it hard to separate the implementation/engineering contributions of the proposed work from its foundational contributions._x000D_
_x000D_
In the context of the five review elements, please _x000D_
evaluate the strengths and weaknesses of the proposal with respect to broader impacts._x000D_
_x000D_
Development of verifiable software is a significant challenge in computing and this proposal addresses this critical problem. Any progress in this direction is likely to have broader impacts. _x000D_
_x000D_
The PI has a good track record in producing software systems that are widely adopted and have broader impact. _x000D_
_x000D_
The PI presents a reasonable educational plan that involves integration of gradual typing to instruction of computing classes._x000D_
_x000D_
Please evaluate the strengths and _x000D_
weaknesses of the proposal with respect to any additional solicitation-specific review criteria, if _x000D_
applicable_x000D_
_x000D_
_x000D_
_x000D_
Summary Statement_x000D_
_x000D_
Proposed work combines and extends recent results in gradual typing and program verification to obtain a verification framework for modern programming languages. The proposed work builds on PI's earlier work and the PI has a good track record in producing influential software systems. The PI provides a reasonable education plan that involves integration of research results to computing classes._x000D_
_x000D_
</t>
  </si>
  <si>
    <t xml:space="preserve">In the context of the five review elements, please _x000D_
evaluate the strengths and weaknesses of the proposal with respect to intellectual merit._x000D_
_x000D_
_x000D_
The PI will show how to extend gradual typing_x000D_
as in Typed Racket, to accomodate SMT-based_x000D_
refinement types, and full dependent types_x000D_
based on Computational Type Theory (similar_x000D_
to Nuprl/Coq)._x000D_
_x000D_
This will require new ways to *express* the_x000D_
richer types using Racket's contracts, new_x000D_
ways to *enforce* the types statically and_x000D_
dynamically, and understanding how the different_x000D_
systems fit together, and to do so in a way_x000D_
that supports the full Racket language._x000D_
_x000D_
This work will show how Rackets macros_x000D_
(syntactic abstraction) can be used to_x000D_
embed full theorem proving, letting_x000D_
the developer use Racket itself as_x000D_
the meta language to write tactics_x000D_
and proof search, and using the_x000D_
mature Racket IDE, suitably extended,_x000D_
to understand and debug proofs._x000D_
_x000D_
In the context of the five review elements, please _x000D_
evaluate the strengths and weaknesses of the proposal with respect to broader impacts._x000D_
_x000D_
_x000D_
The proposal builds upon the PIs strong track record_x000D_
for tech transfer -- both the ideas and implementation_x000D_
of Typed Racket have had a big industrial impact_x000D_
(Flow, Typescript etc.)_x000D_
The PI is also a member of TC39, the standards body_x000D_
responsible for JS; lessons from Typed Racket have_x000D_
and from this proposal will likely inform_x000D_
new JavaScript language features like proxies_x000D_
and modules._x000D_
The PI will extend the venerable HTDP and BOOTSTRAP_x000D_
curriculum for intro programming (for high-school_x000D_
and undergraduate students) to include gradual types,_x000D_
and will extend the graduate classes to include_x000D_
material on (gradual) verification._x000D_
_x000D_
_x000D_
Please evaluate the strengths and _x000D_
weaknesses of the proposal with respect to any additional solicitation-specific review criteria, if _x000D_
applicable_x000D_
_x000D_
_x000D_
_x000D_
Summary Statement_x000D_
_x000D_
_x000D_
The proposal is based upon the insight that_x000D_
"the cost of maintenance far outweighs the_x000D_
cost of initial development", and yet modern_x000D_
verification research focusses on_x000D_
"write-once correctness, not on evolution over time."_x000D_
Specifically they require writing programs_x000D_
in specialized proof assistants (e.g. Coq, Isabelle)_x000D_
that are amenable to verification. This high_x000D_
switching cost means verification will only be_x000D_
limited only to niche domains where the costs_x000D_
are worth the switch, thereby precluding a path_x000D_
where existing programs are *gradually* hardened_x000D_
with ever stronger guarantees._x000D_
_x000D_
The PI proposes to build on their extremely successful_x000D_
system for adding (static) types to Racket, by showing_x000D_
how Racket's macro system can be used to embed a full-fledged_x000D_
theorem prover/ proof assistant inside Racket based_x000D_
on NUPRL's Computational Type Theory._x000D_
_x000D_
## Pros  _x000D_
_x000D_
+ Compelling vision -- gradually applying or retrofitting full verification into_x000D_
a mature language -- that is clearly articulated, with a clear plan of attack._x000D_
_x000D_
+ PI has a strong track record with Gradual Types; the resulting system has had significant_x000D_
impact and is widely used._x000D_
_x000D_
+ The idea of using macros to encode a proof assistant seems very intriguing,_x000D_
similarly, Racket's IDEs could also prove to be an ideal vessel interactively_x000D_
write and debug proofs._x000D_
_x000D_
+ The PI has nicely identified key usability problems such as explaining_x000D_
proof failures and has fleshed out interesting lines of attack including_x000D_
eliminating irrelevant facts, computing weakest requirements for a proof_x000D_
to succeed etc, and for generating actionable feedback to the user._x000D_
_x000D_
## Cons_x000D_
_x000D_
- It remains to be seen whether proofs in CTT are pleasant/tractable to write._x000D_
(The given example was not super persuasive in this regard.) Why not instead_x000D_
use the approach favored by systems like F* or Dafny which also allow_x000D_
arbitrary proofs but use SMT support?_x000D_
_x000D_
- Another way to get gradual verification is to write *parts* of the system (modules)_x000D_
in Coq/Isabelle etc. and then "extract" Racket programs from those developments_x000D_
(as is possible for Ocaml and Haskell already.) This would avoid having to re-implement_x000D_
the decades worth of work in tactics, libraries, proof search etc._x000D_
_x000D_
Nevertheless, the proposal here is an extremely valuable direction to pursue as_x000D_
_x000D_
(a) it will be interesting to see the interplay of syntactic abstraction and_x000D_
proving,_x000D_
_x000D_
(b) there may be situations where one cannot cleanly extract individual modules,_x000D_
but instead require directly reasoning in a "cross-cutting" manner across_x000D_
the entire system, and_x000D_
_x000D_
(c) the ideas developed here -- e.g. for debugging errors -- may positively_x000D_
influence existing proving systems._x000D_
_x000D_
_x000D_
</t>
  </si>
  <si>
    <t xml:space="preserve">In the context of the five review elements, please _x000D_
evaluate the strengths and weaknesses of the proposal with respect to intellectual merit._x000D_
_x000D_
I found it somewhat difficult to separate what has been done and what is being proposed. In preliminary work the PI has already develop the framework of gradual typing with refinement types. Going beyond that he proposes to develop a dependent type theory-based prover, dubbed Pudding, thoroughly integrated into Racket. Furthermore, he is proposing to integrate Pudding with refinement types, and develop a way to handle refinement errors._x000D_
_x000D_
The PI is undoubtedly an expert in his research area, but the proposal is not very accessible to non-experts. I also was somewhat confused by the conflation of typing with verification. Surely, there is a connection, but the two are still quite distinct._x000D_
_x000D_
In the context of the five review elements, please _x000D_
evaluate the strengths and weaknesses of the proposal with respect to broader impacts._x000D_
_x000D_
The main element of the broader-impact statement is bringing gradual typing into the classrooms, both at the introductory-programming level and at the master's level. Frankly, I am not convinced that that each research topics should be brought into the classroom, especially at the introductory level. Introductory programming should cover broadly accepted foundations. Gradual typing may make it into the cannon at some point, but it is probably too early to insert it into the introductory curriculum._x000D_
_x000D_
Please evaluate the strengths and _x000D_
weaknesses of the proposal with respect to any additional solicitation-specific review criteria, if _x000D_
applicable_x000D_
_x000D_
_x000D_
_x000D_
Summary Statement_x000D_
_x000D_
Typing is a well-accepted element in developing reliable programs, and gradual typing seems a promising approach. Yet the proposal does not present, IMHO, a clear plan. The broader-impact plan is too research focused, I think._x000D_
_x000D_
</t>
  </si>
  <si>
    <t>As dynamically-typed languages such as JavaScript, Python, Ruby, and Clojure have become widely_x000D_
used in industrial, academic, and educational settings over the past 10 years, there has been increasing_x000D_
demand for ways to combine these languages with the advantages of static type systems._x000D_
In response, the academic community, including the PI, has developed gradual typing. This approach_x000D_
combines static types in one part of a program with dynamic types in other parts, and builds on familiar_x000D_
languages. Drawing on these ideas, major software companies have also developed languages that combine_x000D_
static and dynamic typing: Microsoft's TypeScript, Google's Dart, Facebook's Hack._x000D_
However, gradual typing has so far failed to address the increasing need for higher-reliability software._x000D_
Ruling out software bugs that escape the simple type systems of gradually-typed languages still requires_x000D_
switching to different systems and techniques that can enable higher reliability, such as proofs of full pro-_x000D_
gram correctness. As more and more critical infrastructure depends on complex software stacks, higher_x000D_
reliability is more and more necessary._x000D_
Over the past decade, researchers have developed new techniques that scale to verification of substantial_x000D_
high-reliability software, such as the CompCert compiler, the seL4 microkernel, the SMACCM UAV heli-_x000D_
copter, and the miTLS networking stack. However, all of these impressive efforts require the adoption of_x000D_
new tools, new development process, and total rewriting of existing code bases---exactly the limitations of_x000D_
type systems that gradual typing originally set out to address._x000D_
This proposal aims to bring gradual typing to this new area, building on the PI's decade-long experience_x000D_
in the field. Specifically, I propose to integrate two promising technologies---refinement types and type_x000D_
theory-based verification---with gradual typing, allowing programmers to gradually move from typing to_x000D_
full verification._x000D_
To bring gradual typing to the classroom, the PI proposes to design a gradually-typed version of the_x000D_
teaching languages that accompany the How to Design Programs curriculum, which the PI has taught for_x000D_
three years in Indiana University?s introductory programming course.The intellectual merit of this proposal is found in the new approaches to gradual typing_x000D_
that will be developed. Specifically, the proposal will result in integration of dependent types and refinement_x000D_
types in a practical gradual type system, a combination not previously achieved._x000D_
Three challenges stand out for realizing the benefits of this approach: (1) integrating type-based proving_x000D_
with automated refinement types, (2) designing a new type theory for an existing programming language,_x000D_
and (3) integrating advanced type system features with development environments and error messages to_x000D_
enable programmers to use them.Each aspect of this proposal contributes to the broader impact. Integrating advanced type_x000D_
system features in an existing gradual type system will enable programmers using Typed Racket to develop_x000D_
more reliable software. Extending the power of gradual typing will benefit the widely-used systems from_x000D_
Microsoft and Facebook, among others, which have already adopted the PI's prior work. Adapting gradual_x000D_
types to the undergraduate curriculum will continue the PI's work on developing effective and innovative_x000D_
pedagogy for the first year as part of the widely-recognized Program By Design project, and will benefit_x000D_
both the PIs students and others who take advantage of the software and materials to be developed. Finally,_x000D_
the project will support the training of graduate student researchers both in research and in education.</t>
  </si>
  <si>
    <t xml:space="preserve"> Panel Summary       
 _x000D_
SUMMARY OF PROPOSED RESEARCH ACTIVITY_x000D_
_x000D_
Programmers spend a lot of time reading compilers' type errors.  This project aims to improve such errors, more accurately reporting locations of errors and suggesting fixes.  The project's technical plan is based on variational typing, extending its theory and practice to support new, advanced language features._x000D_
_x000D_
INTELLECTUAL MERIT_x000D_
_x000D_
Strengths:_x000D_
_x000D_
The panel believes this is a technically deep problem, acknowledged for decades, in which the PI has invested heavily and is well-qualified to address.  The success of the project should have a material impact on programming languages with advanced type systems._x000D_
_x000D_
Suggestions for improvement:_x000D_
_x000D_
There are other languages that use constraint-based typing but are not based on Hindley-Milner.  Exploring one or more of these type systems would help validate the generality of the approach._x000D_
_x000D_
BROADER IMPACTS _x000D_
 _x000D_
Strengths:_x000D_
_x000D_
The plan for direct impact through software prototype is much likelier than average to succeed.  The improvement of the human interface to programming has a natural connection to improving computing pedagogy._x000D_
_x000D_
CAREER SOLICITATION-SPECIFIC REMARKS_x000D_
_x000D_
Regarding the integration of research and education:_x000D_
The plan for a web interface to gather data is a great idea, also making adoption easier for students and practitioners.  The usability study was viewed as a positive and appropriate step, but the K-12 component as having difficulty competing with the large contemporary efforts in this area._x000D_
_x000D_
SUMMARY STATEMENT_x000D_
_x000D_
The proposal chooses a challenging and timely technical problem -- type errors in advanced type systems -- and makes a wise choice of target system in which to research it.  The plan is sound and offers concrete technical details._x000D_
_x000D_
The recommendation of the panel is Highly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</si>
  <si>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This proposal focuses on type error debugging. The PI particularly focuses on debugging type errors in Haskell. The PI does a good job in placing the proposed technical approach with respect to the existing work in the area.  _x000D_
_x000D_
Although the proposed work is technically interesting and the PI has a strong track record, I found the topic of the proposal too narrow. The PI could have motivated the work in terms of potential impact on other statically typed languages such as Java and C++ rather than just focusing on Haskell. Moreover, given the popularity of dynamically typed languages like JavaScript, it may not be sufficient to focus only on statically typed languages as a long term research vision._x000D_
_x000D_
On the other hand, the PI does a good job in exploring many aspects of the proposed topic, including a usability study, investigating different approaches to debugging type errors and investigating integration of different error debugging approaches._x000D_
_x000D_
There is a lot of work in the Software Engineering domain on fault localization and automated debugging. Discussing how the proposed work relates to these earlier results would improve the proposal._x000D_
_x000D_
In the context of the five review elements, please _x000D_
evaluate the strengths and weaknesses of the proposal with respect to broader impacts._x000D_
_x000D_
Given the significance of software development nowadays, technical advances that can help in debugging errors in software can have a big impact on society. The PI provides plans about how to disseminate the contributions obtained within the scope of this project to a wider community._x000D_
_x000D_
PI has an education plan that consist of three components: educational tool development, curriculum development and K-12 outreach. The education plan is well integrated with the research plan._x000D_
_x000D_
Please evaluate the strengths and _x000D_
weaknesses of the proposal with respect to any additional solicitation-specific review criteria, if _x000D_
applicable_x000D_
_x000D_
As a CAREER proposal, the proposed work seems to have a narrow technical focus. After reading the proposal, I am not convinced that the proposed work provides an exciting and promising career direction for the PI._x000D_
_x000D_
Summary Statement_x000D_
_x000D_
The PI has a strong technical track record and the proposal provides a sound technical approach to type error debugging that is well placed with respect to existing research results in the area. However, the scope of the proposed work is rather narrow, limiting its potential impact both with respect to the research community and to the broader society._x000D_
_x000D_
</t>
  </si>
  <si>
    <t xml:space="preserve">In the context of the five review elements, please _x000D_
evaluate the strengths and weaknesses of the proposal with respect to intellectual merit._x000D_
_x000D_
Strengths:_x000D_
_x000D_
* Type-error messages in the presence of advanced type systems and_x000D_
type inference has been an acknowledged problem for decades that has_x000D_
seen some nice progress in fits-and-starts but mostly from researchers_x000D_
exploring a nice idea as a short-term side project.  Having a unified_x000D_
view as an entire CAREER proposal is refreshing and a great idea._x000D_
_x000D_
* PI knows the related work and has already been successful in the_x000D_
area using variational typing, but the proposal clearly tackles new_x000D_
ground by considering much more advanced typing constructs ("all of_x000D_
Haskell") and providing a unified system for various front-ends in_x000D_
terms of how to present error messages._x000D_
_x000D_
* The choice of Haskell/GHC is a wise one and the support letter from_x000D_
Simon Peyton Jones is one of the rare cases where such a letter is_x000D_
meaningful in my opinion._x000D_
_x000D_
* PI has an impressive publication record to-date in the area._x000D_
_x000D_
Weaknesses:_x000D_
_x000D_
* While it's good that user studies are considered, how they fit into_x000D_
the research plan isn't so clear.  I appreciate the importance of_x000D_
user studies toward a project whose end goal is better error_x000D_
messages for humans, but the PI already has a lot of clear ideas on_x000D_
what infrastructure to build and foundations to expand, so I would_x000D_
encourage focusing on that._x000D_
_x000D_
* Some of the examples on "what can go wrong with current approaches"_x000D_
aren't so convincing.  For example, I agree that "if neg True &gt; 10_x000D_
then ..." cannot be fixed by replacing it with "if neg undefined &gt;_x000D_
10 then ..." even though it can be fixed by "if neg 7 &gt; 10 then_x000D_
...".  That's an important point for understanding how to use the_x000D_
type-checker in searching for the problem source, but does it matter_x000D_
in practice since "if undefined &gt; 10 then ..." may often suffice_x000D_
(and, in this case, "if undefined True &gt; 10 then ...") would too._x000D_
_x000D_
* I wish the technical meat of the proposal had discussed in some_x000D_
depth how "fail gracefully" in the presence of not-fully-supported_x000D_
type-system features.  That is, while the goal should be to "support_x000D_
everything" that means the tool can't be deployed until it "supports_x000D_
everything" and falls out of date as soon as "something new comes_x000D_
along".  I think a key engineering dimension is how to provide_x000D_
useful-if-not-perfect information along the way._x000D_
_x000D_
_x000D_
In the context of the five review elements, please _x000D_
evaluate the strengths and weaknesses of the proposal with respect to broader impacts._x000D_
_x000D_
Strengths:_x000D_
_x000D_
* The web interface is a great idea for making easier adoption for_x000D_
students and practitioners._x000D_
_x000D_
* The goal of integrating into GHC holds the potential for widespread_x000D_
adoption in an important language (and the ideas could apply to much_x000D_
more popular languages too)._x000D_
_x000D_
* Some nice preliminary work with k-12 outreach and research_x000D_
opportunities for underserved groups (veteran, woman)_x000D_
_x000D_
Weaknesses:_x000D_
_x000D_
* It's unclear the k-12 stuff wouldn't be better served by more_x000D_
conventional curricula in that space.  That is, there is more and_x000D_
more expertise about how to introduce CS principles in k-12 and it's_x000D_
unclear that having PIs "go and do their own thing" for small groups_x000D_
is the right incentive structure for this crucial topic._x000D_
_x000D_
_x000D_
Please evaluate the strengths and _x000D_
weaknesses of the proposal with respect to any additional solicitation-specific review criteria, if _x000D_
applicable_x000D_
_x000D_
_x000D_
_x000D_
Summary Statement_x000D_
_x000D_
* This is a great topic for a junior researcher to really focus on with a_x000D_
foundational approach and lots of directions to grow.  I'm glad the_x000D_
PI wishes to focus on this topic for the long haul.  It's a_x000D_
challenging topic but an important one._x000D_
_x000D_
_x000D_
</t>
  </si>
  <si>
    <t xml:space="preserve">In the context of the five review elements, please _x000D_
evaluate the strengths and weaknesses of the proposal with respect to intellectual merit._x000D_
_x000D_
The PI makes a convincing case that type error reporting is_x000D_
under-studied relative to the effort invested in type system_x000D_
advancements.  While it may not be the trendiest topic, it is clearly_x000D_
important.  Advancing the state of knowledge in this area offers_x000D_
direct benefits to programmers.  The PI is well equipped to conduct_x000D_
the research and has a convincing record of previous contributions in_x000D_
the area.  There are no problems with available resources._x000D_
_x000D_
Coverage of related work in the proposal is thorough, and it is clear_x000D_
that the proposed work is on the cutting edge._x000D_
_x000D_
The proposed plan is a good one, with an appropriate mix of safe_x000D_
extrapolation from previous work and more speculative components where_x000D_
the answer is not yet known.  The proposal is clear in its technical_x000D_
details.  The concrete examples in the proposal are illustrative, but_x000D_
I would like to know more about what VP_H(X) and VP_O(X) might look_x000D_
like._x000D_
_x000D_
The use of empirical user studies in the preliminary work and the_x000D_
proposed work is well motivated and greatly bolsters the proposal._x000D_
_x000D_
_x000D_
_x000D_
In the context of the five review elements, please _x000D_
evaluate the strengths and weaknesses of the proposal with respect to broader impacts._x000D_
_x000D_
The nature of the topic makes it highly applicable to pedegogical_x000D_
applicaitons.  The letters of collaboration make it clear that the_x000D_
work has a good chance of being adopted in practice (enabling its_x000D_
broader impacts)._x000D_
_x000D_
_x000D_
Please evaluate the strengths and _x000D_
weaknesses of the proposal with respect to any additional solicitation-specific review criteria, if _x000D_
applicable_x000D_
_x000D_
_x000D_
_x000D_
Summary Statement_x000D_
_x000D_
This is a focused project in improving type-error messages in advanced_x000D_
type systems.  It offers with a good expected return on investment._x000D_
_x000D_
_x000D_
</t>
  </si>
  <si>
    <t xml:space="preserve">In the context of the five review elements, please _x000D_
evaluate the strengths and weaknesses of the proposal with respect to intellectual merit._x000D_
_x000D_
Strengths: (a) Addressing an important task -- systematic support for type error debugging in languages with advanced typing systems (b) Well thought out research proposal, grounded in a substantial body of research ("variational" types, counterfactual typing) (c) the author proposes to integrate his developed system in the GHC compiler -- such a practical, usable realization is important at many levels (d) the author is very qualified to undertake this research agenda, having been a principal in the development of the key ideas on which this proposal is based._x000D_
_x000D_
Weakness: While the focus on GHC in the context of a fully developed system makes sense, for theoretical development of the ideas it is worthwhile to have at least two very different languages with advanced type systems. Consider, for instance, X10, an object-oriented language with a constraint-based (dependent) type system. X10 also uses constraint solving at type-checking time and has a type-inference mechanism. It too suffers from the problem of opaque errors. But the development of the type system is very different from that of GHC._x000D_
_x000D_
In the context of the five review elements, please _x000D_
evaluate the strengths and weaknesses of the proposal with respect to broader impacts._x000D_
_x000D_
This work is intended to be folded into the under-graduate programming languages courses the author has re-designed, and into his K-12 outreach._x000D_
_x000D_
I think this is sufficient._x000D_
_x000D_
Please evaluate the strengths and _x000D_
weaknesses of the proposal with respect to any additional solicitation-specific review criteria, if _x000D_
applicable_x000D_
_x000D_
_x000D_
_x000D_
Summary Statement_x000D_
_x000D_
This is a coherent, well thought out proposal for work by a researcher who is deeply versed (for the most part) in the work in his field. The success of this project should have a material impact on  programming languages with advanced type systems._x000D_
_x000D_
</t>
  </si>
  <si>
    <t>Recent development in programming languages exhibits two important trends: (1) expressive type system extensions, usually came with some form of type inference, have been proposed to enforce stronger correctness and safety guarantees of programs and (2) type inference, which is an integral part of functional languages, has been gradually incorporated into many imperative languages to make type systems more usable. However, when type inference fails, compilers usually generate imprecise and cryptic error messages. Despite the numerous efforts in improving error debugging in the last thirty years, current support is still unsatisfactory. Specifically, there is no single debugger that localizes error causes precisely, generates informative messages, supports advanced type system features, and meets debugging needs in practice. In particular, while most error debuggers work well only when type errors are caused by single leaves, our recent study on more than 60,000 student programs reveals that such errors account for only about 30% to 45% of all type errors. We therefore propose to develop an integrated type debugger for Haskell, a type system laboratory with numerous advanced features, based on a better understanding of how type errors are fixed in practice. Our conceptual and technical development is backed by variational typing, yielding a solution that is (a) systematic so that insights gained within this project could be employed to develop better debugging support for other type systems, (b) general so that we can ruminate on the commonalities between our solution and other existing methods, allowing a synergistic advance of type error debugging, and (c) modular so that we can iteratively support more language features while carry out our evaluation plan from an early stage.Our research will add an effective and integrated type error debugger to the Haskell ecosystem. In addition, our research brings the following results to type error debugging research: (1) a decidability analysis of using existing compilers as oracles for finding comprehensive error locations and (2) a detailed understanding about what error debugging approaches are more effective in practice. Moreover, we contribute the following to programming language research: (3) two methods addressing the unreliability of type annotations deemed necessary for type inference to be decidable, and (4) a theory of interactions between variaitonal types and other type system features, allowing the developed error debugging to be ported to other languages using type inference. Finally, we contribute to software engineering (software product lines in particular) research with (5) an idea of demand-driven variational computations, yielding more responsive variational analyses without sacrificing the main idea of sharing.Neither research nor education in type error debugging has been employed to inform and guide the development of the other. Our proposed work aims to address this issue and form a virtuous_x000D_
cycle of them with the following activities: (1) develop an interactive web interface that integrates the type error debugger we will develop, (2) encourage the use of the web interface in all programming language courses to be offered at UL Lafayette and K-12 outreach activities, (3) adapt some program development methodology to incorporate the steps of effective type error debugging, and (4) revise existing courses and develop a functional programming course based on the developed methodology._x000D_
_x000D_
This project will support two graduate students, who will bring the ideas developed for this project to our society. Moreover, we will involve undergraduate students in the project through REU and undergraduate senior project courses offered at UL Lafayette. Our research will be integrated into GHC, the most widely used Haskell compiler. Thus, our work will reach hundreds of thousands of Haskell users globally. Through the initiative of Computational thinking for teens using our web interface, our work will reach numerous K-12 students. We will release all artifacts under an open source license so that other universities and programmers could use and improve them. More generally, by improving type error debugging we improve the productivity of both beginners and professional software developers._x000D_
_x000D_
Key Words: Type Error Debugging, Type Inference, Haskell, Advanced Type Systems</t>
  </si>
  <si>
    <t xml:space="preserve"> Panel Summary       
 SUMMARY OF PROPOSED RESEARCH ACTIVITY_x000D_
The goal of this project is to develop techniques for performing program synthesis in the presence of quantitative/probabilistic objectives while providing such guarantees on the results of the synthesis algorithms. This will be achieved by two thrusts. One thrust is to develop techniques for quantitative-objective synthesis. The second thrust is to develop techniques for probabilistic-objective synthesis. _x000D_
_x000D_
INTELLECTUAL MERIT_x000D_
This is an ambitious proposal that aims at significantly advancing the state of the art on syntax-guided synthesis, building on the PI's expertise and previous accomplishments in this area. This will results in correct-by-construction programs, avoiding many bugs._x000D_
Proposal is very compelling, containing many great ideas; PI was able to explain these ideas very effectively._x000D_
Particularly exciting is the connection, to be explored, with machine learning._x000D_
_x000D_
Suggested improvement:  The two approaches to synthesis, syntax-guided synthesis and semantics-guided synthesis are complementary: syntax-guided synthesis is often more scalable, while semantics-guided synthesis offers complexity bounds and complete algorithms.  The project would benefit by considering both the advantages and disadvantages of the syntax-guided focus and relate it to the advantages and disadvantages of the complementary focus. Also, broad set of applications should be considered._x000D_
_x000D_
BROADER IMPACT _x000D_
To broaden the impact of his research, the PI is proposing to integrate program synthesis in the software-development curriculum, to organize a workshop focusing on using program-synthesis techniques in the visual arts, and to raise awareness of the impact that technology may have on labor._x000D_
_x000D_
Strength: The plan is concrete and realistic. The PI has already demonstrated his ability to integrate research and education. The project will bring program synthesis into the CS curriculum and even outside the CS curriculum, making programming available to non-experts._x000D_
_x000D_
CAREER SOLICITATION-SPECIFIC REMARKS_x000D_
Strong plan for integrating research and education._x000D_
_x000D_
SUMMARY STATEMENT_x000D_
This is a very strong proposal in the area of quantitative and probabilistic syntax-guided synthesis. It is broadened by a plan to develop curricular material, outreach to the arts, and societal impact awareness raising._x000D_
_x000D_
The recommendation of the panel is Highly Competitive ._x000D_
_x000D_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</si>
  <si>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The proposal focuses on automated program synthesis. This is a very promising area and a good research topic to focus on. Although there have already been several foundational contributions in this area in recent years, the PI identifies directions of research that have not been addressed. Integrating quantitative objectives in program synthesis is a novel and significant direction and PI provides good motivation. _x000D_
_x000D_
The proposed research is technically strong and the PI has a very good track record and is capable of producing impactful results. Overall, I consider the intellectual merit of this proposal very strong. _x000D_
_x000D_
A minor weakness is that the proposal reads like a combination of several paper ideas rather than presenting one over-arching technical approach. But, it is hard to achieve a balance between presenting a long term technical vision and providing a technical approach in depth. So, I do not consider this to be a significant weakness._x000D_
_x000D_
In the context of the five review elements, please _x000D_
evaluate the strengths and weaknesses of the proposal with respect to broader impacts._x000D_
_x000D_
Automated program synthesis is likely to have a significant impact on society, so I consider the broader impacts of this proposal to be strong in terms of the presented technical approach. The PI has a a detailed educational plan.  Automated program repair component of the proposal can have an impact on computing education. I liked the idea of combining visual art with synthesis. _x000D_
_x000D_
The PI thought carefully about the broader impact of automated program synthesis on the society and plans to have lectures to discuss potential impact of automated program synthesis on the workforce._x000D_
_x000D_
Please evaluate the strengths and _x000D_
weaknesses of the proposal with respect to any additional solicitation-specific review criteria, if _x000D_
applicable_x000D_
_x000D_
_x000D_
_x000D_
Summary Statement_x000D_
_x000D_
This is a well-written, ambitious proposal that targets a promising research direction with a novel focus.  The PI has an excellent track record both in research and education. The proposal has strong intellectual merit and well thought-out educational component._x000D_
_x000D_
</t>
  </si>
  <si>
    <t xml:space="preserve">In the context of the five review elements, please _x000D_
evaluate the strengths and weaknesses of the proposal with respect to intellectual merit._x000D_
_x000D_
_x000D_
This proposal will develop foundational new methods for synthesizing_x000D_
programs with quantitative and probabilistic guarantees. The former_x000D_
ensures, e.g. that the synthesized programs are small or consume few_x000D_
resources. The latter will permit the application of synthesis to_x000D_
domains (e.g. learning) where inputs are drawn from given distribution_x000D_
and the goal is to get programs that meet certain probabilistic objectives_x000D_
(i.e. produce certain outputs with high probability.) Both of the above_x000D_
will require creating and repurposing tools from disciplines like_x000D_
the theory of random graphs and computational learning theory._x000D_
_x000D_
_x000D_
In the context of the five review elements, please _x000D_
evaluate the strengths and weaknesses of the proposal with respect to broader impacts._x000D_
_x000D_
_x000D_
_x000D_
The broader impacts for this proposal include_x000D_
_x000D_
(1) the development of undergraduate and graduate_x000D_
course material in verification and synthesis,_x000D_
including updating functional and logic programming_x000D_
classes with modules on synthesis;_x000D_
_x000D_
(2) outreach in the form of workshops, both for verification_x000D_
community, and also, more broadly, on creating visual art_x000D_
with existing synthesis tools like PROSE and SKETCH-N-SKETCH._x000D_
_x000D_
(3) building upon the PIs strong record mentoring undergraduates,_x000D_
both at the host institution and via activities like organizing_x000D_
the PLMW workshop at POPL 2017._x000D_
_x000D_
Please evaluate the strengths and _x000D_
weaknesses of the proposal with respect to any additional solicitation-specific review criteria, if _x000D_
applicable_x000D_
_x000D_
_x000D_
_x000D_
Summary Statement_x000D_
_x000D_
_x000D_
The PI argues that synthesis procedures are somewhat ad-hoc in that_x000D_
they do not provide quantitative guarantees on the generated programs._x000D_
For example due to their heuristic nature, they can sometimes return_x000D_
orders of magnitude larger programs than are necessary, or consume more_x000D_
input examples in order to be synthesized (trained)._x000D_
_x000D_
The PI proposes to address this problem by developing a framework for_x000D_
synthesis with quantitative and probabilistic guarantees. The specific_x000D_
tasks include combining syntax-guided synthesis with weighted-tree grammars_x000D_
to obtain "small" programs wherever possible, and applying ideas from_x000D_
the theory of random graphs and computational learning theory to obtain_x000D_
probabilistic guarantees (i.e. if the inputs are drawn from some distribution,_x000D_
then the outputs of the synthesize program are correct with some probability.)_x000D_
_x000D_
## Pros  _x000D_
_x000D_
+ This is a compelling and exciting research agenda; if successful the work_x000D_
can drastically open up the space of domains to which synthesis can be_x000D_
applied, e.g. to tackle important problems from networking or data_x000D_
analytics._x000D_
_x000D_
+ The work itself can pioneer the use of a new class of mathematical tools_x000D_
for formal methods, including probabilistic logics, and theory of random_x000D_
graphs and PAC learning._x000D_
_x000D_
+ The PI has a very strong track record, including excellent preliminary_x000D_
work on the proposal's topics, which gives great confidence about the_x000D_
quality of the outcomes._x000D_
_x000D_
## Cons_x000D_
_x000D_
- Due to its very nature (being able to synthesize relatively_x000D_
small programs, given relatively precise specifications)_x000D_
synthesis will likely be limited to niche programming_x000D_
sub-tasks e.g. string processing, or at any rate, will_x000D_
require a great deal of domain specific tuning to work._x000D_
_x000D_
Nevertheless, this proposal outlines a very exciting and compelling_x000D_
research direction, and the PI has an outstanding track record hence_x000D_
and hence I support this work._x000D_
_x000D_
</t>
  </si>
  <si>
    <t xml:space="preserve">In the context of the five review elements, please _x000D_
evaluate the strengths and weaknesses of the proposal with respect to intellectual merit._x000D_
_x000D_
STRENGTHS_x000D_
_x000D_
The project would advance the state of the art in program synthesis by extending work on syntax-guided synthesis to tackle several specific program synthesis problems related by the theme of quantitative guarantees.  The proposed work incorporates some novel and interesting ideas and insights.  Pieecs of the proposed work range from more practically motivated to more theoretical.  The PI has published preliminary work on these problems (see Section 1.2) and is well qualified to conduct the proposed research._x000D_
_x000D_
WEAKNESSES_x000D_
_x000D_
The proposal characterizes the types of programs that it aims to synthesize, but has relatively little discussion of example application domains for which each of the proposed synthesis algorithms is expected to be well-suited and that would be used in the evaluation of it._x000D_
_x000D_
Automated grading of student assignments is discussed as an example application domain for some of the techniques.  This seems reasonable.   Personalized education is also mentioned very briefly, in Section 5._x000D_
_x000D_
Software for network switches is mentioned as an example but does not seem like a good fit.  In Examples 1.1 and 4.1, such software that forwards packets with load balancing is mentioned as an example of a probabilistic program, based on assuming a specific probability distribution over the inputs when synthesizing the program.  This implies that the synthesis needs to be done at run-time whenever the input distribution changes.  This seems unrealistic; simpler approaches work fine.  Example 1.1 also mentions minimizing the size of the synthesized program as an example of a suitable quantitative requirement.  For programs running in switches processing packets at line speed, minimizing execution time is more important than minimizing code size.  More generally, minimizing or reducing execution time is an important quantitative goal in many applications but is not addressed in the proposal, presumably because it is hard to measure syntactically._x000D_
_x000D_
It is unclear that the controller in a thermostat for an air conditioner, and the controller for the TCP congestion window size, mentioned in Section 4.2 as examples of probabilistic programs, are best modeled as probabilistic programs._x000D_
_x000D_
The "Search as learning" paragraph in Section 3.1 discusses designing "probabilistic synthesizers for domains for which we have many examples of good and bad programs (according to some definition)".  An example of such a domain would be helpful, including appropriate definitions of "good" and "bad" that can be expressed in the proposed WTG framework._x000D_
_x000D_
Examples of potential applications for the proposed work on distribution-aware VSA-based synthesis would be helpful.  Also, it is unclear to me what justifies ignoring subsets of cliques._x000D_
_x000D_
_x000D_
In the context of the five review elements, please _x000D_
evaluate the strengths and weaknesses of the proposal with respect to broader impacts._x000D_
_x000D_
STRENGTHS_x000D_
_x000D_
Program synthesis is a promising approach to increasing programmer productivity and expanding the pool of people able to create programs. _x000D_
_x000D_
The PI would incorporate material on program synthesis into the advanced undergraduate course on programming languages at UW-Madison, including some of the techniques proposed in this project._x000D_
_x000D_
The PI has already supervised 5 successful undergraduate research projects.  The project would support the PI's continued efforts to promote undergraduate research to all students and especially to under-represented minorities._x000D_
_x000D_
The PI would develop student workshops on visual art created using program synthesis._x000D_
_x000D_
WEAKNESSES_x000D_
_x000D_
The proposal has relatively little discussion of target application areas of the proposed techniques.  This makes it more difficult to evaluate the likelihood and magnitude of broader impacts of these techniques._x000D_
_x000D_
The connection between program synthesis and visual art is vague._x000D_
_x000D_
Please evaluate the strengths and _x000D_
weaknesses of the proposal with respect to any additional solicitation-specific review criteria, if _x000D_
applicable_x000D_
_x000D_
_x000D_
_x000D_
Summary Statement_x000D_
_x000D_
Program synthesis is a promising approach to increasing programmer productivity and expanding the pool of people able to create programs.  The project would advance the state of the art in program synthesis by tackling several specific problems involving quantitative guarantees, especially guarantees of maximum program size (or similar syntactic metrics) or bounds on output probabilities (for probabilistic programs)._x000D_
_x000D_
_x000D_
</t>
  </si>
  <si>
    <t xml:space="preserve">In the context of the five review elements, please _x000D_
evaluate the strengths and weaknesses of the proposal with respect to intellectual merit._x000D_
_x000D_
The goal of this project is to develop techniques for performing program synthesis in the presence of quantitative/probabilistic objectives while providing quantitative/probabilistic guarantees on the results and on the performance of the synthesis algorithms. This will be achieved by two thrusts. One thrust is develop techniques for quantitative-objective synthesis. The second thrust is to develop techniques for probabilistic-objective synthesis. This is an ambitious proposal that aims at significantly advancing the state of the art on syntax-guided synthesis, building on the PI's expertise and previous accomplishments in this area. _x000D_
_x000D_
The main weakness of the proposal is its laser focus on syntax-guided synthesis. Syntax guided synthesis has attracted a lot of attention over the last few years and the PI's background is from that line of research. But an older line of research  has been on semantics-guided for program synthesis. This line of work started with temporal synthesis (e.g., Pnueli-Rosner), and then expanded to probabilistic temporal synthesis (e.g., Baier), as well as quantitative temporal synthesis (e.g., Henzinger and Raskin). This proposal is solely focused on syntax-guided program synthesis, and does not mention at all semantics-guided program-synthesis. This is disappointing. The two approaches are complementary: syntax-guided synthesis is often more scalable, while semantics-guided synthesis offers complexity bounds and complete algorithms. A project with a focus on syntax-guided synthesis must be aware of of both the advantages and disadvantages of this focus and related it to the advantages and disadvantages of the complementary focus._x000D_
_x000D_
In the context of the five review elements, please _x000D_
evaluate the strengths and weaknesses of the proposal with respect to broader impacts._x000D_
_x000D_
To broaden the impact of his research, the PI is proposing to integrate program synthesis in the software-development curriculum, to organize workshop focusing on using program-synthesis techniques in the visual arts, and to raise awareness of the adverse impact that technology may have on labor. This is a good plan._x000D_
_x000D_
Please evaluate the strengths and _x000D_
weaknesses of the proposal with respect to any additional solicitation-specific review criteria, if _x000D_
applicable_x000D_
_x000D_
_x000D_
_x000D_
Summary Statement_x000D_
_x000D_
This is a strong proposal in the area of quantitative and probabilistic syntax-guided synthesis. It is broadened by a plan to develop curricular material, outreach to the arts, and societal impact awareness raising. The main weakness is completely ignoring much related work in the complementary approach of semantics-guided synthesis._x000D_
_x000D_
</t>
  </si>
  <si>
    <t xml:space="preserve"> Panel Summary       
 SUMMARY OF PROPOSED RESEARCH ACTIVITY_x000D_
_x000D_
This proposal aims to provide a flexible framework for verifying that high-level code can be correctly compiled on to an unreliable platform (e.g., hardware that may include errors).  Compared to prior work, the model of how execution may proceed unreliably is much richer.  The proposal touches many important research areas includes compilers, verification, synthesis, and computer architecture._x000D_
_x000D_
INTELLECTUAL MERIT_x000D_
_x000D_
Strengths:_x000D_
_x000D_
* Excellent use of modern techniques to solve a problem that could be essential to improved computational performance in the years ahead._x000D_
_x000D_
* Elegant techniques to reason about high-level code despite unreliability typically coming from many lower layers of abstraction._x000D_
_x000D_
* Solid body of proposed work of appropriate scope leveraging preliminary work but with much work remaining._x000D_
_x000D_
* PI has demonstrated nearly-unique expertise in the area._x000D_
_x000D_
Weaknesses:_x000D_
_x000D_
* Lack of discussion of (a) control-flow divergence due to unreliable computation and (b) ability to provide probabilistic guarantees._x000D_
_x000D_
* Lack of discussion about how validate the unreliable execution model against particular platforms (i.e., how do you know your execution model correctly describes the platform you care about)._x000D_
_x000D_
Suggestions for improvement_x000D_
_x000D_
* Provide additional context from the hardware/systems community on likely sources of unreliability and how they can be correctly modeled._x000D_
_x000D_
* Additional discussion on the expressiveness around failures and fault models._x000D_
_x000D_
BROADER IMPACTS_x000D_
_x000D_
Strengths_x000D_
_x000D_
* If successful, could be essential to correctly using next-generation systems that may provide additional performance by exposing unreliable computations_x000D_
_x000D_
* Solid course development_x000D_
_x000D_
* Deep commitment to diversity and mentoring minorities_x000D_
_x000D_
Suggestions for improvement_x000D_
_x000D_
* Despite good discussion on disseminating research results, could have discussed more how to find a trajectory to industry impact._x000D_
_x000D_
CAREER SOLICITATION-SPECIFIC REMARKS_x000D_
_x000D_
Solid work on redesigning/creating relevant courses at the undergraduate and graduate levels._x000D_
_x000D_
SUMMARY STATEMENT_x000D_
_x000D_
This proposal involves a substantial, relevant, and deep body of research building on and significantly extending the PI's prior trend-setting work on approximate computing.  While the proposal would have benefited from discussing a couple key complications (see above) and additional context on potential future hardware/system designs, the work has the potential to put on a firm footing how we can write reliable software on unreliable platforms._x000D_
_x000D_
The recommendation of the panel is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</si>
  <si>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_x000D_
Pro:_x000D_
_x000D_
- Finding a method to rigorously connect fault-tolerance at the application level (e.g. robust numeric algorithms) with precise fault models at the hardware or system level (e.g. architectures offering memory or functional units with selectable reliability level) seems like a great research problem problem with credible relevance   _x000D_
_x000D_
- To me, the ideas seem quite creative and original. _x000D_
_x000D_
- The scope of the project seems well defined and reasonably attainable._x000D_
_x000D_
- Prior publications speak to the PI's ability to (1) execute the plan and (2) publish the results in respected venues._x000D_
_x000D_
_x000D_
Cons:_x000D_
_x000D_
- While I could get a pretty clear picture of the higher levels of the abstraction stack (applications, language, compiler) it was not quite clear exactly how "real" or "mainstream" the assumed hardware architectures are. This is a potential weakness, as compiling to an "imagined" hardware and fault model runs the risk of wasting research effort on problems that end up not being the real problems._x000D_
_x000D_
In the context of the five review elements, please _x000D_
evaluate the strengths and weaknesses of the proposal with respect to broader impacts._x000D_
_x000D_
_x000D_
Pro:_x000D_
_x000D_
- Connecting fault-tolerance at the application level (e.g. prior research on robust numeric algorithms) with precise fault models at the hardware or system level (e.g. architectures offering memory or functional units with selectable reliability level) is a problem with credible relevance now or in the near future. _x000D_
_x000D_
- The investigation of language abstractions that can be added to existing mainstream languages, rather than focusing purely on a new language, make adoption more likely._x000D_
_x000D_
_x000D_
Please evaluate the strengths and _x000D_
weaknesses of the proposal with respect to any additional solicitation-specific review criteria, if _x000D_
applicable_x000D_
_x000D_
_x000D_
_x000D_
Summary Statement_x000D_
_x000D_
_x000D_
Overall, I believe this is a strong proposal; new ideas are quite rare in computer science. The approach to "compiling" fault models from the application down to the architecture is interesting. While layering of reliability into various abstraction levels itself is not new, building this translation into a programming language has not been done much, to the best of my knowledge. I could imagine many applications of this technique._x000D_
_x000D_
_x000D_
_x000D_
_x000D_
</t>
  </si>
  <si>
    <t xml:space="preserve">In the context of the five review elements, please _x000D_
evaluate the strengths and weaknesses of the proposal with respect to intellectual merit._x000D_
_x000D_
Strengths:_x000D_
_x000D_
* A substantial set of next steps for the PIs work on specification_x000D_
and verification of computations running on unreliable systems of_x000D_
various flavors._x000D_
_x000D_
* Some nice preliminary work with lots of room for growth on_x000D_
specifying an unrelaible execution model._x000D_
_x000D_
* Well-identified major research thrusts on compiler optimizations and_x000D_
synthesizing good-enough execution models._x000D_
_x000D_
* Good synergy with related research efforts/funding._x000D_
_x000D_
* If the predictions are correct w.r.t. grappling with unreliability,_x000D_
this work is essential foundational work not being done elsewhere_x000D_
_x000D_
* Reasonably solid work plan_x000D_
_x000D_
Weaknesses:_x000D_
_x000D_
* The semantics does not consider probability -- it is whether the_x000D_
result is within some error, not whether it is within some error_x000D_
with probability .9999999 or similar.  This may restrict its ability_x000D_
to do the sort of verification that is often desired._x000D_
_x000D_
* The proposal never discusses the issue of control-flow divergence_x000D_
due to unreliability._x000D_
_x000D_
Suggestions for improvement:_x000D_
_x000D_
* The proposal may mislead some readers by referring to "applications"_x000D_
when, in practice, using unreliable substrates is appropriate for_x000D_
resource-intensive kernels that can handle the lack of reliability_x000D_
-- such computations should then abstract the unreliability away_x000D_
from the rest of a large application._x000D_
_x000D_
* The synthesis thrust was the least-explored one but the one I find_x000D_
most exciting for the potential impact and open research areas._x000D_
_x000D_
A couple amusing typos involving the number 2:_x000D_
_x000D_
* Claims BS is from 2002 (should be 2006)_x000D_
* Claims x * 2 == x &lt;&lt; 2 (should be x &lt;&lt; 1)_x000D_
_x000D_
A couple papers that appear not to be cited:_x000D_
_x000D_
* Fault-tolerant typed assembly language. PLDI 2007_x000D_
* Verified peephole optimizations for CompCert. PLDI 2016_x000D_
_x000D_
_x000D_
In the context of the five review elements, please _x000D_
evaluate the strengths and weaknesses of the proposal with respect to broader impacts._x000D_
_x000D_
Strengths:_x000D_
_x000D_
* Ongoing role in MIT EECS diversity admissions_x000D_
* Reasonable dissemination and collaboration on research topics_x000D_
* Modernization of undergrad compilers course_x000D_
* Role model for African-Americans_x000D_
_x000D_
Weaknesses:_x000D_
_x000D_
* Could have promised more w.r.t. industry collaborations/impact_x000D_
and/or connecting the ideas to mainstream programming languages_x000D_
_x000D_
_x000D_
Please evaluate the strengths and _x000D_
weaknesses of the proposal with respect to any additional solicitation-specific review criteria, if _x000D_
applicable_x000D_
_x000D_
_x000D_
_x000D_
Summary Statement_x000D_
_x000D_
An excellent proposal that uses well-disciplined foundations of_x000D_
specification and verification to attack a real-world problem that, if_x000D_
not solved, may limit further advances in computing.  PI is already an_x000D_
expert in this area and has outlined a solid research vision for_x000D_
the coming years._x000D_
_x000D_
_x000D_
</t>
  </si>
  <si>
    <t xml:space="preserve">In the context of the five review elements, please _x000D_
evaluate the strengths and weaknesses of the proposal with respect to intellectual merit._x000D_
_x000D_
_x000D_
This proposal aims to develop techniques for reasoning about programs_x000D_
running on "soft computing" substrates, that is, on computing platforms_x000D_
where errors are possible, or where significant performance gains may_x000D_
be had by relaxing "hard" requirements on computations._x000D_
The proposal makes a convincing argument that we are likely to see more_x000D_
such platforms: they arise both now in the modern data center (with distributed_x000D_
computing), with energy efficient devices (IOT) and are likely to become_x000D_
common as we hit the end of Moore's law._x000D_
The proposal then identifies the key characteristics for writing programs_x000D_
that produce "acceptable" results under such substrates, and presents_x000D_
a compelling vision for developing foundational principles for writing,_x000D_
compiling and executing programs that meet such guarantees._x000D_
_x000D_
_x000D_
In the context of the five review elements, please _x000D_
evaluate the strengths and weaknesses of the proposal with respect to broader impacts._x000D_
_x000D_
_x000D_
The proposal has a strong broader impacts plan. The work itself is extremely_x000D_
broad in scope, touching upon a wide swathe of computing. The PI has gone to_x000D_
great lengths to start workshops, give tutorials and develop expository_x000D_
materials for the ideas upon which this proposal is based and will continue_x000D_
to do so. The PI has first hand knowledge of the diversity problems in computing,_x000D_
and is actively working with their home institution to mentor URM students,_x000D_
including shepherding all the minority applicants to the PhD program,_x000D_
identifying potential advisors, and so on. The PI has also been active_x000D_
outside their department with the PLMW workshop series introducing and_x000D_
mentoring students interested in Programming Languages_x000D_
and Formal Methods._x000D_
_x000D_
_x000D_
Please evaluate the strengths and _x000D_
weaknesses of the proposal with respect to any additional solicitation-specific review criteria, if _x000D_
applicable_x000D_
_x000D_
_x000D_
_x000D_
Summary Statement_x000D_
_x000D_
_x000D_
The PI's key insight is to make the execution model, that is, the failure_x000D_
model "first-class" by allowing developers to directly _specify_ the model_x000D_
in the language. This will allow for three different classes of work that_x000D_
the PI then proposes to undertake:_x000D_
_x000D_
1. Developing verification techniques that will check that a given program_x000D_
meets its acceptability criteria under the given execution/failure model,_x000D_
_x000D_
2. Developing compilation techniques that will exploit the intermediate_x000D_
results of the verification process (assertions relating values in_x000D_
correct and failing executions) to yield new compilation strategies_x000D_
and transforms that are sound for the execution model (since typical_x000D_
algebraic identities used by standard compilers will be unsound in_x000D_
the presence of failures.)_x000D_
_x000D_
3. Developing synthesis techniques that will identify the most general_x000D_
failure models under which a given program meets its given acceptability_x000D_
criteria._x000D_
_x000D_
## Pros  _x000D_
_x000D_
+ The topic is novel and timely, the PI has some_x000D_
of the foundational results in this space._x000D_
_x000D_
+ The proposal is wonderfully written._x000D_
_x000D_
+ The PI demonstrates  that they have a firm grasp on the challenges; including a_x000D_
very nice discussion of the kinds of acceptability, the way the requirements are_x000D_
met in different domains._x000D_
_x000D_
+ The key insight, "reifying" the execution model and then reasoning about it_x000D_
is one of those that sounds obvious and simple in retrospect but is in fact_x000D_
an extremely clever insight that comes only from having thought deeply_x000D_
about the problem._x000D_
_x000D_
+ Each of the individual tracks (verification, compilation, synthesis) that  _x000D_
flow from the central insight are nicely fleshed out; while some tasks_x000D_
depend on each other, the PI has nicely identified sub-problems that_x000D_
seem eminently tractable based on their preliminary work._x000D_
_x000D_
+ I especially appreciated the candor about the difficulty of verifying_x000D_
even small programs, as well as the insights that the PI has about_x000D_
"shared structure" that ought to be exploitable to simplify reasoning._x000D_
_x000D_
## Cons_x000D_
_x000D_
This is really a superb proposal. At a stretch I might argue that the synthesis_x000D_
idea (finding the 'most general' execution model under which a program is acceptable)_x000D_
is a bit "far out", but its a clever consequence of the "reification" and actually_x000D_
in the "pro" column._x000D_
_x000D_
</t>
  </si>
  <si>
    <t xml:space="preserve">In the context of the five review elements, please _x000D_
evaluate the strengths and weaknesses of the proposal with respect to intellectual merit._x000D_
_x000D_
STRENGTHS_x000D_
_x000D_
This project would develop a programming language, program verification system, and compiler for developing software to execute reliably on unreliable hardware.  The verification system would be based on relating faulty executions of the program with non-faulty executions.  The compiler would take advantage of invariants, etc., obtained during verification to produce more efficient code that meets the program's reliability requirements._x000D_
_x000D_
The PI has published preliminary work on this topic and is well qualified to conduct the proposed research._x000D_
_x000D_
WEAKNESSES_x000D_
_x000D_
It would be helpful to discuss more about how application-specific fault-tolerance techniques and general techniques for reliable compilation, will interact in Leto._x000D_
_x000D_
The project proposes a general framework which places no limits on the possible effects of failures, or how different the original semantics and failure semantics of an operation can be.  My general concern is that, without some limits or structure, without focusing on specific failure models, it will be hard to get the leverage that allows specific techniques to be developed that are more effective for this problem than existing frameworks for reasoning about relational properties of programs.  _x000D_
_x000D_
In systems with more severe failures, the differences between the programs faulty and non-faulty executions will be larger, and the proposed approach based on relating faulty executions with non-faulty executions may become less effective._x000D_
_x000D_
The proposal is vague about how the proposed techniques will be evaluated._x000D_
_x000D_
Section 1.0 lists some types of systems that motivate the proposed work.  Regarding "large-scale distributed computations", it is unclear how relevant the proposed work is.  For "Cyber-Physical Systems", sensor noise and actuator noise is mentioned as an issue, but there is a lot of work on this in the CPS and control theory communities, and it's unclear how much value the proposed work would add._x000D_
_x000D_
Section 2.2: "The two executions of a program with a first-class execution model share the same syntax and, therefore typically share the same dynamic execution structure because the overall intention of these two executions is to compute similar results."  If the executions follow different branches in conditionals and have different numbers of loop iterations, do they have the "same dynamic execution structure"?  How important is this property to the proposed approach?  If relational reasoning is done statement-by-statement, without explicit reference to the execution history, then similarity of the execution structure seems less important._x000D_
_x000D_
Section 3.0, last paragraph, says "Namely, in intermediate representations above the low-level IR, we will refine the semantics of each_x000D_
operation with the join of the set of behavioral specifications provided by Leto."  It is unclear to me what this means in the context of LLVM, for example (LLVM is also mentioned in Section 3.0)._x000D_
_x000D_
Section 3.3 discusses two approaches to implementing language abstractions (better known as "compilation"?).  For the Contextual Compilation approach, please clarify what kind of context is taken into account.  The fault model?  An invariant about the current program state?  The program's correctness requirements?_x000D_
_x000D_
In the context of the five review elements, please _x000D_
evaluate the strengths and weaknesses of the proposal with respect to broader impacts._x000D_
_x000D_
STRENGTHS_x000D_
_x000D_
Fault-tolerance is an important problem._x000D_
_x000D_
The project would benefit from synergistic projects that the PI is currently involved in.  The PI would develop a short course, and perhaps also a module in a longer PL course, incorporating some of the proposed work._x000D_
_x000D_
The PI is very active in mentoring, teaching, service to the research community, and promoting diversity in Computer Science.  The project would help support and expand the PI's continued efforts in all these areas._x000D_
_x000D_
WEAKNESSES_x000D_
_x000D_
Evaluating the potential impact of the project on software development practice is difficult.  It will depend on how much the proposed framework facilitates design and verification of application-specific fault-tolerance, and on the project's success in developing general techniques for reliable compilation that generate efficient code, for software of realistic size and complexity._x000D_
_x000D_
_x000D_
Please evaluate the strengths and _x000D_
weaknesses of the proposal with respect to any additional solicitation-specific review criteria, if _x000D_
applicable_x000D_
_x000D_
_x000D_
_x000D_
Summary Statement_x000D_
_x000D_
The project, if successful, would advance the state-of-the-art in formal methods and compilers for development of software resilient to some types of hardware failures.  It is tackling a very difficult problem._x000D_
_x000D_
</t>
  </si>
  <si>
    <t>The landscape of software development has changed as computing platforms have reached the end of Moore's Law. Namely, aggressive scaling of technology sizes in modern computer processor fabrication has been paused as modern processors have become more vulnerable to errors in their manufacture and operation. The search for increased performance by building ever-larger distributed systems has also proposed significant challenges as reduced mean-time-between-failure at scale has caused traditional techniques for designing reliable systems to impose significant performance/energy overheads on computations. As a result, applications executed on emerging systems will need to be specifically designed to execute through faults in the underlying execution platform. To deliver such applications, developers will need to design their implementation in concert with a precise understanding of the execution platform's behavior in order to ensure that the application still delivers acceptable results. To exploit these platforms, there is therefore a need for programming languages and tools that enable the developer to complete this task. In this research program, we will develop Leto, a new programming language with supporting verification system and compiler, that will enable developers to work with a model of the execution platform to deliver provably acceptable computations. Leto will support programmatic, first-class execution models that can capture the semantics of execution platforms that may deliver alternative results for a given operation. Such execution models will be first-class in that the developer can communicate with the verification system to verify correctness properties of the computation that are related to the explicit state of the execution model itself. Leto's domain also creates a new challenge in that optimizing compilers typically rely on algebraic equivalences between operations to produce faster, but semantically equivalent code. Unreliable execution platforms therefore jeopardize the capability for optimizing compilers to perform this task; two operations that are equivalent in their ideal, reliable execution may not be equivalent if one operation is actually prone to producing incorrect results. We will develop a compiler that soundly accounts for the execution model of a given platform. Another challenge in this domain is that a developer may have a variety of different execution platforms at their disposal, each with different specifications. We will investigate techniques to synthesize an execution model specification for a given application, such that the resulting execution model captures the least requirements of the platform, while still guaranteeing that the application delivers acceptable results. This will enable a developer to soundly choose from a variety of platforms by choosing a platform that is consistent with the synthesized execution model. A remaining challenge for this domain is the same as that of all new software methodologies: education. We will develop new coursework on programming unreliable systems for which Leto will be the students' vehicle of exploration and for which the students will provide feedback on Leto's design, thereby broadening the applicability of our results.This work will develop state-of-the-art techniques for reasoning about program behavior that capture the growing availability of soft-computing fabrics, including unreliable computer processors, energy-harvesting systems, and cyber-physical systems. These techniques will produce fundamental advances in programming languages, compilers, and verification systems to support principled reasoning about faults and errors.In a society that is increasingly dependent on computing systems, the proposed work will provide scientists, engineers, and software developers with new tools to build systems that are resilient to error. The PI will use this program to educate researchers in computer architecture, programming languages, and applications through tutorials on its demonstrated results. The PI will also educate the next generation of undergraduate and graduate students through mentoring. Being cognizant that he, himself, is an African-American and therefore in a unique position to mentor members of underrepresented groups, a major focus of the PI?s outreach is in mentoring and developing research opportunities for undergraduates and graduates of underrepresented groups.</t>
  </si>
  <si>
    <t xml:space="preserve"> Panel Summary       
 SUMMARY OF PROPOSED RESEARCH ACTIVITY_x000D_
_x000D_
The PI aims to refactor Java code to use new functional-style streaming APIs and other modern features such as optional types.  Doing so could lead to faster software (potential for parallelization) as well as perhaps less error-prone and easier to extend software written in a more functional style._x000D_
_x000D_
INTELLECTUAL MERIT_x000D_
_x000D_
Strengths_x000D_
_x000D_
* Nice area for applying the proposed techniques to adapt software to Java 8 features._x000D_
_x000D_
* Leverages PI's prior experience with refactorings_x000D_
_x000D_
Weaknesses_x000D_
_x000D_
* Does not adequately consider related work in other languages (notably C#/LINQ, Scala, X10) or on similar topics (e.g., optional types and nullness checking)_x000D_
_x000D_
* Proposed technology for using typestate analysis not well explained_x000D_
_x000D_
* Unclear how much the proposal does/doesn't aim to solve the full problem of automatic parallelization_x000D_
_x000D_
Suggestions for improvement_x000D_
_x000D_
* Aim for more focus throughout on using Java's streaming APIs as the target of refactoring.  In particular, the proposed work on introducing lambdas to avoid unnecessary computation is orthogonal and not as well motivated._x000D_
_x000D_
BROADER IMPACTS_x000D_
_x000D_
Strengths_x000D_
_x000D_
* Courseware related to Java 8 features is valuable and timely._x000D_
_x000D_
Weaknesses_x000D_
_x000D_
* International research collaborations for students are valuable but the proposal needs to identify additional broader impacts._x000D_
_x000D_
CAREER SOLICITATION-SPECIFIC REMARKS_x000D_
_x000D_
Good integration of research and education by using the technology to create course materials relevant to Java 8 features_x000D_
_x000D_
SUMMARY STATEMENT_x000D_
_x000D_
The panel felt this proposal presented work that would be valuable but that the proposal had shortcomings in presenting a compelling path to success and in demonstrating knowledge of related work outside of the refactorings literature._x000D_
_x000D_
The recommendation of the panel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</si>
  <si>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seeks to create a general approach to refactoring imperative programs to add functional features.  An ambitious undertaking, the effort poses interesting and foundational questions about efficiency of parallel vs. sequential code, absent values, and side effects.  The proposal outlines reasonable candidate approaches to solving the problems raised._x000D_
_x000D_
I find the applications related to stream parallelization and efficiency, as well as deferred execution, to be very compelling.  To me the Optional refactoring was less compelling; Optional feels like a poor fit in OO languages (null is more idiomatic) and I'm not sure how much it is going to be used outside streaming code (where it is necessary)._x000D_
_x000D_
The PI is well-qualified to perform the research based on his background in refactoring._x000D_
_x000D_
Minor comments:_x000D_
_x000D_
It's slightly odd to call what you propose in section 3 a "typestate" analysis, when objects are not changing state but rather generating new objects._x000D_
_x000D_
In the context of the five review elements, please _x000D_
evaluate the strengths and weaknesses of the proposal with respect to broader impacts._x000D_
_x000D_
Refactorings to help programmers parallelize streaming code safely, or to defer execution where possible, address important performance concerns and could have a positive impact on the quality of future software applications.  While these refactorings are not going to be applicable to every codebase, there is reason to think that use of functional abstractions will increase and so this work will find important applications._x000D_
_x000D_
The proposal's education plan is reasonable, including integration into the PI's courses and (notably!) the distribution of curricular materials as an Open Educational Resource.  The plans to create workshops and to mentor international experiences for US undergrads will also increase the impact of the work._x000D_
_x000D_
Please evaluate the strengths and _x000D_
weaknesses of the proposal with respect to any additional solicitation-specific review criteria, if _x000D_
applicable_x000D_
_x000D_
_x000D_
_x000D_
Summary Statement_x000D_
_x000D_
This is a strong proposal overall, and I think it should be funded if NSF resources permit._x000D_
_x000D_
</t>
  </si>
  <si>
    <t xml:space="preserve">In the context of the five review elements, please _x000D_
evaluate the strengths and weaknesses of the proposal with respect to intellectual merit._x000D_
_x000D_
_x000D_
Pro:_x000D_
_x000D_
- The use of stream operators in mainstream languages (e.g. stream API in Java, LINQ in C#, APIs for distributed streaming systems and analytics) is an interesting and important topic that has not received the attention it deserves in the research community_x000D_
_x000D_
Contra:_x000D_
_x000D_
- There is much room for improvement in the writing. The specific goals are quite unclear in the overview and introduction. E.g. the spin "functional features in imperative programs" does not really mean much, there is no novelty there. Only later does it become clear what is really meant here (stream API in Java)._x000D_
_x000D_
- The proposal touches on many interesting research areas (automatic parallelization, pointer analysis, stream processing) but approaches them from a syntactic Java viewpoint, without connecting to the extensive prior work in these areas._x000D_
_x000D_
- Focus: there are too many ideas; this means significant progress in any one of becomes unlikely. Stream operators are interesting, but I fail to see any connection to refactoring for nullable types._x000D_
_x000D_
In the context of the five review elements, please _x000D_
evaluate the strengths and weaknesses of the proposal with respect to broader impacts._x000D_
_x000D_
_x000D_
Pro:_x000D_
_x000D_
- The goal of publishing certain refactorings withing the Eclipse APIs seems attainable._x000D_
_x000D_
Contra:_x000D_
_x000D_
- Syntactic refactorings are more of a nice-to-have feature of IDE's, and seem a bit unlikely to have transformative impact on a grander scale._x000D_
_x000D_
- Work on syntactic refactorings often lacks the formal rigour required for publishing top-tier conferences. _x000D_
_x000D_
_x000D_
Please evaluate the strengths and _x000D_
weaknesses of the proposal with respect to any additional solicitation-specific review criteria, if _x000D_
applicable_x000D_
_x000D_
_x000D_
_x000D_
Summary Statement_x000D_
_x000D_
_x000D_
Overall, I believe the proposal is not quite ready to be funded. To be more competitive, it would require more focus (pick one specific problem), more language-independence (formulate concepts abstractly, not Java-specific), and better positioning within related work (e.g. automatic parallelization)._x000D_
_x000D_
</t>
  </si>
  <si>
    <t xml:space="preserve">In the context of the five review elements, please _x000D_
evaluate the strengths and weaknesses of the proposal with respect to intellectual merit._x000D_
_x000D_
Strengths:_x000D_
_x000D_
* Nice area of work: refactorings related to new features in Java 8_x000D_
that bring functional-style APIs to Java collections._x000D_
_x000D_
* Approaches the work in a way that can leverage the PI's prior work_x000D_
on refactorings._x000D_
_x000D_
* Reasonable approach to evaluation._x000D_
_x000D_
Weaknesses:_x000D_
_x000D_
* Does not seem ambitious enough for 5 years worth of research._x000D_
_x000D_
* Key ideas, like how typestate analysis would be used to identify_x000D_
opportunities for parallelism in stream computations, are either not_x000D_
explained or poorly explained._x000D_
_x000D_
* The work on optional types seems unaware of /substantial/ work on_x000D_
nullness checking in various languages and how that technology would_x000D_
/much/ more directly apply to solving the problem at hand._x000D_
_x000D_
* Similarly, the work on introducing lambdas for performance reasons_x000D_
would be much better approached either via traditional_x000D_
functional-language techniques or via class compiler techniques like_x000D_
partial redundancy elimination.  In fact, I would conjecture it will_x000D_
be extremely difficult to gain performance this way as Java_x000D_
compilers already can do much inlining, after which, eliminating_x000D_
unnecessary computations is more straightforward.  (And, if callees have_x000D_
side-effects, then neither the PI's proposal nor a traditional_x000D_
compiler can remove the computation.)_x000D_
_x000D_
* Other missing related work includes many years of work on C#'s LINQ_x000D_
design and implementation, work in Scala, etc._x000D_
_x000D_
_x000D_
In the context of the five review elements, please _x000D_
evaluate the strengths and weaknesses of the proposal with respect to broader impacts._x000D_
_x000D_
Strengths:_x000D_
_x000D_
* Courseware using Java 8's functional features would be useful and_x000D_
timely._x000D_
_x000D_
Weaknesses:_x000D_
_x000D_
* I fail to see the value of international visits for undergrad_x000D_
researchers as a broader impact._x000D_
_x000D_
_x000D_
Please evaluate the strengths and _x000D_
weaknesses of the proposal with respect to any additional solicitation-specific review criteria, if _x000D_
applicable_x000D_
_x000D_
_x000D_
_x000D_
Summary Statement_x000D_
_x000D_
Uses variations of refactoring and program analysis to try to automate_x000D_
the use of Java 8's functional collection APIs, Optional types, and_x000D_
lambdas to avoid unnecessary evaluation. I fear that much related work_x000D_
is not considered and the proposed approaches are not well explained_x000D_
and unlikely to succeed._x000D_
_x000D_
_x000D_
</t>
  </si>
  <si>
    <t xml:space="preserve">In the context of the five review elements, please _x000D_
evaluate the strengths and weaknesses of the proposal with respect to intellectual merit._x000D_
_x000D_
The topic of automatically refactoring legacy programs to use newly introduced_x000D_
language features seems practical and valuable.  This proposal targets the_x000D_
particular case of utilizing newly-added functional features, as in Java._x000D_
_x000D_
I had difficulty understanding this proposal and how the different pieces were_x000D_
to fit together.  For example, refactoring to use option types seems desirable,_x000D_
but how does this relate to the work on clients of the Streams API?  The_x000D_
Research Goals laid out in 1.2 form a long list.  I believe that it dilutes the_x000D_
proposal to have separate, loosely connected goals._x000D_
_x000D_
I disagree with the interpretation of programming language history.  For_x000D_
instance the first sentence, about imperative and functional paradigms having_x000D_
been disjoint.  The majority of functional languages have been impure (ML,_x000D_
Scheme, etc), so I don't think the chasm has been so wide.  Accordingly,_x000D_
functional idioms -- including programming with map and fold, even before_x000D_
MapReduce -- typically contended with effects._x000D_
_x000D_
Auto-parallelization has a long history and has been a hard nut to crack.  Thus_x000D_
it seems a bit odd to refer to converting sequential to parallel programs as a_x000D_
recent trend.  But parts of the proposal refer to, e.g., "determining whether it_x000D_
is ideal to run operations either sequentially or in parallel" which sounds like_x000D_
they are proposing to solve the auto-paralellization problem (or perhaps the_x000D_
easier auto-sequentialization scheduling problem for programs that begin with_x000D_
parallel semantics)._x000D_
_x000D_
Are these automated refactors expected to be strictly sound?  (I.e. generate_x000D_
only definitely-equivalent programs.)  It would help understand the ambition_x000D_
level of the approach to understand the answer to that question._x000D_
_x000D_
The proposed work on streaming makes me wish for more related work coverage on_x000D_
the body of work specifically on stream processing (e.g. in the databases and_x000D_
compilers communities).  How does the proposed work on streaming program_x000D_
refactoring relate to the body of work on stream-language compilers_x000D_
(e.g. StreamIt)?_x000D_
_x000D_
Minor:_x000D_
_x000D_
I don't understand the use of "-like" in "monadic-like" and "functional-like"._x000D_
_x000D_
The first occurrence of the word "streams" came out of nowhere and confused me._x000D_
It would be good to clarify early that the Java Streams API is the main focus_x000D_
here._x000D_
_x000D_
_x000D_
In the context of the five review elements, please _x000D_
evaluate the strengths and weaknesses of the proposal with respect to broader impacts._x000D_
_x000D_
The broader impacts on education and outreach seem light._x000D_
_x000D_
Please evaluate the strengths and _x000D_
weaknesses of the proposal with respect to any additional solicitation-specific review criteria, if _x000D_
applicable_x000D_
_x000D_
_x000D_
_x000D_
Summary Statement_x000D_
_x000D_
In its current form, I cannot support the proposed project.  The project aims to_x000D_
automatically refactor programs to improve them in various ways, using various_x000D_
techniques.  But for one not familiar with many of the cited techniques, it is_x000D_
difficult to understand the proposed novel techniques, algorithmically._x000D_
_x000D_
_x000D_
</t>
  </si>
  <si>
    <t>GP0803510</t>
  </si>
  <si>
    <t>Tip</t>
  </si>
  <si>
    <t>f.tip@northeastern.edu</t>
  </si>
  <si>
    <t xml:space="preserve">In the context of the five review elements, please _x000D_
evaluate the strengths and weaknesses of the proposal with respect to intellectual merit._x000D_
_x000D_
STRENGTHS:_x000D_
_x000D_
I am in full agreement with the PI that the increased adoption of functional language features in mainstream programming_x000D_
languages poses significant new challenges for programmers. The construction of automated refactoring tools that _x000D_
aim to make the complexity manageable is a worthwhile and important research task, and given the PI's recent research in this_x000D_
area, I believe that he is very well-qualified to carry out the proposed research. The planned evaluation on real-world_x000D_
software artifacts would provide useful research results._x000D_
_x000D_
Another strength of the proposal is that it is focused on the development of open-source refactoring tools that the_x000D_
Eclipse developer community can benefit from. _x000D_
_x000D_
The educational component of the proposal involves the development of course materials for existing courses and a new_x000D_
specialized course, focusing on the emerging combined imperative/functional programming language paradigm. In my_x000D_
opinion, this is a valuable activity, particularly given that the resulting resources will be shared through an_x000D_
Open Educational Resource._x000D_
_x000D_
WEAKNESSES:_x000D_
_x000D_
The proposal has a number of weaknesses. In particular, there is no detailed workplan that describes the order in which_x000D_
the identified research activities will be carried out, and that identifies dependences between the activities and_x000D_
possible risks if some sub-tasks turn out to be unexpectedly difficult. _x000D_
_x000D_
In addition, I find section 3 on "Generalized and Points-to Enhanced Typestate Analysis" lacking in technical detail._x000D_
What is missing here in particular is an example that illustrates the challenges that arise with existing typestate analyses_x000D_
when applied to the new combined functional/imperative paradigm, and a sketch/outline of how the proposed research_x000D_
would address these challenges._x000D_
_x000D_
Lastly, while I think that Java 8 is a sensible choice for the proposed research given its widespread adoption, the_x000D_
proposal could be strengthened by including some discussion on how the proposed work might be applicable to other_x000D_
languages. I'm thinking in particular of Scala, which provides a deep integration a functional and object-oriented_x000D_
features._x000D_
_x000D_
SUGGESTIONS FOR IMPROVEMENT:_x000D_
_x000D_
The proposal could be strengthened by expanding section 3 by illustrating the proposed technique using a small example,_x000D_
and by adding a work plan that discusses how the various research activities will be sequenced. _x000D_
_x000D_
It would also be useful to illustrate the proposed concept of type ordering constraints with a small example._x000D_
_x000D_
The discussion about refactoring for deferred execution could be clarified by adding an example that shows_x000D_
the code before and after the refactoring._x000D_
_x000D_
While reading the proposal, I spotted a number of minor typos and spelling errors, e.g. "summary salary" in the budget_x000D_
justification, and "syntatical" on page 12. _x000D_
_x000D_
In addition to performance-oriented evaluation criteria, it would be interesting to think of other metrics that_x000D_
aim to measure improvements in the software's quality, e.g. by measuring how many expression evaluations can_x000D_
be avoided when the deferred-execution refactoring is applied_x000D_
_x000D_
In the context of the five review elements, please _x000D_
evaluate the strengths and weaknesses of the proposal with respect to broader impacts._x000D_
_x000D_
Broader impacts of the proposal include the development of curriculum materials to improve existing courses, the_x000D_
development of a new special topics course, providing an international mentoring experience for students involved_x000D_
in the proposed research, making developed educational materials generally available, and releasing developed_x000D_
software as plugins for Eclipse, a widely used programming environment. These are significant broader impacts_x000D_
and they are well-aligned with the proposal's technical research focus._x000D_
_x000D_
Please evaluate the strengths and _x000D_
weaknesses of the proposal with respect to any additional solicitation-specific review criteria, if _x000D_
applicable_x000D_
_x000D_
_x000D_
_x000D_
Summary Statement_x000D_
_x000D_
This proposal is motivated by the fact that functional programming language features have been making significant_x000D_
inroads in mainstream programming languages. For example, version 8 of the Java programming language supports_x000D_
"lambdas", i.e., higher-order functions, and popular libraries such as the Java standard collections are _x000D_
evolving towards a map-reduce-like style, enabling programmers to express operations more succinctly and declaratively._x000D_
This proposal argues that several problems arise in this setting. First, programs that mix imperative and functional styles_x000D_
may exhibit suboptimal performance behavior. Second, unexpected and undesirable program behavior may arise when_x000D_
programs mix functional idioms and shared-memory concurrency. Third, inexperienced programmers may require assistance _x000D_
in migrating legacy code to make use of the new functional idioms. To address these concerns, several threads of_x000D_
research are proposed. This includes the development of automated tool support, based on typestate analysis and _x000D_
pointer analysis, for diagnosing performance problems and assisting programmers with refactorings that either parallellize_x000D_
or sequentialize computations in cases where such transformations are beneficial. To this end, three_x000D_
concrete refactorings are proposed: "Convert Sequential Stream to Parallel", "Optimize Parallel Stream", and "Optimize Complex_x000D_
Mutable Reduction". It is argued that developing these refactorings can be accomplished in a style that is similar_x000D_
to recent work by the PI, though several new research challenges arise as well, such as the fact that traditional_x000D_
typestate analyses need to be generalized to accommodate stream references. A related research task involves a_x000D_
refactoring for introducing optional types, a new feature in Java 8 that aims to prevent NullPointerExceptions by_x000D_
construction. Furthermore, research is proposed that aims to refactor code to take advantage of the fact that_x000D_
Java 8's lambdas enable lazy execution. These research activities are illustrated by various small Java code examples_x000D_
in the proposal, and connections are made to previous work on automated refactoring by the PI himself and others. _x000D_
The proposal has a significant educational component that includes the development of course materials related to_x000D_
the research topics covered, and an international mentoring experience for students involved in the research. The PI_x000D_
plans to make the developed technology available as a plugin for the widely used Eclipse environment._x000D_
_x000D_
</t>
  </si>
  <si>
    <t>Imperative programming uses statements to alter a program's state, while functional programming avoids mutating data. With the recent popularity rise of functional programming, imperative languages are increasingly incorporating new functional features, resulting in a new "hybrid" paradigm where functional style code, like MapReduce, is used alongside traditional imperative constructs. This is effective due to its ease of use by those not previously familiar with functional programming, enabling its benefits like succinct parallel programming._x000D_
_x000D_
Despite the advantages, issues arise from the interplay between the two paradigms. Firstly, subtle considerations are required to write code that is optimally parallelizable, efficient, and reliable, particularly when using MapReduce. The crux of the problem is that MapReduce is traditionally highly distributed with no shared memory, whereas in the hybrid model, it is typically multithreaded, using shared memory. Therefore, care must be taken to write correct yet efficient code. Secondly, new hybrid code is often written alongside legacy imperative code that could also benefit from functional features. It is advantageous to automatically refactor such code as manual semantics-preserving transformation may involve complex interprocedural analysis, a thorough understanding of intricacies, and detailed knowledge of situational API replacements, all of which can be daunting in large software bases._x000D_
_x000D_
The PI will address these problems through investigations on several fronts. First, a theoretical foundation for the analysis and transformation of hybrid functional/imperative programs will be developed and evaluated by identifying code that may be refactored for performance gains. Based on typestate analysis and type constraints, the analysis will determine when it is advantageous to run hybrid code in parallel via a novel ordering constraint inference algorithm. Second, typestate analysis will be generalized to decipher object state at an arbitrary program point and enhanced with points-to analysis to assist with complications resulting from these issues. Third, an automated refactoring approach will be designed and evaluated to retrofit optional types, type safe, functional-like constructs, into legacy software, thereby combating abnormal program terminations. Fourth, infrequently evaluated, long running code fragments will be automatically identified and refactored to lambda expressions with deferred execution._x000D_
_x000D_
Research-related educational activities will include curriculum introducing functional programming and its use in imperative programs. From real-world software, mixed paradigm best practices will be woven into course curricula. Furthermore, open educational resources (OERs) will be made publicly available. As functional programming is used in disciplines outside of CS, the proposed work has potential to transcend traditional CS areas and foster interdisciplinary collaborations. Lastly, the PI will involve US-based undergraduate students, providing them with mentored international research experiences.This work will advance the state-of-the-art of program analysis and automated refactoring for this mixed paradigm via theoretical considerations, algorithm formulation, empirical evaluation, and tool-support. Typestate analysis will be applied in a novel way. Moreover, a new knowledge-base for analyzing and transforming programs in this paradigm will fuel future research.First, course materials as described above will be incorporated into both CUNY undergraduate and graduate courses and will be disseminated via the aforementioned OER. Students will be introduced to functional programming in mainstream languages, thus improving their career prospects. The mentored international experience will also assist in a developing a diverse, globally competitive STEM workforce, as well as strengthen international research collaborations. Second, new analyses, refactorings, evaluation results, and useful tools capable of handling real-world software will be publicly available. Third, the PI will organize both research and industry workshops, shedding light on issues in this new paradigm and facilitating stronger bonds between academia and industry.</t>
  </si>
  <si>
    <t>8</t>
  </si>
  <si>
    <t xml:space="preserve"> Panel Summary       
  SUMMARY OF PROPOSED RESEARCH ACTIVITY_x000D_
_x000D_
  The PI presents an approach to integrating verification_x000D_
  into the workflow of programmers using higher-order functional_x000D_
  languages like Racket._x000D_
_x000D_
  Modern software development makes heavy use of  _x000D_
  higher-order languages, or at least higher-order_x000D_
  features. Thus, verification approaches that can_x000D_
  support modern programming language features can_x000D_
  have a significant impact in practice._x000D_
_x000D_
  The goal of the work is to develop algorithms_x000D_
  and tools to support "gradual" verification,_x000D_
  meaning both checking "partial" correctness_x000D_
  properties (contracts) as well as deferring_x000D_
  checks to run-time if needed. These tools will_x000D_
  also help users understand errors, and will_x000D_
  support rapid incremental verification as_x000D_
  the programmer modifies parts of their program._x000D_
_x000D_
  The verification will proceed by building up recent_x000D_
  advances in (higher order) symbolic execution and abstract_x000D_
  interpretation. Symbolic execution will be used to generate_x000D_
  concrete test cases that demonstrate the error to explain_x000D_
  why verification fails. Incremental computation will be_x000D_
  used to make verification fast after the code is modified._x000D_
_x000D_
INTELLECTUAL MERIT_x000D_
_x000D_
  Strengths_x000D_
_x000D_
  + The proposal is ambitious and takes a holistic view of_x000D_
    the different problems that must be solved to make_x000D_
    verification routine in software development, namely:_x000D_
    expressive programs, transitioning between static and dynamic checking,_x000D_
    incorporating verification into design and applying verification_x000D_
    to a variety of properties._x000D_
_x000D_
  + The proposal builds upon the PI's prior work, including_x000D_
    both abstract interpretation and symbolic execution,_x000D_
    as well as their implementation inside the Racket ecosystem._x000D_
_x000D_
  Weaknesses_x000D_
_x000D_
  - Some panelists felt that the PI proposes to do several_x000D_
    things and that each on its own could be a substantial_x000D_
    proposal, but that together they seemed too ambitious_x000D_
    and not fit very well._x000D_
_x000D_
  - The proposal mentions "gradual" in the sense of "gradual typing"_x000D_
    but discusses dynamic checking very briefly and is really focused_x000D_
    on static verification._x000D_
_x000D_
  Suggestions_x000D_
_x000D_
  The proposal could be improved if the PI could_x000D_
_x000D_
  1. Not overload the word "gradual" -- or make it clear that it was really_x000D_
     about static verification (or if not, flesh out the dynamic part better.)_x000D_
_x000D_
  2. Clarify they really mean they propose to use symbolic execution to_x000D_
     eliminate the dynamic overhead of "gradual typing"._x000D_
_x000D_
  3. Either narrow the scope of the proposal and focus on fewer themes_x000D_
     but explain each in greater detail, or explain better how the themes_x000D_
     connected to each other._x000D_
_x000D_
BROADER IMPACTS_x000D_
_x000D_
  Strengths_x000D_
_x000D_
  + The PI aims to integrate contracts into_x000D_
    programming courses by extending the _x000D_
   "How to Design Programs" (HtDP) curriculum,_x000D_
    and by using the automated verification tools_x000D_
    developed as part of the proposal._x000D_
_x000D_
  + The above is bolstered by the fact that the_x000D_
    PI already has a track record of contributions_x000D_
    to the Racket ecosystem and HtDP curriculum._x000D_
_x000D_
  + The PI and his institution are involved in BRAID and_x000D_
    have several ongoing initiatives aimed towards_x000D_
    mentoring under represented student populations._x000D_
_x000D_
CAREER SOLICITATION-SPECIFIC REMARKS_x000D_
_x000D_
  The educational plan is to use the tools_x000D_
  developed as part of the proposal in undergraduate_x000D_
  programming classes, specifically by enriching_x000D_
  the influential and widely used HtDP_x000D_
  curriculum with contracts that will be gradually verified_x000D_
  using the tools developed as part of the research._x000D_
_x000D_
  Ultimately, the PI aims to codify and disseminate_x000D_
  the above in a companion text: "How to Design Verified Components"._x000D_
_x000D_
SUMMARY STATEMENT_x000D_
_x000D_
  While some panelists felt that the proposal reflected a_x000D_
  compelling holistic vision of how to make verification_x000D_
  of higher-order programs practical, others felt that_x000D_
  the emphasis on "gradual" was somewhat misplaced,_x000D_
  and that the proposal would have been stronger _x000D_
  with a deeper focus on a narrower set of themes._x000D_
_x000D_
  The recommendation of the panel is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</si>
  <si>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proposal's title is misleading, as the main focus is on static verification.  The proposal builds on already-existing dynamically checked systems and describes an approach to static verification for them.  Although it is mentioned that parts of the program that fail to verify statically can be checked dynamically, and that static checks can be used to eliminate dynamic ones, nothing is said about how this works, and none of the usual gradual typing issues are described (e.g. when do you report an error to the user vs. defer checking to run time) nor are there theoretical results related to gradual checking (e.g. the gradual guarantee)--even though all of these gradual typing issues potentially have analogs for gradual verification._x000D_
_x000D_
That said, it's useful to be able to statically check contracts, and this proposal describes promising approaches to improving static verification.  The novel approaches proposed include:_x000D_
* A general approach based on symbolic execution and abstract interpreters that can verify contracts written in the language of programs, and thus supports falling back to dynamic checking for any assertions that fail statically._x000D_
* Improved approaches to reporting contract errors by synthesizing failing test cases_x000D_
* Using incremental computation to provide interactive feedback on errors_x000D_
* A comprehensive pedagogical approach that adds verification to the How to Design Programs curriculum_x000D_
_x000D_
Section 3.1: the argument that the proposed approach might "revive gradual typing" is not sensible.  It relies on fully specifying contracts that subsume typing.  But specifying contracts is harder than specifying types because the former subsumes the latter, and the whole point of gradual typing is that you don't even have to specify all the types.  Of course some contracts could be left unspecified, too, but then all performance overhead can't be eliminated (and will almost certainly be worse, as contracts may include more checks).  Some of the proposed work mentioned at the end of this section is valuable, but the whole setup based on the performance overhead of gradual typing is specious.  It does not reflect well on the proposal that this argument would be put forth._x000D_
_x000D_
There's also a bit of a straw man in section 3.2, complaining about localization of error messages in unification-based type systems; this is in fact why the type systems of usable languages (and the most commercially relevant languages) don't use unification and don't try to do non-local type inference.  Despite this straw man in the setup, generating examples illustrating why verification fails should be extremely useful, and the proposal outlines a solid plan for doing so and for evaluating the results._x000D_
_x000D_
_x000D_
In the context of the five review elements, please _x000D_
evaluate the strengths and weaknesses of the proposal with respect to broader impacts._x000D_
_x000D_
If successful, the approach described would have a significant impact, enabling a new class of verification tools based on contracts written in the language of programs, which in turn has the potential to make verification more incremental and more accessible.  _x000D_
_x000D_
The educational plan laid out in section 3.4 is very strong, building verification into the How to Design Programs curriculum at Maryland and constructing a integrated set of supporting tools (besides the ideas described earlier, the algebraic stepper stood out here).  The plan is very ambitious, but given that there is already HtDP buy-in at UMaryland, it is believable.  Beyond education, the PI and institutions involvement in BRAID and in mentoring underrepresented student populations is admirable._x000D_
_x000D_
Please evaluate the strengths and _x000D_
weaknesses of the proposal with respect to any additional solicitation-specific review criteria, if _x000D_
applicable_x000D_
_x000D_
_x000D_
_x000D_
Summary Statement_x000D_
_x000D_
This is a good proposal that includes a lot of promising ideas, but the thrust of work on "gradual" verification is misleading, and some of the arguments made do not hold up under scrutiny._x000D_
_x000D_
</t>
  </si>
  <si>
    <t xml:space="preserve">In the context of the five review elements, please _x000D_
evaluate the strengths and weaknesses of the proposal with respect to intellectual merit._x000D_
_x000D_
This proposal presents an approach for verification of higher-order functional and object-oriented programming languages. The proposed technical approach involves verification of behavioral contracts using novel symbolic execution techniques that can handle higher-order languages, generation of counter-example behaviors as feedback to programmers, and incremental verification using meta-circular abstract interpreters._x000D_
_x000D_
Proposed work integrates several recent developments in software verification to provide a verification framework that is applicable to higher-order languages. While discussing the presented research vision, the PI underlines the practical challenges, such as difficulty of writing contracts and  the performance overhead incurred at runtime due to gradual typing. Then, the PI outlines the technical approaches that will be used to tackle these challenges. So, the proposed work seems to be grounded in practice and technically feasible at the same time.  _x000D_
_x000D_
_x000D_
In the context of the five review elements, please _x000D_
evaluate the strengths and weaknesses of the proposal with respect to broader impacts._x000D_
_x000D_
Verification approaches that can support modern programming language features can have a significant impact in practice. The proposed approach combines lightweight and heavyweight verification techniques, and it is likely that some of these techniques will have practical impact. _x000D_
_x000D_
Proposal has a well thought educational component. Integration of contracts to programming courses would be a positive development, and the automated verification tools developed within the scope of this project would increase the benefits of writing contracts. This can encourage more developers to use contracts._x000D_
_x000D_
Please evaluate the strengths and _x000D_
weaknesses of the proposal with respect to any additional solicitation-specific review criteria, if _x000D_
applicable_x000D_
_x000D_
_x000D_
_x000D_
Summary Statement_x000D_
_x000D_
This proposal presents gradual verification techniques for higher-order programming languages based on behavioral contracts, symbolic execution and abstract interpretation. The proposed approach builds on existing verification techniques and extends them so that they can be applied to modern programming languages.  The proposal contains a well thought out educational plan._x000D_
_x000D_
</t>
  </si>
  <si>
    <t xml:space="preserve">In the context of the five review elements, please _x000D_
evaluate the strengths and weaknesses of the proposal with respect to intellectual merit._x000D_
_x000D_
_x000D_
The proposal presents a holistic strategy for integrating verification into  _x000D_
the workflow of programmers using higher-order functional languages. This includes,_x000D_
developing a theory of gradual verification -- where gradual refers both to_x000D_
checking partial correctness properties, and deferring checks to runtime --  _x000D_
based on higher-order symbolic execution and abstract interpretation; implementing_x000D_
the above theory as tools usable by non-experts, and developing an pedagogical_x000D_
approach to teaching verification to novices by integrating it with the HTDP,_x000D_
contract-based approach._x000D_
_x000D_
_x000D_
In the context of the five review elements, please _x000D_
evaluate the strengths and weaknesses of the proposal with respect to broader impacts._x000D_
_x000D_
_x000D_
_x000D_
The proposal has a significant curriculum development component that is_x000D_
organically integrated with the research, namely integrating contracts_x000D_
into the widely used and influential HTDP curriculum, which will be_x000D_
made possible using the generated counterexamples, pinpointing blame_x000D_
and rapid re-computation. The PI proposes to encapsulate the results_x000D_
in a companion (to HTDP) text called "How to develop verified components"_x000D_
_x000D_
The PI has a history of helping with initiatives targeted increasing_x000D_
diversity, including participating in the BRAID program (of which UMD_x000D_
is a member), mentoring students and post-docs from URM groups, and_x000D_
helping with the PLMW mentoring workshop series._x000D_
_x000D_
_x000D_
Please evaluate the strengths and _x000D_
weaknesses of the proposal with respect to any additional solicitation-specific review criteria, if _x000D_
applicable_x000D_
_x000D_
_x000D_
_x000D_
Summary Statement_x000D_
_x000D_
_x000D_
The proposal aims to help make formal verification in modern higher-order_x000D_
languages (like Racket) mainstream by developing new usage modes, addressing_x000D_
the problem of the steep learning curve for verification, and by doing_x000D_
the above by developing and implementing fundamental new algorithms for_x000D_
verification based on the combination of symbolic execution and abstract interpretation_x000D_
(for checking contracts), and on incremental computation (to make verification_x000D_
fast enough to be used during development.)_x000D_
_x000D_
I especially agree with the PI's assessment that_x000D_
_x000D_
"These (Agda, Coq, ..) will NOT be languages of the future until_x000D_
overcoming the feedback from failures"_x000D_
_x000D_
Specifically, the PI will look at how to make verification_x000D_
"gradual" in the sense of converting "run-time" checks into "static"_x000D_
checks via the combination of symbolic execution and abstract interpretation,_x000D_
and thus smoothly allowing for (failed) static checks to be deferred to_x000D_
the run-time. By building on the theory of contracts, the PI will be able_x000D_
use the existing language itself (and not some external language) to_x000D_
write specifications, and more importantly, to use existing mechanisms_x000D_
to provide feedback in the form of assigning "blame"._x000D_
_x000D_
Second, the PI will address the "learning curve" problem, i.e. making_x000D_
verifiers accessible to non-experts, by using their prior work on_x000D_
Symbolic Execution to automatically generate counterexamples for_x000D_
contract (and refinement type errors) thereby giving concrete explanations_x000D_
to programmers about why their code fails. While the details of this_x000D_
have not been worked out and are non-trivial, the PI's prior work_x000D_
in this space indicates they are likely to be successful._x000D_
_x000D_
_x000D_
## Pros  _x000D_
_x000D_
- The proposal articulates an important and compelling vision; the_x000D_
idea of making verification gradual and reinforcing is especially_x000D_
compelling, as is the use of the source language to write contracts._x000D_
_x000D_
- The work is grounded firmly in the PI's strong prior work, and clearly_x000D_
and plausibly articulates how the goals will can be achieved via a_x000D_
combination of existing techniques and novel insights._x000D_
_x000D_
- The proposal has a very strong broader impacts and education component_x000D_
that is organically integrated with the research, namely, to incorporate_x000D_
verification during design process (HTDP design recipe), to generate_x000D_
counterexamples for failed verification, and to facilitate incremental_x000D_
verification to make checking rapid during development._x000D_
_x000D_
- Symbolic execution sounds like an especially promising way to deal_x000D_
with inter-language analysis._x000D_
_x000D_
- There has not been a systematic evaluation of incremental computation_x000D_
for incremental/iterative verification; the analysis approach based_x000D_
on the PI's prior ADAPTON work also shows very promising_x000D_
(order-of-magnitude speedups) in preliminary work._x000D_
_x000D_
- Finally the integration of static verification inside HTDP is very compelling;_x000D_
The use of racket makes this smooth and natural to integrate into HDTP,_x000D_
there can be a significant impact if successful on large undergrad class_x000D_
at UMD and the Symbolic Execution based contract checker already used on_x000D_
benchmarks developed in earlier versions makes the claim very plausible._x000D_
_x000D_
- This is a well-thought out proposal where the different tasks fit together_x000D_
nicely and at the same time, each individual task is likely to succeed_x000D_
and is very useful in its own right (e.g. counterexamples, incremental verification,_x000D_
inter-language symbolic execution etc.)_x000D_
_x000D_
## Cons_x000D_
_x000D_
- Lots of prior work on using abs-int/static analysis to eliminate_x000D_
run-time checks, going back to 70s; more recently, soft typing,_x000D_
Henglein-Rehof, Ccured, Hybrid typing etc. Remains to be seen_x000D_
if proposed approach of SymbolicExecution is actually an_x000D_
improvement._x000D_
_x000D_
- Much of the contract checking done in PIs prior work has been "type"_x000D_
contracts (e.g. a value is a number or string) as opposed to "relational"_x000D_
contracts (e.g. a value is between 0 and the size of an array). The latter_x000D_
are significantly harder and it remains to be seen how proposed approach_x000D_
will scale to those. Still, some of the prior work includes relational_x000D_
assertions, and the symbolic execution should at least be useful_x000D_
for generating counterexamples even with relational contracts._x000D_
_x000D_
_x000D_
</t>
  </si>
  <si>
    <t xml:space="preserve">In the context of the five review elements, please _x000D_
evaluate the strengths and weaknesses of the proposal with respect to intellectual merit._x000D_
_x000D_
These proposal weaves together several highly important themes in program verification: (1) Verification of expressive (higher order, object-oriented) programs, (2) Gradual Verification: graceful transition from run-time verification to static verification, (3) Productive Verification: incorporating verification into the program-design process, and (4) Universal Verification: applying the above to a wide variety of programming properties and paradigms._x000D_
_x000D_
In reality, each of these themes covers a weighty issue in program verification theory and practice. Trying to make significant progress on all of them in a 5-year single investigator project seems too ambitious to me. Furthermore, while the proposal does make a strong case that each of these themes is important, it does not make a strong case that they are synergistic._x000D_
_x000D_
In the context of the five review elements, please _x000D_
evaluate the strengths and weaknesses of the proposal with respect to broader impacts._x000D_
_x000D_
I found the broader-impact statement not completely clear. It weaves several themes, but none is stated clearly: (1) Adoption of the well-known HtDP approach by the UMC CS curriculum, (2) Integrating results of these project into HtDP, and (3) Transferring research of these proposal to industry. Each of these would be worthwhile, but none is described in enough details._x000D_
_x000D_
Please evaluate the strengths and _x000D_
weaknesses of the proposal with respect to any additional solicitation-specific review criteria, if _x000D_
applicable_x000D_
_x000D_
_x000D_
_x000D_
Summary Statement_x000D_
_x000D_
This is a well motivated proposal, addressing several important themes in the area of program verification. It suffers from lack of clear focus in both its intellectual merit and broader impact._x000D_
_x000D_
</t>
  </si>
  <si>
    <t>Programmers are rapidly adopting expressive, higher-order functional and object-oriented programming languages for their everyday development tasks. Unfortunately, compared to their first-order counterparts, these language thwart traditional approach to compile-time verification and automated reasoning. Consequently, verification is not being integrated in the everyday lives of programmers and the quality and reliability of software suffers because of it. This represents a tremendous missed opportunity considering the rapid advancement of automated verification techniques that has occurred in recent years for first-order languages. We aim to provide foundational theories, pragmatic tools, and a pedagogical framework for closing the expressivity gap, enabling pathways to verified programming within these modern languages.We propose to investigate the theory and practice of gradual verification techniques for mitigating the expres- sivity disconnect between expressive higher-order programming languages and powerful first-order verifi- cation tools, thereby supporting principled software development practices that integrate verification at each step and removing the impediments to fortified programming. To conduct this research, we plan to:_x000D_
_x000D_
1. develop a foundation theory of gradual verification based on higher-order symbolic execution and abstract interpretation;_x000D_
_x000D_
2. build systems ground in this theory that realize useful tools for programmers who are not verification experts;_x000D_
_x000D_
3. conduct an evaluation of our approach on datasets of existing and newly collected sets of programs;_x000D_
_x000D_
4. and develop an accompanying pedagogical approach to teaching verification to novice programmers.Achieving the PI's vision will change how programmer approach software development and evolution. The proposed work includes three major avenues for broad impact: education, diversity, and technology trans- fer. The pedagogical initiatives have the potential to influence a generation of computer scientists educated at the University of Maryland and throughout the world by leveraging existing, widely used pedagogical frameworks and tools. Through this pedagogical approach and following BRAID beacon institutions, the proposed work will positively affect the recruitment and retention of women and under-represented minorities in computer science. Finally, due to the widespread adoption of these expressive languages and with them, their inherent technical challenges, the proposed research addresses and anticipates problems for major software development efforts currently underway at Microsoft, Google, Facebook, and others._x000D_
By making verification easier to use in a gradual way, the PI anticipates that industrial software developers will be more likely to make use of these techniques, bringing the known benefits of static verification, program understanding, tool support, and performance to more programmers. Overall, this will have a positive impact on the quality and reliability of software on which society relies.</t>
  </si>
  <si>
    <t xml:space="preserve"> Panel Summary       
 SUMMARY OF PROPOSED RESEARCH ACTIVITY_x000D_
_x000D_
This project would develop a Petri-net-based programming model for event-driven network programs, several analysis and synthesis algorithms for network programs expressed in this model, and a compiler to translate these network programs to P4, an open-source programming language for network switches.  Simulated networks and real networks would be used in evaluation._x000D_
_x000D_
INTELLECTUAL MERIT_x000D_
_x000D_
+ The Petri-net-based model would facilitate analysis and verification of network programs._x000D_
_x000D_
+ Learning network programs from traces is an interesting idea._x000D_
_x000D_
- Verification algorithms for Petri nets do not scale well.  The proposal does not address scalability, beyond a brief comment that Petri nets for network programs are expected to be small._x000D_
_x000D_
- Reasoning about network topology is an important aspect of many network programming problems.  It is unclear how this reasoning is represented in the proposed framework._x000D_
_x000D_
BROADER IMPACTS _x000D_
_x000D_
- Limitations of expressiveness of the model and scalability of the analysis algorithms may limit the impact on the practice of network programming._x000D_
_x000D_
+ The PI would develop a new graduate course on verification and synthesis of systems, with focus on device drivers and network programs._x000D_
_x000D_
+ The PI would develop a workshop on Computational Thinking and Concurrency to encourage interest of high-school students in Computer Science._x000D_
_x000D_
CAREER SOLICITATION-SPECIFIC REMARKS_x000D_
_x000D_
The proposed graduate course would incorporate some of the proposed research.  The content of the proposed workshop on Computational Thinking and Concurrency is loosely related to the proposed research._x000D_
_x000D_
SUMMARY STATEMENT_x000D_
_x000D_
The panel felt that the proposal contains some interesting ideas but does not present convincing arguments that the proposed programming model would significantly improve the practice of network programming._x000D_
The panel recommends that the PI address the above concerns about expressiveness, scalability, and network topology._x000D_
_x000D_
The recommendation of the panel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</si>
  <si>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_x000D_
Pro: _x000D_
_x000D_
- The proposal conveys deep familiarity with past and current work in formal methods. Solid publications in those venues are likely._x000D_
_x000D_
- Programming networks is steadily gaining relevance, e.g. for datacenters._x000D_
_x000D_
Contra:_x000D_
_x000D_
- Besides using Petri nets, it was not quite clear to me how the proposed work goes significantly beyond prior work on SDN, network programming languages, and synthesis._x000D_
_x000D_
- Besides advancing knowledge in general, through publications, the proposal is not very clear about how progress towards the overarching goal ("transform the way programmers develop, reason about, implement, and deploy event-driven network programs") would be concretely achieved and evaluated. The proposal mentions a "compiler and runtime system", but is very vague about the details._x000D_
_x000D_
_x000D_
In the context of the five review elements, please _x000D_
evaluate the strengths and weaknesses of the proposal with respect to broader impacts._x000D_
_x000D_
_x000D_
Pro:_x000D_
_x000D_
- Formal methods can be a valuable teaching tool, especially in areas involving complications concurrency and faults._x000D_
_x000D_
- Building collaborations between formal methods and systems researchers seems like a promising idea_x000D_
_x000D_
_x000D_
Contra:_x000D_
_x000D_
- Most of the background of the PI seems strongly rooted in formal methods, with little prior experience with systems research. _x000D_
_x000D_
- The education plan seems not very strongly connected to the core research goal._x000D_
_x000D_
- The practical impact seems a quite indirect: the immediate results will be knowledge, to enable tools in the future, which could eventually help programmers._x000D_
_x000D_
_x000D_
_x000D_
Please evaluate the strengths and _x000D_
weaknesses of the proposal with respect to any additional solicitation-specific review criteria, if _x000D_
applicable_x000D_
_x000D_
_x000D_
_x000D_
Summary Statement_x000D_
_x000D_
_x000D_
Overall, the proposed research sounds solid from a formal-methods perspective. However, the link to systems-level network programming is a bit tenuous, and there are not a lot of references to systems conference publications. Finally, the execution plan is a bit vague about concretely measurable achievements._x000D_
_x000D_
_x000D_
_x000D_
_x000D_
</t>
  </si>
  <si>
    <t xml:space="preserve">In the context of the five review elements, please _x000D_
evaluate the strengths and weaknesses of the proposal with respect to intellectual merit._x000D_
_x000D_
_x000D_
The proposal will develop new foundations for programming_x000D_
Software Defined Networks (SDN), specifically, new petri-net_x000D_
models (called "control nets") for the semantics of the event_x000D_
driven SDN programs, and new algorithms for verifying that_x000D_
SDN programs meet qualitative and quantitative requirements,_x000D_
and new algorithms for synthesizing low-level SDN programs_x000D_
that meet important consistency requirements from high-level_x000D_
specifications._x000D_
_x000D_
_x000D_
In the context of the five review elements, please _x000D_
evaluate the strengths and weaknesses of the proposal with respect to broader impacts._x000D_
_x000D_
_x000D_
The PI will incorporate the results in new graduate level  classes on_x000D_
Verification and Synthesis.  In addition, the PI will develop and teach_x000D_
high-school classes on concurrency and computational thinking; these will be_x000D_
incorporated in annual workshops (for high-school students) to be held as part_x000D_
of the host universities CS Education week. The materials will be connected to_x000D_
the research plan as they will comprise lectures, puzzle-solving and programming_x000D_
competitions, devoted to writing concurrent games and apps, and the outcomes_x000D_
will be evaluated using  rubrics developed with university experts (CUSD)._x000D_
_x000D_
_x000D_
Please evaluate the strengths and _x000D_
weaknesses of the proposal with respect to any additional solicitation-specific review criteria, if _x000D_
applicable_x000D_
_x000D_
_x000D_
_x000D_
Summary Statement_x000D_
_x000D_
_x000D_
The proposal aims to develop "control nets" a variant of petri_x000D_
nets as a new foundation for writing event driven SDN programs_x000D_
(controllers)._x000D_
_x000D_
The PI will develop a rigorous semantics for such programs,_x000D_
new algorithms for checking qualitative and quantitative properties_x000D_
of SDN programs against control net specifications, and new algorithms_x000D_
for synthesizing programs from such specifications. Furthermore,_x000D_
the PI will adapt, to the control net setting, existing methods_x000D_
for enforcing consistent update as the network transitions_x000D_
from one control mode to another to react to some external event._x000D_
_x000D_
I did not find "control nets" to be extremely persuasive_x000D_
for two reasons. (a) As described here, they are simply_x000D_
state machines with the usual product composition. Such_x000D_
machines have long been used to specify correctness properties._x000D_
I don't see how their structure can be used_x000D_
to simplify the difficult problems of *verification* or_x000D_
*synthesis*, especially because (b) the real challenge_x000D_
with SDNs is *network topology*. (Put another way, I could_x000D_
not appreciate why control nets would be different/better_x000D_
than any other specification mechanism like LTL or CTL_x000D_
or domain specific approaches like NetKAT.)_x000D_
_x000D_
While the proposal has interesting ideas and tackles an important_x000D_
domain but would be must stronger with some preliminary work that_x000D_
demonstrated that control nets simplified the verification or_x000D_
synthesis of some real application, or made it possible to_x000D_
extract/synthesize specifications from legacy network (traces)._x000D_
_x000D_
## Pros  _x000D_
_x000D_
+ SDNs are an important new application domain that will be critical_x000D_
for the large computing infrastructure of the future._x000D_
_x000D_
+ The PI has a good track record in this space._x000D_
_x000D_
+ Synthesizing control net models (specifications) from_x000D_
legacy networks, using L* etc. sounds like a very promising_x000D_
and plausible, high-impact idea._x000D_
_x000D_
+ It would be interesting to explore how timed automata could   _x000D_
be used to reason about quantitative properties of SDNs._x000D_
_x000D_
## Cons_x000D_
_x000D_
- The "control net" formalism on which the proposal is based,_x000D_
does not appear to at all model network topology, which is_x000D_
a crucial feature for verification and synthesis, especially_x000D_
for the quantitative properties._x000D_
_x000D_
I found it odd that the issue of "surface syntax" has been_x000D_
considered out of scope (and yet, there are discussions of_x000D_
building IDEs and evaluating  incremental verification.)_x000D_
How will the IDEs be evaluated without a concrete_x000D_
language to write the SDN programs in?_x000D_
Is the idea that programmers write control net programs?_x000D_
Again, I am puzzled as to how this will be possible as there_x000D_
is no way to model network topology in the control nets._x000D_
_x000D_
Similarly, I found the lines:_x000D_
_x000D_
"we require the programmer to specify where an event_x000D_
should be detected and where each part of the distributed_x000D_
state should be placed."_x000D_
_x000D_
But that is *exactly* what makes distributed / SDN programs_x000D_
difficult to write, leaving me puzzled by what exactly is_x000D_
being achieved by the control net formalism._x000D_
_x000D_
- Unlike the PIs assertion that checking SDN programs_x000D_
is easier than general software as  _x000D_
_x000D_
"do not need complex features of programming languages,_x000D_
such as pointers and heap, that make it difficult to_x000D_
build general-purpose synthesizers"_x000D_
_x000D_
the real reason why automated verification (and synthesis)_x000D_
are challenging and limited to fixed sized networks_x000D_
(as opposed to "parametric" descriptions),_x000D_
as in Anteater, Header-Space Analysis etc._x000D_
Is the difficulty of modelling network topology,_x000D_
i.e. the port-forwarding structure which, unlike software,_x000D_
is an arbitrary graph that may constantly be changing it "shape"_x000D_
(as opposed to a nice tree-like structure that gets updated in_x000D_
well defined ways.)_x000D_
_x000D_
- Many of the topics discussed here, e.g. handling the transition_x000D_
between network configurations, have been addressed in previous_x000D_
work e.g. [69] ("Abstractions for Consistent Network Updates")_x000D_
The proposal argues that the literature is restricted to_x000D_
consistency for a single packet (and also a single flow) but does_x000D_
not make a compelling argument about how they will do better_x000D_
(beyond appealing to other forms of consistency.)_x000D_
When is per-packet or per-flow consistency not enough?_x000D_
What challenges are involved in bringing those ideas_x000D_
to the "control net" setting?_x000D_
_x000D_
- How are the requirements for event-driven SDN different from_x000D_
other distributed settings (e.g. sensor networks, general_x000D_
consensus algorithms etc.) which also have asynchrony_x000D_
(delays, drops), failures and so on? There have been any number_x000D_
of proposals for macro-programming networks (program a high-level_x000D_
network-level description, synthesize per-node implementations)_x000D_
that did not succeed. What unique insight does the PI have for_x000D_
why SDNs are easier or different?_x000D_
_x000D_
</t>
  </si>
  <si>
    <t xml:space="preserve">In the context of the five review elements, please _x000D_
evaluate the strengths and weaknesses of the proposal with respect to intellectual merit._x000D_
_x000D_
STRENGTHS_x000D_
_x000D_
The project would develop a Petri-net-based programming model for event-driven network programs, a compiler to implement the model on network switches, qualitative analysis and synthesis algorithms, and quantitative analysis and synthesis techniques._x000D_
_x000D_
Evaluation would be done through experiments with a simulated network, a small network set up by the PI, and a larger testing network made available to the PI by Barefoot Networks._x000D_
_x000D_
The PI has published some preliminary work on this topic [55]._x000D_
_x000D_
WEAKNESSES_x000D_
_x000D_
The proposal does not discuss the typical size and complexity of network programs that it expects to be able to handle for analysis, verification, and synthesis, and how this compares with the size and complexity of network programs in practical settings.  Scalability is mentioned briefly in the last sentence of Section 1 but merits more discussion._x000D_
_x000D_
How expressive are finite nets and (finite) parametric nets in this context?  Among the kinds of network programs mentioned as motivation in Section 1, which can be expressed using them?  This seems like an especially important question, since the proposed extension to incorporate NetKAT transformations in the model is uncertain._x000D_
_x000D_
The proposed approach requires the programmer to specify where an event should be detected and where each part of the distributed state should be placed._x000D_
_x000D_
The discussion of implementing the programming model by compilation to P4 does not convey the technical challenges involved, given that existing consistency techniques will be used.  It mentions that the approach will "find the consistency level we can achieve", but does not elaborate on what the consistency levels are, or how the compiler determines which levels are achievable for a given control net.  Does compilation involve solving an optimization problem to maximize efficiency of the generated program, e.g., to minimize the number of messages?_x000D_
_x000D_
The description of the proposed work on synthesis is vague.  What kinds of events are in the traces?  What kinds of nets would the proposed learning algorithm be able to learn?  Would it learn conditions like tp &gt; 500 in the earlier example?  Would it learn parametric nets?  Would it learn consistency requirements, or would it need to be given those requirements?_x000D_
_x000D_
The example of a latency-related problem in Section 3.3 is failure propagation due to low timeouts.  It seems more like a throughput problem than a latency problem to me: if the rate of incoming packets is (continually) too high, the switch will drop packets, causing timeouts._x000D_
_x000D_
In the context of the five review elements, please _x000D_
evaluate the strengths and weaknesses of the proposal with respect to broader impacts._x000D_
_x000D_
STRENGTHS_x000D_
_x000D_
The project would develop a workshop on Computational Thinking and Concurrency for high school students.  The proposal contains a relatively detailed plan for this workshop.  _x000D_
_x000D_
The project would also develop a new graduate course on verification and synthesis of systems._x000D_
_x000D_
The project would help support the PI's mentoring of undergraduate students.  The PI already has an impressive track record in mentoring undergraduate students and getting them involved in research._x000D_
_x000D_
WEAKNESSES_x000D_
_x000D_
The scope of applicability of the proposed techniques to real-world network programs is not completely clear.  More discussion of the expressiveness of the programming model, the capabilities of the proposed synthesis algorithms, and the scalability of the proposed verification and synthesis algorithms would help._x000D_
_x000D_
Please evaluate the strengths and _x000D_
weaknesses of the proposal with respect to any additional solicitation-specific review criteria, if _x000D_
applicable_x000D_
_x000D_
_x000D_
_x000D_
Summary Statement_x000D_
_x000D_
Programming of network devices is currently quite difficult.  The project, if successful, would contribute to an approach and tools that reduce the burden of developing network programs._x000D_
_x000D_
</t>
  </si>
  <si>
    <t xml:space="preserve">In the context of the five review elements, please _x000D_
evaluate the strengths and weaknesses of the proposal with respect to intellectual merit._x000D_
_x000D_
The goal of this project is the development of a formal-methods-based framework for the development event-driven network programs. The project will develop foundations for event-driven network programming: (1) a programming model, (2) qualitative analysis and synthesis algorithms, and (3) quantitative analysis and synthesis techniques. The motivation of the project is compelling, and the research is well outlined. The proposed framework will be based on Petri nets._x000D_
_x000D_
The proposal mentions an objection that Petri net analysis are not scalable. The response is that the control nets for typical_x000D_
network services are expected not to be large. This response is not to compelling. In model-checking research, scalability is a huge issue, in view of the "state-explosion problem". It is surprising to see in this proposal no mention of the issue of scalability._x000D_
_x000D_
In the context of the five review elements, please _x000D_
evaluate the strengths and weaknesses of the proposal with respect to broader impacts._x000D_
_x000D_
Very wisely, the proposal is not trying to connect its research thrust to its outreach thrust, which would be very difficult. Instead, the outreach is focused on taking computational-thinking concepts to high-school students. The weakness of the outreach plan is that it is not clear what problem it is trying to solve. I'd suggest to the PI to formulate a societal challenge that he'd like to address, e.g., under-representation of women in computing._x000D_
_x000D_
Please evaluate the strengths and _x000D_
weaknesses of the proposal with respect to any additional solicitation-specific review criteria, if _x000D_
applicable_x000D_
_x000D_
_x000D_
_x000D_
Summary Statement_x000D_
_x000D_
This is a very well motivated proposal on developing a formal framework for event-driven network programming, accompanied by an outreach plan focused on computational thinking. The research need to pay more attention to the scalability issue, and the outreach plan should try to solve a concrete problem._x000D_
_x000D_
</t>
  </si>
  <si>
    <t>The overarching research goal of the proposed work is to transform the  way programmers develop, reason about, implement, and deploy event-driven network programs. In today's world, where every device is  online and where computation and storage are moving to data centers, network programming is becoming crucial. At the same time, the field of network programming is evolving rapidly, and the right way of programming dynamic network applications that react to events has not been established yet. Now is the right time to develop foundations for event-driven network programs. Event-driven network programs change the global state of the network in response to events. Many of the network services are stateful, both standard services such as distributed stateful firewall and intrusion detection, and the novel highly programmable services, such as isolation of data center tenants, and adaptive bandwidth allocation. The developers of such applications currently have to maintain the global distributed state manually, which is a difficult and error-prone process. Our programming model will enable tools (compiler, runtime system, verifiers and synthesizers) that shield the developers from these difficulties. This project will thus help network programmers to be more productive in developing reliable and efficient programs. _x000D_
_x000D_
There are two education goals of the proposal. The first goal is to encourage interest of high-school students in Computer Science, and STEM fields in general. Towards this goal, the PI will develop a series of workshops for high-school students on Computational Thinking  and Concurrency. Computational thinking is a way of solving problems based on fundamental concepts of computer science. Concurrency is one such concept. It is applicable in many real-life non-technology-related scenarios. It is also at the heart of the research project proposed here. The second education goal is to increase appreciation of formal methods (programming languages and verification) by beginning graduate students. The driving concept for this goal is that  formal methods can help improve performance of programs, in addition to their correctness. While this idea is well-known to specialists, it may be eye-opening to beginning graduate students, and will transform the way that they think about formal methods.We will develop foundations for event-driven network programs: (1) programming model, (2) qualitative analysis and synthesis algorithms, and  (3) quantitative analysis and synthesis techniques. We consider the requirements of a program model for network applications, and then propose a model based on Petri nets. We use foundational results in distributed systems to study what consistency levels can be achieved while maintaining full availability. Building on Petri nets allows us to inherit properties such as compositionality, as well as a number of results and analysis algorithms. For qualitative verification we will extend the classical Petri net verification algorithm based on complete unfolding prefixes to control nets with CEGAR (counterexample-guided abstraction refinement). For quantitative verification, we will investigate decidability of new classes of timed systems that are relevant to network programming. Summarizing, we will  build on and extend foundational results in distributed systems and in formal methods in order to obtain solid foundations for event-driven network programs.The proposed research will have direct impact on society, which relies on critical networked systems. First, it will allow programmers to develop more reliable network programs. Second, it will enable developing compilers that ensure that network programs are run more efficiently. Third, it will enable the network programmers to be more productive. Furthermore, the project will foster development of a community of researchers in the interdisciplinary area in the intersection of programming languages, verification, and systems. The broader impact of the educational efforts will attract talented students to STEM fields in general and to Computer Science in particular.</t>
  </si>
  <si>
    <t>Sheng</t>
  </si>
  <si>
    <t>CAREER: Making Type Error Debugging Work</t>
  </si>
  <si>
    <t>Loris</t>
  </si>
  <si>
    <t>CAREER: Program Synthesis with Quantitative Guarantees</t>
  </si>
  <si>
    <t>Zachary</t>
  </si>
  <si>
    <t>CAREER: Verifying Distributed System Implementations</t>
  </si>
  <si>
    <t>CAREER: A Programming Language for Developing Software to Execute Reliably on Unreliable Hardware</t>
  </si>
  <si>
    <t>Colin</t>
  </si>
  <si>
    <t>CAREER:Verifying OS Kernels with Modal Abstractions of Systems Concepts</t>
  </si>
  <si>
    <t>CAREER: Interactive Programming and the POSIX Shell</t>
  </si>
  <si>
    <t>Lukasz</t>
  </si>
  <si>
    <t>CAREER: Enabling Adaptable, Object Oriented, Real-time Systems</t>
  </si>
  <si>
    <t>David</t>
  </si>
  <si>
    <t>CAREER: Gradual Verification for Expressive Languages</t>
  </si>
  <si>
    <t>Sam</t>
  </si>
  <si>
    <t>CAREER: Gradually Strengthening Software Assurance</t>
  </si>
  <si>
    <t>Geoffrey</t>
  </si>
  <si>
    <t>CAREER: Domain-Specific Languages for Heterogeneous Systems</t>
  </si>
  <si>
    <t>Arjun</t>
  </si>
  <si>
    <t>CAREER: Programming in the Post-PC Era</t>
  </si>
  <si>
    <t>Harley</t>
  </si>
  <si>
    <t>CAREER: Tenli: A Platform that Takes the Verification of Resource Dependent Systems Seriously</t>
  </si>
  <si>
    <t>Danfeng</t>
  </si>
  <si>
    <t>CAREER: Dependently Typed Low-Level Code for Timing-Sensitive Information Flow Security</t>
  </si>
  <si>
    <t>CAREER: Flexible Dynamic Sharing Analysis: From Specialization to Specification</t>
  </si>
  <si>
    <t>Raffi</t>
  </si>
  <si>
    <t>CAREER: Analyses and Transformations for Imperative Programs with Functional Features</t>
  </si>
  <si>
    <t>Pavol</t>
  </si>
  <si>
    <t>CAREER: Event-driven network programming</t>
  </si>
  <si>
    <t xml:space="preserve">Germany; Spain; Sweden     </t>
  </si>
  <si>
    <t>269907951</t>
  </si>
  <si>
    <t>269949912</t>
  </si>
  <si>
    <t>0032565000</t>
  </si>
  <si>
    <t>269938225</t>
  </si>
  <si>
    <t>269967120</t>
  </si>
  <si>
    <t>0022210000</t>
  </si>
  <si>
    <t>269912141</t>
  </si>
  <si>
    <t>0015792001</t>
  </si>
  <si>
    <t>269960019</t>
  </si>
  <si>
    <t xml:space="preserve">France; Spain; United Kingdom     </t>
  </si>
  <si>
    <t>0033290000</t>
  </si>
  <si>
    <t>269963396</t>
  </si>
  <si>
    <t>0011734000</t>
  </si>
  <si>
    <t>269997170</t>
  </si>
  <si>
    <t>0022244000</t>
  </si>
  <si>
    <t>269979938</t>
  </si>
  <si>
    <t>0018093000</t>
  </si>
  <si>
    <t>IN</t>
  </si>
  <si>
    <t>269895771</t>
  </si>
  <si>
    <t xml:space="preserve">1045 9150     </t>
  </si>
  <si>
    <t>0020313000</t>
  </si>
  <si>
    <t>269965193</t>
  </si>
  <si>
    <t>269962588</t>
  </si>
  <si>
    <t>269975977</t>
  </si>
  <si>
    <t xml:space="preserve">United Kingdom; Worldwide      </t>
  </si>
  <si>
    <t>0026898000</t>
  </si>
  <si>
    <t>269961722</t>
  </si>
  <si>
    <t>0021030000</t>
  </si>
  <si>
    <t>269868325</t>
  </si>
  <si>
    <t>0013706000</t>
  </si>
  <si>
    <t>269913886</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</si>
  <si>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</si>
  <si>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</si>
  <si>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</si>
  <si>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</si>
  <si>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</si>
  <si>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</si>
  <si>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</si>
  <si>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</si>
  <si>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</si>
  <si>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</si>
  <si>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</si>
  <si>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</si>
  <si>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</si>
  <si>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</si>
  <si>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</si>
  <si>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</si>
  <si>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</si>
  <si>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</si>
  <si>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</si>
  <si>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</si>
  <si>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</si>
  <si>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</si>
  <si>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</si>
  <si>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</si>
  <si>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</si>
  <si>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</si>
  <si>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</si>
  <si>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</si>
  <si>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</si>
  <si>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</si>
  <si>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r>
      <t xml:space="preserve">Signature block: </t>
    </r>
    <r>
      <rPr>
        <sz val="10"/>
        <color theme="5" tint="-0.499984740745262"/>
        <rFont val="Calibri"/>
        <family val="2"/>
        <scheme val="minor"/>
      </rPr>
      <t>Use PD for managing program director.</t>
    </r>
  </si>
  <si>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</si>
  <si>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</si>
  <si>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</si>
  <si>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</si>
  <si>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</si>
  <si>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</si>
  <si>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</si>
  <si>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</si>
  <si>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</si>
  <si>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</si>
  <si>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</si>
  <si>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</si>
  <si>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</si>
  <si>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 xml:space="preserve">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</si>
  <si>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RA_leads</t>
  </si>
  <si>
    <t xml:space="preserve">INSERT INTO #myPid _x000D_
SELECT DISTINCT CASE WHEN p.lead_prop_id IS NULL THEN 'I' WHEN p.lead_prop_id &lt;&gt; p.prop_id THEN 'N' ELSE 'L' END AS ILN,_x000D_
isnull(p.lead_prop_id,p.prop_id) AS lead, p.prop_id, p.pi_id, p.inst_id_x000D_
FROM #myPid pid_x000D_
JOIN csd.prop p ON p.lead_prop_id = pid.lead_x000D_
WHERE pid.ILN &lt; 'M' AND NOT EXISTS (SELECT * FROM #myPid px WHERE px.prop_id = p.prop_id)_x000D_
_x000D_
-- project leads_x000D_
SELECT p.ILN, p.lead_x000D_
INTO #myLead_x000D_
FROM #myPid p_x000D_
WHERE p.ILN &lt; 'M' _x000D_
CREATE INDEX myLead_idx ON #myLead(lead)_x000D_
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</si>
  <si>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RA_propPRCs</t>
  </si>
  <si>
    <t xml:space="preserve">SELECT prc.*, id=identity(18), 0 as seq_x000D_
INTO #myPRCdata_x000D_
FROM (SELECT DISTINCT p.prop_id, pa.prop_atr_code_x000D_
    FROM #myPid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</si>
  <si>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RA_prop</t>
  </si>
  <si>
    <t xml:space="preserve">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#myPropBudg_x000D_
FROM #myPid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_x000D_
-- per-proposal data _x000D_
SELECT pid.lead, pid.ILN, pid.prop_id,_x000D_
pi_last_name as L, pi_frst_name as F, inst_shrt_name as I, pi_emai_addr AS M, rqst_dol as D, _x000D_
prc.R, b.T, b.RN, inst.st_code,_x000D_
id=identity(18), 0 as seq _x000D_
INTO #myProp_x000D_
FROM #myPid pid_x000D_
JOIN csd.prop p ON p.prop_id = pid.prop_id_x000D_
LEFT JOIN csd.pi_vw pi ON pi.pi_id = p.pi_id_x000D_
LEFT JOIN csd.inst inst ON inst.inst_id = p.inst_id_x000D_
LEFT JOIN #myPRCs prc ON prc.prop_id = pid.prop_id_x000D_
LEFT JOIN #myPropBudg b ON b.prop_id = p.prop_id_x000D_
WHERE pi.prim_addr_flag='Y'_x000D_
ORDER BY lead, ILN, pid.prop_id_x000D_
CREATE INDEX myProp_idx ON #myProp(prop_id)_x000D_
SELECT lead, MIN(id) as start INTO #myPropStart FROM #myProp GROUP BY lead_x000D_
UPDATE #myProp SET seq = id-M.start FROM #myProp r, #myPropStart M WHERE r.lead = M.lead_x000D_
DROP TABLE #myPropStart_x000D_
CREATE INDEX myProp_ix ON #myProp(lead)_x000D_
</t>
  </si>
  <si>
    <t>RA_revs</t>
  </si>
  <si>
    <t xml:space="preserve">declare @adhoc char(7), @olddate datetime_x000D_
SELECT @adhoc = '.ad hoc ',  @olddate = '1/1/2000' -- for formatting dates_x000D_
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#myRevs_x000D_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_x000D_
SELECT lead, MIN(id) as 'start' INTO #myStarts FROM #myRevs GROUP BY lead_x000D_
UPDATE #myRevs SET seq = id-M.start FROM #myRevs r, #myStarts M WHERE r.lead = M.lead _x000D_
DROP TABLE #myStarts_x000D_
_x000D_
SELECT lead,  _x000D_
nullif(sum(unrlsbl),0) as Nunrlsbl,nullif(sum(rlsdCDNPS),0) as NrlsdCDNPS, _x000D_
nullif(sum(pendSlct),0) as NpendSlct, nullif(sum(diffFLeJ),0) as NdiffFLeJ _x000D_
INTO #myRevMarks_x000D_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#myRevSumm_x000D_
FROM #myRevs r_x000D_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#myRevPanl_x000D_
FROM #myRevs r_x000D_
WHERE confl = 0_x000D_
GROUP BY lead, panl_id_x000D_
CREATE INDEX myRevPanl_ix ON #myRevPanl(lead, panl_id)_x000D_
</t>
  </si>
  <si>
    <t>RA_panl</t>
  </si>
  <si>
    <t xml:space="preserve">SELECT pn.panl_id AS I, panl_name AS PN, panl_end_date AS E, _x000D_
  (SELECT COUNT(DISTINCT revr_id) FROM csd.panl_revr r WHERE r.panl_id = pn.panl_id) AS P,_x000D_
  convert(varchar(126),NULL) AS S_x000D_
INTO #myPanl_x000D_
FROM (SELECT DISTINCT panl_id FROM #myLead pid_x000D_
      JOIN csd.panl_prop pp ON pp.prop_id = pid.lead) pn_x000D_
JOIN csd.panl panl ON panl.panl_id = pn.panl_id_x000D_
CREATE INDEX myPanl_ix ON #myPanl(I)_x000D_
_x000D_
SELECT pp.panl_id, s.RCOM_SEQ_NUM, RCOM_ABBR, Count(s.PROP_ID) AS rtCount_x000D_
INTO #myPanlOutcomes_x000D_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pl_x000D_
DROP TABLE #myPanlOutcomes_x000D_
_x000D_
--per project panel summary DROP TABLE #myProjPanl_x000D_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#myProjPanl_x000D_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_x000D_
SELECT lead, MIN(id) as start INTO #myPStarts FROM #myProjPanl GROUP BY lead_x000D_
UPDATE #myProjPanl SET seq = id-M.start FROM #myProjPanl r, #myPStarts M  WHERE r.lead = M.lead_x000D_
DROP TABLE #myPStarts_x000D_
_x000D_
SELECT lead, count(I) AS nPanl, min(RS)+isnull(min(RK),0)/100.0 AS RecRkMin, nullif(sum(summ_unrls),0) as nPSunrls, _x000D_
    nullif(sum(summ_unmrkd),0) as nPSunmrkd _x000D_
INTO #myPropPanlSum_x000D_
FROM #myProjPanl GROUP BY lead_x000D_
</t>
  </si>
  <si>
    <t>RA_allRAdata</t>
  </si>
  <si>
    <t xml:space="preserve">SELECT getdate() AS pulldate, nsf_rcvd_date, _x000D_
nullif(dd_rcom_date,'1900-01-01') AS dd_rcom_date, ra.RAupdate, _x000D_
cntx_stmt_id, prop.pgm_annc_id, prop.org_code, prop.pgm_ele_code,_x000D_
prop.pm_ibm_logn_id as PO,_x000D_
prop_stts_abbr,natr_rqst.natr_rqst_abbr,prop.obj_clas_code,_x000D_
org.dir_div_abbr as Div, _x000D_
nPanl, isnull(RecRkMin,99) AS RecRkMin, pn0.RA as rec0, pn1.RA as rec1, pn2.RA as rec2, _x000D_
rs.*, -- lead, Nrev, Nunmkd, min, avg, max scores, allReviews, last_rev_date _x000D_
rm.Nunrlsbl, projTot.rqst_tot,budg_tot,budRevnMax,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rs.lead = p.lead_x000D_
LEFT JOIN csd.po_vw po_vw ON po_vw.po_ibm_logn_id = prop.pm_ibm_logn_id_x000D_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 mp WHERE mp.seq = 0) p0 ON p0.lead = p.lead_x000D_
LEFT JOIN (SELECT * FROM #myProp mp WHERE mp.seq = 1) p1 ON p1.lead = p.lead_x000D_
LEFT JOIN (SELECT * FROM #myProp mp WHERE mp.seq = 2) p2 ON p2.lead = p.lead_x000D_
LEFT JOIN (SELECT * FROM #myProp mp WHERE mp.seq = 3) p3 ON p3.lead = p.lead_x000D_
LEFT JOIN (SELECT * FROM #myProp mp WHERE mp.seq = 4) p4 ON p4.lead = p.lead_x000D_
LEFT JOIN (SELECT * FROM #myProp mp WHERE mp.seq = 5) p5 ON p5.lead = p.lead_x000D_
LEFT JOIN (SELECT * FROM #myProp mp WHERE mp.seq = 6) p6 ON p6.lead = p.lead_x000D_
LEFT JOIN (SELECT lead, SUM(D) AS rqst_tot, SUM(T) AS budg_tot, MAX(RN) AS budRevnMax_x000D_
           FROM #myProp GROUP BY lead) projTot ON projTot.lead = p.lead_x000D_
_x000D_
UNION ALL SELECT @olddate,@olddate,@olddate,@olddate -- example to set mail merge format.  _x000D_
,'cntxt stmt','NSF 00-000','12345678','1234','12345678','1234','12345','1234','1234'_x000D_
,0,-0.99999999,'NRFP','NRFP','NRFP','1234567',0,0,1,4.5,9,'E,E/V,V,V/G,G,G/F,F,F/P,P',@olddate,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retrieved','PO signature name string','Proposal status details','Nature of request full name','Object Class full name','DIR'_x000D_
,'Directorate name retrieved by modified org_code from org. This example is for formatting; please do not remove this line............'_x000D_
,'Email of lead PI on the project','list of all emails for Pis on Lead and non-lead proposals on the project.  Does not include the co-Pis. '_x000D_
</t>
  </si>
  <si>
    <t>RA_PRCglossary</t>
  </si>
  <si>
    <t xml:space="preserve">SELECT p.prop_atr_code AS PRC, prc.pgm_ref_txt AS PRC_Description_x000D_
FROM (SELECT DISTINCT prop_atr_code FROM #myPRCdata) p_x000D_
JOIN csd.pgm_ref prc ON prc.pgm_ref_code = p.prop_atr_code_x000D_
ORDER BY PRC_x000D_
</t>
  </si>
  <si>
    <t>RA_budgInfo</t>
  </si>
  <si>
    <t xml:space="preserve">SELECT prop_id,R,id=identity(18), 0 as 'seq'_x000D_
INTO #myBudgPRCs _x000D_
FROM (SELECT DISTINCT p.prop_id,bpr.pgm_ref_code AS R_x000D_
      FROM #myPid p_x000D_
      JOIN csd.budg_pgm_ref bpr ON bpr.prop_id = p.prop_id) bpr_x000D_
ORDER BY prop_id,R_x000D_
SELECT prop_id,MIN(id) as 'start'_x000D_
INTO #mySt2 _x000D_
FROM #myBudgPRCs _x000D_
GROUP BY prop_id_x000D_
UPDATE #myBudgPRCs set seq = id-M.start FROM #myBudgPRCs rb, #mySt2 M_x000D_
WHERE rb.prop_id = M.prop_id _x000D_
CREATE INDEX myBudgPRCs ON #myBudgPRCs(prop_id, seq)_x000D_
drop table #mySt2_x000D_
_x000D_
SELECT p.prop_id,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#myBudgPRCs bp WHERE bp.prop_id = p.prop_id) AS bPRCs_x000D_
FROM #myPid p_x000D_
order by p.prop_id_x000D_
</t>
  </si>
  <si>
    <t>RA_awdCheck</t>
  </si>
  <si>
    <t xml:space="preserve">SELECT p.prop_id, ctry.ctry_name, id=identity(18), 0 as 'seq' INTO #myCtry_x000D_
FROM #myPid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p.prop_id,_x000D_
OTH_AGCY_SUBM_FLAG,_x000D_
CASE WHEN PC.HUM_DATE is not NULL THEN convert(varchar(10),PC.HUM_DATE,1) WHEN PC.humn_date_pend_flag='Y' THEN 'Pend' END AS humn_date,_x000D_
CASE WHEN PC.VERT_DATE is not NULL THEN convert(varchar(10),PC.VERT_DATE,1) WHEN PC.vrtb_date_pend_flag='Y' THEN 'Pend' END AS vrtb_date_x000D_
INTO #myCovrInfo_x000D_
FROM #myPid p_x000D_
JOIN csd.prop_subm_ctl_vw psc ON psc.prop_id = p.prop_id_x000D_
JOIN FLflpdb.flp.PROP_COVR PC ON PC.TEMP_PROP_ID = psc.TEMP_PROP_ID_x000D_
CREATE INDEX myCovrInfo_ix ON #myCovrInfo(prop_id)_x000D_
_x000D_
-- checking those recommended for award_x000D_
SELECT nsf_rcvd_date, prop_stts_txt, nullif(dd_rcom_date,'1900-01-01') AS dd_rcom_date, ra.RAupdate, _x000D_
cntx_stmt_id, prop.pgm_annc_id, prop.org_code, prop.pgm_ele_code,_x000D_
prop.pm_ibm_logn_id as PO, prop_stts_abbr,natr_rqst.natr_rqst_abbr,prop.obj_clas_code,ai.awd_istr_abbr as rcom_istr_abbr,_x000D_
org.dir_div_abbr as Div, p.lead, p.ILN, p.prop_id,_x000D_
p.L AS pi_last_name, p.F AS pi_frst_name, p.I AS inst, p.st_code, p.M as email, 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#myBudgPRCs bp WHERE bp.prop_id = p.prop_id) AS bPRCs,_x000D_
c.humn_date, c.vrtb_date,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prop.rqst_eff_date,prop.rqst_mnth_cnt,_x000D_
p.D AS rqst_tot, b.RN as brevn, b.T as budg_tot, _x000D_
nullif((SELECT sum(budg_splt_tot_dol) FROM csd.budg_splt s _x000D_
        WHERE s.prop_id = p.prop_id),0) as splt_tot, _x000D_
b.sub_ctr_tot, b.frgn_trav_tot, b.pdoc_tot,b.part_tot_dol, b.grad_tot_cnt, _x000D_
b.sr_tot_cnt, b.sr_sumr_mnths, b.sr_acad_mnths, b.sr_cal_mnths,_x000D_
prop.prop_titl_txt,a.abst_narr_txt_x000D_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</si>
  <si>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RA_propCheck</t>
  </si>
  <si>
    <t xml:space="preserve">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#myDmog_x000D_
FROM (SELECT p.prop_id, pi_id FROM #myPid p _x000D_
      UNION ALL SELECT p.prop_id, a.pi_id FROM #myPid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nsf_rcvd_date, prop_stts_txt, nullif(dd_rcom_date,'1900-01-01') AS dd_rcom_date, ra.RAupdate, _x000D_
cntx_stmt_id, prop.pgm_annc_id, prop.org_code, prop.pgm_ele_code,_x000D_
prop.pm_ibm_logn_id as PO, prop_stts_abbr,natr_rqst.natr_rqst_abbr,prop.obj_clas_code,_x000D_
org.dir_div_abbr as Div, p.lead, p.ILN, p.prop_id,_x000D_
p.L AS pi_last_name, p.F AS pi_frst_name, p.I AS inst, p.st_code, p.M as email, _x000D_
p.R as propPRCs, _x000D_
bas_rsch_pct, apld_rsch_pct+educ_trng_pct+land_buld_fix_equp_pct+mjr_equp_pct+non_invt_pct AS other_pct,  _x000D_
nPanl, nPSunmrkd, nPSunrls, RecRkMin, _x000D_
rs.nRev, rs.allReviews, rs.avg_score, rs.last_rev_date,_x000D_
Nunmkd, Nunrlsbl, NrlsdCDNPS, NpendSlct, NdiffFLeJ,_x000D_
prop.rqst_eff_date,prop.rqst_mnth_cnt,_x000D_
p.D AS rqst_tot, b.RN as brevn, b.T as budg_tot,  _x000D_
b.sub_ctr_tot, b.frgn_trav_tot, b.pdoc_tot,b.part_tot_dol, b.grad_tot_cnt, _x000D_
b.sr_tot_cnt, b.sr_sumr_mnths, b.sr_acad_mnths, b.sr_cal_mnths,_x000D_
NfmlPIs,NhispPIs,NhndcpPIs,NnonWhtAsnPIs,_x000D_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#myPropPanlSum pl ON pl.lead = p.prop_id_x000D_
ORDER BY p.lead, p.ILN, p.prop_id_x000D_
_x000D_
DROP TABLE #myDmog DROP TABLE #myPid DROP TABLE #myPRCs DROP TABLE #myCtry DROP TABLE #myRevs DROP TABLE #myPanl_x000D_
</t>
  </si>
  <si>
    <t>PRC Glossary; details on PRCs on proposals</t>
  </si>
  <si>
    <t>projText</t>
  </si>
  <si>
    <t xml:space="preserve">SELECT lead, convert(text, convert(varchar(16384),js.PROJ_SUMM_TXT) + convert(varchar(16384),js.INTUL_MERT) + convert(varchar(16384),js.BRODR_IMPT)) as summ_x000D_
INTO #mySumm_x000D_
FROM #myPids p _x000D_
JOIN FLflpdb.flp.proj_summ js ON js.SPCL_CHAR_PDF &lt;&gt; 'Y' AND js.TEMP_PROP_ID = p.TEMP_PROP_ID_x000D_
WHERE p.ILN &lt; 'M'_x000D_
_x000D_
SELECT prop.nsf_rcvd_date, nullif(prop.dd_rcom_date,'1900-01-01') AS dd_rcom_date,_x000D_
prop.pgm_annc_id, o2.dir_div_abbr as Dir, prop.org_code, CASE WHEN prop.org_code &lt;&gt; prop.orig_org_code THEN prop.orig_org_code END AS origORG, _x000D_
prop.pgm_ele_code+' - '+pgm_ele_name as Pgm, CASE WHEN prop.pgm_ele_code &lt;&gt; prop.orig_pgm_ele_code THEN prop.orig_pgm_ele_code ELSE ' ' END AS origPEC,_x000D_
prop.pm_ibm_logn_id as PO, prop.obj_clas_code, natr_rqst.natr_rqst_abbr, prop_stts.prop_stts_abbr, p.ILN, p.lead, org.dir_div_abbr as Div, p.prop_id,p.TEMP_PROP_ID,_x000D_
pi.pi_last_name, pi.pi_frst_name, inst.inst_shrt_name AS inst_name, inst.st_code, pi.pi_emai_addr,_x000D_
prop.prop_titl_txt, prop.rqst_dol, prop.rqst_eff_date, prop.rqst_mnth_cnt, prop.cntx_stmt_id, prop.prop_stts_code, prop_stts.prop_stts_txt, prop.inst_id, prop.pi_id_x000D_
INTO #myProps FROM (SELECT DISTINCT * FROM #myPids ) p_x000D_
JOIN csd.prop prop ON p.prop_id = prop.prop_id_x000D_
JOIN csd.org org ON prop.org_code = org.org_code_x000D_
JOIN csd.org o2 ON left(prop.org_code,2)+'000000' = o2.org_code_x000D_
JOIN csd.pgm_ele pe ON prop.pgm_ele_code = pe.pgm_ele_code_x000D_
JOIN csd.inst inst ON prop.inst_id = inst.inst_id_x000D_
JOIN csd.pi_vw pi ON prop.pi_id = pi.pi_id_x000D_
JOIN csd.prop_stts prop_stts ON prop.prop_stts_code = prop_stts.prop_stts_code_x000D_
JOIN csd.natr_rqst natr_rqst ON natr_rqst.natr_rqst_code = prop.natr_rqst_code_x000D_
WHERE pi.prim_addr_flag='Y'_x000D_
ORDER BY lead, ILN DROP TABLE #myPids CREATE INDEX p1 ON #myProps(lead)_x000D_
SELECT p.lead, p.pi_last_name, rs.string, rs.score, rev_prop_vw.revr_id, rev_prop_vw.rev_rtrn_date, id=identity(18), 0 as 'seq'_x000D_
INTO #myRevs_x000D_
FROM #myProps p, csd.rev_prop_vw rev_prop_vw, tempdb.guest.revScores rs_x000D_
WHERE p.ILN &lt; 'M' AND p.lead = rev_prop_vw.prop_id AND rev_prop_vw.rev_prop_rtng_ind = rs.yn _x000D_
ORDER BY lead, score DESC_x000D_
_x000D_
SELECT lead, MIN(id) as 'start' INTO #myStarts FROM #myRevs GROUP BY lead_x000D_
UPDATE #myRevs set seq = id-M.start FROM #myRevs r, #myStarts M WHERE r.lead = M.lead_x000D_
DROP TABLE #myStarts_x000D_
SELECT   rv.lead, rv.pi_last_name,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#myRevs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p.pi_last_name,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#myProps p, FLflpdb.flp.panl_prop_summ panl_prop_summ, FLflpdb.flp.panl_rcom_def panl_rcom_def, csd.panl panl_x000D_
WHERE  p.ILN &lt; 'M' AND p.lead = panl_prop_summ.PROP_ID AND panl_prop_summ.PANL_ID = panl.panl_id_x000D_
  AND panl_prop_summ.RCOM_SEQ_NUM = panl_rcom_def.RCOM_SEQ_NUM AND panl_prop_summ.PANL_ID = panl_rcom_def.PANL_ID_x000D_
UNION ALL SELECT p.lead, p.pi_last_name, 'POCmnt', p.PO, p.prop_id, cmt.cmnt_cre_id, '', '', convert(varchar,cmt.cmnt_prop_stts_code), cmt.beg_eff_date, cmt.end_eff_date,'', cmt.cmnt_x000D_
FROM #myProps p, FLflpdb.flp.cmnt_prop cmt WHERE p.prop_id = cmt.prop_id AND (p.ILN &lt; 'M' OR LEN(cmt.cmnt) &lt;&gt; (SELECT LEN(l.cmnt) FROM FLflpdb.flp.cmnt_prop l WHERE p.lead = l.prop_id))_x000D_
UNION ALL SELECT p.lead, p.pi_last_name, 'RA' as docType, p.PO, '', ra.last_updt_user, '', '', null, null, ra.last_updt_tmsp, '', ra.prop_rev_anly_txt_x000D_
FROM #myProps p, csd.prop_rev_anly_vw ra WHERE p.ILN &lt; 'M' AND p.lead = ra.prop_id_x000D_
UNION ALL SELECT p.lead, p.pi_last_name, 'Abstr', p.PO, '', a.last_updt_user, a.cent_mrkr_prop, a.cent_mrkr_awd, null, null, a.last_updt_tmsp,'', a.abst_narr_txt_x000D_
FROM #myProps p, csd.abst a WHERE p.prop_id = a.awd_id AND (p.ILN &lt; 'M' OR LEN(a.abst_narr_txt) &lt;&gt;  (SELECT LEN(l.abst_narr_txt) FROM csd.abst l WHERE p.lead = l.awd_id))_x000D_
UNION ALL SELECT p.lead, p.pi_last_name, 'SummProj',p.PO, '', '', '', null, null, null, p.nsf_rcvd_date,'', s.summ_x000D_
FROM #myProps p, #mySumm s WHERE p.ILN &lt; 'M' AND s.lead = p.lead_x000D_
UNION ALL SELECT p.lead, p.pi_last_name, 'xDiaryNt',p.PO, p.prop_id, crtd_by_user, ej_diry_note_kywd, null, null, null, crtd_date,'', ej_diry_note_txt_x000D_
FROM #myProps p, FLflpdb.flp.ej_diry_note d WHERE d.prop_id = p.prop_id_x000D_
ORDER BY lead, docType, revr_last_name, revr_id_x000D_
DROP TABLE #myRevs,#myProps, #mySumm_x000D_
</t>
  </si>
  <si>
    <t>CCfdata11/17</t>
  </si>
  <si>
    <t>p172027,p170288,p180207,p180208</t>
  </si>
  <si>
    <t>PRC</t>
  </si>
  <si>
    <t>PRC_Description</t>
  </si>
  <si>
    <t>CAREER: FACULTY EARLY CAR DEV</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</si>
  <si>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</si>
  <si>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</si>
  <si>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</si>
  <si>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</si>
  <si>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</si>
  <si>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</si>
  <si>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</si>
  <si>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</si>
  <si>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</si>
  <si>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</si>
  <si>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</si>
  <si>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</si>
  <si>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bPRCs</t>
  </si>
  <si>
    <t>1749173</t>
  </si>
  <si>
    <t>1749385</t>
  </si>
  <si>
    <t>1749414</t>
  </si>
  <si>
    <t>1749563</t>
  </si>
  <si>
    <t>1749609</t>
  </si>
  <si>
    <t>1749678</t>
  </si>
  <si>
    <t>1749734</t>
  </si>
  <si>
    <t>1749748</t>
  </si>
  <si>
    <t>1749977</t>
  </si>
  <si>
    <t>1750039</t>
  </si>
  <si>
    <t>1750076</t>
  </si>
  <si>
    <t>1750118</t>
  </si>
  <si>
    <t>1750127</t>
  </si>
  <si>
    <t>1750140</t>
  </si>
  <si>
    <t>1750302</t>
  </si>
  <si>
    <t>1750333</t>
  </si>
  <si>
    <t>1750463</t>
  </si>
  <si>
    <t>1750780</t>
  </si>
  <si>
    <t>1751047</t>
  </si>
  <si>
    <t>1751102</t>
  </si>
  <si>
    <t>1751135</t>
  </si>
  <si>
    <t>1751254</t>
  </si>
  <si>
    <t>1751416</t>
  </si>
  <si>
    <t>1755481</t>
  </si>
  <si>
    <t>1755702</t>
  </si>
  <si>
    <t>1755791</t>
  </si>
  <si>
    <t>1755847</t>
  </si>
  <si>
    <t>1755881</t>
  </si>
  <si>
    <t>1755954</t>
  </si>
  <si>
    <t>1755978</t>
  </si>
  <si>
    <t>1756014</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</si>
  <si>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</si>
  <si>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</si>
  <si>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</si>
  <si>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</si>
  <si>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</si>
  <si>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</si>
  <si>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</si>
  <si>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</si>
  <si>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</si>
  <si>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</si>
  <si>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</si>
  <si>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</si>
  <si>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</si>
  <si>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</si>
  <si>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</si>
  <si>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</si>
  <si>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</si>
  <si>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</si>
  <si>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</si>
  <si>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CAR17-18</t>
  </si>
  <si>
    <t>7796</t>
  </si>
  <si>
    <t>JSNOEYI</t>
  </si>
  <si>
    <t>Borgwardt</t>
  </si>
  <si>
    <t>Steffen</t>
  </si>
  <si>
    <t>U of Colorado Denver</t>
  </si>
  <si>
    <t>steffen.borgwardt@ucdenver.edu</t>
  </si>
  <si>
    <t>1045 7926</t>
  </si>
  <si>
    <t>V,F,F,F/P</t>
  </si>
  <si>
    <t>CAREER: Algorithms for Optimal Walks</t>
  </si>
  <si>
    <t>Wang</t>
  </si>
  <si>
    <t>Haitao</t>
  </si>
  <si>
    <t>Utah State University</t>
  </si>
  <si>
    <t>UT</t>
  </si>
  <si>
    <t>haitao.wang@usu.edu</t>
  </si>
  <si>
    <t>1045 7929</t>
  </si>
  <si>
    <t>E,V,G,G/F</t>
  </si>
  <si>
    <t>CAREER: Algorithms for Shortest Paths and Related Problems in Computational Geometry</t>
  </si>
  <si>
    <t>RSHAH</t>
  </si>
  <si>
    <t>Moseley</t>
  </si>
  <si>
    <t>Carnegie Mellon University</t>
  </si>
  <si>
    <t>bmoseley@seas.wustl.edu</t>
  </si>
  <si>
    <t>1045 7934</t>
  </si>
  <si>
    <t>E,E/V,V,G,G</t>
  </si>
  <si>
    <t>CAREER: Scaling Computation via Massively Distributed Algorithms</t>
  </si>
  <si>
    <t>Del Pia</t>
  </si>
  <si>
    <t>Alberto</t>
  </si>
  <si>
    <t>delpia@wisc.edu</t>
  </si>
  <si>
    <t>E/V,V,V,V/G</t>
  </si>
  <si>
    <t>CAREER: Mixed-Integer Quadratic Optimization: Algorithms and Complexity</t>
  </si>
  <si>
    <t>Lee</t>
  </si>
  <si>
    <t>Yin Tat</t>
  </si>
  <si>
    <t>yintat@uw.edu</t>
  </si>
  <si>
    <t>E,E,E/V,V/G</t>
  </si>
  <si>
    <t>CAREER: The Interplay between Combinatorial Optimization and Algorithmic Convex Geometry</t>
  </si>
  <si>
    <t>Im</t>
  </si>
  <si>
    <t>Sungjin</t>
  </si>
  <si>
    <t>U of Cal - Merced</t>
  </si>
  <si>
    <t>sim3@ucmerced.edu</t>
  </si>
  <si>
    <t>V,V,V,G</t>
  </si>
  <si>
    <t>CAREER: New Algorithmic Foundations for Online Scheduling</t>
  </si>
  <si>
    <t>Sidford</t>
  </si>
  <si>
    <t>Aaron</t>
  </si>
  <si>
    <t>Stanford University</t>
  </si>
  <si>
    <t>sidford@stanford.edu</t>
  </si>
  <si>
    <t>E,V,V,V</t>
  </si>
  <si>
    <t>CAREER: Theory of Fast Graph Optimization</t>
  </si>
  <si>
    <t>TKIMBRE</t>
  </si>
  <si>
    <t>Chandrasekaran</t>
  </si>
  <si>
    <t>Karthekeyan</t>
  </si>
  <si>
    <t>U of Ill Urbana-Champaign</t>
  </si>
  <si>
    <t>IL</t>
  </si>
  <si>
    <t>karthe@illinois.edu</t>
  </si>
  <si>
    <t>E/V,V,V,G</t>
  </si>
  <si>
    <t>CAREER: Frontiers in the Algorithmic Theory of Cutting Planes</t>
  </si>
  <si>
    <t>Solomon</t>
  </si>
  <si>
    <t>Justin</t>
  </si>
  <si>
    <t>jsolomon@mit.edu</t>
  </si>
  <si>
    <t>E,V,V/G,F</t>
  </si>
  <si>
    <t>CAREER: Structured Optimization for Geometric Problems</t>
  </si>
  <si>
    <t>Solomonik</t>
  </si>
  <si>
    <t>Edgar</t>
  </si>
  <si>
    <t>solomon2@illinois.edu</t>
  </si>
  <si>
    <t>G,G,G,F</t>
  </si>
  <si>
    <t>CAREER: Scalable algorithms for tensor networks</t>
  </si>
  <si>
    <t>Schroeder</t>
  </si>
  <si>
    <t>Craig</t>
  </si>
  <si>
    <t>U of Cal Riverside</t>
  </si>
  <si>
    <t>craig@ucr.edu</t>
  </si>
  <si>
    <t>1045 7933</t>
  </si>
  <si>
    <t>V,F,F,F</t>
  </si>
  <si>
    <t>CAREER: Addressing robustness in numerical simulation of nonlinear elastic solids through optimization integration and improved collision treatments</t>
  </si>
  <si>
    <t>Li</t>
  </si>
  <si>
    <t>Shi</t>
  </si>
  <si>
    <t>shil@buffalo.edu</t>
  </si>
  <si>
    <t>V,G,G,G/F</t>
  </si>
  <si>
    <t>CAREER: CCF: Approximate Scheduling Algorithms via Mathematical Relaxations</t>
  </si>
  <si>
    <t>Nagarajan</t>
  </si>
  <si>
    <t>Viswanath</t>
  </si>
  <si>
    <t>University of Michigan</t>
  </si>
  <si>
    <t>MI</t>
  </si>
  <si>
    <t>viswa@umich.edu</t>
  </si>
  <si>
    <t>E,V,V,G</t>
  </si>
  <si>
    <t>CAREER: New Mathematical Programming Techniques in Approximation and Online Algorithms</t>
  </si>
  <si>
    <t>Panigrahi</t>
  </si>
  <si>
    <t>Debmalya</t>
  </si>
  <si>
    <t>Duke University</t>
  </si>
  <si>
    <t>NC</t>
  </si>
  <si>
    <t>debmalya.panigrahi@gmail.com</t>
  </si>
  <si>
    <t>CAREER: New Directions in Graph Algorithms</t>
  </si>
  <si>
    <t>Dinitz</t>
  </si>
  <si>
    <t>Johns Hopkins University</t>
  </si>
  <si>
    <t>mdinitz@cs.jhu.edu</t>
  </si>
  <si>
    <t>E/V,V,V/G,V/G</t>
  </si>
  <si>
    <t>CAREER: Optimizing Distances: Compression and Network Design</t>
  </si>
  <si>
    <t>Ene</t>
  </si>
  <si>
    <t>Alina</t>
  </si>
  <si>
    <t>Boston University</t>
  </si>
  <si>
    <t>aene@bu.edu</t>
  </si>
  <si>
    <t>E,E/V,E/V,G</t>
  </si>
  <si>
    <t>CAREER: New Algorithms for Submodular Optimization</t>
  </si>
  <si>
    <t>Raghvendra</t>
  </si>
  <si>
    <t>Sharath</t>
  </si>
  <si>
    <t>VA Polytechnic Inst &amp; St U</t>
  </si>
  <si>
    <t>VA</t>
  </si>
  <si>
    <t>sharathr@vt.edu</t>
  </si>
  <si>
    <t>E/V,V,V/G,G</t>
  </si>
  <si>
    <t>CAREER:Robust and Optimal Algorithms for Real-Time Pick-Up and Delivery Problems</t>
  </si>
  <si>
    <t>Raichel</t>
  </si>
  <si>
    <t>U of Texas Dallas</t>
  </si>
  <si>
    <t>TX</t>
  </si>
  <si>
    <t>Benjamin.Raichel@utdallas.edu</t>
  </si>
  <si>
    <t>CAREER:  AF: Giving Form to Data with a Geometric Scaffold</t>
  </si>
  <si>
    <t>Gibson</t>
  </si>
  <si>
    <t>Matthew</t>
  </si>
  <si>
    <t>U of Texas San Antonio</t>
  </si>
  <si>
    <t>MATTHEW.GIBSON@UTSA.EDU</t>
  </si>
  <si>
    <t>V,G,G/F,F</t>
  </si>
  <si>
    <t>CAREER: A Modern Look at Visibility Problems</t>
  </si>
  <si>
    <t>Vouga</t>
  </si>
  <si>
    <t>Paul</t>
  </si>
  <si>
    <t>U of Texas Austin</t>
  </si>
  <si>
    <t>evouga@cs.utexas.edu</t>
  </si>
  <si>
    <t>CAREER: Simulation and Design of Thin Objects Using Discrete Differential Geometry Algorithms</t>
  </si>
  <si>
    <t>Nayyeri</t>
  </si>
  <si>
    <t>Amir</t>
  </si>
  <si>
    <t>Oregon State University</t>
  </si>
  <si>
    <t>OR</t>
  </si>
  <si>
    <t>nayyeria@eecs.oregonstate.edu</t>
  </si>
  <si>
    <t>V,V,V,V/G</t>
  </si>
  <si>
    <t>CAREER: Mapping Problems in Computational Geometry and Topology</t>
  </si>
  <si>
    <t>Fasy</t>
  </si>
  <si>
    <t>Brittany</t>
  </si>
  <si>
    <t>Montana State University</t>
  </si>
  <si>
    <t>brittany@cs.montana.edu</t>
  </si>
  <si>
    <t>1045 7929 9150</t>
  </si>
  <si>
    <t>CAREER: Foundations and Applications of Statistics in TDA</t>
  </si>
  <si>
    <t>Sitchinava</t>
  </si>
  <si>
    <t>Nodari</t>
  </si>
  <si>
    <t>U of Hawaii</t>
  </si>
  <si>
    <t>nodari@hawaii.edu</t>
  </si>
  <si>
    <t>1045 7934 9150</t>
  </si>
  <si>
    <t>V,V/G,G,G/F</t>
  </si>
  <si>
    <t>CAREER: Locality-Conscious Parallel Algorithms</t>
  </si>
  <si>
    <t>FY18CRII</t>
  </si>
  <si>
    <t>NSF 17-552</t>
  </si>
  <si>
    <t>026Y</t>
  </si>
  <si>
    <t>Kai</t>
  </si>
  <si>
    <t>Ga. Southern Univ. R&amp;S Fdn</t>
  </si>
  <si>
    <t>kwang@georgiasouthern.edu</t>
  </si>
  <si>
    <t>7926 8228</t>
  </si>
  <si>
    <t>G/F,F,F,F</t>
  </si>
  <si>
    <t>CRII: AF: fast maximum edge-weight clique solvers and their applications</t>
  </si>
  <si>
    <t>Charkhgard</t>
  </si>
  <si>
    <t>Hadi</t>
  </si>
  <si>
    <t>U of South Florida</t>
  </si>
  <si>
    <t>FL</t>
  </si>
  <si>
    <t>hcharkhgard@usf.edu</t>
  </si>
  <si>
    <t>G,G,G</t>
  </si>
  <si>
    <t>CRII: AF: Theory and Algorithms for Two Classes of Optimization Problems: Multi-objective Binary Linear Programs and Single-objective Maximum Multiplicative Programs</t>
  </si>
  <si>
    <t>Goswami</t>
  </si>
  <si>
    <t>Mayank</t>
  </si>
  <si>
    <t>CUNY Queens College</t>
  </si>
  <si>
    <t>Mayank.Goswami@qc.cuny.edu</t>
  </si>
  <si>
    <t>V,V,V</t>
  </si>
  <si>
    <t>CRII: AF: RUI: Faster and Cache-Efficient Similarity Filters and Searches for Big Data</t>
  </si>
  <si>
    <t>Sun</t>
  </si>
  <si>
    <t>Ruoyu</t>
  </si>
  <si>
    <t>ruoyus@illinois.edu</t>
  </si>
  <si>
    <t>7933 8228</t>
  </si>
  <si>
    <t>V,V/G,V/G</t>
  </si>
  <si>
    <t>CRII: AF: Towards Faster Algorithms for Large-scale Constrained Optimization</t>
  </si>
  <si>
    <t>San</t>
  </si>
  <si>
    <t>Omer</t>
  </si>
  <si>
    <t>Oklahoma State University</t>
  </si>
  <si>
    <t>osan@okstate.edu</t>
  </si>
  <si>
    <t>7933 8228 9150</t>
  </si>
  <si>
    <t>E/V,G,F</t>
  </si>
  <si>
    <t>CRII: AF: Generalized Deconvolution Algorithms for Coarse-Grained Simulations of Nonlinear Multiscale Systems</t>
  </si>
  <si>
    <t>Hajimirza</t>
  </si>
  <si>
    <t>Shima</t>
  </si>
  <si>
    <t>Texas Engineering Exp Sta</t>
  </si>
  <si>
    <t>shima.hm@tamu.edu</t>
  </si>
  <si>
    <t>V,G,G/F</t>
  </si>
  <si>
    <t>CRII: AF:Bayesian Framework for Efficient Surrogate Modeling and Learning of Probabilistic Functions Based on Large Scale Monte Carlo Simulations</t>
  </si>
  <si>
    <t>Gangammanavar</t>
  </si>
  <si>
    <t>Harsha</t>
  </si>
  <si>
    <t>Southern Methodist Univ</t>
  </si>
  <si>
    <t>harsha@smu.edu</t>
  </si>
  <si>
    <t>V/G,G,F</t>
  </si>
  <si>
    <t>CRII:AF: Stochastic Programming Decomposition Model and Algorithm for Discrete-event Dynamic Systems</t>
  </si>
  <si>
    <t>Lin</t>
  </si>
  <si>
    <t>U of Houston</t>
  </si>
  <si>
    <t>lchen49@central.uh.edu</t>
  </si>
  <si>
    <t>V,V/G,G</t>
  </si>
  <si>
    <t>CRII: AF: Polynomial Time Approximation Schemes Subexponential in the Parameter</t>
  </si>
  <si>
    <t>rec0</t>
  </si>
  <si>
    <t>rec1</t>
  </si>
  <si>
    <t>rec2</t>
  </si>
  <si>
    <t>minScore</t>
  </si>
  <si>
    <t>maxScore</t>
  </si>
  <si>
    <t>PanlString0</t>
  </si>
  <si>
    <t>pnlst0</t>
  </si>
  <si>
    <t>confl0</t>
  </si>
  <si>
    <t>PanlString1</t>
  </si>
  <si>
    <t>pnlst1</t>
  </si>
  <si>
    <t>confl1</t>
  </si>
  <si>
    <t>PanlString2</t>
  </si>
  <si>
    <t>pnlst2</t>
  </si>
  <si>
    <t>confl2</t>
  </si>
  <si>
    <t>Div_name</t>
  </si>
  <si>
    <t>natr_rqst_txt</t>
  </si>
  <si>
    <t>P180207</t>
  </si>
  <si>
    <t>Not Competitive</t>
  </si>
  <si>
    <t>AF CAREER/CRII Panel A</t>
  </si>
  <si>
    <t xml:space="preserve"> V,F,F,F/P</t>
  </si>
  <si>
    <t>31 rated projects: 3 HC, 12 C, 10 LC, 6 NC</t>
  </si>
  <si>
    <t>ALGORITHMIC FOUNDATIONS</t>
  </si>
  <si>
    <t>New Project</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</si>
  <si>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</si>
  <si>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</si>
  <si>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</si>
  <si>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</si>
  <si>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</si>
  <si>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</si>
  <si>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</si>
  <si>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</si>
  <si>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</si>
  <si>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</si>
  <si>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</si>
  <si>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</si>
  <si>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</si>
  <si>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</si>
  <si>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 xml:space="preserve"> E/V,V,V,G</t>
  </si>
  <si>
    <t>Tracy J. Kimbrel</t>
  </si>
  <si>
    <t xml:space="preserve">karthe@illinois.edu      </t>
  </si>
  <si>
    <t xml:space="preserve"> E,V,V/G,F</t>
  </si>
  <si>
    <t xml:space="preserve">jsolomon@mit.edu      </t>
  </si>
  <si>
    <t xml:space="preserve"> G,G,G,F</t>
  </si>
  <si>
    <t xml:space="preserve">solomon2@illinois.edu      </t>
  </si>
  <si>
    <t xml:space="preserve"> V,F,F,F</t>
  </si>
  <si>
    <t xml:space="preserve">craig@ucr.edu      </t>
  </si>
  <si>
    <t xml:space="preserve"> V,G,G,G/F</t>
  </si>
  <si>
    <t xml:space="preserve">shil@buffalo.edu      </t>
  </si>
  <si>
    <t xml:space="preserve"> E,V,V,G</t>
  </si>
  <si>
    <t xml:space="preserve">viswa@umich.edu      </t>
  </si>
  <si>
    <t xml:space="preserve">debmalya.panigrahi@gmail.com      </t>
  </si>
  <si>
    <t xml:space="preserve"> E/V,V,V/G,V/G</t>
  </si>
  <si>
    <t xml:space="preserve">mdinitz@cs.jhu.edu      </t>
  </si>
  <si>
    <t xml:space="preserve"> E,E/V,E/V,G</t>
  </si>
  <si>
    <t xml:space="preserve">aene@bu.edu      </t>
  </si>
  <si>
    <t xml:space="preserve"> E/V,V,V/G,G</t>
  </si>
  <si>
    <t xml:space="preserve">sharathr@vt.edu      </t>
  </si>
  <si>
    <t xml:space="preserve">Benjamin.Raichel@utdallas.edu      </t>
  </si>
  <si>
    <t xml:space="preserve"> V,G,G/F,F</t>
  </si>
  <si>
    <t xml:space="preserve">MATTHEW.GIBSON@UTSA.EDU      </t>
  </si>
  <si>
    <t xml:space="preserve">evouga@cs.utexas.edu      </t>
  </si>
  <si>
    <t xml:space="preserve"> V,V,V,V/G</t>
  </si>
  <si>
    <t xml:space="preserve">nayyeria@eecs.oregonstate.edu      </t>
  </si>
  <si>
    <t xml:space="preserve">brittany@cs.montana.edu      </t>
  </si>
  <si>
    <t xml:space="preserve"> V,V/G,G,G/F</t>
  </si>
  <si>
    <t xml:space="preserve">nodari@hawaii.edu      </t>
  </si>
  <si>
    <t xml:space="preserve"> G/F,F,F,F</t>
  </si>
  <si>
    <t>Computer and Information Science and Engineering (CISE) Research Initiation Initiative</t>
  </si>
  <si>
    <t>CRII CISE Research Initiation</t>
  </si>
  <si>
    <t xml:space="preserve">kwang@georgiasouthern.edu      </t>
  </si>
  <si>
    <t xml:space="preserve"> G,G,G</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</si>
  <si>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</si>
  <si>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</si>
  <si>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</si>
  <si>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</si>
  <si>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</si>
  <si>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</si>
  <si>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</si>
  <si>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</si>
  <si>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</si>
  <si>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</si>
  <si>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</si>
  <si>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</si>
  <si>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</si>
  <si>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cntxt stmt</t>
  </si>
  <si>
    <t>NSF 00-000</t>
  </si>
  <si>
    <t>12345678</t>
  </si>
  <si>
    <t>1234</t>
  </si>
  <si>
    <t>12345</t>
  </si>
  <si>
    <t>NRFP</t>
  </si>
  <si>
    <t>1234567</t>
  </si>
  <si>
    <t>E,E/V,V,V/G,G,G/F,F,F/P,P</t>
  </si>
  <si>
    <t>This first row is needed so that mail merge formatting will be correct. Please do not remove it.  Mail merge takes its formatting from the first rows of the table............</t>
  </si>
  <si>
    <t>P1234567</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</si>
  <si>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</si>
  <si>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</si>
  <si>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</si>
  <si>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</si>
  <si>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</si>
  <si>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</si>
  <si>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</si>
  <si>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</si>
  <si>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</si>
  <si>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</si>
  <si>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PO signature name string</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</si>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</sst>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9" formatCode="mm/dd/yy\ hh:mm"/>
    <numFmt numFmtId="170" formatCode="_([$$-409]* #,##0_);_([$$-409]* \(#,##0\);_([$$-409]* &quot;-&quot;??_);_(@_)"/>
    <numFmt numFmtId="171" formatCode=";;;**********"/>
  </numFmts>
  <fonts count="3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11"/>
      <color theme="4" tint="-0.249977111117893"/>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86">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165" fontId="0" fillId="0" borderId="0" xfId="0" applyNumberFormat="1"/>
    <xf numFmtId="165" fontId="10" fillId="0" borderId="0" xfId="0" applyNumberFormat="1" applyFont="1"/>
    <xf numFmtId="0" fontId="10" fillId="0" borderId="0" xfId="0" applyFont="1"/>
    <xf numFmtId="0" fontId="0" fillId="0" borderId="0" xfId="0" applyNumberFormat="1"/>
    <xf numFmtId="169"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2" borderId="0" xfId="0" applyFill="1"/>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70"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5" fillId="0" borderId="0" xfId="0" applyFont="1"/>
    <xf numFmtId="49" fontId="15" fillId="0" borderId="0" xfId="0" quotePrefix="1" applyNumberFormat="1" applyFont="1"/>
    <xf numFmtId="49" fontId="15" fillId="0" borderId="0" xfId="0" applyNumberFormat="1" applyFont="1"/>
    <xf numFmtId="9" fontId="0" fillId="0" borderId="0" xfId="5" applyFont="1"/>
    <xf numFmtId="0" fontId="18" fillId="0" borderId="0" xfId="0" applyFont="1"/>
    <xf numFmtId="164" fontId="18" fillId="0" borderId="0" xfId="0" applyNumberFormat="1" applyFont="1"/>
    <xf numFmtId="166" fontId="18" fillId="0" borderId="0" xfId="2" applyNumberFormat="1" applyFont="1"/>
    <xf numFmtId="14" fontId="0" fillId="0" borderId="0" xfId="0" applyNumberFormat="1"/>
    <xf numFmtId="0" fontId="19" fillId="0" borderId="0" xfId="0" applyFont="1"/>
    <xf numFmtId="0" fontId="20" fillId="0" borderId="0" xfId="0" applyFont="1"/>
    <xf numFmtId="2" fontId="0" fillId="0" borderId="0" xfId="0" applyNumberFormat="1" applyBorder="1"/>
    <xf numFmtId="0" fontId="23" fillId="3" borderId="0" xfId="0" applyFont="1" applyFill="1"/>
    <xf numFmtId="0" fontId="23" fillId="3" borderId="0" xfId="0" applyFont="1" applyFill="1" applyAlignment="1">
      <alignment horizontal="left" vertical="center"/>
    </xf>
    <xf numFmtId="0" fontId="23" fillId="2" borderId="0" xfId="0" applyFont="1" applyFill="1"/>
    <xf numFmtId="0" fontId="24" fillId="2" borderId="0" xfId="0" applyFont="1" applyFill="1" applyAlignment="1">
      <alignment horizontal="center" vertical="center"/>
    </xf>
    <xf numFmtId="0" fontId="0" fillId="0" borderId="0" xfId="0" applyFont="1" applyFill="1" applyAlignment="1">
      <alignment horizontal="right" vertical="center"/>
    </xf>
    <xf numFmtId="165" fontId="26" fillId="0" borderId="2" xfId="0" applyNumberFormat="1" applyFont="1" applyFill="1" applyBorder="1" applyAlignment="1" applyProtection="1">
      <alignment horizontal="left" vertical="center"/>
    </xf>
    <xf numFmtId="49" fontId="26" fillId="0" borderId="3" xfId="0" applyNumberFormat="1" applyFont="1" applyFill="1" applyBorder="1" applyAlignment="1" applyProtection="1">
      <alignment horizontal="left" vertical="center"/>
    </xf>
    <xf numFmtId="49" fontId="26" fillId="0" borderId="4" xfId="0" applyNumberFormat="1" applyFont="1" applyFill="1" applyBorder="1" applyAlignment="1" applyProtection="1">
      <alignment horizontal="left" vertical="center"/>
    </xf>
    <xf numFmtId="49" fontId="26" fillId="0" borderId="3" xfId="0" quotePrefix="1" applyNumberFormat="1" applyFont="1" applyFill="1" applyBorder="1" applyAlignment="1" applyProtection="1">
      <alignment horizontal="left" vertical="center"/>
    </xf>
    <xf numFmtId="49" fontId="26" fillId="0" borderId="4" xfId="0" quotePrefix="1" applyNumberFormat="1" applyFont="1" applyFill="1" applyBorder="1" applyAlignment="1" applyProtection="1">
      <alignment horizontal="left" vertical="center"/>
    </xf>
    <xf numFmtId="0" fontId="20" fillId="0" borderId="0" xfId="0" applyFont="1" applyFill="1" applyAlignment="1">
      <alignment horizontal="right" vertical="center"/>
    </xf>
    <xf numFmtId="0" fontId="26" fillId="0" borderId="0" xfId="0" applyFont="1" applyFill="1" applyAlignment="1" applyProtection="1">
      <alignment horizontal="left" vertical="center"/>
    </xf>
    <xf numFmtId="0" fontId="0" fillId="0" borderId="0" xfId="0" applyFill="1" applyProtection="1"/>
    <xf numFmtId="165" fontId="26" fillId="0" borderId="3" xfId="0" applyNumberFormat="1" applyFont="1" applyFill="1" applyBorder="1" applyAlignment="1" applyProtection="1">
      <alignment horizontal="left" vertical="center"/>
    </xf>
    <xf numFmtId="0" fontId="0" fillId="0" borderId="0" xfId="0" applyFont="1" applyFill="1"/>
    <xf numFmtId="0" fontId="28" fillId="0" borderId="0" xfId="0" applyFont="1" applyAlignment="1">
      <alignment horizontal="right"/>
    </xf>
    <xf numFmtId="0" fontId="25" fillId="3" borderId="0" xfId="0" applyFont="1" applyFill="1" applyAlignment="1">
      <alignment horizontal="center" vertical="center"/>
    </xf>
    <xf numFmtId="0" fontId="0" fillId="0" borderId="0" xfId="0" applyProtection="1">
      <protection locked="0"/>
    </xf>
    <xf numFmtId="0" fontId="0" fillId="0" borderId="0" xfId="0" applyAlignment="1" applyProtection="1">
      <alignment horizontal="right"/>
      <protection locked="0"/>
    </xf>
    <xf numFmtId="171" fontId="0" fillId="0" borderId="0" xfId="0" applyNumberFormat="1" applyProtection="1">
      <protection locked="0" hidden="1"/>
    </xf>
    <xf numFmtId="0" fontId="0" fillId="0" borderId="5" xfId="0" applyBorder="1"/>
    <xf numFmtId="0" fontId="0" fillId="0" borderId="6" xfId="0" applyBorder="1"/>
    <xf numFmtId="0" fontId="0" fillId="0" borderId="1" xfId="0" applyBorder="1"/>
    <xf numFmtId="0" fontId="0" fillId="0" borderId="7" xfId="0" applyBorder="1"/>
    <xf numFmtId="0" fontId="0" fillId="0" borderId="8" xfId="0" applyBorder="1"/>
    <xf numFmtId="0" fontId="0" fillId="0" borderId="9" xfId="0" applyBorder="1"/>
    <xf numFmtId="0" fontId="22" fillId="4" borderId="10" xfId="0" applyFont="1" applyFill="1" applyBorder="1"/>
    <xf numFmtId="0" fontId="22" fillId="4" borderId="11" xfId="0" applyFont="1" applyFill="1" applyBorder="1"/>
    <xf numFmtId="0" fontId="22" fillId="4" borderId="12" xfId="0" applyFont="1" applyFill="1" applyBorder="1"/>
    <xf numFmtId="22" fontId="0" fillId="0" borderId="0" xfId="0" applyNumberFormat="1" applyProtection="1">
      <protection locked="0"/>
    </xf>
    <xf numFmtId="0" fontId="0" fillId="0" borderId="0" xfId="0" applyAlignment="1" applyProtection="1">
      <alignment wrapText="1"/>
      <protection locked="0"/>
    </xf>
    <xf numFmtId="0" fontId="0" fillId="0" borderId="0" xfId="0" applyAlignment="1" applyProtection="1">
      <alignment vertical="center"/>
      <protection locked="0"/>
    </xf>
    <xf numFmtId="22" fontId="0" fillId="0" borderId="0" xfId="0" applyNumberFormat="1" applyAlignment="1" applyProtection="1">
      <alignment vertical="center"/>
      <protection locked="0"/>
    </xf>
    <xf numFmtId="0" fontId="29" fillId="0" borderId="0" xfId="0" applyFont="1"/>
    <xf numFmtId="0" fontId="13" fillId="0" borderId="0" xfId="1" applyFont="1" applyBorder="1"/>
  </cellXfs>
  <cellStyles count="6">
    <cellStyle name="Currency" xfId="2" builtinId="4"/>
    <cellStyle name="Hyperlink" xfId="1" builtinId="8"/>
    <cellStyle name="Normal" xfId="0" builtinId="0"/>
    <cellStyle name="Percent" xfId="5" builtinId="5"/>
    <cellStyle name="Subtotal" xfId="4"/>
    <cellStyle name="Subtotal Label" xfId="3"/>
  </cellStyles>
  <dxfs count="147">
    <dxf>
      <fill>
        <patternFill>
          <bgColor rgb="FFFEFECE"/>
        </patternFill>
      </fill>
    </dxf>
    <dxf>
      <font>
        <b val="0"/>
        <i/>
        <strike val="0"/>
        <color theme="0" tint="-0.34998626667073579"/>
      </font>
    </dxf>
    <dxf>
      <fill>
        <patternFill>
          <bgColor rgb="FFFEEFE2"/>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border>
        <top style="thin">
          <color auto="1"/>
        </top>
        <bottom style="thin">
          <color auto="1"/>
        </bottom>
        <vertical/>
        <horizontal/>
      </border>
    </dxf>
    <dxf>
      <fill>
        <patternFill>
          <bgColor rgb="FFEFF6EA"/>
        </patternFill>
      </fill>
    </dxf>
    <dxf>
      <fill>
        <patternFill>
          <bgColor rgb="FFFFFCF3"/>
        </patternFill>
      </fill>
    </dxf>
    <dxf>
      <fill>
        <patternFill>
          <bgColor rgb="FFFDF0E9"/>
        </patternFill>
      </fill>
    </dxf>
    <dxf>
      <fill>
        <patternFill>
          <bgColor rgb="FFEAF3F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theme="5" tint="0.79998168889431442"/>
        </patternFill>
      </fill>
    </dxf>
    <dxf>
      <fill>
        <patternFill>
          <bgColor rgb="FFFFB9B9"/>
        </patternFill>
      </fill>
    </dxf>
    <dxf>
      <fill>
        <patternFill>
          <bgColor rgb="FFFFB9B9"/>
        </patternFill>
      </fill>
    </dxf>
    <dxf>
      <fill>
        <patternFill>
          <bgColor theme="5" tint="0.79998168889431442"/>
        </patternFill>
      </fill>
    </dxf>
    <dxf>
      <fill>
        <patternFill>
          <bgColor rgb="FFFFE1E1"/>
        </patternFill>
      </fill>
    </dxf>
    <dxf>
      <fill>
        <patternFill>
          <bgColor rgb="FFFFD1A3"/>
        </patternFill>
      </fill>
    </dxf>
    <dxf>
      <fill>
        <patternFill>
          <bgColor rgb="FFFF7979"/>
        </patternFill>
      </fill>
    </dxf>
    <dxf>
      <fill>
        <patternFill>
          <bgColor rgb="FFDDECF7"/>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theme="5" tint="0.79998168889431442"/>
        </patternFill>
      </fill>
    </dxf>
    <dxf>
      <fill>
        <patternFill>
          <bgColor rgb="FFDDECF7"/>
        </patternFill>
      </fill>
    </dxf>
    <dxf>
      <fill>
        <patternFill>
          <bgColor theme="5" tint="0.79998168889431442"/>
        </patternFill>
      </fill>
    </dxf>
    <dxf>
      <fill>
        <patternFill>
          <bgColor rgb="FFFFD1A3"/>
        </patternFill>
      </fill>
    </dxf>
    <dxf>
      <fill>
        <patternFill>
          <bgColor rgb="FFFF7979"/>
        </patternFill>
      </fill>
    </dxf>
    <dxf>
      <numFmt numFmtId="165" formatCode="mm/dd/yy;@"/>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7" formatCode="m/d/yyyy\ h:mm"/>
    </dxf>
    <dxf>
      <numFmt numFmtId="165" formatCode="mm/dd/yy;@"/>
    </dxf>
    <dxf>
      <numFmt numFmtId="170" formatCode="_([$$-409]* #,##0_);_([$$-409]* \(#,##0\);_([$$-409]* &quot;-&quot;??_);_(@_)"/>
    </dxf>
    <dxf>
      <numFmt numFmtId="170" formatCode="_([$$-409]* #,##0_);_([$$-409]* \(#,##0\);_([$$-409]* &quot;-&quot;??_);_(@_)"/>
    </dxf>
    <dxf>
      <numFmt numFmtId="165" formatCode="mm/dd/yy;@"/>
    </dxf>
    <dxf>
      <numFmt numFmtId="165" formatCode="mm/dd/yy;@"/>
    </dxf>
    <dxf>
      <numFmt numFmtId="165" formatCode="mm/dd/yy;@"/>
    </dxf>
    <dxf>
      <numFmt numFmtId="0" formatCode="General"/>
    </dxf>
    <dxf>
      <numFmt numFmtId="165" formatCode="mm/dd/yy;@"/>
    </dxf>
    <dxf>
      <numFmt numFmtId="166" formatCode="_(&quot;$&quot;* #,##0_);_(&quot;$&quot;* \(#,##0\);_(&quot;$&quot;* &quot;-&quot;??_);_(@_)"/>
    </dxf>
    <dxf>
      <numFmt numFmtId="0" formatCode="General"/>
    </dxf>
    <dxf>
      <numFmt numFmtId="165" formatCode="mm/dd/yy;@"/>
    </dxf>
    <dxf>
      <numFmt numFmtId="165" formatCode="mm/dd/yy;@"/>
    </dxf>
    <dxf>
      <numFmt numFmtId="165" formatCode="mm/dd/yy;@"/>
    </dxf>
    <dxf>
      <numFmt numFmtId="0" formatCode="General"/>
    </dxf>
    <dxf>
      <numFmt numFmtId="170" formatCode="_([$$-409]* #,##0_);_([$$-409]* \(#,##0\);_([$$-409]* &quot;-&quot;??_);_(@_)"/>
    </dxf>
    <dxf>
      <numFmt numFmtId="170" formatCode="_([$$-409]* #,##0_);_([$$-409]* \(#,##0\);_([$$-409]* &quot;-&quot;??_);_(@_)"/>
    </dxf>
    <dxf>
      <numFmt numFmtId="2" formatCode="0.00"/>
    </dxf>
    <dxf>
      <numFmt numFmtId="0" formatCode="General"/>
    </dxf>
    <dxf>
      <numFmt numFmtId="0" formatCode="General"/>
    </dxf>
    <dxf>
      <numFmt numFmtId="0" formatCode="General"/>
    </dxf>
    <dxf>
      <numFmt numFmtId="165" formatCode="mm/dd/yy;@"/>
    </dxf>
    <dxf>
      <numFmt numFmtId="0" formatCode="General"/>
    </dxf>
    <dxf>
      <numFmt numFmtId="2" formatCode="0.00"/>
    </dxf>
    <dxf>
      <numFmt numFmtId="165" formatCode="mm/dd/yy;@"/>
    </dxf>
    <dxf>
      <numFmt numFmtId="165" formatCode="mm/dd/yy;@"/>
    </dxf>
    <dxf>
      <numFmt numFmtId="165" formatCode="mm/dd/yy;@"/>
    </dxf>
    <dxf>
      <numFmt numFmtId="165" formatCode="mm/dd/yy;@"/>
    </dxf>
    <dxf>
      <numFmt numFmtId="169" formatCode="mm/dd/yy\ hh:mm"/>
    </dxf>
    <dxf>
      <numFmt numFmtId="169" formatCode="mm/dd/yy\ hh:mm"/>
    </dxf>
    <dxf>
      <numFmt numFmtId="165" formatCode="mm/dd/yy;@"/>
    </dxf>
    <dxf>
      <numFmt numFmtId="27" formatCode="m/d/yyyy\ h:mm"/>
    </dxf>
    <dxf>
      <numFmt numFmtId="27" formatCode="m/d/yyyy\ h:mm"/>
    </dxf>
    <dxf>
      <numFmt numFmtId="165" formatCode="mm/dd/yy;@"/>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9" formatCode="mm/dd/yy\ hh:mm"/>
    </dxf>
    <dxf>
      <numFmt numFmtId="165" formatCode="mm/dd/yy;@"/>
    </dxf>
    <dxf>
      <font>
        <b val="0"/>
        <i val="0"/>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27" formatCode="m/d/yyyy\ h:mm"/>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164" formatCode="&quot;$&quot;#,##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9" formatCode="mm/dd/yy\ hh:mm"/>
    </dxf>
    <dxf>
      <numFmt numFmtId="165" formatCode="mm/dd/yy;@"/>
    </dxf>
    <dxf>
      <numFmt numFmtId="0" formatCode="General"/>
    </dxf>
    <dxf>
      <numFmt numFmtId="0" formatCode="General"/>
    </dxf>
    <dxf>
      <numFmt numFmtId="27" formatCode="m/d/yyyy\ h:mm"/>
    </dxf>
    <dxf>
      <numFmt numFmtId="165" formatCode="mm/dd/yy;@"/>
    </dxf>
    <dxf>
      <numFmt numFmtId="165" formatCode="mm/dd/yy;@"/>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146"/>
      <tableStyleElement type="headerRow" dxfId="145"/>
      <tableStyleElement type="totalRow" dxfId="144"/>
      <tableStyleElement type="firstRowStripe" dxfId="143"/>
    </tableStyle>
    <tableStyle name="OmitTableStyle" pivot="0" count="6">
      <tableStyleElement type="wholeTable" dxfId="142"/>
      <tableStyleElement type="headerRow" dxfId="141"/>
      <tableStyleElement type="totalRow" dxfId="140"/>
      <tableStyleElement type="firstColumn" dxfId="139"/>
      <tableStyleElement type="lastColumn" dxfId="138"/>
      <tableStyleElement type="firstRowStripe" dxfId="137"/>
    </tableStyle>
    <tableStyle name="TableFall" pivot="0" count="4">
      <tableStyleElement type="wholeTable" dxfId="136"/>
      <tableStyleElement type="headerRow" dxfId="135"/>
      <tableStyleElement type="totalRow" dxfId="134"/>
      <tableStyleElement type="firstRowStripe" dxfId="133"/>
    </tableStyle>
    <tableStyle name="TableStyleMedium3 2" pivot="0" count="7">
      <tableStyleElement type="wholeTable" dxfId="132"/>
      <tableStyleElement type="headerRow" dxfId="131"/>
      <tableStyleElement type="totalRow" dxfId="130"/>
      <tableStyleElement type="firstColumn" dxfId="129"/>
      <tableStyleElement type="lastColumn" dxfId="128"/>
      <tableStyleElement type="firstRowStripe" dxfId="127"/>
      <tableStyleElement type="firstColumnStripe" dxfId="126"/>
    </tableStyle>
    <tableStyle name="TableStyleMedium7 2" pivot="0" count="7">
      <tableStyleElement type="wholeTable" dxfId="125"/>
      <tableStyleElement type="headerRow" dxfId="124"/>
      <tableStyleElement type="totalRow" dxfId="123"/>
      <tableStyleElement type="firstColumn" dxfId="122"/>
      <tableStyleElement type="lastColumn" dxfId="121"/>
      <tableStyleElement type="firstRowStripe" dxfId="120"/>
      <tableStyleElement type="firstColumnStripe" dxfId="119"/>
    </tableStyle>
  </tableStyles>
  <colors>
    <mruColors>
      <color rgb="FFFEEFE2"/>
      <color rgb="FF6C8B1B"/>
      <color rgb="FFFEFECE"/>
      <color rgb="FFFABDB8"/>
      <color rgb="FFC81E0F"/>
      <color rgb="FFE11E1E"/>
      <color rgb="FFFFC1C1"/>
      <color rgb="FFFFFFD9"/>
      <color rgb="FFFBFEE2"/>
      <color rgb="FFFFE1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4.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201386</xdr:colOff>
          <xdr:row>2</xdr:row>
          <xdr:rowOff>21771</xdr:rowOff>
        </xdr:from>
        <xdr:to>
          <xdr:col>4</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xdr:row>
          <xdr:rowOff>21771</xdr:rowOff>
        </xdr:from>
        <xdr:to>
          <xdr:col>4</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7</xdr:row>
          <xdr:rowOff>59871</xdr:rowOff>
        </xdr:from>
        <xdr:to>
          <xdr:col>4</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1542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179614</xdr:colOff>
          <xdr:row>2</xdr:row>
          <xdr:rowOff>179614</xdr:rowOff>
        </xdr:from>
        <xdr:to>
          <xdr:col>11</xdr:col>
          <xdr:colOff>1649186</xdr:colOff>
          <xdr:row>3</xdr:row>
          <xdr:rowOff>201386</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3</xdr:row>
          <xdr:rowOff>163286</xdr:rowOff>
        </xdr:from>
        <xdr:to>
          <xdr:col>12</xdr:col>
          <xdr:colOff>288471</xdr:colOff>
          <xdr:row>4</xdr:row>
          <xdr:rowOff>179614</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4</xdr:row>
          <xdr:rowOff>174171</xdr:rowOff>
        </xdr:from>
        <xdr:to>
          <xdr:col>11</xdr:col>
          <xdr:colOff>1926771</xdr:colOff>
          <xdr:row>5</xdr:row>
          <xdr:rowOff>136071</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5</xdr:row>
          <xdr:rowOff>136071</xdr:rowOff>
        </xdr:from>
        <xdr:to>
          <xdr:col>11</xdr:col>
          <xdr:colOff>2030186</xdr:colOff>
          <xdr:row>6</xdr:row>
          <xdr:rowOff>76200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6</xdr:row>
          <xdr:rowOff>65314</xdr:rowOff>
        </xdr:from>
        <xdr:to>
          <xdr:col>11</xdr:col>
          <xdr:colOff>1926771</xdr:colOff>
          <xdr:row>7</xdr:row>
          <xdr:rowOff>27214</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174171</xdr:colOff>
          <xdr:row>0</xdr:row>
          <xdr:rowOff>201386</xdr:rowOff>
        </xdr:from>
        <xdr:to>
          <xdr:col>11</xdr:col>
          <xdr:colOff>1812471</xdr:colOff>
          <xdr:row>1</xdr:row>
          <xdr:rowOff>179614</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87086</xdr:colOff>
      <xdr:row>0</xdr:row>
      <xdr:rowOff>16329</xdr:rowOff>
    </xdr:from>
    <xdr:to>
      <xdr:col>14</xdr:col>
      <xdr:colOff>81643</xdr:colOff>
      <xdr:row>0</xdr:row>
      <xdr:rowOff>228600</xdr:rowOff>
    </xdr:to>
    <xdr:sp macro="" textlink="">
      <xdr:nvSpPr>
        <xdr:cNvPr id="2" name="TextBox 1">
          <a:extLst>
            <a:ext uri="{FF2B5EF4-FFF2-40B4-BE49-F238E27FC236}">
              <a16:creationId xmlns:a16="http://schemas.microsoft.com/office/drawing/2014/main" id="{44341415-F402-4BBB-9496-33ED855F4580}"/>
            </a:ext>
          </a:extLst>
        </xdr:cNvPr>
        <xdr:cNvSpPr txBox="1"/>
      </xdr:nvSpPr>
      <xdr:spPr>
        <a:xfrm>
          <a:off x="87086" y="201386"/>
          <a:ext cx="7777843" cy="2122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rgbClr val="002060"/>
              </a:solidFill>
            </a:rPr>
            <a:t>Check coding helps you see if there are missing context statements, RAs, differences between the leads&amp;non-leads, or miscodes.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9</xdr:col>
          <xdr:colOff>457200</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300-000008000000}"/>
            </a:ext>
          </a:extLst>
        </xdr:cNvPr>
        <xdr:cNvGrpSpPr>
          <a:grpSpLocks noChangeAspect="1"/>
        </xdr:cNvGrpSpPr>
      </xdr:nvGrpSpPr>
      <xdr:grpSpPr>
        <a:xfrm>
          <a:off x="2244098" y="0"/>
          <a:ext cx="2182306" cy="1665514"/>
          <a:chOff x="3257550" y="0"/>
          <a:chExt cx="2553319" cy="2054967"/>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3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38647</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75685</xdr:rowOff>
    </xdr:to>
    <xdr:pic macro="[0]!RefreshFromPanel">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125186</xdr:colOff>
          <xdr:row>0</xdr:row>
          <xdr:rowOff>174171</xdr:rowOff>
        </xdr:from>
        <xdr:to>
          <xdr:col>16</xdr:col>
          <xdr:colOff>484414</xdr:colOff>
          <xdr:row>0</xdr:row>
          <xdr:rowOff>402771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wsDr>
</file>

<file path=xl/queryTables/queryTable1.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308">
    <queryTableFields count="62">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66" name="Nrev" tableColumnId="40"/>
      <queryTableField id="269" name="Npanl" tableColumnId="43"/>
      <queryTableField id="83" name="prop_titl_txt" tableColumnId="83"/>
      <queryTableField id="214" name="dd_rcom_date" tableColumnId="1"/>
      <queryTableField id="260" name="NfmlPIs" tableColumnId="34"/>
      <queryTableField id="261" name="NhispPIs" tableColumnId="35"/>
      <queryTableField id="262" name="NhndcpPIs" tableColumnId="36"/>
      <queryTableField id="263" name="NnonWhtAsnPIs" tableColumnId="37"/>
      <queryTableField id="278" name="prop_stts_txt" tableColumnId="8"/>
      <queryTableField id="279" name="prop_stts_abbr" tableColumnId="9"/>
      <queryTableField id="280" name="natr_rqst_abbr" tableColumnId="10"/>
      <queryTableField id="281" name="Div" tableColumnId="15"/>
      <queryTableField id="282" name="inst" tableColumnId="20"/>
      <queryTableField id="283" name="email" tableColumnId="21"/>
      <queryTableField id="284" name="propPRCs" tableColumnId="22"/>
      <queryTableField id="285" name="nPSunmrkd" tableColumnId="24"/>
      <queryTableField id="286" name="nPSunrls" tableColumnId="26"/>
      <queryTableField id="287" name="RecRkMin" tableColumnId="30"/>
      <queryTableField id="288" name="allReviews" tableColumnId="31"/>
      <queryTableField id="289" name="avg_score" tableColumnId="33"/>
      <queryTableField id="290" name="last_rev_date" tableColumnId="41"/>
      <queryTableField id="291" name="Nunmkd" tableColumnId="42"/>
      <queryTableField id="292" name="Nunrlsbl" tableColumnId="44"/>
      <queryTableField id="293" name="NrlsdCDNPS" tableColumnId="45"/>
      <queryTableField id="294" name="NpendSlct" tableColumnId="46"/>
      <queryTableField id="295" name="NdiffFLeJ" tableColumnId="47"/>
      <queryTableField id="296" name="rqst_tot" tableColumnId="48"/>
      <queryTableField id="297" name="brevn" tableColumnId="49"/>
      <queryTableField id="298" name="budg_tot" tableColumnId="50"/>
      <queryTableField id="299" name="sub_ctr_tot" tableColumnId="51"/>
      <queryTableField id="300" name="frgn_trav_tot" tableColumnId="52"/>
      <queryTableField id="301" name="pdoc_tot" tableColumnId="53"/>
      <queryTableField id="302" name="part_tot_dol" tableColumnId="54"/>
      <queryTableField id="303" name="grad_tot_cnt" tableColumnId="55"/>
      <queryTableField id="304" name="sr_tot_cnt" tableColumnId="56"/>
      <queryTableField id="305" name="sr_sumr_mnths" tableColumnId="57"/>
      <queryTableField id="306" name="sr_acad_mnths" tableColumnId="58"/>
      <queryTableField id="307" name="sr_cal_mnths" tableColumnId="59"/>
    </queryTableFields>
  </queryTableRefresh>
</queryTable>
</file>

<file path=xl/queryTables/queryTable2.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78">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2" name="natr_rqst_code" tableColumnId="20"/>
      <queryTableField id="223" name="prop_stts_code" tableColumnId="21"/>
      <queryTableField id="239" name="PRCs" tableColumnId="26"/>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5" name="inst_name" tableColumnId="15"/>
      <queryTableField id="217" name="rqst_dol" tableColumnId="8"/>
      <queryTableField id="16" name="rqst_eff_date" tableColumnId="16"/>
      <queryTableField id="17" name="rqst_mnth_cnt" tableColumnId="17"/>
      <queryTableField id="266" name="Nrev" tableColumnId="40"/>
      <queryTableField id="267" name="NrevUnreleasable" tableColumnId="41"/>
      <queryTableField id="268" name="NrevUnmarked" tableColumnId="42"/>
      <queryTableField id="269" name="Npanl" tableColumnId="43"/>
      <queryTableField id="270" name="NpanlUnreleasable" tableColumnId="44"/>
      <queryTableField id="271" name="NpanlUnmarked" tableColumnId="45"/>
      <queryTableField id="218" name="humn_date" tableColumnId="9"/>
      <queryTableField id="219" name="vrtb_date" tableColumnId="10"/>
      <queryTableField id="83" name="prop_titl_txt" tableColumnId="83"/>
      <queryTableField id="251" name="abst_narr_txt" tableColumnId="31"/>
      <queryTableField id="258" name="frgn_trvl_dol" tableColumnId="33"/>
      <queryTableField id="250" name="Country" tableColumnId="30"/>
      <queryTableField id="200" name="pi_emai_addr" tableColumnId="200"/>
      <queryTableField id="214" name="dd_rcom_date" tableColumnId="1"/>
      <queryTableField id="224" name="inst_id" tableColumnId="22"/>
      <queryTableField id="226" name="pi_id" tableColumnId="24"/>
      <queryTableField id="260" name="NfmlPIs" tableColumnId="34"/>
      <queryTableField id="261" name="NhispPIs" tableColumnId="35"/>
      <queryTableField id="262" name="NhndcpPIs" tableColumnId="36"/>
      <queryTableField id="263" name="NnonWhtAsnPIs" tableColumnId="37"/>
    </queryTable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92">
    <queryTableFields count="5">
      <queryTableField id="10" name="prop_id" tableColumnId="10"/>
      <queryTableField id="55" dataBound="0" tableColumnId="1"/>
      <queryTableField id="58" dataBound="0" tableColumnId="2"/>
      <queryTableField id="85" dataBound="0" tableColumnId="26"/>
      <queryTableField id="91" name="bPRCs" tableColumnId="3"/>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6.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167">
    <queryTableFields count="131">
      <queryTableField id="1" name="pulldate" tableColumnId="1"/>
      <queryTableField id="2" name="nsf_rcvd_date" tableColumnId="2"/>
      <queryTableField id="3" name="RAupdate" tableColumnId="3"/>
      <queryTableField id="4" name="dd_rcom_date" tableColumnId="4"/>
      <queryTableField id="10" name="prop_stts_abbr" tableColumnId="10"/>
      <queryTableField id="11" name="natr_rqst_abbr" tableColumnId="11"/>
      <queryTableField id="12" name="obj_clas_code" tableColumnId="12"/>
      <queryTableField id="6" name="pgm_annc_id" tableColumnId="6"/>
      <queryTableField id="7" name="org_code" tableColumnId="7"/>
      <queryTableField id="8" name="pgm_ele_code" tableColumnId="8"/>
      <queryTableField id="9" name="PO" tableColumnId="9"/>
      <queryTableField id="5" name="cntx_stmt_id" tableColumnId="5"/>
      <queryTableField id="13" name="RecRkMin" tableColumnId="13"/>
      <queryTableField id="18" name="avg_score" tableColumnId="18"/>
      <queryTableField id="137" dataBound="0" tableColumnId="134"/>
      <queryTableField id="136" dataBound="0" tableColumnId="135"/>
      <queryTableField id="135" dataBound="0" tableColumnId="136"/>
      <queryTableField id="138" dataBound="0" tableColumnId="138"/>
      <queryTableField id="134" dataBound="0" tableColumnId="137"/>
      <queryTableField id="19" name="Nrev" tableColumnId="19"/>
      <queryTableField id="21" name="Nunmkd" tableColumnId="21"/>
      <queryTableField id="22" name="last_rev_date" tableColumnId="22"/>
      <queryTableField id="23" name="nPanl" tableColumnId="23"/>
      <queryTableField id="145" dataBound="0" tableColumnId="139"/>
      <queryTableField id="147" dataBound="0" tableColumnId="140"/>
      <queryTableField id="146" dataBound="0" tableColumnId="141"/>
      <queryTableField id="26" name="Div" tableColumnId="26"/>
      <queryTableField id="27" name="prop_id0" tableColumnId="27"/>
      <queryTableField id="28" name="last0" tableColumnId="28"/>
      <queryTableField id="29" name="frst0" tableColumnId="29"/>
      <queryTableField id="30" name="inst0" tableColumnId="30"/>
      <queryTableField id="31" name="rqst0" tableColumnId="31"/>
      <queryTableField id="32" name="b0tot" tableColumnId="32"/>
      <queryTableField id="33" name="AhNrev" tableColumnId="33"/>
      <queryTableField id="34" name="AhRevs" tableColumnId="34"/>
      <queryTableField id="35" name="AhLast" tableColumnId="35"/>
      <queryTableField id="36" name="panl_id0" tableColumnId="36"/>
      <queryTableField id="37" name="RCOM_TXT0" tableColumnId="37"/>
      <queryTableField id="39" name="panl_name0" tableColumnId="39"/>
      <queryTableField id="40" name="panl_end0" tableColumnId="40"/>
      <queryTableField id="38" name="rank0" tableColumnId="38"/>
      <queryTableField id="41" name="revs0" tableColumnId="41"/>
      <queryTableField id="43" name="panl_id1" tableColumnId="43"/>
      <queryTableField id="44" name="RCOM_TXT1" tableColumnId="44"/>
      <queryTableField id="46" name="panl_name1" tableColumnId="46"/>
      <queryTableField id="47" name="panl_end1" tableColumnId="47"/>
      <queryTableField id="45" name="rank1" tableColumnId="45"/>
      <queryTableField id="48" name="revs1" tableColumnId="48"/>
      <queryTableField id="50" name="panl_id2" tableColumnId="50"/>
      <queryTableField id="51" name="RCOM_TXT2" tableColumnId="51"/>
      <queryTableField id="52" name="rank2" tableColumnId="52"/>
      <queryTableField id="53" name="panl_name2" tableColumnId="53"/>
      <queryTableField id="54" name="panl_end2" tableColumnId="54"/>
      <queryTableField id="55" name="revs2" tableColumnId="55"/>
      <queryTableField id="57" name="prop_titl_txt" tableColumnId="57"/>
      <queryTableField id="58" name="rqst_tot" tableColumnId="58"/>
      <queryTableField id="59" name="budg_tot" tableColumnId="59"/>
      <queryTableField id="60" name="budRevnMax" tableColumnId="60"/>
      <queryTableField id="61" name="rqst_eff_date" tableColumnId="61"/>
      <queryTableField id="62" name="rqst_mnth_cnt" tableColumnId="62"/>
      <queryTableField id="63" name="solicitation" tableColumnId="63"/>
      <queryTableField id="65" name="pgm_ele_name" tableColumnId="65"/>
      <queryTableField id="66" name="sign_blck_name" tableColumnId="66"/>
      <queryTableField id="67" name="prop_stts_txt" tableColumnId="67"/>
      <queryTableField id="68" name="obj_clas_name" tableColumnId="68"/>
      <queryTableField id="69" name="Dir" tableColumnId="69"/>
      <queryTableField id="70" name="Dir_name" tableColumnId="70"/>
      <queryTableField id="71" name="PRC0" tableColumnId="71"/>
      <queryTableField id="73" name="prop_id1" tableColumnId="73"/>
      <queryTableField id="74" name="last1" tableColumnId="74"/>
      <queryTableField id="75" name="frst1" tableColumnId="75"/>
      <queryTableField id="76" name="inst1" tableColumnId="76"/>
      <queryTableField id="77" name="rqst1" tableColumnId="77"/>
      <queryTableField id="78" name="b1tot" tableColumnId="78"/>
      <queryTableField id="79" name="PRC1" tableColumnId="79"/>
      <queryTableField id="81" name="prop_id2" tableColumnId="81"/>
      <queryTableField id="82" name="last2" tableColumnId="82"/>
      <queryTableField id="83" name="frst2" tableColumnId="83"/>
      <queryTableField id="84" name="inst2" tableColumnId="84"/>
      <queryTableField id="85" name="rqst2" tableColumnId="85"/>
      <queryTableField id="86" name="b2tot" tableColumnId="86"/>
      <queryTableField id="87" name="PRC2" tableColumnId="87"/>
      <queryTableField id="89" name="prop_id3" tableColumnId="89"/>
      <queryTableField id="90" name="last3" tableColumnId="90"/>
      <queryTableField id="91" name="frst3" tableColumnId="91"/>
      <queryTableField id="92" name="inst3" tableColumnId="92"/>
      <queryTableField id="93" name="rqst3" tableColumnId="93"/>
      <queryTableField id="94" name="b3tot" tableColumnId="94"/>
      <queryTableField id="95" name="PRC3" tableColumnId="95"/>
      <queryTableField id="97" name="prop_id4" tableColumnId="97"/>
      <queryTableField id="98" name="last4" tableColumnId="98"/>
      <queryTableField id="99" name="frst4" tableColumnId="99"/>
      <queryTableField id="100" name="inst4" tableColumnId="100"/>
      <queryTableField id="101" name="rqst4" tableColumnId="101"/>
      <queryTableField id="102" name="b4tot" tableColumnId="102"/>
      <queryTableField id="103" name="PRC4" tableColumnId="103"/>
      <queryTableField id="105" name="prop_id5" tableColumnId="105"/>
      <queryTableField id="106" name="last5" tableColumnId="106"/>
      <queryTableField id="107" name="frst5" tableColumnId="107"/>
      <queryTableField id="108" name="inst5" tableColumnId="108"/>
      <queryTableField id="109" name="rqst5" tableColumnId="109"/>
      <queryTableField id="110" name="b5tot" tableColumnId="110"/>
      <queryTableField id="111" name="PRC5" tableColumnId="111"/>
      <queryTableField id="113" name="prop_id6" tableColumnId="113"/>
      <queryTableField id="114" name="last6" tableColumnId="114"/>
      <queryTableField id="115" name="frst6" tableColumnId="115"/>
      <queryTableField id="116" name="inst6" tableColumnId="116"/>
      <queryTableField id="117" name="rqst6" tableColumnId="117"/>
      <queryTableField id="118" name="b6tot" tableColumnId="118"/>
      <queryTableField id="119" name="PRC6" tableColumnId="119"/>
      <queryTableField id="121" name="email" tableColumnId="121"/>
      <queryTableField id="122" name="allPIemail" tableColumnId="122"/>
      <queryTableField id="148" name="rec0" tableColumnId="14"/>
      <queryTableField id="149" name="rec1" tableColumnId="15"/>
      <queryTableField id="150" name="rec2" tableColumnId="16"/>
      <queryTableField id="151" name="lead" tableColumnId="17"/>
      <queryTableField id="152" name="minScore" tableColumnId="20"/>
      <queryTableField id="153" name="maxScore" tableColumnId="24"/>
      <queryTableField id="154" name="allReviews" tableColumnId="25"/>
      <queryTableField id="155" name="Nunrlsbl" tableColumnId="42"/>
      <queryTableField id="156" name="PanlString0" tableColumnId="49"/>
      <queryTableField id="157" name="pnlst0" tableColumnId="56"/>
      <queryTableField id="158" name="confl0" tableColumnId="64"/>
      <queryTableField id="159" name="PanlString1" tableColumnId="72"/>
      <queryTableField id="160" name="pnlst1" tableColumnId="80"/>
      <queryTableField id="161" name="confl1" tableColumnId="88"/>
      <queryTableField id="162" name="PanlString2" tableColumnId="96"/>
      <queryTableField id="163" name="pnlst2" tableColumnId="104"/>
      <queryTableField id="164" name="confl2" tableColumnId="112"/>
      <queryTableField id="165" name="Div_name" tableColumnId="120"/>
      <queryTableField id="166" name="natr_rqst_txt" tableColumnId="12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id="8" name="AwdPropTable" displayName="AwdPropTable" ref="A12:A31" totalsRowShown="0" dataDxfId="118">
  <autoFilter ref="A12:A31"/>
  <tableColumns count="1">
    <tableColumn id="1" name="prop_id" dataDxfId="117"/>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116">
  <autoFilter ref="D12:D32"/>
  <tableColumns count="1">
    <tableColumn id="1" name="prop_id" dataDxfId="115"/>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114">
  <autoFilter ref="G12:G14"/>
  <tableColumns count="1">
    <tableColumn id="1" name="prop_id" dataDxfId="113"/>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J32" tableType="queryTable" totalsRowShown="0">
  <autoFilter ref="A1:BJ32"/>
  <tableColumns count="62">
    <tableColumn id="4" uniqueName="4" name="nsf_rcvd_date" queryTableFieldId="4" dataDxfId="87"/>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_xlfn.XOR(IFERROR(MATCH(ckCodingTable[[#This Row],[st_code]],EpscorTable[],0)&gt;0,FALSE),IFERROR(FIND("9150",#REF!)&gt;0,FALSE))</calculatedColumnFormula>
    </tableColumn>
    <tableColumn id="39" uniqueName="39" name="WMD?9102" queryTableFieldId="265">
      <calculatedColumnFormula>_xlfn.XOR(ckCodingTable[[#This Row],[WMD]]&lt;&gt;"",IFERROR(FIND("9102",#REF!)&gt;0,FALSE))</calculatedColumnFormula>
    </tableColumn>
    <tableColumn id="38" uniqueName="38" name="WMD" queryTableFieldId="264">
      <calculatedColumnFormula>IF(SUM(AC2:AF2)&gt;0,"WMD","")</calculatedColumnFormula>
    </tableColumn>
    <tableColumn id="11" uniqueName="11" name="cntx_stmt_id" queryTableFieldId="11"/>
    <tableColumn id="32" uniqueName="32" name="RAupdate" queryTableFieldId="254" dataDxfId="86"/>
    <tableColumn id="28" uniqueName="28" name="bas_rsch_pct" queryTableFieldId="243" dataDxfId="85" dataCellStyle="Percent"/>
    <tableColumn id="29" uniqueName="29" name="other_pct" queryTableFieldId="244" dataDxfId="84" dataCellStyle="Percent"/>
    <tableColumn id="206" uniqueName="206" name="@pi email" queryTableFieldId="212" dataDxfId="83" dataCellStyle="Hyperlink">
      <calculatedColumnFormula>HYPERLINK("mailto:"&amp;#REF!&amp;"&amp;subject=Your NSF Proposal:  "&amp;ckCodingTable[[#This Row],[prop_id]], #REF!)</calculatedColumnFormula>
    </tableColumn>
    <tableColumn id="25" uniqueName="25" name="0" queryTableFieldId="230">
      <calculatedColumnFormula xml:space="preserve"> P1+(ckCodingTable[ILN]&lt;"M")</calculatedColumnFormula>
    </tableColumn>
    <tableColumn id="2" uniqueName="2" name="ILN" queryTableFieldId="215"/>
    <tableColumn id="3" uniqueName="3" name="lead" queryTableFieldId="216"/>
    <tableColumn id="205" uniqueName="205" name="eJ" queryTableFieldId="213" dataDxfId="82" dataCellStyle="Hyperlink">
      <calculatedColumnFormula>HYPERLINK("https://www.ejacket.nsf.gov/ej/showProposal.do?ID="&amp;ckCodingTable[[#This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81"/>
    <tableColumn id="17" uniqueName="17" name="rqst_mnth_cnt" queryTableFieldId="17"/>
    <tableColumn id="40" uniqueName="40" name="nRev" queryTableFieldId="266"/>
    <tableColumn id="43" uniqueName="43" name="nPanl" queryTableFieldId="269"/>
    <tableColumn id="83" uniqueName="83" name="prop_titl_txt" queryTableFieldId="83"/>
    <tableColumn id="1" uniqueName="1" name="dd_rcom_date" queryTableFieldId="214" dataDxfId="80"/>
    <tableColumn id="34" uniqueName="34" name="NfmlPIs" queryTableFieldId="260"/>
    <tableColumn id="35" uniqueName="35" name="NhispPIs" queryTableFieldId="261"/>
    <tableColumn id="36" uniqueName="36" name="NhndcpPIs" queryTableFieldId="262"/>
    <tableColumn id="37" uniqueName="37" name="NnonWhtAsnPIs" queryTableFieldId="263"/>
    <tableColumn id="8" uniqueName="8" name="prop_stts_txt" queryTableFieldId="278"/>
    <tableColumn id="9" uniqueName="9" name="prop_stts_abbr" queryTableFieldId="279"/>
    <tableColumn id="10" uniqueName="10" name="natr_rqst_abbr" queryTableFieldId="280"/>
    <tableColumn id="15" uniqueName="15" name="Div" queryTableFieldId="281"/>
    <tableColumn id="20" uniqueName="20" name="inst" queryTableFieldId="282"/>
    <tableColumn id="21" uniqueName="21" name="email" queryTableFieldId="283"/>
    <tableColumn id="22" uniqueName="22" name="propPRCs" queryTableFieldId="284"/>
    <tableColumn id="24" uniqueName="24" name="nPSunmrkd" queryTableFieldId="285"/>
    <tableColumn id="26" uniqueName="26" name="nPSunrls" queryTableFieldId="286"/>
    <tableColumn id="30" uniqueName="30" name="RecRkMin" queryTableFieldId="287"/>
    <tableColumn id="31" uniqueName="31" name="allReviews" queryTableFieldId="288"/>
    <tableColumn id="33" uniqueName="33" name="avg_score" queryTableFieldId="289"/>
    <tableColumn id="41" uniqueName="41" name="last_rev_date" queryTableFieldId="290" dataDxfId="79"/>
    <tableColumn id="42" uniqueName="42" name="Nunmkd" queryTableFieldId="291"/>
    <tableColumn id="44" uniqueName="44" name="Nunrlsbl" queryTableFieldId="292"/>
    <tableColumn id="45" uniqueName="45" name="NrlsdCDNPS" queryTableFieldId="293"/>
    <tableColumn id="46" uniqueName="46" name="NpendSlct" queryTableFieldId="294"/>
    <tableColumn id="47" uniqueName="47" name="NdiffFLeJ" queryTableFieldId="295"/>
    <tableColumn id="48" uniqueName="48" name="rqst_tot" queryTableFieldId="296"/>
    <tableColumn id="49" uniqueName="49" name="brevn" queryTableFieldId="297"/>
    <tableColumn id="50" uniqueName="50" name="budg_tot" queryTableFieldId="298"/>
    <tableColumn id="51" uniqueName="51" name="sub_ctr_tot" queryTableFieldId="299"/>
    <tableColumn id="52" uniqueName="52" name="frgn_trav_tot" queryTableFieldId="300"/>
    <tableColumn id="53" uniqueName="53" name="pdoc_tot" queryTableFieldId="301"/>
    <tableColumn id="54" uniqueName="54" name="part_tot_dol" queryTableFieldId="302"/>
    <tableColumn id="55" uniqueName="55" name="grad_tot_cnt" queryTableFieldId="303"/>
    <tableColumn id="56" uniqueName="56" name="sr_tot_cnt" queryTableFieldId="304"/>
    <tableColumn id="57" uniqueName="57" name="sr_sumr_mnths" queryTableFieldId="305"/>
    <tableColumn id="58" uniqueName="58" name="sr_acad_mnths" queryTableFieldId="306"/>
    <tableColumn id="59" uniqueName="59" name="sr_cal_mnths" queryTableFieldId="30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W17" tableType="queryTable" totalsRowShown="0">
  <autoFilter ref="A1:AW17"/>
  <tableColumns count="49">
    <tableColumn id="4" uniqueName="4" name="nsf_rcvd_date" queryTableFieldId="4" dataDxfId="100"/>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0" uniqueName="20" name="natr_rqst_code" queryTableFieldId="222"/>
    <tableColumn id="21" uniqueName="21" name="prop_stts_code" queryTableFieldId="223"/>
    <tableColumn id="26" uniqueName="26" name="PRCs" queryTableFieldId="239"/>
    <tableColumn id="23" uniqueName="23" name="st_code" queryTableFieldId="225"/>
    <tableColumn id="27" uniqueName="27" name="EPSCoR check" queryTableFieldId="242">
      <calculatedColumnFormula>_xlfn.XOR(IFERROR(MATCH(ckAwdTable[[#This Row],[st_code]],EpscorTable[],0)&gt;0,FALSE),IFERROR(FIND("9150",ckAwdTable[[#This Row],[PRCs]])&gt;0,FALSE))</calculatedColumnFormula>
    </tableColumn>
    <tableColumn id="39" uniqueName="39" name="WMD?9102" queryTableFieldId="265">
      <calculatedColumnFormula>_xlfn.XOR(ckAwdTable[[#This Row],[WMD]]&lt;&gt;"",IFERROR(FIND("9102",ckAwdTable[[#This Row],[PRCs]])&gt;0,FALSE))</calculatedColumnFormula>
    </tableColumn>
    <tableColumn id="38" uniqueName="38" name="WMD" queryTableFieldId="264">
      <calculatedColumnFormula>IF(SUM(AT2:AW2)&gt;0,"WMD","")</calculatedColumnFormula>
    </tableColumn>
    <tableColumn id="11" uniqueName="11" name="cntx_stmt_id" queryTableFieldId="11"/>
    <tableColumn id="32" uniqueName="32" name="RAupdate" queryTableFieldId="254" dataDxfId="99"/>
    <tableColumn id="28" uniqueName="28" name="bas_rsch_pct" queryTableFieldId="243" dataDxfId="98" dataCellStyle="Percent"/>
    <tableColumn id="29" uniqueName="29" name="other_pct" queryTableFieldId="244" dataDxfId="97" dataCellStyle="Percent"/>
    <tableColumn id="206" uniqueName="206" name="@pi email" queryTableFieldId="212" dataDxfId="96" dataCellStyle="Hyperlink">
      <calculatedColumnFormula>HYPERLINK("mailto:"&amp;ckAwdTable[[#This Row],[pi_emai_addr]]&amp;"&amp;subject=Your NSF Proposal:  "&amp;ckAwdTable[[#This Row],[prop_id]], ckAwdTable[[#This Row],[pi_emai_addr]])</calculatedColumnFormula>
    </tableColumn>
    <tableColumn id="25" uniqueName="25" name="0" queryTableFieldId="230">
      <calculatedColumnFormula xml:space="preserve"> S1+(ckAwdTable[ILN]&lt;"M")</calculatedColumnFormula>
    </tableColumn>
    <tableColumn id="2" uniqueName="2" name="ILN" queryTableFieldId="215"/>
    <tableColumn id="3" uniqueName="3" name="lead" queryTableFieldId="216"/>
    <tableColumn id="205" uniqueName="205" name="eJ" queryTableFieldId="213" dataDxfId="95" dataCellStyle="Hyperlink">
      <calculatedColumnFormula>HYPERLINK("https://www.ejacket.nsf.gov/ej/showProposal.do?ID="&amp;ckAwdTable[[#This Row],[prop_id]],"eJ")</calculatedColumnFormula>
    </tableColumn>
    <tableColumn id="12" uniqueName="12" name="prop_id" queryTableFieldId="12"/>
    <tableColumn id="13" uniqueName="13" name="pi_last_name" queryTableFieldId="13"/>
    <tableColumn id="14" uniqueName="14" name="pi_frst_name" queryTableFieldId="14"/>
    <tableColumn id="15" uniqueName="15" name="inst_name" queryTableFieldId="15"/>
    <tableColumn id="8" uniqueName="8" name="rqst_dol" queryTableFieldId="217" dataDxfId="94"/>
    <tableColumn id="16" uniqueName="16" name="rqst_eff_date" queryTableFieldId="16" dataDxfId="93"/>
    <tableColumn id="17" uniqueName="17" name="rqst_mnth_cnt" queryTableFieldId="17"/>
    <tableColumn id="40" uniqueName="40" name="Nrev" queryTableFieldId="266"/>
    <tableColumn id="41" uniqueName="41" name="NrevUnreleasable" queryTableFieldId="267"/>
    <tableColumn id="42" uniqueName="42" name="NrevUnmarked" queryTableFieldId="268"/>
    <tableColumn id="43" uniqueName="43" name="Npanl" queryTableFieldId="269"/>
    <tableColumn id="44" uniqueName="44" name="NpanlUnreleasable" queryTableFieldId="270"/>
    <tableColumn id="45" uniqueName="45" name="NpanlUnmarked" queryTableFieldId="271"/>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3" uniqueName="33" name="frgn_trvl_dol" queryTableFieldId="258" dataDxfId="92" dataCellStyle="Currency"/>
    <tableColumn id="30" uniqueName="30" name="Country" queryTableFieldId="250"/>
    <tableColumn id="200" uniqueName="200" name="pi_emai_addr" queryTableFieldId="200"/>
    <tableColumn id="1" uniqueName="1" name="dd_rcom_date" queryTableFieldId="214" dataDxfId="91"/>
    <tableColumn id="22" uniqueName="22" name="inst_id" queryTableFieldId="224"/>
    <tableColumn id="24" uniqueName="24" name="pi_id" queryTableFieldId="226"/>
    <tableColumn id="34" uniqueName="34" name="NfmlPIs" queryTableFieldId="260"/>
    <tableColumn id="35" uniqueName="35" name="NhispPIs" queryTableFieldId="261"/>
    <tableColumn id="36" uniqueName="36" name="NhndcpPIs" queryTableFieldId="262"/>
    <tableColumn id="37" uniqueName="37" name="NnonWhtAsnPIs" queryTableFieldId="263"/>
  </tableColumns>
  <tableStyleInfo name="TableStyleMedium2" showFirstColumn="0" showLastColumn="0" showRowStripes="0" showColumnStripes="0"/>
</table>
</file>

<file path=xl/tables/table6.xml><?xml version="1.0" encoding="utf-8"?>
<table xmlns="http://schemas.openxmlformats.org/spreadsheetml/2006/main" id="5" name="BudgetsTable" displayName="BudgetsTable" ref="A3:E34" tableType="queryTable" totalsRowShown="0" dataDxfId="112">
  <autoFilter ref="A3:E34"/>
  <tableColumns count="5">
    <tableColumn id="10" uniqueName="10" name="prop_id" queryTableFieldId="10" dataDxfId="90"/>
    <tableColumn id="1" uniqueName="1" name="eJ" queryTableFieldId="55" dataCellStyle="Hyperlink">
      <calculatedColumnFormula>IF(#REF!=" ","",HYPERLINK("https://www.ejacket.nsf.gov/ej/showProposal.do?Continue=Y&amp;ID="&amp;BudgetsTable[[#This Row],[prop_id]],BudgetsTable[[#This Row],[prop_id]]))</calculatedColumnFormula>
    </tableColumn>
    <tableColumn id="2" uniqueName="2" name="RA" queryTableFieldId="58" dataCellStyle="Hyperlink">
      <calculatedColumnFormula>IF(#REF!=" ","",HYPERLINK("https://www.ejacket.nsf.gov/ej/processReviewAnalysis.do?dispatch=add&amp;uniqId="&amp;BudgetsTable[[#This Row],[prop_id]]&amp;pm_ibm_logn_id,"&gt;ra"))</calculatedColumnFormula>
    </tableColumn>
    <tableColumn id="26" uniqueName="26" name="Column1" queryTableFieldId="85" dataDxfId="89" dataCellStyle="Hyperlink">
      <calculatedColumnFormula>IF(ISBLANK(#REF!),"FY"&amp;fiscalyear,"FY"&amp;fiscalyear-1+#REF!)</calculatedColumnFormula>
    </tableColumn>
    <tableColumn id="3" uniqueName="3" name="bPRCs" queryTableFieldId="91" dataDxfId="88" dataCellStyle="Hyperlink"/>
  </tableColumns>
  <tableStyleInfo name="AddTableStyle" showFirstColumn="0" showLastColumn="0" showRowStripes="0" showColumnStripes="0"/>
</table>
</file>

<file path=xl/tables/table7.xml><?xml version="1.0" encoding="utf-8"?>
<table xmlns="http://schemas.openxmlformats.org/spreadsheetml/2006/main" id="1" name="ProjTextTable" displayName="ProjTextTable" ref="A1:P101" tableType="queryTable" totalsRowCount="1">
  <autoFilter ref="A1:P100"/>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105" totalsRowDxfId="104"/>
    <tableColumn id="11" uniqueName="11" name="returned" queryTableFieldId="11" dataDxfId="103"/>
    <tableColumn id="14" uniqueName="14" name="nchars" queryTableFieldId="15" dataDxfId="102">
      <calculatedColumnFormula>LEN(ProjTextTable[[#This Row],[text]])</calculatedColumnFormula>
    </tableColumn>
    <tableColumn id="15" uniqueName="15" name="nwords" queryTableFieldId="14" dataDxfId="101">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8.xml><?xml version="1.0" encoding="utf-8"?>
<table xmlns="http://schemas.openxmlformats.org/spreadsheetml/2006/main" id="11" name="PRCGlossaryTable" displayName="PRCGlossaryTable" ref="A2:B9" tableType="queryTable" totalsRowShown="0" headerRowCellStyle="Normal" dataCellStyle="Normal">
  <autoFilter ref="A2:B9"/>
  <tableColumns count="2">
    <tableColumn id="1" uniqueName="1" name="PRC" queryTableFieldId="278" dataCellStyle="Normal"/>
    <tableColumn id="2" uniqueName="2" name="PRC_Description" queryTableFieldId="279" dataCellStyle="Normal"/>
  </tableColumns>
  <tableStyleInfo name="TableFall" showFirstColumn="0" showLastColumn="0" showRowStripes="1" showColumnStripes="0"/>
</table>
</file>

<file path=xl/tables/table9.xml><?xml version="1.0" encoding="utf-8"?>
<table xmlns="http://schemas.openxmlformats.org/spreadsheetml/2006/main" id="6" name="AvailableTemplates" displayName="AvailableTemplates" ref="I14:I21" totalsRowShown="0" headerRowDxfId="111" dataDxfId="110">
  <autoFilter ref="I14:I21"/>
  <tableColumns count="1">
    <tableColumn id="1" name="Available templates:" dataDxfId="109"/>
  </tableColumns>
  <tableStyleInfo name="TableStyleLight8" showFirstColumn="0" showLastColumn="0" showRowStripes="1" showColumnStripes="0"/>
</table>
</file>

<file path=xl/tables/table10.xml><?xml version="1.0" encoding="utf-8"?>
<table xmlns="http://schemas.openxmlformats.org/spreadsheetml/2006/main" id="4" name="EpscorTable" displayName="EpscorTable" ref="M2:M30" totalsRowShown="0" headerRowDxfId="108" dataDxfId="107">
  <autoFilter ref="M2:M30"/>
  <tableColumns count="1">
    <tableColumn id="1" name="Epscor" dataDxfId="106"/>
  </tableColumns>
  <tableStyleInfo name="TableFall" showFirstColumn="0" showLastColumn="0" showRowStripes="1" showColumnStripes="0"/>
</table>
</file>

<file path=xl/tables/table11.xml><?xml version="1.0" encoding="utf-8"?>
<table xmlns="http://schemas.openxmlformats.org/spreadsheetml/2006/main" id="2" name="RADataTable" displayName="RADataTable" ref="A1:EA963" tableType="queryTable" totalsRowShown="0">
  <autoFilter ref="A1:EA963">
    <filterColumn colId="12">
      <customFilters>
        <customFilter operator="greaterThanOrEqual" val="0"/>
      </customFilters>
    </filterColumn>
  </autoFilter>
  <sortState ref="A2:EA963">
    <sortCondition ref="M1:M963"/>
  </sortState>
  <tableColumns count="131">
    <tableColumn id="1" uniqueName="1" name="pulldate" queryTableFieldId="1" dataDxfId="78"/>
    <tableColumn id="2" uniqueName="2" name="nsf_rcvd_date" queryTableFieldId="2" dataDxfId="77"/>
    <tableColumn id="3" uniqueName="3" name="RAupdate" queryTableFieldId="3" dataDxfId="76"/>
    <tableColumn id="4" uniqueName="4" name="dd_rcom_date" queryTableFieldId="4" dataDxfId="75"/>
    <tableColumn id="10" uniqueName="10" name="prop_stts_abbr" queryTableFieldId="10" dataDxfId="74"/>
    <tableColumn id="11" uniqueName="11" name="natr_rqst_abbr" queryTableFieldId="11" dataDxfId="73"/>
    <tableColumn id="12" uniqueName="12" name="obj_clas_code" queryTableFieldId="12" dataDxfId="72"/>
    <tableColumn id="6" uniqueName="6" name="pgm_annc_id" queryTableFieldId="6"/>
    <tableColumn id="7" uniqueName="7" name="org_code" queryTableFieldId="7"/>
    <tableColumn id="8" uniqueName="8" name="pgm_ele_code" queryTableFieldId="8"/>
    <tableColumn id="9" uniqueName="9" name="PO" queryTableFieldId="9"/>
    <tableColumn id="5" uniqueName="5" name="cntx_stmt_id" queryTableFieldId="5"/>
    <tableColumn id="13" uniqueName="13" name="RecRkMin" queryTableFieldId="13" dataDxfId="71"/>
    <tableColumn id="18" uniqueName="18" name="avg_score" queryTableFieldId="18"/>
    <tableColumn id="134" uniqueName="134" name="RATemplate" queryTableFieldId="137"/>
    <tableColumn id="135" uniqueName="135" name="RAfname" queryTableFieldId="136" dataDxfId="70">
      <calculatedColumnFormula>IFERROR(MID(RADataTable[[#This Row],[RATemplate]],1,LEN(RADataTable[[#This Row],[RATemplate]])-8),"RA") &amp; " " &amp; RADataTable[[#This Row],[prop_id0]] &amp; " " &amp; RADataTable[[#This Row],[last0]]</calculatedColumnFormula>
    </tableColumn>
    <tableColumn id="136" uniqueName="136" name="RAsigner" queryTableFieldId="135"/>
    <tableColumn id="138" uniqueName="138" name="RApre_note" queryTableFieldId="138"/>
    <tableColumn id="137" uniqueName="137" name="RAps_note" queryTableFieldId="134"/>
    <tableColumn id="19" uniqueName="19" name="Nrev" queryTableFieldId="19"/>
    <tableColumn id="21" uniqueName="21" name="Nunmkd" queryTableFieldId="21"/>
    <tableColumn id="22" uniqueName="22" name="last_rev_date" queryTableFieldId="22" dataDxfId="69"/>
    <tableColumn id="23" uniqueName="23" name="nPanl" queryTableFieldId="23"/>
    <tableColumn id="139" uniqueName="139" name="eJ" queryTableFieldId="145" dataDxfId="68" dataCellStyle="Hyperlink">
      <calculatedColumnFormula>HYPERLINK("https://www.ejacket.nsf.gov/ej/showProposal.do?Continue=Y&amp;ID="&amp;RADataTable[[#This Row],[prop_id0]],"eJ")</calculatedColumnFormula>
    </tableColumn>
    <tableColumn id="140" uniqueName="140" name="@PI" queryTableFieldId="147" dataDxfId="67" dataCellStyle="Hyperlink">
      <calculatedColumnFormula>HYPERLINK("mailto:"&amp;RADataTable[[#This Row],[email]]&amp;"&amp;subject=Your NSF Proposal:  "&amp;RADataTable[[#This Row],[Div]]&amp;" "&amp;RADataTable[[#This Row],[prop_id0]], RADataTable[[#This Row],[email]])</calculatedColumnFormula>
    </tableColumn>
    <tableColumn id="141" uniqueName="141" name="@all" queryTableFieldId="146" dataDxfId="66" dataCellStyle="Hyperlink">
      <calculatedColumnFormula>HYPERLINK("mailto:"&amp;RADataTable[[#This Row],[allPIemail]]&amp;"&amp;subject=NSF Proposal:  "&amp;RADataTable[[#This Row],[Div]]&amp;" "&amp;RADataTable[[#This Row],[prop_id0]], "PIs@")</calculatedColumnFormula>
    </tableColumn>
    <tableColumn id="26" uniqueName="26" name="Div" queryTableFieldId="26"/>
    <tableColumn id="27" uniqueName="27" name="prop_id0" queryTableFieldId="27"/>
    <tableColumn id="28" uniqueName="28" name="last0" queryTableFieldId="28" dataDxfId="65"/>
    <tableColumn id="29" uniqueName="29" name="frst0" queryTableFieldId="29"/>
    <tableColumn id="30" uniqueName="30" name="inst0" queryTableFieldId="30"/>
    <tableColumn id="31" uniqueName="31" name="rqst0" queryTableFieldId="31" dataDxfId="64"/>
    <tableColumn id="32" uniqueName="32" name="b0tot" queryTableFieldId="32" dataDxfId="63"/>
    <tableColumn id="33" uniqueName="33" name="AhNrev" queryTableFieldId="33" dataDxfId="62"/>
    <tableColumn id="34" uniqueName="34" name="AhRevs" queryTableFieldId="34"/>
    <tableColumn id="35" uniqueName="35" name="AhLast" queryTableFieldId="35" dataDxfId="61"/>
    <tableColumn id="36" uniqueName="36" name="panl_id0" queryTableFieldId="36"/>
    <tableColumn id="37" uniqueName="37" name="RCOM_TXT0" queryTableFieldId="37"/>
    <tableColumn id="39" uniqueName="39" name="panl_name0" queryTableFieldId="39" dataDxfId="60"/>
    <tableColumn id="40" uniqueName="40" name="panl_end0" queryTableFieldId="40" dataDxfId="59"/>
    <tableColumn id="38" uniqueName="38" name="rank0" queryTableFieldId="38" dataDxfId="58"/>
    <tableColumn id="41" uniqueName="41" name="revs0" queryTableFieldId="41"/>
    <tableColumn id="43" uniqueName="43" name="panl_id1" queryTableFieldId="43"/>
    <tableColumn id="44" uniqueName="44" name="RCOM_TXT1" queryTableFieldId="44" dataDxfId="57"/>
    <tableColumn id="46" uniqueName="46" name="panl_name1" queryTableFieldId="46"/>
    <tableColumn id="47" uniqueName="47" name="panl_end1" queryTableFieldId="47" dataDxfId="56"/>
    <tableColumn id="45" uniqueName="45" name="rank1" queryTableFieldId="45" dataDxfId="55"/>
    <tableColumn id="48" uniqueName="48" name="revs1" queryTableFieldId="48" dataDxfId="54"/>
    <tableColumn id="50" uniqueName="50" name="panl_id2" queryTableFieldId="50"/>
    <tableColumn id="51" uniqueName="51" name="RCOM_TXT2" queryTableFieldId="51" dataDxfId="53"/>
    <tableColumn id="52" uniqueName="52" name="rank2" queryTableFieldId="52"/>
    <tableColumn id="53" uniqueName="53" name="panl_name2" queryTableFieldId="53"/>
    <tableColumn id="54" uniqueName="54" name="panl_end2" queryTableFieldId="54" dataDxfId="52"/>
    <tableColumn id="55" uniqueName="55" name="revs2" queryTableFieldId="55"/>
    <tableColumn id="57" uniqueName="57" name="prop_titl_txt" queryTableFieldId="57"/>
    <tableColumn id="58" uniqueName="58" name="rqst_tot" queryTableFieldId="58" dataDxfId="51"/>
    <tableColumn id="59" uniqueName="59" name="budg_tot" queryTableFieldId="59" dataDxfId="50"/>
    <tableColumn id="60" uniqueName="60" name="budRevnMax" queryTableFieldId="60"/>
    <tableColumn id="61" uniqueName="61" name="rqst_eff_date" queryTableFieldId="61" dataDxfId="49"/>
    <tableColumn id="62" uniqueName="62" name="rqst_mnth_cnt" queryTableFieldId="62"/>
    <tableColumn id="63" uniqueName="63" name="solicitation" queryTableFieldId="63"/>
    <tableColumn id="65" uniqueName="65" name="pgm_ele_name" queryTableFieldId="65"/>
    <tableColumn id="66" uniqueName="66" name="sign_blck_name" queryTableFieldId="66"/>
    <tableColumn id="67" uniqueName="67" name="prop_stts_txt" queryTableFieldId="67"/>
    <tableColumn id="68" uniqueName="68" name="obj_clas_name" queryTableFieldId="68" dataDxfId="48"/>
    <tableColumn id="69" uniqueName="69" name="Dir" queryTableFieldId="69"/>
    <tableColumn id="70" uniqueName="70" name="Dir_name" queryTableFieldId="70"/>
    <tableColumn id="71" uniqueName="71" name="PRC0" queryTableFieldId="71" dataDxfId="47"/>
    <tableColumn id="73" uniqueName="73" name="prop_id1" queryTableFieldId="73"/>
    <tableColumn id="74" uniqueName="74" name="last1" queryTableFieldId="74"/>
    <tableColumn id="75" uniqueName="75" name="frst1" queryTableFieldId="75"/>
    <tableColumn id="76" uniqueName="76" name="inst1" queryTableFieldId="76"/>
    <tableColumn id="77" uniqueName="77" name="rqst1" queryTableFieldId="77" dataDxfId="46"/>
    <tableColumn id="78" uniqueName="78" name="b1tot" queryTableFieldId="78" dataDxfId="45"/>
    <tableColumn id="79" uniqueName="79" name="PRC1" queryTableFieldId="79"/>
    <tableColumn id="81" uniqueName="81" name="prop_id2" queryTableFieldId="81"/>
    <tableColumn id="82" uniqueName="82" name="last2" queryTableFieldId="82"/>
    <tableColumn id="83" uniqueName="83" name="frst2" queryTableFieldId="83"/>
    <tableColumn id="84" uniqueName="84" name="inst2" queryTableFieldId="84" dataDxfId="44"/>
    <tableColumn id="85" uniqueName="85" name="rqst2" queryTableFieldId="85" dataDxfId="43"/>
    <tableColumn id="86" uniqueName="86" name="b2tot" queryTableFieldId="86"/>
    <tableColumn id="87" uniqueName="87" name="PRC2" queryTableFieldId="87"/>
    <tableColumn id="89" uniqueName="89" name="prop_id3" queryTableFieldId="89"/>
    <tableColumn id="90" uniqueName="90" name="last3" queryTableFieldId="90"/>
    <tableColumn id="91" uniqueName="91" name="frst3" queryTableFieldId="91" dataDxfId="42"/>
    <tableColumn id="92" uniqueName="92" name="inst3" queryTableFieldId="92" dataDxfId="41"/>
    <tableColumn id="93" uniqueName="93" name="rqst3" queryTableFieldId="93"/>
    <tableColumn id="94" uniqueName="94" name="b3tot" queryTableFieldId="94"/>
    <tableColumn id="95" uniqueName="95" name="PRC3" queryTableFieldId="95"/>
    <tableColumn id="97" uniqueName="97" name="prop_id4" queryTableFieldId="97"/>
    <tableColumn id="98" uniqueName="98" name="last4" queryTableFieldId="98" dataDxfId="40"/>
    <tableColumn id="99" uniqueName="99" name="frst4" queryTableFieldId="99" dataDxfId="39"/>
    <tableColumn id="100" uniqueName="100" name="inst4" queryTableFieldId="100"/>
    <tableColumn id="101" uniqueName="101" name="rqst4" queryTableFieldId="101"/>
    <tableColumn id="102" uniqueName="102" name="b4tot" queryTableFieldId="102"/>
    <tableColumn id="103" uniqueName="103" name="PRC4" queryTableFieldId="103"/>
    <tableColumn id="105" uniqueName="105" name="prop_id5" queryTableFieldId="105" dataDxfId="38"/>
    <tableColumn id="106" uniqueName="106" name="last5" queryTableFieldId="106" dataDxfId="37"/>
    <tableColumn id="107" uniqueName="107" name="frst5" queryTableFieldId="107"/>
    <tableColumn id="108" uniqueName="108" name="inst5" queryTableFieldId="108"/>
    <tableColumn id="109" uniqueName="109" name="rqst5" queryTableFieldId="109"/>
    <tableColumn id="110" uniqueName="110" name="b5tot" queryTableFieldId="110"/>
    <tableColumn id="111" uniqueName="111" name="PRC5" queryTableFieldId="111"/>
    <tableColumn id="113" uniqueName="113" name="prop_id6" queryTableFieldId="113" dataDxfId="36"/>
    <tableColumn id="114" uniqueName="114" name="last6" queryTableFieldId="114"/>
    <tableColumn id="115" uniqueName="115" name="frst6" queryTableFieldId="115"/>
    <tableColumn id="116" uniqueName="116" name="inst6" queryTableFieldId="116"/>
    <tableColumn id="117" uniqueName="117" name="rqst6" queryTableFieldId="117" dataDxfId="35"/>
    <tableColumn id="118" uniqueName="118" name="b6tot" queryTableFieldId="118"/>
    <tableColumn id="119" uniqueName="119" name="PRC6" queryTableFieldId="119"/>
    <tableColumn id="121" uniqueName="121" name="email" queryTableFieldId="121"/>
    <tableColumn id="122" uniqueName="122" name="allPIemail" queryTableFieldId="122"/>
    <tableColumn id="14" uniqueName="14" name="rec0" queryTableFieldId="148"/>
    <tableColumn id="15" uniqueName="15" name="rec1" queryTableFieldId="149"/>
    <tableColumn id="16" uniqueName="16" name="rec2" queryTableFieldId="150"/>
    <tableColumn id="17" uniqueName="17" name="lead" queryTableFieldId="151"/>
    <tableColumn id="20" uniqueName="20" name="minScore" queryTableFieldId="152"/>
    <tableColumn id="24" uniqueName="24" name="maxScore" queryTableFieldId="153"/>
    <tableColumn id="25" uniqueName="25" name="allReviews" queryTableFieldId="154"/>
    <tableColumn id="42" uniqueName="42" name="Nunrlsbl" queryTableFieldId="155"/>
    <tableColumn id="49" uniqueName="49" name="PanlString0" queryTableFieldId="156"/>
    <tableColumn id="56" uniqueName="56" name="pnlst0" queryTableFieldId="157"/>
    <tableColumn id="64" uniqueName="64" name="confl0" queryTableFieldId="158"/>
    <tableColumn id="72" uniqueName="72" name="PanlString1" queryTableFieldId="159"/>
    <tableColumn id="80" uniqueName="80" name="pnlst1" queryTableFieldId="160"/>
    <tableColumn id="88" uniqueName="88" name="confl1" queryTableFieldId="161"/>
    <tableColumn id="96" uniqueName="96" name="PanlString2" queryTableFieldId="162"/>
    <tableColumn id="104" uniqueName="104" name="pnlst2" queryTableFieldId="163"/>
    <tableColumn id="112" uniqueName="112" name="confl2" queryTableFieldId="164"/>
    <tableColumn id="120" uniqueName="120" name="Div_name" queryTableFieldId="165"/>
    <tableColumn id="123" uniqueName="123" name="natr_rqst_txt" queryTableFieldId="166"/>
  </tableColumns>
  <tableStyleInfo name="TableStyleMedium2"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7.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6.vml"/><Relationship Id="rId9"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table" Target="../tables/table11.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L63"/>
  <sheetViews>
    <sheetView showGridLines="0" workbookViewId="0">
      <selection activeCell="G32" sqref="G32"/>
    </sheetView>
  </sheetViews>
  <sheetFormatPr defaultRowHeight="14.6" x14ac:dyDescent="0.4"/>
  <cols>
    <col min="1" max="1" width="12.84375" customWidth="1"/>
    <col min="2" max="2" width="10.53515625" customWidth="1"/>
    <col min="3" max="3" width="3.15234375" customWidth="1"/>
    <col min="4" max="4" width="15.3046875" customWidth="1"/>
    <col min="6" max="6" width="4.53515625" customWidth="1"/>
    <col min="7" max="7" width="14" customWidth="1"/>
    <col min="11" max="11" width="4.53515625" customWidth="1"/>
    <col min="12" max="12" width="29.53515625" customWidth="1"/>
  </cols>
  <sheetData>
    <row r="1" spans="1:12" ht="18" customHeight="1" x14ac:dyDescent="0.4">
      <c r="A1" s="40" t="s">
        <v>261</v>
      </c>
      <c r="B1" s="40"/>
      <c r="C1" s="40"/>
      <c r="D1" s="40"/>
      <c r="E1" s="40"/>
      <c r="F1" s="40"/>
      <c r="K1" s="3" t="s">
        <v>249</v>
      </c>
    </row>
    <row r="2" spans="1:12" ht="18" customHeight="1" x14ac:dyDescent="0.4">
      <c r="A2" s="40" t="s">
        <v>251</v>
      </c>
      <c r="B2" s="40"/>
      <c r="C2" s="40"/>
      <c r="D2" s="40"/>
      <c r="E2" s="40"/>
      <c r="F2" s="40"/>
      <c r="H2" s="37"/>
      <c r="I2">
        <v>2</v>
      </c>
    </row>
    <row r="3" spans="1:12" ht="18" customHeight="1" x14ac:dyDescent="0.4">
      <c r="A3" s="3" t="s">
        <v>252</v>
      </c>
      <c r="B3" s="3"/>
      <c r="C3" s="41" t="s">
        <v>253</v>
      </c>
      <c r="D3" s="40"/>
      <c r="E3" s="40"/>
      <c r="H3" s="37"/>
      <c r="I3" t="b">
        <v>0</v>
      </c>
      <c r="K3" s="3" t="s">
        <v>250</v>
      </c>
    </row>
    <row r="4" spans="1:12" ht="18" customHeight="1" x14ac:dyDescent="0.4">
      <c r="A4" s="3"/>
      <c r="B4" s="39" t="s">
        <v>259</v>
      </c>
      <c r="C4" s="42" t="s">
        <v>254</v>
      </c>
      <c r="D4" s="40" t="s">
        <v>264</v>
      </c>
      <c r="E4" s="40"/>
      <c r="H4" s="37"/>
      <c r="I4" t="b">
        <v>0</v>
      </c>
    </row>
    <row r="5" spans="1:12" ht="18" customHeight="1" x14ac:dyDescent="0.4">
      <c r="A5" s="3"/>
      <c r="B5" s="39"/>
      <c r="C5" s="42" t="s">
        <v>255</v>
      </c>
      <c r="D5" s="40" t="s">
        <v>265</v>
      </c>
      <c r="E5" s="40"/>
      <c r="H5" s="37"/>
    </row>
    <row r="6" spans="1:12" ht="18" customHeight="1" x14ac:dyDescent="0.4">
      <c r="A6" s="3"/>
      <c r="B6" s="39" t="s">
        <v>260</v>
      </c>
      <c r="C6" s="42" t="s">
        <v>256</v>
      </c>
      <c r="D6" s="40"/>
      <c r="E6" s="40"/>
    </row>
    <row r="7" spans="1:12" ht="18" customHeight="1" x14ac:dyDescent="0.4">
      <c r="A7" s="3"/>
      <c r="B7" s="39" t="s">
        <v>262</v>
      </c>
      <c r="C7" s="42" t="s">
        <v>257</v>
      </c>
      <c r="D7" s="40"/>
      <c r="E7" s="40"/>
    </row>
    <row r="8" spans="1:12" ht="18" customHeight="1" x14ac:dyDescent="0.4">
      <c r="A8" s="3"/>
      <c r="B8" s="39" t="s">
        <v>263</v>
      </c>
      <c r="C8" s="42" t="s">
        <v>258</v>
      </c>
      <c r="D8" s="40"/>
      <c r="E8" s="40"/>
      <c r="K8" s="48">
        <v>50</v>
      </c>
      <c r="L8" s="49" t="s">
        <v>274</v>
      </c>
    </row>
    <row r="9" spans="1:12" ht="18" customHeight="1" x14ac:dyDescent="0.4">
      <c r="A9" s="3"/>
      <c r="B9" s="39"/>
      <c r="C9" s="42"/>
      <c r="D9" s="40"/>
      <c r="E9" s="40"/>
      <c r="K9" s="3" t="s">
        <v>605</v>
      </c>
    </row>
    <row r="10" spans="1:12" ht="18" customHeight="1" x14ac:dyDescent="0.4">
      <c r="A10" s="3" t="s">
        <v>248</v>
      </c>
      <c r="B10" s="3"/>
      <c r="C10" s="38"/>
      <c r="D10" s="3" t="s">
        <v>247</v>
      </c>
      <c r="E10" s="3"/>
      <c r="F10" s="3"/>
      <c r="G10" s="3" t="s">
        <v>266</v>
      </c>
      <c r="K10" s="66" t="s">
        <v>606</v>
      </c>
      <c r="L10" t="s">
        <v>603</v>
      </c>
    </row>
    <row r="11" spans="1:12" ht="18" customHeight="1" x14ac:dyDescent="0.4">
      <c r="A11" t="s">
        <v>195</v>
      </c>
      <c r="D11" t="s">
        <v>196</v>
      </c>
      <c r="G11" t="s">
        <v>198</v>
      </c>
      <c r="K11" s="66" t="s">
        <v>607</v>
      </c>
      <c r="L11" t="s">
        <v>604</v>
      </c>
    </row>
    <row r="12" spans="1:12" ht="18" customHeight="1" x14ac:dyDescent="0.4">
      <c r="A12" t="s">
        <v>0</v>
      </c>
      <c r="D12" t="s">
        <v>0</v>
      </c>
      <c r="G12" t="s">
        <v>0</v>
      </c>
    </row>
    <row r="13" spans="1:12" x14ac:dyDescent="0.4">
      <c r="A13" s="28"/>
      <c r="D13" s="28"/>
      <c r="G13" s="28">
        <v>1234567</v>
      </c>
    </row>
    <row r="14" spans="1:12" x14ac:dyDescent="0.4">
      <c r="A14" s="28"/>
      <c r="D14" s="28">
        <v>1749173</v>
      </c>
      <c r="G14" s="28">
        <v>1802840</v>
      </c>
    </row>
    <row r="15" spans="1:12" x14ac:dyDescent="0.4">
      <c r="A15" s="28">
        <v>1420750</v>
      </c>
      <c r="D15" s="28">
        <v>1749385</v>
      </c>
    </row>
    <row r="16" spans="1:12" x14ac:dyDescent="0.4">
      <c r="A16" s="28">
        <v>1217462</v>
      </c>
      <c r="D16" s="28">
        <v>1749563</v>
      </c>
    </row>
    <row r="17" spans="1:4" x14ac:dyDescent="0.4">
      <c r="A17" s="28">
        <v>1218620</v>
      </c>
      <c r="D17" s="28">
        <v>1749609</v>
      </c>
    </row>
    <row r="18" spans="1:4" x14ac:dyDescent="0.4">
      <c r="A18" s="28">
        <v>1546098</v>
      </c>
      <c r="D18" s="28">
        <v>1749748</v>
      </c>
    </row>
    <row r="19" spans="1:4" x14ac:dyDescent="0.4">
      <c r="A19" s="28">
        <v>1320835</v>
      </c>
      <c r="D19" s="28">
        <v>1749855</v>
      </c>
    </row>
    <row r="20" spans="1:4" x14ac:dyDescent="0.4">
      <c r="A20" s="28">
        <v>1423560</v>
      </c>
      <c r="D20" s="28">
        <v>1749977</v>
      </c>
    </row>
    <row r="21" spans="1:4" x14ac:dyDescent="0.4">
      <c r="A21" s="28">
        <v>1421161</v>
      </c>
      <c r="B21" s="47"/>
      <c r="D21" s="28">
        <v>1750039</v>
      </c>
    </row>
    <row r="22" spans="1:4" x14ac:dyDescent="0.4">
      <c r="A22" s="28">
        <v>1422102</v>
      </c>
      <c r="D22" s="28">
        <v>1750076</v>
      </c>
    </row>
    <row r="23" spans="1:4" x14ac:dyDescent="0.4">
      <c r="A23" s="28">
        <v>1637564</v>
      </c>
      <c r="D23" s="28">
        <v>1750780</v>
      </c>
    </row>
    <row r="24" spans="1:4" x14ac:dyDescent="0.4">
      <c r="A24" s="28">
        <v>1540634</v>
      </c>
      <c r="D24" s="28">
        <v>1751047</v>
      </c>
    </row>
    <row r="25" spans="1:4" x14ac:dyDescent="0.4">
      <c r="A25" s="28">
        <v>1565641</v>
      </c>
      <c r="D25" s="28">
        <v>1751102</v>
      </c>
    </row>
    <row r="26" spans="1:4" x14ac:dyDescent="0.4">
      <c r="A26" s="28">
        <v>1422668</v>
      </c>
      <c r="D26" s="28">
        <v>1751135</v>
      </c>
    </row>
    <row r="27" spans="1:4" x14ac:dyDescent="0.4">
      <c r="A27" s="28">
        <v>1618657</v>
      </c>
      <c r="D27" s="28">
        <v>1755702</v>
      </c>
    </row>
    <row r="28" spans="1:4" x14ac:dyDescent="0.4">
      <c r="A28" s="28">
        <v>1317143</v>
      </c>
      <c r="D28" s="28">
        <v>1755847</v>
      </c>
    </row>
    <row r="29" spans="1:4" x14ac:dyDescent="0.4">
      <c r="A29" s="28">
        <v>1421163</v>
      </c>
      <c r="D29" s="28">
        <v>1755881</v>
      </c>
    </row>
    <row r="30" spans="1:4" x14ac:dyDescent="0.4">
      <c r="A30" s="28">
        <v>1527822</v>
      </c>
      <c r="D30" s="28">
        <v>1755954</v>
      </c>
    </row>
    <row r="31" spans="1:4" x14ac:dyDescent="0.4">
      <c r="A31" s="28">
        <v>1735569</v>
      </c>
      <c r="D31" s="28">
        <v>1755978</v>
      </c>
    </row>
    <row r="32" spans="1:4" x14ac:dyDescent="0.4">
      <c r="D32" s="28">
        <v>1735569</v>
      </c>
    </row>
    <row r="36" spans="7:7" x14ac:dyDescent="0.4">
      <c r="G36" s="47"/>
    </row>
    <row r="46" spans="7:7" x14ac:dyDescent="0.4">
      <c r="G46" s="47"/>
    </row>
    <row r="47" spans="7:7" x14ac:dyDescent="0.4">
      <c r="G47" s="47"/>
    </row>
    <row r="48" spans="7:7" x14ac:dyDescent="0.4">
      <c r="G48" s="47"/>
    </row>
    <row r="49" spans="7:7" x14ac:dyDescent="0.4">
      <c r="G49" s="47"/>
    </row>
    <row r="50" spans="7:7" x14ac:dyDescent="0.4">
      <c r="G50" s="47"/>
    </row>
    <row r="51" spans="7:7" x14ac:dyDescent="0.4">
      <c r="G51" s="47"/>
    </row>
    <row r="52" spans="7:7" x14ac:dyDescent="0.4">
      <c r="G52" s="47"/>
    </row>
    <row r="53" spans="7:7" x14ac:dyDescent="0.4">
      <c r="G53" s="47"/>
    </row>
    <row r="54" spans="7:7" x14ac:dyDescent="0.4">
      <c r="G54" s="47"/>
    </row>
    <row r="55" spans="7:7" x14ac:dyDescent="0.4">
      <c r="G55" s="47"/>
    </row>
    <row r="56" spans="7:7" x14ac:dyDescent="0.4">
      <c r="G56" s="47"/>
    </row>
    <row r="57" spans="7:7" x14ac:dyDescent="0.4">
      <c r="G57" s="47"/>
    </row>
    <row r="58" spans="7:7" x14ac:dyDescent="0.4">
      <c r="G58" s="47"/>
    </row>
    <row r="59" spans="7:7" x14ac:dyDescent="0.4">
      <c r="G59" s="47"/>
    </row>
    <row r="60" spans="7:7" x14ac:dyDescent="0.4">
      <c r="G60" s="47"/>
    </row>
    <row r="61" spans="7:7" x14ac:dyDescent="0.4">
      <c r="G61" s="47"/>
    </row>
    <row r="62" spans="7:7" x14ac:dyDescent="0.4">
      <c r="G62" s="47"/>
    </row>
    <row r="63" spans="7:7" x14ac:dyDescent="0.4">
      <c r="G63" s="47"/>
    </row>
  </sheetData>
  <dataValidations count="1">
    <dataValidation type="list" allowBlank="1" showInputMessage="1" showErrorMessage="1" sqref="A11 D11 G11">
      <formula1>INDIRECT("AvailableTemplates[Available templates:]")</formula1>
    </dataValidation>
  </dataValidation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201386</xdr:colOff>
                    <xdr:row>2</xdr:row>
                    <xdr:rowOff>21771</xdr:rowOff>
                  </from>
                  <to>
                    <xdr:col>4</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CreatefromAwdTable">
                <anchor moveWithCells="1">
                  <from>
                    <xdr:col>2</xdr:col>
                    <xdr:colOff>201386</xdr:colOff>
                    <xdr:row>5</xdr:row>
                    <xdr:rowOff>21771</xdr:rowOff>
                  </from>
                  <to>
                    <xdr:col>4</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201386</xdr:colOff>
                    <xdr:row>7</xdr:row>
                    <xdr:rowOff>59871</xdr:rowOff>
                  </from>
                  <to>
                    <xdr:col>4</xdr:col>
                    <xdr:colOff>114300</xdr:colOff>
                    <xdr:row>8</xdr:row>
                    <xdr:rowOff>59871</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179614</xdr:colOff>
                    <xdr:row>2</xdr:row>
                    <xdr:rowOff>179614</xdr:rowOff>
                  </from>
                  <to>
                    <xdr:col>11</xdr:col>
                    <xdr:colOff>1649186</xdr:colOff>
                    <xdr:row>3</xdr:row>
                    <xdr:rowOff>201386</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179614</xdr:colOff>
                    <xdr:row>3</xdr:row>
                    <xdr:rowOff>163286</xdr:rowOff>
                  </from>
                  <to>
                    <xdr:col>12</xdr:col>
                    <xdr:colOff>288471</xdr:colOff>
                    <xdr:row>4</xdr:row>
                    <xdr:rowOff>179614</xdr:rowOff>
                  </to>
                </anchor>
              </controlPr>
            </control>
          </mc:Choice>
        </mc:AlternateContent>
        <mc:AlternateContent xmlns:mc="http://schemas.openxmlformats.org/markup-compatibility/2006">
          <mc:Choice Requires="x14">
            <control shapeId="16397" r:id="rId9" name="Option Button 13">
              <controlPr defaultSize="0" autoFill="0" autoLine="0" autoPict="0">
                <anchor moveWithCells="1">
                  <from>
                    <xdr:col>10</xdr:col>
                    <xdr:colOff>179614</xdr:colOff>
                    <xdr:row>4</xdr:row>
                    <xdr:rowOff>174171</xdr:rowOff>
                  </from>
                  <to>
                    <xdr:col>11</xdr:col>
                    <xdr:colOff>1926771</xdr:colOff>
                    <xdr:row>5</xdr:row>
                    <xdr:rowOff>136071</xdr:rowOff>
                  </to>
                </anchor>
              </controlPr>
            </control>
          </mc:Choice>
        </mc:AlternateContent>
        <mc:AlternateContent xmlns:mc="http://schemas.openxmlformats.org/markup-compatibility/2006">
          <mc:Choice Requires="x14">
            <control shapeId="16398" r:id="rId10" name="Option Button 14">
              <controlPr defaultSize="0" autoFill="0" autoLine="0" autoPict="0">
                <anchor moveWithCells="1">
                  <from>
                    <xdr:col>10</xdr:col>
                    <xdr:colOff>179614</xdr:colOff>
                    <xdr:row>5</xdr:row>
                    <xdr:rowOff>136071</xdr:rowOff>
                  </from>
                  <to>
                    <xdr:col>11</xdr:col>
                    <xdr:colOff>2030186</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179614</xdr:colOff>
                    <xdr:row>6</xdr:row>
                    <xdr:rowOff>65314</xdr:rowOff>
                  </from>
                  <to>
                    <xdr:col>11</xdr:col>
                    <xdr:colOff>1926771</xdr:colOff>
                    <xdr:row>7</xdr:row>
                    <xdr:rowOff>27214</xdr:rowOff>
                  </to>
                </anchor>
              </controlPr>
            </control>
          </mc:Choice>
        </mc:AlternateContent>
        <mc:AlternateContent xmlns:mc="http://schemas.openxmlformats.org/markup-compatibility/2006">
          <mc:Choice Requires="x14">
            <control shapeId="16400" r:id="rId12" name="Check Box 16">
              <controlPr defaultSize="0" autoFill="0" autoLine="0" autoPict="0">
                <anchor moveWithCells="1">
                  <from>
                    <xdr:col>10</xdr:col>
                    <xdr:colOff>174171</xdr:colOff>
                    <xdr:row>0</xdr:row>
                    <xdr:rowOff>201386</xdr:rowOff>
                  </from>
                  <to>
                    <xdr:col>11</xdr:col>
                    <xdr:colOff>1812471</xdr:colOff>
                    <xdr:row>1</xdr:row>
                    <xdr:rowOff>179614</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201386</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39997558519241921"/>
  </sheetPr>
  <dimension ref="A1:BW32"/>
  <sheetViews>
    <sheetView workbookViewId="0">
      <selection activeCell="B10" sqref="B10"/>
    </sheetView>
  </sheetViews>
  <sheetFormatPr defaultRowHeight="14.6" x14ac:dyDescent="0.4"/>
  <cols>
    <col min="1" max="1" width="9.3046875" style="17" customWidth="1"/>
    <col min="2" max="2" width="11.15234375" customWidth="1"/>
    <col min="3" max="3" width="11.3828125" bestFit="1" customWidth="1"/>
    <col min="4" max="4" width="5.3828125" customWidth="1"/>
    <col min="6" max="6" width="5.84375" style="18" customWidth="1"/>
    <col min="7" max="7" width="3.3046875" style="18" customWidth="1"/>
    <col min="8" max="8" width="7.4609375" style="18" customWidth="1"/>
    <col min="9" max="9" width="9.23046875" customWidth="1"/>
    <col min="10" max="10" width="3.84375" customWidth="1"/>
    <col min="11" max="11" width="7.3828125" customWidth="1"/>
    <col min="12" max="12" width="10.07421875" customWidth="1"/>
    <col min="13" max="13" width="5.3828125" customWidth="1"/>
    <col min="14" max="14" width="11" customWidth="1"/>
    <col min="15" max="15" width="14.3046875" style="25" customWidth="1"/>
    <col min="16" max="16" width="5.3046875" style="43" customWidth="1"/>
    <col min="17" max="17" width="4.53515625" style="43" customWidth="1"/>
    <col min="18" max="18" width="11.84375" customWidth="1"/>
    <col min="19" max="19" width="3.3046875" customWidth="1"/>
    <col min="20" max="20" width="9.53515625" customWidth="1"/>
    <col min="21" max="21" width="8.69140625" style="17" customWidth="1"/>
    <col min="22" max="22" width="3.69140625" customWidth="1"/>
    <col min="23" max="23" width="9" style="18"/>
    <col min="24" max="24" width="9.53515625" style="18" customWidth="1"/>
    <col min="25" max="25" width="11.53515625" customWidth="1"/>
    <col min="26" max="26" width="12.15234375" customWidth="1"/>
    <col min="27" max="27" width="9.84375" customWidth="1"/>
    <col min="28" max="28" width="10.15234375" bestFit="1" customWidth="1"/>
    <col min="29" max="29" width="4.3828125" customWidth="1"/>
    <col min="30" max="65" width="3" customWidth="1"/>
    <col min="66" max="66" width="9" style="1"/>
    <col min="68" max="68" width="85.53515625" customWidth="1"/>
    <col min="69" max="69" width="10.3828125" customWidth="1"/>
    <col min="70" max="70" width="9.53515625" style="13" customWidth="1"/>
    <col min="71" max="71" width="10.3828125" customWidth="1"/>
    <col min="72" max="72" width="15.3828125" customWidth="1"/>
    <col min="73" max="73" width="11.69140625" customWidth="1"/>
    <col min="74" max="74" width="9.3046875" hidden="1" customWidth="1"/>
    <col min="75" max="75" width="11" hidden="1" customWidth="1"/>
    <col min="76" max="79" width="4.3046875" customWidth="1"/>
  </cols>
  <sheetData>
    <row r="1" spans="1:70" ht="34.299999999999997" customHeight="1" x14ac:dyDescent="0.4">
      <c r="A1" s="17" t="s">
        <v>7</v>
      </c>
      <c r="B1" t="s">
        <v>8</v>
      </c>
      <c r="C1" t="s">
        <v>5</v>
      </c>
      <c r="D1" t="s">
        <v>4</v>
      </c>
      <c r="E1" t="s">
        <v>93</v>
      </c>
      <c r="F1" t="s">
        <v>94</v>
      </c>
      <c r="G1" t="s">
        <v>98</v>
      </c>
      <c r="H1" t="s">
        <v>136</v>
      </c>
      <c r="I1" t="s">
        <v>151</v>
      </c>
      <c r="J1" t="s">
        <v>150</v>
      </c>
      <c r="K1" t="s">
        <v>18</v>
      </c>
      <c r="L1" s="25" t="s">
        <v>17</v>
      </c>
      <c r="M1" s="43" t="s">
        <v>134</v>
      </c>
      <c r="N1" s="43" t="s">
        <v>135</v>
      </c>
      <c r="O1" s="14" t="s">
        <v>142</v>
      </c>
      <c r="P1" s="14" t="s">
        <v>108</v>
      </c>
      <c r="Q1" t="s">
        <v>89</v>
      </c>
      <c r="R1" t="s">
        <v>9</v>
      </c>
      <c r="S1" t="s">
        <v>1</v>
      </c>
      <c r="T1" t="s">
        <v>0</v>
      </c>
      <c r="U1" t="s">
        <v>10</v>
      </c>
      <c r="V1" t="s">
        <v>19</v>
      </c>
      <c r="W1" s="17" t="s">
        <v>20</v>
      </c>
      <c r="X1" t="s">
        <v>21</v>
      </c>
      <c r="Y1" t="s">
        <v>695</v>
      </c>
      <c r="Z1" t="s">
        <v>173</v>
      </c>
      <c r="AA1" t="s">
        <v>37</v>
      </c>
      <c r="AB1" t="s">
        <v>88</v>
      </c>
      <c r="AC1" t="s">
        <v>146</v>
      </c>
      <c r="AD1" t="s">
        <v>147</v>
      </c>
      <c r="AE1" t="s">
        <v>148</v>
      </c>
      <c r="AF1" t="s">
        <v>149</v>
      </c>
      <c r="AG1" t="s">
        <v>188</v>
      </c>
      <c r="AH1" t="s">
        <v>187</v>
      </c>
      <c r="AI1" t="s">
        <v>185</v>
      </c>
      <c r="AJ1" t="s">
        <v>165</v>
      </c>
      <c r="AK1" t="s">
        <v>692</v>
      </c>
      <c r="AL1" t="s">
        <v>167</v>
      </c>
      <c r="AM1" t="s">
        <v>693</v>
      </c>
      <c r="AN1" t="s">
        <v>174</v>
      </c>
      <c r="AO1" t="s">
        <v>694</v>
      </c>
      <c r="AP1" t="s">
        <v>201</v>
      </c>
      <c r="AQ1" t="s">
        <v>696</v>
      </c>
      <c r="AR1" t="s">
        <v>24</v>
      </c>
      <c r="AS1" t="s">
        <v>169</v>
      </c>
      <c r="AT1" t="s">
        <v>168</v>
      </c>
      <c r="AU1" t="s">
        <v>697</v>
      </c>
      <c r="AV1" t="s">
        <v>698</v>
      </c>
      <c r="AW1" t="s">
        <v>699</v>
      </c>
      <c r="AX1" t="s">
        <v>700</v>
      </c>
      <c r="AY1" t="s">
        <v>22</v>
      </c>
      <c r="AZ1" t="s">
        <v>701</v>
      </c>
      <c r="BA1" t="s">
        <v>23</v>
      </c>
      <c r="BB1" t="s">
        <v>702</v>
      </c>
      <c r="BC1" t="s">
        <v>703</v>
      </c>
      <c r="BD1" t="s">
        <v>704</v>
      </c>
      <c r="BE1" t="s">
        <v>705</v>
      </c>
      <c r="BF1" t="s">
        <v>706</v>
      </c>
      <c r="BG1" t="s">
        <v>707</v>
      </c>
      <c r="BH1" t="s">
        <v>708</v>
      </c>
      <c r="BI1" t="s">
        <v>709</v>
      </c>
      <c r="BJ1" t="s">
        <v>710</v>
      </c>
      <c r="BN1"/>
      <c r="BR1"/>
    </row>
    <row r="2" spans="1:70" x14ac:dyDescent="0.4">
      <c r="A2" s="34">
        <v>42930.554166666669</v>
      </c>
      <c r="B2" t="s">
        <v>279</v>
      </c>
      <c r="C2" t="s">
        <v>243</v>
      </c>
      <c r="D2" t="s">
        <v>712</v>
      </c>
      <c r="E2" t="s">
        <v>713</v>
      </c>
      <c r="F2" t="s">
        <v>100</v>
      </c>
      <c r="G2" t="s">
        <v>299</v>
      </c>
      <c r="H2" t="b">
        <f>_xlfn.XOR(IFERROR(MATCH(ckCodingTable[[#This Row],[st_code]],EpscorTable[],0)&gt;0,FALSE),IFERROR(FIND("9150",#REF!)&gt;0,FALSE))</f>
        <v>0</v>
      </c>
      <c r="I2" t="b">
        <f>_xlfn.XOR(ckCodingTable[[#This Row],[WMD]]&lt;&gt;"",IFERROR(FIND("9102",#REF!)&gt;0,FALSE))</f>
        <v>0</v>
      </c>
      <c r="J2" t="str">
        <f t="shared" ref="J2:J32" si="0">IF(SUM(AC2:AF2)&gt;0,"WMD","")</f>
        <v/>
      </c>
      <c r="K2" t="s">
        <v>711</v>
      </c>
      <c r="L2" s="25"/>
      <c r="M2" s="43">
        <v>1</v>
      </c>
      <c r="N2" s="43">
        <v>0</v>
      </c>
      <c r="O2" s="15" t="e">
        <f>HYPERLINK("mailto:"&amp;#REF!&amp;"&amp;subject=Your NSF Proposal:  "&amp;ckCodingTable[[#This Row],[prop_id]], #REF!)</f>
        <v>#REF!</v>
      </c>
      <c r="P2">
        <f xml:space="preserve"> P1+(ckCodingTable[ILN]&lt;"M")</f>
        <v>1</v>
      </c>
      <c r="Q2" t="s">
        <v>102</v>
      </c>
      <c r="R2" t="s">
        <v>661</v>
      </c>
      <c r="S2" s="15" t="str">
        <f>HYPERLINK("https://www.ejacket.nsf.gov/ej/showProposal.do?ID="&amp;ckCodingTable[[#This Row],[prop_id]],"eJ")</f>
        <v>eJ</v>
      </c>
      <c r="T2" t="s">
        <v>661</v>
      </c>
      <c r="U2" t="s">
        <v>714</v>
      </c>
      <c r="V2" t="s">
        <v>715</v>
      </c>
      <c r="W2" s="34">
        <v>43101</v>
      </c>
      <c r="X2">
        <v>60</v>
      </c>
      <c r="Y2">
        <v>4</v>
      </c>
      <c r="Z2">
        <v>1</v>
      </c>
      <c r="AA2" t="s">
        <v>720</v>
      </c>
      <c r="AB2" s="8"/>
      <c r="AC2">
        <v>0</v>
      </c>
      <c r="AD2">
        <v>0</v>
      </c>
      <c r="AE2">
        <v>0</v>
      </c>
      <c r="AF2">
        <v>0</v>
      </c>
      <c r="AG2" t="s">
        <v>194</v>
      </c>
      <c r="AH2" t="s">
        <v>193</v>
      </c>
      <c r="AI2" t="s">
        <v>191</v>
      </c>
      <c r="AJ2" t="s">
        <v>245</v>
      </c>
      <c r="AK2" t="s">
        <v>716</v>
      </c>
      <c r="AL2" t="s">
        <v>717</v>
      </c>
      <c r="AM2" t="s">
        <v>718</v>
      </c>
      <c r="AN2">
        <v>1</v>
      </c>
      <c r="AP2">
        <v>4.22</v>
      </c>
      <c r="AQ2" t="s">
        <v>719</v>
      </c>
      <c r="AR2">
        <v>3.75</v>
      </c>
      <c r="AS2" s="8">
        <v>43031.583333333336</v>
      </c>
      <c r="AT2">
        <v>4</v>
      </c>
      <c r="AY2">
        <v>470400</v>
      </c>
      <c r="AZ2">
        <v>0</v>
      </c>
      <c r="BA2">
        <v>470400</v>
      </c>
      <c r="BC2">
        <v>9600</v>
      </c>
      <c r="BF2">
        <v>5</v>
      </c>
      <c r="BG2">
        <v>5</v>
      </c>
      <c r="BH2">
        <v>7.5</v>
      </c>
      <c r="BN2"/>
      <c r="BR2"/>
    </row>
    <row r="3" spans="1:70" x14ac:dyDescent="0.4">
      <c r="A3" s="34">
        <v>42933.547222222223</v>
      </c>
      <c r="B3" t="s">
        <v>279</v>
      </c>
      <c r="C3" t="s">
        <v>243</v>
      </c>
      <c r="D3" t="s">
        <v>712</v>
      </c>
      <c r="E3" t="s">
        <v>713</v>
      </c>
      <c r="F3" t="s">
        <v>100</v>
      </c>
      <c r="G3" t="s">
        <v>724</v>
      </c>
      <c r="H3" t="b">
        <f>_xlfn.XOR(IFERROR(MATCH(ckCodingTable[[#This Row],[st_code]],EpscorTable[],0)&gt;0,FALSE),IFERROR(FIND("9150",#REF!)&gt;0,FALSE))</f>
        <v>0</v>
      </c>
      <c r="I3" t="b">
        <f>_xlfn.XOR(ckCodingTable[[#This Row],[WMD]]&lt;&gt;"",IFERROR(FIND("9102",#REF!)&gt;0,FALSE))</f>
        <v>0</v>
      </c>
      <c r="J3" t="str">
        <f t="shared" si="0"/>
        <v/>
      </c>
      <c r="K3" t="s">
        <v>711</v>
      </c>
      <c r="L3" s="25"/>
      <c r="M3" s="43">
        <v>1</v>
      </c>
      <c r="N3" s="43">
        <v>0</v>
      </c>
      <c r="O3" s="15" t="e">
        <f>HYPERLINK("mailto:"&amp;#REF!&amp;"&amp;subject=Your NSF Proposal:  "&amp;ckCodingTable[[#This Row],[prop_id]], #REF!)</f>
        <v>#REF!</v>
      </c>
      <c r="P3">
        <f xml:space="preserve"> P2+(ckCodingTable[ILN]&lt;"M")</f>
        <v>2</v>
      </c>
      <c r="Q3" t="s">
        <v>102</v>
      </c>
      <c r="R3" t="s">
        <v>662</v>
      </c>
      <c r="S3" s="15" t="str">
        <f>HYPERLINK("https://www.ejacket.nsf.gov/ej/showProposal.do?ID="&amp;ckCodingTable[[#This Row],[prop_id]],"eJ")</f>
        <v>eJ</v>
      </c>
      <c r="T3" t="s">
        <v>662</v>
      </c>
      <c r="U3" t="s">
        <v>721</v>
      </c>
      <c r="V3" t="s">
        <v>722</v>
      </c>
      <c r="W3" s="34">
        <v>43221</v>
      </c>
      <c r="X3">
        <v>60</v>
      </c>
      <c r="Y3">
        <v>4</v>
      </c>
      <c r="Z3">
        <v>1</v>
      </c>
      <c r="AA3" t="s">
        <v>728</v>
      </c>
      <c r="AB3" s="8"/>
      <c r="AC3">
        <v>0</v>
      </c>
      <c r="AD3">
        <v>0</v>
      </c>
      <c r="AE3">
        <v>0</v>
      </c>
      <c r="AF3">
        <v>0</v>
      </c>
      <c r="AG3" t="s">
        <v>194</v>
      </c>
      <c r="AH3" t="s">
        <v>193</v>
      </c>
      <c r="AI3" t="s">
        <v>191</v>
      </c>
      <c r="AJ3" t="s">
        <v>245</v>
      </c>
      <c r="AK3" t="s">
        <v>723</v>
      </c>
      <c r="AL3" t="s">
        <v>725</v>
      </c>
      <c r="AM3" t="s">
        <v>726</v>
      </c>
      <c r="AN3">
        <v>1</v>
      </c>
      <c r="AP3">
        <v>3.13</v>
      </c>
      <c r="AQ3" t="s">
        <v>727</v>
      </c>
      <c r="AR3">
        <v>6.25</v>
      </c>
      <c r="AS3" s="8">
        <v>43030.179166666669</v>
      </c>
      <c r="AT3">
        <v>4</v>
      </c>
      <c r="AY3">
        <v>524898</v>
      </c>
      <c r="AZ3">
        <v>0</v>
      </c>
      <c r="BA3">
        <v>524898</v>
      </c>
      <c r="BC3">
        <v>15000</v>
      </c>
      <c r="BF3">
        <v>10</v>
      </c>
      <c r="BG3">
        <v>5</v>
      </c>
      <c r="BH3">
        <v>5</v>
      </c>
      <c r="BN3"/>
      <c r="BR3"/>
    </row>
    <row r="4" spans="1:70" x14ac:dyDescent="0.4">
      <c r="A4" s="34">
        <v>42933.579861111109</v>
      </c>
      <c r="B4" t="s">
        <v>279</v>
      </c>
      <c r="C4" t="s">
        <v>243</v>
      </c>
      <c r="D4" t="s">
        <v>712</v>
      </c>
      <c r="E4" t="s">
        <v>729</v>
      </c>
      <c r="F4" t="s">
        <v>100</v>
      </c>
      <c r="G4" t="s">
        <v>300</v>
      </c>
      <c r="H4" t="b">
        <f>_xlfn.XOR(IFERROR(MATCH(ckCodingTable[[#This Row],[st_code]],EpscorTable[],0)&gt;0,FALSE),IFERROR(FIND("9150",#REF!)&gt;0,FALSE))</f>
        <v>0</v>
      </c>
      <c r="I4" t="b">
        <f>_xlfn.XOR(ckCodingTable[[#This Row],[WMD]]&lt;&gt;"",IFERROR(FIND("9102",#REF!)&gt;0,FALSE))</f>
        <v>0</v>
      </c>
      <c r="J4" t="str">
        <f t="shared" si="0"/>
        <v/>
      </c>
      <c r="K4" t="s">
        <v>711</v>
      </c>
      <c r="L4" s="25"/>
      <c r="M4" s="43">
        <v>1</v>
      </c>
      <c r="N4" s="43">
        <v>0</v>
      </c>
      <c r="O4" s="15" t="e">
        <f>HYPERLINK("mailto:"&amp;#REF!&amp;"&amp;subject=Your NSF Proposal:  "&amp;ckCodingTable[[#This Row],[prop_id]], #REF!)</f>
        <v>#REF!</v>
      </c>
      <c r="P4">
        <f xml:space="preserve"> P3+(ckCodingTable[ILN]&lt;"M")</f>
        <v>3</v>
      </c>
      <c r="Q4" t="s">
        <v>102</v>
      </c>
      <c r="R4" t="s">
        <v>663</v>
      </c>
      <c r="S4" s="15" t="str">
        <f>HYPERLINK("https://www.ejacket.nsf.gov/ej/showProposal.do?ID="&amp;ckCodingTable[[#This Row],[prop_id]],"eJ")</f>
        <v>eJ</v>
      </c>
      <c r="T4" t="s">
        <v>663</v>
      </c>
      <c r="U4" t="s">
        <v>730</v>
      </c>
      <c r="V4" t="s">
        <v>285</v>
      </c>
      <c r="W4" s="34">
        <v>43282</v>
      </c>
      <c r="X4">
        <v>60</v>
      </c>
      <c r="Y4">
        <v>5</v>
      </c>
      <c r="Z4">
        <v>1</v>
      </c>
      <c r="AA4" t="s">
        <v>735</v>
      </c>
      <c r="AB4" s="8"/>
      <c r="AC4">
        <v>0</v>
      </c>
      <c r="AD4">
        <v>0</v>
      </c>
      <c r="AE4">
        <v>0</v>
      </c>
      <c r="AF4">
        <v>0</v>
      </c>
      <c r="AG4" t="s">
        <v>194</v>
      </c>
      <c r="AH4" t="s">
        <v>193</v>
      </c>
      <c r="AI4" t="s">
        <v>191</v>
      </c>
      <c r="AJ4" t="s">
        <v>245</v>
      </c>
      <c r="AK4" t="s">
        <v>731</v>
      </c>
      <c r="AL4" t="s">
        <v>732</v>
      </c>
      <c r="AM4" t="s">
        <v>733</v>
      </c>
      <c r="AN4">
        <v>1</v>
      </c>
      <c r="AP4">
        <v>3.13</v>
      </c>
      <c r="AQ4" t="s">
        <v>734</v>
      </c>
      <c r="AR4">
        <v>6.8</v>
      </c>
      <c r="AS4" s="8">
        <v>43032.510416666664</v>
      </c>
      <c r="AT4">
        <v>5</v>
      </c>
      <c r="AY4">
        <v>545000</v>
      </c>
      <c r="AZ4">
        <v>0</v>
      </c>
      <c r="BA4">
        <v>545000</v>
      </c>
      <c r="BE4">
        <v>8000</v>
      </c>
      <c r="BF4">
        <v>5</v>
      </c>
      <c r="BG4">
        <v>5</v>
      </c>
      <c r="BH4">
        <v>6.5</v>
      </c>
      <c r="BN4"/>
      <c r="BR4"/>
    </row>
    <row r="5" spans="1:70" x14ac:dyDescent="0.4">
      <c r="A5" s="34">
        <v>42933.713888888888</v>
      </c>
      <c r="B5" t="s">
        <v>279</v>
      </c>
      <c r="C5" t="s">
        <v>243</v>
      </c>
      <c r="D5" t="s">
        <v>712</v>
      </c>
      <c r="E5" t="s">
        <v>713</v>
      </c>
      <c r="F5" t="s">
        <v>100</v>
      </c>
      <c r="G5" t="s">
        <v>302</v>
      </c>
      <c r="H5" t="b">
        <f>_xlfn.XOR(IFERROR(MATCH(ckCodingTable[[#This Row],[st_code]],EpscorTable[],0)&gt;0,FALSE),IFERROR(FIND("9150",#REF!)&gt;0,FALSE))</f>
        <v>0</v>
      </c>
      <c r="I5" t="b">
        <f>_xlfn.XOR(ckCodingTable[[#This Row],[WMD]]&lt;&gt;"",IFERROR(FIND("9102",#REF!)&gt;0,FALSE))</f>
        <v>0</v>
      </c>
      <c r="J5" t="str">
        <f t="shared" si="0"/>
        <v/>
      </c>
      <c r="K5" t="s">
        <v>711</v>
      </c>
      <c r="L5" s="25"/>
      <c r="M5" s="43">
        <v>1</v>
      </c>
      <c r="N5" s="43">
        <v>0</v>
      </c>
      <c r="O5" s="15" t="e">
        <f>HYPERLINK("mailto:"&amp;#REF!&amp;"&amp;subject=Your NSF Proposal:  "&amp;ckCodingTable[[#This Row],[prop_id]], #REF!)</f>
        <v>#REF!</v>
      </c>
      <c r="P5">
        <f xml:space="preserve"> P4+(ckCodingTable[ILN]&lt;"M")</f>
        <v>4</v>
      </c>
      <c r="Q5" t="s">
        <v>102</v>
      </c>
      <c r="R5" t="s">
        <v>664</v>
      </c>
      <c r="S5" s="15" t="str">
        <f>HYPERLINK("https://www.ejacket.nsf.gov/ej/showProposal.do?ID="&amp;ckCodingTable[[#This Row],[prop_id]],"eJ")</f>
        <v>eJ</v>
      </c>
      <c r="T5" t="s">
        <v>664</v>
      </c>
      <c r="U5" t="s">
        <v>736</v>
      </c>
      <c r="V5" t="s">
        <v>737</v>
      </c>
      <c r="W5" s="34">
        <v>43344</v>
      </c>
      <c r="X5">
        <v>60</v>
      </c>
      <c r="Y5">
        <v>4</v>
      </c>
      <c r="Z5">
        <v>1</v>
      </c>
      <c r="AA5" t="s">
        <v>740</v>
      </c>
      <c r="AB5" s="8"/>
      <c r="AC5">
        <v>0</v>
      </c>
      <c r="AD5">
        <v>0</v>
      </c>
      <c r="AE5">
        <v>0</v>
      </c>
      <c r="AF5">
        <v>0</v>
      </c>
      <c r="AG5" t="s">
        <v>194</v>
      </c>
      <c r="AH5" t="s">
        <v>193</v>
      </c>
      <c r="AI5" t="s">
        <v>191</v>
      </c>
      <c r="AJ5" t="s">
        <v>245</v>
      </c>
      <c r="AK5" t="s">
        <v>284</v>
      </c>
      <c r="AL5" t="s">
        <v>738</v>
      </c>
      <c r="AM5" t="s">
        <v>718</v>
      </c>
      <c r="AN5">
        <v>1</v>
      </c>
      <c r="AP5">
        <v>2.0299999999999998</v>
      </c>
      <c r="AQ5" t="s">
        <v>739</v>
      </c>
      <c r="AR5">
        <v>7</v>
      </c>
      <c r="AS5" s="8">
        <v>43031.584027777775</v>
      </c>
      <c r="AT5">
        <v>4</v>
      </c>
      <c r="AY5">
        <v>500000</v>
      </c>
      <c r="AZ5">
        <v>0</v>
      </c>
      <c r="BA5">
        <v>500000</v>
      </c>
      <c r="BC5">
        <v>12416</v>
      </c>
      <c r="BF5">
        <v>5</v>
      </c>
      <c r="BG5">
        <v>5</v>
      </c>
      <c r="BH5">
        <v>5</v>
      </c>
      <c r="BN5"/>
      <c r="BR5"/>
    </row>
    <row r="6" spans="1:70" x14ac:dyDescent="0.4">
      <c r="A6" s="34">
        <v>42933.820138888892</v>
      </c>
      <c r="B6" t="s">
        <v>279</v>
      </c>
      <c r="C6" t="s">
        <v>243</v>
      </c>
      <c r="D6" t="s">
        <v>712</v>
      </c>
      <c r="E6" t="s">
        <v>713</v>
      </c>
      <c r="F6" t="s">
        <v>100</v>
      </c>
      <c r="G6" t="s">
        <v>304</v>
      </c>
      <c r="H6" t="b">
        <f>_xlfn.XOR(IFERROR(MATCH(ckCodingTable[[#This Row],[st_code]],EpscorTable[],0)&gt;0,FALSE),IFERROR(FIND("9150",#REF!)&gt;0,FALSE))</f>
        <v>0</v>
      </c>
      <c r="I6" t="b">
        <f>_xlfn.XOR(ckCodingTable[[#This Row],[WMD]]&lt;&gt;"",IFERROR(FIND("9102",#REF!)&gt;0,FALSE))</f>
        <v>0</v>
      </c>
      <c r="J6" t="str">
        <f t="shared" si="0"/>
        <v/>
      </c>
      <c r="K6" t="s">
        <v>711</v>
      </c>
      <c r="L6" s="25"/>
      <c r="M6" s="43">
        <v>1</v>
      </c>
      <c r="N6" s="43">
        <v>0</v>
      </c>
      <c r="O6" s="15" t="e">
        <f>HYPERLINK("mailto:"&amp;#REF!&amp;"&amp;subject=Your NSF Proposal:  "&amp;ckCodingTable[[#This Row],[prop_id]], #REF!)</f>
        <v>#REF!</v>
      </c>
      <c r="P6">
        <f xml:space="preserve"> P5+(ckCodingTable[ILN]&lt;"M")</f>
        <v>5</v>
      </c>
      <c r="Q6" t="s">
        <v>102</v>
      </c>
      <c r="R6" t="s">
        <v>665</v>
      </c>
      <c r="S6" s="15" t="str">
        <f>HYPERLINK("https://www.ejacket.nsf.gov/ej/showProposal.do?ID="&amp;ckCodingTable[[#This Row],[prop_id]],"eJ")</f>
        <v>eJ</v>
      </c>
      <c r="T6" t="s">
        <v>665</v>
      </c>
      <c r="U6" t="s">
        <v>741</v>
      </c>
      <c r="V6" t="s">
        <v>742</v>
      </c>
      <c r="W6" s="34">
        <v>43175</v>
      </c>
      <c r="X6">
        <v>60</v>
      </c>
      <c r="Y6">
        <v>4</v>
      </c>
      <c r="Z6">
        <v>1</v>
      </c>
      <c r="AA6" t="s">
        <v>745</v>
      </c>
      <c r="AB6" s="8"/>
      <c r="AC6">
        <v>0</v>
      </c>
      <c r="AD6">
        <v>0</v>
      </c>
      <c r="AE6">
        <v>0</v>
      </c>
      <c r="AF6">
        <v>0</v>
      </c>
      <c r="AG6" t="s">
        <v>194</v>
      </c>
      <c r="AH6" t="s">
        <v>193</v>
      </c>
      <c r="AI6" t="s">
        <v>191</v>
      </c>
      <c r="AJ6" t="s">
        <v>245</v>
      </c>
      <c r="AK6" t="s">
        <v>281</v>
      </c>
      <c r="AL6" t="s">
        <v>743</v>
      </c>
      <c r="AM6" t="s">
        <v>718</v>
      </c>
      <c r="AN6">
        <v>1</v>
      </c>
      <c r="AP6">
        <v>1.01</v>
      </c>
      <c r="AQ6" t="s">
        <v>744</v>
      </c>
      <c r="AR6">
        <v>8</v>
      </c>
      <c r="AS6" s="8">
        <v>43031.375694444447</v>
      </c>
      <c r="AT6">
        <v>4</v>
      </c>
      <c r="AY6">
        <v>549841</v>
      </c>
      <c r="AZ6">
        <v>0</v>
      </c>
      <c r="BA6">
        <v>549841</v>
      </c>
      <c r="BF6">
        <v>5</v>
      </c>
      <c r="BG6">
        <v>5</v>
      </c>
      <c r="BH6">
        <v>2.5</v>
      </c>
      <c r="BJ6">
        <v>2.5</v>
      </c>
      <c r="BN6"/>
      <c r="BR6"/>
    </row>
    <row r="7" spans="1:70" x14ac:dyDescent="0.4">
      <c r="A7" s="34">
        <v>42934.453472222223</v>
      </c>
      <c r="B7" t="s">
        <v>279</v>
      </c>
      <c r="C7" t="s">
        <v>243</v>
      </c>
      <c r="D7" t="s">
        <v>712</v>
      </c>
      <c r="E7" t="s">
        <v>729</v>
      </c>
      <c r="F7" t="s">
        <v>100</v>
      </c>
      <c r="G7" t="s">
        <v>305</v>
      </c>
      <c r="H7" t="b">
        <f>_xlfn.XOR(IFERROR(MATCH(ckCodingTable[[#This Row],[st_code]],EpscorTable[],0)&gt;0,FALSE),IFERROR(FIND("9150",#REF!)&gt;0,FALSE))</f>
        <v>0</v>
      </c>
      <c r="I7" t="b">
        <f>_xlfn.XOR(ckCodingTable[[#This Row],[WMD]]&lt;&gt;"",IFERROR(FIND("9102",#REF!)&gt;0,FALSE))</f>
        <v>0</v>
      </c>
      <c r="J7" t="str">
        <f t="shared" si="0"/>
        <v/>
      </c>
      <c r="K7" t="s">
        <v>711</v>
      </c>
      <c r="L7" s="25"/>
      <c r="M7" s="43">
        <v>1</v>
      </c>
      <c r="N7" s="43">
        <v>0</v>
      </c>
      <c r="O7" s="15" t="e">
        <f>HYPERLINK("mailto:"&amp;#REF!&amp;"&amp;subject=Your NSF Proposal:  "&amp;ckCodingTable[[#This Row],[prop_id]], #REF!)</f>
        <v>#REF!</v>
      </c>
      <c r="P7">
        <f xml:space="preserve"> P6+(ckCodingTable[ILN]&lt;"M")</f>
        <v>6</v>
      </c>
      <c r="Q7" t="s">
        <v>102</v>
      </c>
      <c r="R7" t="s">
        <v>666</v>
      </c>
      <c r="S7" s="15" t="str">
        <f>HYPERLINK("https://www.ejacket.nsf.gov/ej/showProposal.do?ID="&amp;ckCodingTable[[#This Row],[prop_id]],"eJ")</f>
        <v>eJ</v>
      </c>
      <c r="T7" t="s">
        <v>666</v>
      </c>
      <c r="U7" t="s">
        <v>746</v>
      </c>
      <c r="V7" t="s">
        <v>747</v>
      </c>
      <c r="W7" s="34">
        <v>43282</v>
      </c>
      <c r="X7">
        <v>60</v>
      </c>
      <c r="Y7">
        <v>4</v>
      </c>
      <c r="Z7">
        <v>1</v>
      </c>
      <c r="AA7" t="s">
        <v>751</v>
      </c>
      <c r="AB7" s="8"/>
      <c r="AC7">
        <v>0</v>
      </c>
      <c r="AD7">
        <v>0</v>
      </c>
      <c r="AE7">
        <v>0</v>
      </c>
      <c r="AF7">
        <v>0</v>
      </c>
      <c r="AG7" t="s">
        <v>194</v>
      </c>
      <c r="AH7" t="s">
        <v>193</v>
      </c>
      <c r="AI7" t="s">
        <v>191</v>
      </c>
      <c r="AJ7" t="s">
        <v>245</v>
      </c>
      <c r="AK7" t="s">
        <v>748</v>
      </c>
      <c r="AL7" t="s">
        <v>749</v>
      </c>
      <c r="AM7" t="s">
        <v>718</v>
      </c>
      <c r="AN7">
        <v>1</v>
      </c>
      <c r="AP7">
        <v>2.1</v>
      </c>
      <c r="AQ7" t="s">
        <v>750</v>
      </c>
      <c r="AR7">
        <v>6.5</v>
      </c>
      <c r="AS7" s="8">
        <v>43032.518055555556</v>
      </c>
      <c r="AT7">
        <v>4</v>
      </c>
      <c r="AY7">
        <v>514477</v>
      </c>
      <c r="AZ7">
        <v>0</v>
      </c>
      <c r="BA7">
        <v>514477</v>
      </c>
      <c r="BF7">
        <v>10</v>
      </c>
      <c r="BG7">
        <v>4</v>
      </c>
      <c r="BH7">
        <v>7</v>
      </c>
      <c r="BN7"/>
      <c r="BR7"/>
    </row>
    <row r="8" spans="1:70" x14ac:dyDescent="0.4">
      <c r="A8" s="34">
        <v>42934.507638888892</v>
      </c>
      <c r="B8" t="s">
        <v>279</v>
      </c>
      <c r="C8" t="s">
        <v>243</v>
      </c>
      <c r="D8" t="s">
        <v>712</v>
      </c>
      <c r="E8" t="s">
        <v>729</v>
      </c>
      <c r="F8" t="s">
        <v>100</v>
      </c>
      <c r="G8" t="s">
        <v>305</v>
      </c>
      <c r="H8" t="b">
        <f>_xlfn.XOR(IFERROR(MATCH(ckCodingTable[[#This Row],[st_code]],EpscorTable[],0)&gt;0,FALSE),IFERROR(FIND("9150",#REF!)&gt;0,FALSE))</f>
        <v>0</v>
      </c>
      <c r="I8" t="b">
        <f>_xlfn.XOR(ckCodingTable[[#This Row],[WMD]]&lt;&gt;"",IFERROR(FIND("9102",#REF!)&gt;0,FALSE))</f>
        <v>0</v>
      </c>
      <c r="J8" t="str">
        <f t="shared" si="0"/>
        <v/>
      </c>
      <c r="K8" t="s">
        <v>711</v>
      </c>
      <c r="L8" s="25"/>
      <c r="M8" s="43">
        <v>0</v>
      </c>
      <c r="N8" s="43">
        <v>0</v>
      </c>
      <c r="O8" s="15" t="e">
        <f>HYPERLINK("mailto:"&amp;#REF!&amp;"&amp;subject=Your NSF Proposal:  "&amp;ckCodingTable[[#This Row],[prop_id]], #REF!)</f>
        <v>#REF!</v>
      </c>
      <c r="P8">
        <f xml:space="preserve"> P7+(ckCodingTable[ILN]&lt;"M")</f>
        <v>7</v>
      </c>
      <c r="Q8" t="s">
        <v>102</v>
      </c>
      <c r="R8" t="s">
        <v>667</v>
      </c>
      <c r="S8" s="15" t="str">
        <f>HYPERLINK("https://www.ejacket.nsf.gov/ej/showProposal.do?ID="&amp;ckCodingTable[[#This Row],[prop_id]],"eJ")</f>
        <v>eJ</v>
      </c>
      <c r="T8" t="s">
        <v>667</v>
      </c>
      <c r="U8" t="s">
        <v>752</v>
      </c>
      <c r="V8" t="s">
        <v>753</v>
      </c>
      <c r="W8" s="34">
        <v>43009</v>
      </c>
      <c r="X8">
        <v>60</v>
      </c>
      <c r="Y8">
        <v>4</v>
      </c>
      <c r="Z8">
        <v>1</v>
      </c>
      <c r="AA8" t="s">
        <v>757</v>
      </c>
      <c r="AB8" s="8"/>
      <c r="AC8">
        <v>0</v>
      </c>
      <c r="AD8">
        <v>0</v>
      </c>
      <c r="AE8">
        <v>0</v>
      </c>
      <c r="AF8">
        <v>0</v>
      </c>
      <c r="AG8" t="s">
        <v>194</v>
      </c>
      <c r="AH8" t="s">
        <v>193</v>
      </c>
      <c r="AI8" t="s">
        <v>191</v>
      </c>
      <c r="AJ8" t="s">
        <v>245</v>
      </c>
      <c r="AK8" t="s">
        <v>754</v>
      </c>
      <c r="AL8" t="s">
        <v>755</v>
      </c>
      <c r="AM8" t="s">
        <v>288</v>
      </c>
      <c r="AN8">
        <v>1</v>
      </c>
      <c r="AP8">
        <v>2.0699999999999998</v>
      </c>
      <c r="AQ8" t="s">
        <v>756</v>
      </c>
      <c r="AR8">
        <v>7.5</v>
      </c>
      <c r="AS8" s="8">
        <v>43032.515277777777</v>
      </c>
      <c r="AT8">
        <v>4</v>
      </c>
      <c r="AY8">
        <v>500000</v>
      </c>
      <c r="AZ8">
        <v>0</v>
      </c>
      <c r="BA8">
        <v>500000</v>
      </c>
      <c r="BE8">
        <v>7500</v>
      </c>
      <c r="BF8">
        <v>5</v>
      </c>
      <c r="BG8">
        <v>5</v>
      </c>
      <c r="BH8">
        <v>6.75</v>
      </c>
      <c r="BN8"/>
      <c r="BR8"/>
    </row>
    <row r="9" spans="1:70" x14ac:dyDescent="0.4">
      <c r="A9" s="34">
        <v>42934.524305555555</v>
      </c>
      <c r="B9" t="s">
        <v>279</v>
      </c>
      <c r="C9" t="s">
        <v>243</v>
      </c>
      <c r="D9" t="s">
        <v>712</v>
      </c>
      <c r="E9" t="s">
        <v>758</v>
      </c>
      <c r="F9" t="s">
        <v>100</v>
      </c>
      <c r="G9" t="s">
        <v>762</v>
      </c>
      <c r="H9" t="b">
        <f>_xlfn.XOR(IFERROR(MATCH(ckCodingTable[[#This Row],[st_code]],EpscorTable[],0)&gt;0,FALSE),IFERROR(FIND("9150",#REF!)&gt;0,FALSE))</f>
        <v>0</v>
      </c>
      <c r="I9" t="b">
        <f>_xlfn.XOR(ckCodingTable[[#This Row],[WMD]]&lt;&gt;"",IFERROR(FIND("9102",#REF!)&gt;0,FALSE))</f>
        <v>0</v>
      </c>
      <c r="J9" t="str">
        <f t="shared" si="0"/>
        <v/>
      </c>
      <c r="K9" t="s">
        <v>711</v>
      </c>
      <c r="L9" s="25"/>
      <c r="M9" s="43">
        <v>1</v>
      </c>
      <c r="N9" s="43">
        <v>0</v>
      </c>
      <c r="O9" s="15" t="e">
        <f>HYPERLINK("mailto:"&amp;#REF!&amp;"&amp;subject=Your NSF Proposal:  "&amp;ckCodingTable[[#This Row],[prop_id]], #REF!)</f>
        <v>#REF!</v>
      </c>
      <c r="P9">
        <f xml:space="preserve"> P8+(ckCodingTable[ILN]&lt;"M")</f>
        <v>8</v>
      </c>
      <c r="Q9" t="s">
        <v>102</v>
      </c>
      <c r="R9" t="s">
        <v>668</v>
      </c>
      <c r="S9" s="15" t="str">
        <f>HYPERLINK("https://www.ejacket.nsf.gov/ej/showProposal.do?ID="&amp;ckCodingTable[[#This Row],[prop_id]],"eJ")</f>
        <v>eJ</v>
      </c>
      <c r="T9" t="s">
        <v>668</v>
      </c>
      <c r="U9" t="s">
        <v>759</v>
      </c>
      <c r="V9" t="s">
        <v>760</v>
      </c>
      <c r="W9" s="34">
        <v>43115</v>
      </c>
      <c r="X9">
        <v>60</v>
      </c>
      <c r="Y9">
        <v>4</v>
      </c>
      <c r="Z9">
        <v>1</v>
      </c>
      <c r="AA9" t="s">
        <v>765</v>
      </c>
      <c r="AB9" s="8"/>
      <c r="AC9">
        <v>0</v>
      </c>
      <c r="AD9">
        <v>0</v>
      </c>
      <c r="AE9">
        <v>0</v>
      </c>
      <c r="AF9">
        <v>0</v>
      </c>
      <c r="AG9" t="s">
        <v>194</v>
      </c>
      <c r="AH9" t="s">
        <v>193</v>
      </c>
      <c r="AI9" t="s">
        <v>191</v>
      </c>
      <c r="AJ9" t="s">
        <v>245</v>
      </c>
      <c r="AK9" t="s">
        <v>761</v>
      </c>
      <c r="AL9" t="s">
        <v>763</v>
      </c>
      <c r="AM9" t="s">
        <v>718</v>
      </c>
      <c r="AN9">
        <v>1</v>
      </c>
      <c r="AP9">
        <v>2.06</v>
      </c>
      <c r="AQ9" t="s">
        <v>764</v>
      </c>
      <c r="AR9">
        <v>6.75</v>
      </c>
      <c r="AS9" s="8">
        <v>43030.722916666666</v>
      </c>
      <c r="AT9">
        <v>4</v>
      </c>
      <c r="AY9">
        <v>446040</v>
      </c>
      <c r="AZ9">
        <v>0</v>
      </c>
      <c r="BA9">
        <v>446040</v>
      </c>
      <c r="BC9">
        <v>20000</v>
      </c>
      <c r="BF9">
        <v>5</v>
      </c>
      <c r="BG9">
        <v>5</v>
      </c>
      <c r="BH9">
        <v>5</v>
      </c>
      <c r="BN9"/>
      <c r="BR9"/>
    </row>
    <row r="10" spans="1:70" x14ac:dyDescent="0.4">
      <c r="A10" s="34">
        <v>42934.695138888892</v>
      </c>
      <c r="B10" t="s">
        <v>279</v>
      </c>
      <c r="C10" t="s">
        <v>243</v>
      </c>
      <c r="D10" t="s">
        <v>712</v>
      </c>
      <c r="E10" t="s">
        <v>713</v>
      </c>
      <c r="F10" t="s">
        <v>100</v>
      </c>
      <c r="G10" t="s">
        <v>308</v>
      </c>
      <c r="H10" t="b">
        <f>_xlfn.XOR(IFERROR(MATCH(ckCodingTable[[#This Row],[st_code]],EpscorTable[],0)&gt;0,FALSE),IFERROR(FIND("9150",#REF!)&gt;0,FALSE))</f>
        <v>0</v>
      </c>
      <c r="I10" t="b">
        <f>_xlfn.XOR(ckCodingTable[[#This Row],[WMD]]&lt;&gt;"",IFERROR(FIND("9102",#REF!)&gt;0,FALSE))</f>
        <v>0</v>
      </c>
      <c r="J10" t="str">
        <f t="shared" si="0"/>
        <v/>
      </c>
      <c r="K10" t="s">
        <v>711</v>
      </c>
      <c r="L10" s="25"/>
      <c r="M10" s="43">
        <v>1</v>
      </c>
      <c r="N10" s="43">
        <v>0</v>
      </c>
      <c r="O10" s="15" t="e">
        <f>HYPERLINK("mailto:"&amp;#REF!&amp;"&amp;subject=Your NSF Proposal:  "&amp;ckCodingTable[[#This Row],[prop_id]], #REF!)</f>
        <v>#REF!</v>
      </c>
      <c r="P10">
        <f xml:space="preserve"> P9+(ckCodingTable[ILN]&lt;"M")</f>
        <v>9</v>
      </c>
      <c r="Q10" t="s">
        <v>102</v>
      </c>
      <c r="R10" t="s">
        <v>669</v>
      </c>
      <c r="S10" s="15" t="str">
        <f>HYPERLINK("https://www.ejacket.nsf.gov/ej/showProposal.do?ID="&amp;ckCodingTable[[#This Row],[prop_id]],"eJ")</f>
        <v>eJ</v>
      </c>
      <c r="T10" t="s">
        <v>669</v>
      </c>
      <c r="U10" t="s">
        <v>766</v>
      </c>
      <c r="V10" t="s">
        <v>767</v>
      </c>
      <c r="W10" s="34">
        <v>43101</v>
      </c>
      <c r="X10">
        <v>60</v>
      </c>
      <c r="Y10">
        <v>4</v>
      </c>
      <c r="Z10">
        <v>1</v>
      </c>
      <c r="AA10" t="s">
        <v>770</v>
      </c>
      <c r="AB10" s="8"/>
      <c r="AC10">
        <v>0</v>
      </c>
      <c r="AD10">
        <v>0</v>
      </c>
      <c r="AE10">
        <v>0</v>
      </c>
      <c r="AF10">
        <v>0</v>
      </c>
      <c r="AG10" t="s">
        <v>194</v>
      </c>
      <c r="AH10" t="s">
        <v>193</v>
      </c>
      <c r="AI10" t="s">
        <v>191</v>
      </c>
      <c r="AJ10" t="s">
        <v>245</v>
      </c>
      <c r="AK10" t="s">
        <v>244</v>
      </c>
      <c r="AL10" t="s">
        <v>768</v>
      </c>
      <c r="AM10" t="s">
        <v>726</v>
      </c>
      <c r="AN10">
        <v>1</v>
      </c>
      <c r="AP10">
        <v>3.13</v>
      </c>
      <c r="AQ10" t="s">
        <v>769</v>
      </c>
      <c r="AR10">
        <v>6.25</v>
      </c>
      <c r="AS10" s="8">
        <v>43030.972222222219</v>
      </c>
      <c r="AT10">
        <v>4</v>
      </c>
      <c r="AY10">
        <v>550000</v>
      </c>
      <c r="AZ10">
        <v>0</v>
      </c>
      <c r="BA10">
        <v>550000</v>
      </c>
      <c r="BF10">
        <v>5</v>
      </c>
      <c r="BG10">
        <v>5</v>
      </c>
      <c r="BH10">
        <v>2.5</v>
      </c>
      <c r="BN10"/>
      <c r="BR10"/>
    </row>
    <row r="11" spans="1:70" x14ac:dyDescent="0.4">
      <c r="A11" s="34">
        <v>42934.737500000003</v>
      </c>
      <c r="B11" t="s">
        <v>279</v>
      </c>
      <c r="C11" t="s">
        <v>243</v>
      </c>
      <c r="D11" t="s">
        <v>712</v>
      </c>
      <c r="E11" t="s">
        <v>758</v>
      </c>
      <c r="F11" t="s">
        <v>100</v>
      </c>
      <c r="G11" t="s">
        <v>762</v>
      </c>
      <c r="H11" t="b">
        <f>_xlfn.XOR(IFERROR(MATCH(ckCodingTable[[#This Row],[st_code]],EpscorTable[],0)&gt;0,FALSE),IFERROR(FIND("9150",#REF!)&gt;0,FALSE))</f>
        <v>0</v>
      </c>
      <c r="I11" t="b">
        <f>_xlfn.XOR(ckCodingTable[[#This Row],[WMD]]&lt;&gt;"",IFERROR(FIND("9102",#REF!)&gt;0,FALSE))</f>
        <v>0</v>
      </c>
      <c r="J11" t="str">
        <f t="shared" si="0"/>
        <v/>
      </c>
      <c r="K11" t="s">
        <v>711</v>
      </c>
      <c r="L11" s="25"/>
      <c r="M11" s="43">
        <v>1</v>
      </c>
      <c r="N11" s="43">
        <v>0</v>
      </c>
      <c r="O11" s="15" t="e">
        <f>HYPERLINK("mailto:"&amp;#REF!&amp;"&amp;subject=Your NSF Proposal:  "&amp;ckCodingTable[[#This Row],[prop_id]], #REF!)</f>
        <v>#REF!</v>
      </c>
      <c r="P11">
        <f xml:space="preserve"> P10+(ckCodingTable[ILN]&lt;"M")</f>
        <v>10</v>
      </c>
      <c r="Q11" t="s">
        <v>102</v>
      </c>
      <c r="R11" t="s">
        <v>670</v>
      </c>
      <c r="S11" s="15" t="str">
        <f>HYPERLINK("https://www.ejacket.nsf.gov/ej/showProposal.do?ID="&amp;ckCodingTable[[#This Row],[prop_id]],"eJ")</f>
        <v>eJ</v>
      </c>
      <c r="T11" t="s">
        <v>670</v>
      </c>
      <c r="U11" t="s">
        <v>771</v>
      </c>
      <c r="V11" t="s">
        <v>772</v>
      </c>
      <c r="W11" s="34">
        <v>43132</v>
      </c>
      <c r="X11">
        <v>60</v>
      </c>
      <c r="Y11">
        <v>4</v>
      </c>
      <c r="Z11">
        <v>1</v>
      </c>
      <c r="AA11" t="s">
        <v>775</v>
      </c>
      <c r="AB11" s="8"/>
      <c r="AC11">
        <v>0</v>
      </c>
      <c r="AD11">
        <v>0</v>
      </c>
      <c r="AE11">
        <v>0</v>
      </c>
      <c r="AF11">
        <v>0</v>
      </c>
      <c r="AG11" t="s">
        <v>194</v>
      </c>
      <c r="AH11" t="s">
        <v>193</v>
      </c>
      <c r="AI11" t="s">
        <v>191</v>
      </c>
      <c r="AJ11" t="s">
        <v>245</v>
      </c>
      <c r="AK11" t="s">
        <v>761</v>
      </c>
      <c r="AL11" t="s">
        <v>773</v>
      </c>
      <c r="AM11" t="s">
        <v>733</v>
      </c>
      <c r="AN11">
        <v>1</v>
      </c>
      <c r="AP11">
        <v>3.13</v>
      </c>
      <c r="AQ11" t="s">
        <v>774</v>
      </c>
      <c r="AR11">
        <v>4.5</v>
      </c>
      <c r="AS11" s="8">
        <v>43031.922222222223</v>
      </c>
      <c r="AT11">
        <v>4</v>
      </c>
      <c r="AY11">
        <v>524117</v>
      </c>
      <c r="AZ11">
        <v>0</v>
      </c>
      <c r="BA11">
        <v>524117</v>
      </c>
      <c r="BC11">
        <v>11250</v>
      </c>
      <c r="BF11">
        <v>5</v>
      </c>
      <c r="BG11">
        <v>5</v>
      </c>
      <c r="BH11">
        <v>2.5</v>
      </c>
      <c r="BN11"/>
      <c r="BR11"/>
    </row>
    <row r="12" spans="1:70" x14ac:dyDescent="0.4">
      <c r="A12" s="34">
        <v>42934.808333333334</v>
      </c>
      <c r="B12" t="s">
        <v>279</v>
      </c>
      <c r="C12" t="s">
        <v>243</v>
      </c>
      <c r="D12" t="s">
        <v>712</v>
      </c>
      <c r="E12" t="s">
        <v>713</v>
      </c>
      <c r="F12" t="s">
        <v>100</v>
      </c>
      <c r="G12" t="s">
        <v>305</v>
      </c>
      <c r="H12" t="b">
        <f>_xlfn.XOR(IFERROR(MATCH(ckCodingTable[[#This Row],[st_code]],EpscorTable[],0)&gt;0,FALSE),IFERROR(FIND("9150",#REF!)&gt;0,FALSE))</f>
        <v>0</v>
      </c>
      <c r="I12" t="b">
        <f>_xlfn.XOR(ckCodingTable[[#This Row],[WMD]]&lt;&gt;"",IFERROR(FIND("9102",#REF!)&gt;0,FALSE))</f>
        <v>0</v>
      </c>
      <c r="J12" t="str">
        <f t="shared" si="0"/>
        <v/>
      </c>
      <c r="K12" t="s">
        <v>711</v>
      </c>
      <c r="L12" s="25"/>
      <c r="M12" s="43">
        <v>1</v>
      </c>
      <c r="N12" s="43">
        <v>0</v>
      </c>
      <c r="O12" s="15" t="e">
        <f>HYPERLINK("mailto:"&amp;#REF!&amp;"&amp;subject=Your NSF Proposal:  "&amp;ckCodingTable[[#This Row],[prop_id]], #REF!)</f>
        <v>#REF!</v>
      </c>
      <c r="P12">
        <f xml:space="preserve"> P11+(ckCodingTable[ILN]&lt;"M")</f>
        <v>11</v>
      </c>
      <c r="Q12" t="s">
        <v>102</v>
      </c>
      <c r="R12" t="s">
        <v>671</v>
      </c>
      <c r="S12" s="15" t="str">
        <f>HYPERLINK("https://www.ejacket.nsf.gov/ej/showProposal.do?ID="&amp;ckCodingTable[[#This Row],[prop_id]],"eJ")</f>
        <v>eJ</v>
      </c>
      <c r="T12" t="s">
        <v>671</v>
      </c>
      <c r="U12" t="s">
        <v>776</v>
      </c>
      <c r="V12" t="s">
        <v>777</v>
      </c>
      <c r="W12" s="34">
        <v>43101</v>
      </c>
      <c r="X12">
        <v>60</v>
      </c>
      <c r="Y12">
        <v>4</v>
      </c>
      <c r="Z12">
        <v>1</v>
      </c>
      <c r="AA12" t="s">
        <v>782</v>
      </c>
      <c r="AB12" s="8"/>
      <c r="AC12">
        <v>0</v>
      </c>
      <c r="AD12">
        <v>0</v>
      </c>
      <c r="AE12">
        <v>0</v>
      </c>
      <c r="AF12">
        <v>0</v>
      </c>
      <c r="AG12" t="s">
        <v>194</v>
      </c>
      <c r="AH12" t="s">
        <v>193</v>
      </c>
      <c r="AI12" t="s">
        <v>191</v>
      </c>
      <c r="AJ12" t="s">
        <v>245</v>
      </c>
      <c r="AK12" t="s">
        <v>778</v>
      </c>
      <c r="AL12" t="s">
        <v>779</v>
      </c>
      <c r="AM12" t="s">
        <v>780</v>
      </c>
      <c r="AN12">
        <v>1</v>
      </c>
      <c r="AP12">
        <v>4.22</v>
      </c>
      <c r="AQ12" t="s">
        <v>781</v>
      </c>
      <c r="AR12">
        <v>4</v>
      </c>
      <c r="AS12" s="8">
        <v>43031.584027777775</v>
      </c>
      <c r="AT12">
        <v>4</v>
      </c>
      <c r="AY12">
        <v>440331</v>
      </c>
      <c r="AZ12">
        <v>0</v>
      </c>
      <c r="BA12">
        <v>440331</v>
      </c>
      <c r="BF12">
        <v>5</v>
      </c>
      <c r="BG12">
        <v>5</v>
      </c>
      <c r="BH12">
        <v>5</v>
      </c>
      <c r="BN12"/>
      <c r="BR12"/>
    </row>
    <row r="13" spans="1:70" x14ac:dyDescent="0.4">
      <c r="A13" s="34">
        <v>42935.359027777777</v>
      </c>
      <c r="B13" t="s">
        <v>279</v>
      </c>
      <c r="C13" t="s">
        <v>243</v>
      </c>
      <c r="D13" t="s">
        <v>712</v>
      </c>
      <c r="E13" t="s">
        <v>729</v>
      </c>
      <c r="F13" t="s">
        <v>100</v>
      </c>
      <c r="G13" t="s">
        <v>310</v>
      </c>
      <c r="H13" t="b">
        <f>_xlfn.XOR(IFERROR(MATCH(ckCodingTable[[#This Row],[st_code]],EpscorTable[],0)&gt;0,FALSE),IFERROR(FIND("9150",#REF!)&gt;0,FALSE))</f>
        <v>0</v>
      </c>
      <c r="I13" t="b">
        <f>_xlfn.XOR(ckCodingTable[[#This Row],[WMD]]&lt;&gt;"",IFERROR(FIND("9102",#REF!)&gt;0,FALSE))</f>
        <v>0</v>
      </c>
      <c r="J13" t="str">
        <f t="shared" si="0"/>
        <v/>
      </c>
      <c r="K13" t="s">
        <v>711</v>
      </c>
      <c r="L13" s="25"/>
      <c r="M13" s="43">
        <v>1</v>
      </c>
      <c r="N13" s="43">
        <v>0</v>
      </c>
      <c r="O13" s="15" t="e">
        <f>HYPERLINK("mailto:"&amp;#REF!&amp;"&amp;subject=Your NSF Proposal:  "&amp;ckCodingTable[[#This Row],[prop_id]], #REF!)</f>
        <v>#REF!</v>
      </c>
      <c r="P13">
        <f xml:space="preserve"> P12+(ckCodingTable[ILN]&lt;"M")</f>
        <v>12</v>
      </c>
      <c r="Q13" t="s">
        <v>102</v>
      </c>
      <c r="R13" t="s">
        <v>672</v>
      </c>
      <c r="S13" s="15" t="str">
        <f>HYPERLINK("https://www.ejacket.nsf.gov/ej/showProposal.do?ID="&amp;ckCodingTable[[#This Row],[prop_id]],"eJ")</f>
        <v>eJ</v>
      </c>
      <c r="T13" t="s">
        <v>672</v>
      </c>
      <c r="U13" t="s">
        <v>783</v>
      </c>
      <c r="V13" t="s">
        <v>784</v>
      </c>
      <c r="W13" s="34">
        <v>43344</v>
      </c>
      <c r="X13">
        <v>60</v>
      </c>
      <c r="Y13">
        <v>4</v>
      </c>
      <c r="Z13">
        <v>1</v>
      </c>
      <c r="AA13" t="s">
        <v>787</v>
      </c>
      <c r="AB13" s="8"/>
      <c r="AC13">
        <v>0</v>
      </c>
      <c r="AD13">
        <v>0</v>
      </c>
      <c r="AE13">
        <v>0</v>
      </c>
      <c r="AF13">
        <v>0</v>
      </c>
      <c r="AG13" t="s">
        <v>194</v>
      </c>
      <c r="AH13" t="s">
        <v>193</v>
      </c>
      <c r="AI13" t="s">
        <v>191</v>
      </c>
      <c r="AJ13" t="s">
        <v>245</v>
      </c>
      <c r="AK13" t="s">
        <v>241</v>
      </c>
      <c r="AL13" t="s">
        <v>785</v>
      </c>
      <c r="AM13" t="s">
        <v>718</v>
      </c>
      <c r="AN13">
        <v>1</v>
      </c>
      <c r="AP13">
        <v>3.13</v>
      </c>
      <c r="AQ13" t="s">
        <v>786</v>
      </c>
      <c r="AR13">
        <v>5.25</v>
      </c>
      <c r="AS13" s="8">
        <v>43031.584722222222</v>
      </c>
      <c r="AT13">
        <v>4</v>
      </c>
      <c r="AY13">
        <v>530842</v>
      </c>
      <c r="AZ13">
        <v>0</v>
      </c>
      <c r="BA13">
        <v>530842</v>
      </c>
      <c r="BC13">
        <v>10000</v>
      </c>
      <c r="BF13">
        <v>5</v>
      </c>
      <c r="BG13">
        <v>5</v>
      </c>
      <c r="BH13">
        <v>5</v>
      </c>
      <c r="BN13"/>
      <c r="BR13"/>
    </row>
    <row r="14" spans="1:70" x14ac:dyDescent="0.4">
      <c r="A14" s="34">
        <v>42935.374305555553</v>
      </c>
      <c r="B14" t="s">
        <v>279</v>
      </c>
      <c r="C14" t="s">
        <v>243</v>
      </c>
      <c r="D14" t="s">
        <v>712</v>
      </c>
      <c r="E14" t="s">
        <v>729</v>
      </c>
      <c r="F14" t="s">
        <v>100</v>
      </c>
      <c r="G14" t="s">
        <v>791</v>
      </c>
      <c r="H14" t="b">
        <f>_xlfn.XOR(IFERROR(MATCH(ckCodingTable[[#This Row],[st_code]],EpscorTable[],0)&gt;0,FALSE),IFERROR(FIND("9150",#REF!)&gt;0,FALSE))</f>
        <v>0</v>
      </c>
      <c r="I14" t="b">
        <f>_xlfn.XOR(ckCodingTable[[#This Row],[WMD]]&lt;&gt;"",IFERROR(FIND("9102",#REF!)&gt;0,FALSE))</f>
        <v>0</v>
      </c>
      <c r="J14" t="str">
        <f t="shared" si="0"/>
        <v/>
      </c>
      <c r="K14" t="s">
        <v>711</v>
      </c>
      <c r="L14" s="25"/>
      <c r="M14" s="43">
        <v>0</v>
      </c>
      <c r="N14" s="43">
        <v>0</v>
      </c>
      <c r="O14" s="15" t="e">
        <f>HYPERLINK("mailto:"&amp;#REF!&amp;"&amp;subject=Your NSF Proposal:  "&amp;ckCodingTable[[#This Row],[prop_id]], #REF!)</f>
        <v>#REF!</v>
      </c>
      <c r="P14">
        <f xml:space="preserve"> P13+(ckCodingTable[ILN]&lt;"M")</f>
        <v>13</v>
      </c>
      <c r="Q14" t="s">
        <v>102</v>
      </c>
      <c r="R14" t="s">
        <v>673</v>
      </c>
      <c r="S14" s="15" t="str">
        <f>HYPERLINK("https://www.ejacket.nsf.gov/ej/showProposal.do?ID="&amp;ckCodingTable[[#This Row],[prop_id]],"eJ")</f>
        <v>eJ</v>
      </c>
      <c r="T14" t="s">
        <v>673</v>
      </c>
      <c r="U14" t="s">
        <v>788</v>
      </c>
      <c r="V14" t="s">
        <v>789</v>
      </c>
      <c r="W14" s="34">
        <v>43221</v>
      </c>
      <c r="X14">
        <v>60</v>
      </c>
      <c r="Y14">
        <v>4</v>
      </c>
      <c r="Z14">
        <v>1</v>
      </c>
      <c r="AA14" t="s">
        <v>794</v>
      </c>
      <c r="AB14" s="8"/>
      <c r="AC14">
        <v>0</v>
      </c>
      <c r="AD14">
        <v>0</v>
      </c>
      <c r="AE14">
        <v>0</v>
      </c>
      <c r="AF14">
        <v>0</v>
      </c>
      <c r="AG14" t="s">
        <v>194</v>
      </c>
      <c r="AH14" t="s">
        <v>193</v>
      </c>
      <c r="AI14" t="s">
        <v>191</v>
      </c>
      <c r="AJ14" t="s">
        <v>245</v>
      </c>
      <c r="AK14" t="s">
        <v>790</v>
      </c>
      <c r="AL14" t="s">
        <v>792</v>
      </c>
      <c r="AM14" t="s">
        <v>288</v>
      </c>
      <c r="AN14">
        <v>1</v>
      </c>
      <c r="AP14">
        <v>2.0499999999999998</v>
      </c>
      <c r="AQ14" t="s">
        <v>793</v>
      </c>
      <c r="AR14">
        <v>7</v>
      </c>
      <c r="AS14" s="8">
        <v>43032.519444444442</v>
      </c>
      <c r="AT14">
        <v>4</v>
      </c>
      <c r="AY14">
        <v>524840</v>
      </c>
      <c r="AZ14">
        <v>0</v>
      </c>
      <c r="BA14">
        <v>524840</v>
      </c>
      <c r="BE14">
        <v>3000</v>
      </c>
      <c r="BF14">
        <v>5</v>
      </c>
      <c r="BG14">
        <v>5</v>
      </c>
      <c r="BH14">
        <v>5</v>
      </c>
      <c r="BN14"/>
      <c r="BR14"/>
    </row>
    <row r="15" spans="1:70" x14ac:dyDescent="0.4">
      <c r="A15" s="34">
        <v>42935.387499999997</v>
      </c>
      <c r="B15" t="s">
        <v>279</v>
      </c>
      <c r="C15" t="s">
        <v>243</v>
      </c>
      <c r="D15" t="s">
        <v>712</v>
      </c>
      <c r="E15" t="s">
        <v>729</v>
      </c>
      <c r="F15" t="s">
        <v>100</v>
      </c>
      <c r="G15" t="s">
        <v>798</v>
      </c>
      <c r="H15" t="b">
        <f>_xlfn.XOR(IFERROR(MATCH(ckCodingTable[[#This Row],[st_code]],EpscorTable[],0)&gt;0,FALSE),IFERROR(FIND("9150",#REF!)&gt;0,FALSE))</f>
        <v>0</v>
      </c>
      <c r="I15" t="b">
        <f>_xlfn.XOR(ckCodingTable[[#This Row],[WMD]]&lt;&gt;"",IFERROR(FIND("9102",#REF!)&gt;0,FALSE))</f>
        <v>0</v>
      </c>
      <c r="J15" t="str">
        <f t="shared" si="0"/>
        <v/>
      </c>
      <c r="K15" t="s">
        <v>711</v>
      </c>
      <c r="L15" s="25"/>
      <c r="M15" s="43">
        <v>1</v>
      </c>
      <c r="N15" s="43">
        <v>0</v>
      </c>
      <c r="O15" s="15" t="e">
        <f>HYPERLINK("mailto:"&amp;#REF!&amp;"&amp;subject=Your NSF Proposal:  "&amp;ckCodingTable[[#This Row],[prop_id]], #REF!)</f>
        <v>#REF!</v>
      </c>
      <c r="P15">
        <f xml:space="preserve"> P14+(ckCodingTable[ILN]&lt;"M")</f>
        <v>14</v>
      </c>
      <c r="Q15" t="s">
        <v>102</v>
      </c>
      <c r="R15" t="s">
        <v>674</v>
      </c>
      <c r="S15" s="15" t="str">
        <f>HYPERLINK("https://www.ejacket.nsf.gov/ej/showProposal.do?ID="&amp;ckCodingTable[[#This Row],[prop_id]],"eJ")</f>
        <v>eJ</v>
      </c>
      <c r="T15" t="s">
        <v>674</v>
      </c>
      <c r="U15" t="s">
        <v>795</v>
      </c>
      <c r="V15" t="s">
        <v>796</v>
      </c>
      <c r="W15" s="34">
        <v>43160</v>
      </c>
      <c r="X15">
        <v>60</v>
      </c>
      <c r="Y15">
        <v>4</v>
      </c>
      <c r="Z15">
        <v>1</v>
      </c>
      <c r="AA15" t="s">
        <v>800</v>
      </c>
      <c r="AB15" s="8"/>
      <c r="AC15">
        <v>0</v>
      </c>
      <c r="AD15">
        <v>0</v>
      </c>
      <c r="AE15">
        <v>0</v>
      </c>
      <c r="AF15">
        <v>0</v>
      </c>
      <c r="AG15" t="s">
        <v>194</v>
      </c>
      <c r="AH15" t="s">
        <v>193</v>
      </c>
      <c r="AI15" t="s">
        <v>191</v>
      </c>
      <c r="AJ15" t="s">
        <v>245</v>
      </c>
      <c r="AK15" t="s">
        <v>797</v>
      </c>
      <c r="AL15" t="s">
        <v>799</v>
      </c>
      <c r="AM15" t="s">
        <v>718</v>
      </c>
      <c r="AN15">
        <v>1</v>
      </c>
      <c r="AP15">
        <v>2.0299999999999998</v>
      </c>
      <c r="AQ15" t="s">
        <v>294</v>
      </c>
      <c r="AR15">
        <v>7.75</v>
      </c>
      <c r="AS15" s="8">
        <v>43032.520138888889</v>
      </c>
      <c r="AT15">
        <v>4</v>
      </c>
      <c r="AY15">
        <v>602288</v>
      </c>
      <c r="AZ15">
        <v>0</v>
      </c>
      <c r="BA15">
        <v>602288</v>
      </c>
      <c r="BC15">
        <v>21026</v>
      </c>
      <c r="BE15">
        <v>16000</v>
      </c>
      <c r="BF15">
        <v>5</v>
      </c>
      <c r="BG15">
        <v>5</v>
      </c>
      <c r="BH15">
        <v>7</v>
      </c>
      <c r="BN15"/>
      <c r="BR15"/>
    </row>
    <row r="16" spans="1:70" x14ac:dyDescent="0.4">
      <c r="A16" s="34">
        <v>42935.475694444445</v>
      </c>
      <c r="B16" t="s">
        <v>279</v>
      </c>
      <c r="C16" t="s">
        <v>243</v>
      </c>
      <c r="D16" t="s">
        <v>712</v>
      </c>
      <c r="E16" t="s">
        <v>729</v>
      </c>
      <c r="F16" t="s">
        <v>100</v>
      </c>
      <c r="G16" t="s">
        <v>311</v>
      </c>
      <c r="H16" t="b">
        <f>_xlfn.XOR(IFERROR(MATCH(ckCodingTable[[#This Row],[st_code]],EpscorTable[],0)&gt;0,FALSE),IFERROR(FIND("9150",#REF!)&gt;0,FALSE))</f>
        <v>0</v>
      </c>
      <c r="I16" t="b">
        <f>_xlfn.XOR(ckCodingTable[[#This Row],[WMD]]&lt;&gt;"",IFERROR(FIND("9102",#REF!)&gt;0,FALSE))</f>
        <v>0</v>
      </c>
      <c r="J16" t="str">
        <f t="shared" si="0"/>
        <v/>
      </c>
      <c r="K16" t="s">
        <v>711</v>
      </c>
      <c r="L16" s="25"/>
      <c r="M16" s="43">
        <v>1</v>
      </c>
      <c r="N16" s="43">
        <v>0</v>
      </c>
      <c r="O16" s="15" t="e">
        <f>HYPERLINK("mailto:"&amp;#REF!&amp;"&amp;subject=Your NSF Proposal:  "&amp;ckCodingTable[[#This Row],[prop_id]], #REF!)</f>
        <v>#REF!</v>
      </c>
      <c r="P16">
        <f xml:space="preserve"> P15+(ckCodingTable[ILN]&lt;"M")</f>
        <v>15</v>
      </c>
      <c r="Q16" t="s">
        <v>102</v>
      </c>
      <c r="R16" t="s">
        <v>675</v>
      </c>
      <c r="S16" s="15" t="str">
        <f>HYPERLINK("https://www.ejacket.nsf.gov/ej/showProposal.do?ID="&amp;ckCodingTable[[#This Row],[prop_id]],"eJ")</f>
        <v>eJ</v>
      </c>
      <c r="T16" t="s">
        <v>675</v>
      </c>
      <c r="U16" t="s">
        <v>801</v>
      </c>
      <c r="V16" t="s">
        <v>296</v>
      </c>
      <c r="W16" s="34">
        <v>43282</v>
      </c>
      <c r="X16">
        <v>60</v>
      </c>
      <c r="Y16">
        <v>4</v>
      </c>
      <c r="Z16">
        <v>1</v>
      </c>
      <c r="AA16" t="s">
        <v>805</v>
      </c>
      <c r="AB16" s="8"/>
      <c r="AC16">
        <v>0</v>
      </c>
      <c r="AD16">
        <v>0</v>
      </c>
      <c r="AE16">
        <v>0</v>
      </c>
      <c r="AF16">
        <v>0</v>
      </c>
      <c r="AG16" t="s">
        <v>194</v>
      </c>
      <c r="AH16" t="s">
        <v>193</v>
      </c>
      <c r="AI16" t="s">
        <v>191</v>
      </c>
      <c r="AJ16" t="s">
        <v>245</v>
      </c>
      <c r="AK16" t="s">
        <v>802</v>
      </c>
      <c r="AL16" t="s">
        <v>803</v>
      </c>
      <c r="AM16" t="s">
        <v>718</v>
      </c>
      <c r="AN16">
        <v>1</v>
      </c>
      <c r="AP16">
        <v>3.13</v>
      </c>
      <c r="AQ16" t="s">
        <v>804</v>
      </c>
      <c r="AR16">
        <v>6.75</v>
      </c>
      <c r="AS16" s="8">
        <v>43030.96875</v>
      </c>
      <c r="AT16">
        <v>4</v>
      </c>
      <c r="AY16">
        <v>507459</v>
      </c>
      <c r="AZ16">
        <v>0</v>
      </c>
      <c r="BA16">
        <v>507459</v>
      </c>
      <c r="BC16">
        <v>4200</v>
      </c>
      <c r="BF16">
        <v>5</v>
      </c>
      <c r="BG16">
        <v>5</v>
      </c>
      <c r="BJ16">
        <v>5</v>
      </c>
      <c r="BN16"/>
      <c r="BR16"/>
    </row>
    <row r="17" spans="1:70" x14ac:dyDescent="0.4">
      <c r="A17" s="34">
        <v>42935.488888888889</v>
      </c>
      <c r="B17" t="s">
        <v>279</v>
      </c>
      <c r="C17" t="s">
        <v>243</v>
      </c>
      <c r="D17" t="s">
        <v>712</v>
      </c>
      <c r="E17" t="s">
        <v>729</v>
      </c>
      <c r="F17" t="s">
        <v>100</v>
      </c>
      <c r="G17" t="s">
        <v>308</v>
      </c>
      <c r="H17" t="b">
        <f>_xlfn.XOR(IFERROR(MATCH(ckCodingTable[[#This Row],[st_code]],EpscorTable[],0)&gt;0,FALSE),IFERROR(FIND("9150",#REF!)&gt;0,FALSE))</f>
        <v>0</v>
      </c>
      <c r="I17" t="b">
        <f>_xlfn.XOR(ckCodingTable[[#This Row],[WMD]]&lt;&gt;"",IFERROR(FIND("9102",#REF!)&gt;0,FALSE))</f>
        <v>0</v>
      </c>
      <c r="J17" t="str">
        <f t="shared" si="0"/>
        <v/>
      </c>
      <c r="K17" t="s">
        <v>711</v>
      </c>
      <c r="L17" s="25"/>
      <c r="M17" s="43">
        <v>1</v>
      </c>
      <c r="N17" s="43">
        <v>0</v>
      </c>
      <c r="O17" s="15" t="e">
        <f>HYPERLINK("mailto:"&amp;#REF!&amp;"&amp;subject=Your NSF Proposal:  "&amp;ckCodingTable[[#This Row],[prop_id]], #REF!)</f>
        <v>#REF!</v>
      </c>
      <c r="P17">
        <f xml:space="preserve"> P16+(ckCodingTable[ILN]&lt;"M")</f>
        <v>16</v>
      </c>
      <c r="Q17" t="s">
        <v>102</v>
      </c>
      <c r="R17" t="s">
        <v>676</v>
      </c>
      <c r="S17" s="15" t="str">
        <f>HYPERLINK("https://www.ejacket.nsf.gov/ej/showProposal.do?ID="&amp;ckCodingTable[[#This Row],[prop_id]],"eJ")</f>
        <v>eJ</v>
      </c>
      <c r="T17" t="s">
        <v>676</v>
      </c>
      <c r="U17" t="s">
        <v>806</v>
      </c>
      <c r="V17" t="s">
        <v>807</v>
      </c>
      <c r="W17" s="34">
        <v>43101</v>
      </c>
      <c r="X17">
        <v>60</v>
      </c>
      <c r="Y17">
        <v>4</v>
      </c>
      <c r="Z17">
        <v>1</v>
      </c>
      <c r="AA17" t="s">
        <v>811</v>
      </c>
      <c r="AB17" s="8"/>
      <c r="AC17">
        <v>0</v>
      </c>
      <c r="AD17">
        <v>0</v>
      </c>
      <c r="AE17">
        <v>0</v>
      </c>
      <c r="AF17">
        <v>0</v>
      </c>
      <c r="AG17" t="s">
        <v>194</v>
      </c>
      <c r="AH17" t="s">
        <v>193</v>
      </c>
      <c r="AI17" t="s">
        <v>191</v>
      </c>
      <c r="AJ17" t="s">
        <v>245</v>
      </c>
      <c r="AK17" t="s">
        <v>808</v>
      </c>
      <c r="AL17" t="s">
        <v>809</v>
      </c>
      <c r="AM17" t="s">
        <v>718</v>
      </c>
      <c r="AN17">
        <v>1</v>
      </c>
      <c r="AP17">
        <v>1.01</v>
      </c>
      <c r="AQ17" t="s">
        <v>810</v>
      </c>
      <c r="AR17">
        <v>7.5</v>
      </c>
      <c r="AS17" s="8">
        <v>43032.52847222222</v>
      </c>
      <c r="AT17">
        <v>4</v>
      </c>
      <c r="AY17">
        <v>507423</v>
      </c>
      <c r="AZ17">
        <v>0</v>
      </c>
      <c r="BA17">
        <v>507423</v>
      </c>
      <c r="BC17">
        <v>15000</v>
      </c>
      <c r="BF17">
        <v>5</v>
      </c>
      <c r="BG17">
        <v>5</v>
      </c>
      <c r="BH17">
        <v>5</v>
      </c>
      <c r="BN17"/>
      <c r="BR17"/>
    </row>
    <row r="18" spans="1:70" x14ac:dyDescent="0.4">
      <c r="A18" s="34">
        <v>42935.54583333333</v>
      </c>
      <c r="B18" t="s">
        <v>279</v>
      </c>
      <c r="C18" t="s">
        <v>243</v>
      </c>
      <c r="D18" t="s">
        <v>712</v>
      </c>
      <c r="E18" t="s">
        <v>729</v>
      </c>
      <c r="F18" t="s">
        <v>100</v>
      </c>
      <c r="G18" t="s">
        <v>815</v>
      </c>
      <c r="H18" t="b">
        <f>_xlfn.XOR(IFERROR(MATCH(ckCodingTable[[#This Row],[st_code]],EpscorTable[],0)&gt;0,FALSE),IFERROR(FIND("9150",#REF!)&gt;0,FALSE))</f>
        <v>0</v>
      </c>
      <c r="I18" t="b">
        <f>_xlfn.XOR(ckCodingTable[[#This Row],[WMD]]&lt;&gt;"",IFERROR(FIND("9102",#REF!)&gt;0,FALSE))</f>
        <v>0</v>
      </c>
      <c r="J18" t="str">
        <f t="shared" si="0"/>
        <v/>
      </c>
      <c r="K18" t="s">
        <v>711</v>
      </c>
      <c r="L18" s="25"/>
      <c r="M18" s="43">
        <v>1</v>
      </c>
      <c r="N18" s="43">
        <v>0</v>
      </c>
      <c r="O18" s="15" t="e">
        <f>HYPERLINK("mailto:"&amp;#REF!&amp;"&amp;subject=Your NSF Proposal:  "&amp;ckCodingTable[[#This Row],[prop_id]], #REF!)</f>
        <v>#REF!</v>
      </c>
      <c r="P18">
        <f xml:space="preserve"> P17+(ckCodingTable[ILN]&lt;"M")</f>
        <v>17</v>
      </c>
      <c r="Q18" t="s">
        <v>102</v>
      </c>
      <c r="R18" t="s">
        <v>677</v>
      </c>
      <c r="S18" s="15" t="str">
        <f>HYPERLINK("https://www.ejacket.nsf.gov/ej/showProposal.do?ID="&amp;ckCodingTable[[#This Row],[prop_id]],"eJ")</f>
        <v>eJ</v>
      </c>
      <c r="T18" t="s">
        <v>677</v>
      </c>
      <c r="U18" t="s">
        <v>812</v>
      </c>
      <c r="V18" t="s">
        <v>813</v>
      </c>
      <c r="W18" s="34">
        <v>43110</v>
      </c>
      <c r="X18">
        <v>60</v>
      </c>
      <c r="Y18">
        <v>4</v>
      </c>
      <c r="Z18">
        <v>1</v>
      </c>
      <c r="AA18" t="s">
        <v>818</v>
      </c>
      <c r="AB18" s="8"/>
      <c r="AC18">
        <v>0</v>
      </c>
      <c r="AD18">
        <v>0</v>
      </c>
      <c r="AE18">
        <v>0</v>
      </c>
      <c r="AF18">
        <v>0</v>
      </c>
      <c r="AG18" t="s">
        <v>194</v>
      </c>
      <c r="AH18" t="s">
        <v>193</v>
      </c>
      <c r="AI18" t="s">
        <v>191</v>
      </c>
      <c r="AJ18" t="s">
        <v>245</v>
      </c>
      <c r="AK18" t="s">
        <v>814</v>
      </c>
      <c r="AL18" t="s">
        <v>816</v>
      </c>
      <c r="AM18" t="s">
        <v>718</v>
      </c>
      <c r="AN18">
        <v>1</v>
      </c>
      <c r="AP18">
        <v>3.13</v>
      </c>
      <c r="AQ18" t="s">
        <v>817</v>
      </c>
      <c r="AR18">
        <v>6.5</v>
      </c>
      <c r="AS18" s="8">
        <v>43032.486805555556</v>
      </c>
      <c r="AT18">
        <v>4</v>
      </c>
      <c r="AY18">
        <v>533991</v>
      </c>
      <c r="AZ18">
        <v>0</v>
      </c>
      <c r="BA18">
        <v>533991</v>
      </c>
      <c r="BC18">
        <v>7500</v>
      </c>
      <c r="BF18">
        <v>5</v>
      </c>
      <c r="BG18">
        <v>5</v>
      </c>
      <c r="BH18">
        <v>6.5</v>
      </c>
    </row>
    <row r="19" spans="1:70" x14ac:dyDescent="0.4">
      <c r="A19" s="34">
        <v>42935.633333333331</v>
      </c>
      <c r="B19" t="s">
        <v>279</v>
      </c>
      <c r="C19" t="s">
        <v>243</v>
      </c>
      <c r="D19" t="s">
        <v>712</v>
      </c>
      <c r="E19" t="s">
        <v>713</v>
      </c>
      <c r="F19" t="s">
        <v>100</v>
      </c>
      <c r="G19" t="s">
        <v>821</v>
      </c>
      <c r="H19" t="b">
        <f>_xlfn.XOR(IFERROR(MATCH(ckCodingTable[[#This Row],[st_code]],EpscorTable[],0)&gt;0,FALSE),IFERROR(FIND("9150",#REF!)&gt;0,FALSE))</f>
        <v>0</v>
      </c>
      <c r="I19" t="b">
        <f>_xlfn.XOR(ckCodingTable[[#This Row],[WMD]]&lt;&gt;"",IFERROR(FIND("9102",#REF!)&gt;0,FALSE))</f>
        <v>0</v>
      </c>
      <c r="J19" t="str">
        <f t="shared" si="0"/>
        <v/>
      </c>
      <c r="K19" t="s">
        <v>711</v>
      </c>
      <c r="L19" s="25"/>
      <c r="M19" s="43">
        <v>1</v>
      </c>
      <c r="N19" s="43">
        <v>0</v>
      </c>
      <c r="O19" s="15" t="e">
        <f>HYPERLINK("mailto:"&amp;#REF!&amp;"&amp;subject=Your NSF Proposal:  "&amp;ckCodingTable[[#This Row],[prop_id]], #REF!)</f>
        <v>#REF!</v>
      </c>
      <c r="P19">
        <f xml:space="preserve"> P18+(ckCodingTable[ILN]&lt;"M")</f>
        <v>18</v>
      </c>
      <c r="Q19" t="s">
        <v>102</v>
      </c>
      <c r="R19" t="s">
        <v>678</v>
      </c>
      <c r="S19" s="15" t="str">
        <f>HYPERLINK("https://www.ejacket.nsf.gov/ej/showProposal.do?ID="&amp;ckCodingTable[[#This Row],[prop_id]],"eJ")</f>
        <v>eJ</v>
      </c>
      <c r="T19" t="s">
        <v>678</v>
      </c>
      <c r="U19" t="s">
        <v>819</v>
      </c>
      <c r="V19" t="s">
        <v>285</v>
      </c>
      <c r="W19" s="34">
        <v>43344</v>
      </c>
      <c r="X19">
        <v>60</v>
      </c>
      <c r="Y19">
        <v>4</v>
      </c>
      <c r="Z19">
        <v>1</v>
      </c>
      <c r="AA19" t="s">
        <v>823</v>
      </c>
      <c r="AB19" s="8"/>
      <c r="AC19">
        <v>0</v>
      </c>
      <c r="AD19">
        <v>0</v>
      </c>
      <c r="AE19">
        <v>0</v>
      </c>
      <c r="AF19">
        <v>0</v>
      </c>
      <c r="AG19" t="s">
        <v>194</v>
      </c>
      <c r="AH19" t="s">
        <v>193</v>
      </c>
      <c r="AI19" t="s">
        <v>191</v>
      </c>
      <c r="AJ19" t="s">
        <v>245</v>
      </c>
      <c r="AK19" t="s">
        <v>820</v>
      </c>
      <c r="AL19" t="s">
        <v>822</v>
      </c>
      <c r="AM19" t="s">
        <v>726</v>
      </c>
      <c r="AN19">
        <v>1</v>
      </c>
      <c r="AP19">
        <v>2.0699999999999998</v>
      </c>
      <c r="AQ19" t="s">
        <v>756</v>
      </c>
      <c r="AR19">
        <v>7.5</v>
      </c>
      <c r="AS19" s="8">
        <v>43030.181250000001</v>
      </c>
      <c r="AT19">
        <v>4</v>
      </c>
      <c r="AY19">
        <v>582785</v>
      </c>
      <c r="AZ19">
        <v>0</v>
      </c>
      <c r="BA19">
        <v>582785</v>
      </c>
      <c r="BC19">
        <v>7500</v>
      </c>
      <c r="BF19">
        <v>10</v>
      </c>
      <c r="BG19">
        <v>5</v>
      </c>
      <c r="BH19">
        <v>5</v>
      </c>
    </row>
    <row r="20" spans="1:70" x14ac:dyDescent="0.4">
      <c r="A20" s="34">
        <v>42935.680555555555</v>
      </c>
      <c r="B20" t="s">
        <v>279</v>
      </c>
      <c r="C20" t="s">
        <v>243</v>
      </c>
      <c r="D20" t="s">
        <v>712</v>
      </c>
      <c r="E20" t="s">
        <v>713</v>
      </c>
      <c r="F20" t="s">
        <v>100</v>
      </c>
      <c r="G20" t="s">
        <v>821</v>
      </c>
      <c r="H20" t="b">
        <f>_xlfn.XOR(IFERROR(MATCH(ckCodingTable[[#This Row],[st_code]],EpscorTable[],0)&gt;0,FALSE),IFERROR(FIND("9150",#REF!)&gt;0,FALSE))</f>
        <v>0</v>
      </c>
      <c r="I20" t="b">
        <f>_xlfn.XOR(ckCodingTable[[#This Row],[WMD]]&lt;&gt;"",IFERROR(FIND("9102",#REF!)&gt;0,FALSE))</f>
        <v>0</v>
      </c>
      <c r="J20" t="str">
        <f t="shared" si="0"/>
        <v/>
      </c>
      <c r="K20" t="s">
        <v>711</v>
      </c>
      <c r="L20" s="25"/>
      <c r="M20" s="43">
        <v>1</v>
      </c>
      <c r="N20" s="43">
        <v>0</v>
      </c>
      <c r="O20" s="15" t="e">
        <f>HYPERLINK("mailto:"&amp;#REF!&amp;"&amp;subject=Your NSF Proposal:  "&amp;ckCodingTable[[#This Row],[prop_id]], #REF!)</f>
        <v>#REF!</v>
      </c>
      <c r="P20">
        <f xml:space="preserve"> P19+(ckCodingTable[ILN]&lt;"M")</f>
        <v>19</v>
      </c>
      <c r="Q20" t="s">
        <v>102</v>
      </c>
      <c r="R20" t="s">
        <v>679</v>
      </c>
      <c r="S20" s="15" t="str">
        <f>HYPERLINK("https://www.ejacket.nsf.gov/ej/showProposal.do?ID="&amp;ckCodingTable[[#This Row],[prop_id]],"eJ")</f>
        <v>eJ</v>
      </c>
      <c r="T20" t="s">
        <v>679</v>
      </c>
      <c r="U20" t="s">
        <v>824</v>
      </c>
      <c r="V20" t="s">
        <v>825</v>
      </c>
      <c r="W20" s="34">
        <v>43132</v>
      </c>
      <c r="X20">
        <v>60</v>
      </c>
      <c r="Y20">
        <v>4</v>
      </c>
      <c r="Z20">
        <v>1</v>
      </c>
      <c r="AA20" t="s">
        <v>829</v>
      </c>
      <c r="AB20" s="8"/>
      <c r="AC20">
        <v>0</v>
      </c>
      <c r="AD20">
        <v>0</v>
      </c>
      <c r="AE20">
        <v>0</v>
      </c>
      <c r="AF20">
        <v>0</v>
      </c>
      <c r="AG20" t="s">
        <v>194</v>
      </c>
      <c r="AH20" t="s">
        <v>193</v>
      </c>
      <c r="AI20" t="s">
        <v>191</v>
      </c>
      <c r="AJ20" t="s">
        <v>245</v>
      </c>
      <c r="AK20" t="s">
        <v>826</v>
      </c>
      <c r="AL20" t="s">
        <v>827</v>
      </c>
      <c r="AM20" t="s">
        <v>726</v>
      </c>
      <c r="AN20">
        <v>1</v>
      </c>
      <c r="AP20">
        <v>3.13</v>
      </c>
      <c r="AQ20" t="s">
        <v>828</v>
      </c>
      <c r="AR20">
        <v>4.75</v>
      </c>
      <c r="AS20" s="8">
        <v>43030.177777777775</v>
      </c>
      <c r="AT20">
        <v>4</v>
      </c>
      <c r="AY20">
        <v>415497</v>
      </c>
      <c r="AZ20">
        <v>0</v>
      </c>
      <c r="BA20">
        <v>415497</v>
      </c>
      <c r="BC20">
        <v>12250</v>
      </c>
      <c r="BE20">
        <v>16000</v>
      </c>
      <c r="BF20">
        <v>5</v>
      </c>
      <c r="BG20">
        <v>5</v>
      </c>
      <c r="BH20">
        <v>5</v>
      </c>
    </row>
    <row r="21" spans="1:70" x14ac:dyDescent="0.4">
      <c r="A21" s="34">
        <v>42935.69027777778</v>
      </c>
      <c r="B21" t="s">
        <v>279</v>
      </c>
      <c r="C21" t="s">
        <v>243</v>
      </c>
      <c r="D21" t="s">
        <v>712</v>
      </c>
      <c r="E21" t="s">
        <v>713</v>
      </c>
      <c r="F21" t="s">
        <v>100</v>
      </c>
      <c r="G21" t="s">
        <v>821</v>
      </c>
      <c r="H21" t="b">
        <f>_xlfn.XOR(IFERROR(MATCH(ckCodingTable[[#This Row],[st_code]],EpscorTable[],0)&gt;0,FALSE),IFERROR(FIND("9150",#REF!)&gt;0,FALSE))</f>
        <v>0</v>
      </c>
      <c r="I21" t="b">
        <f>_xlfn.XOR(ckCodingTable[[#This Row],[WMD]]&lt;&gt;"",IFERROR(FIND("9102",#REF!)&gt;0,FALSE))</f>
        <v>0</v>
      </c>
      <c r="J21" t="str">
        <f t="shared" si="0"/>
        <v/>
      </c>
      <c r="K21" t="s">
        <v>711</v>
      </c>
      <c r="L21" s="25"/>
      <c r="M21" s="43">
        <v>1</v>
      </c>
      <c r="N21" s="43">
        <v>0</v>
      </c>
      <c r="O21" s="15" t="e">
        <f>HYPERLINK("mailto:"&amp;#REF!&amp;"&amp;subject=Your NSF Proposal:  "&amp;ckCodingTable[[#This Row],[prop_id]], #REF!)</f>
        <v>#REF!</v>
      </c>
      <c r="P21">
        <f xml:space="preserve"> P20+(ckCodingTable[ILN]&lt;"M")</f>
        <v>20</v>
      </c>
      <c r="Q21" t="s">
        <v>102</v>
      </c>
      <c r="R21" t="s">
        <v>680</v>
      </c>
      <c r="S21" s="15" t="str">
        <f>HYPERLINK("https://www.ejacket.nsf.gov/ej/showProposal.do?ID="&amp;ckCodingTable[[#This Row],[prop_id]],"eJ")</f>
        <v>eJ</v>
      </c>
      <c r="T21" t="s">
        <v>680</v>
      </c>
      <c r="U21" t="s">
        <v>830</v>
      </c>
      <c r="V21" t="s">
        <v>831</v>
      </c>
      <c r="W21" s="34">
        <v>43344</v>
      </c>
      <c r="X21">
        <v>60</v>
      </c>
      <c r="Y21">
        <v>4</v>
      </c>
      <c r="Z21">
        <v>1</v>
      </c>
      <c r="AA21" t="s">
        <v>834</v>
      </c>
      <c r="AB21" s="8"/>
      <c r="AC21">
        <v>0</v>
      </c>
      <c r="AD21">
        <v>0</v>
      </c>
      <c r="AE21">
        <v>0</v>
      </c>
      <c r="AF21">
        <v>0</v>
      </c>
      <c r="AG21" t="s">
        <v>194</v>
      </c>
      <c r="AH21" t="s">
        <v>193</v>
      </c>
      <c r="AI21" t="s">
        <v>191</v>
      </c>
      <c r="AJ21" t="s">
        <v>245</v>
      </c>
      <c r="AK21" t="s">
        <v>832</v>
      </c>
      <c r="AL21" t="s">
        <v>833</v>
      </c>
      <c r="AM21" t="s">
        <v>726</v>
      </c>
      <c r="AN21">
        <v>1</v>
      </c>
      <c r="AP21">
        <v>2.12</v>
      </c>
      <c r="AQ21" t="s">
        <v>750</v>
      </c>
      <c r="AR21">
        <v>6.5</v>
      </c>
      <c r="AS21" s="8">
        <v>43031.392361111109</v>
      </c>
      <c r="AT21">
        <v>4</v>
      </c>
      <c r="AY21">
        <v>523537</v>
      </c>
      <c r="AZ21">
        <v>0</v>
      </c>
      <c r="BA21">
        <v>523537</v>
      </c>
      <c r="BC21">
        <v>15000</v>
      </c>
      <c r="BF21">
        <v>7</v>
      </c>
      <c r="BG21">
        <v>5</v>
      </c>
      <c r="BH21">
        <v>2</v>
      </c>
    </row>
    <row r="22" spans="1:70" x14ac:dyDescent="0.4">
      <c r="A22" s="34">
        <v>42935.696527777778</v>
      </c>
      <c r="B22" t="s">
        <v>279</v>
      </c>
      <c r="C22" t="s">
        <v>243</v>
      </c>
      <c r="D22" t="s">
        <v>712</v>
      </c>
      <c r="E22" t="s">
        <v>713</v>
      </c>
      <c r="F22" t="s">
        <v>100</v>
      </c>
      <c r="G22" t="s">
        <v>838</v>
      </c>
      <c r="H22" t="b">
        <f>_xlfn.XOR(IFERROR(MATCH(ckCodingTable[[#This Row],[st_code]],EpscorTable[],0)&gt;0,FALSE),IFERROR(FIND("9150",#REF!)&gt;0,FALSE))</f>
        <v>0</v>
      </c>
      <c r="I22" t="b">
        <f>_xlfn.XOR(ckCodingTable[[#This Row],[WMD]]&lt;&gt;"",IFERROR(FIND("9102",#REF!)&gt;0,FALSE))</f>
        <v>0</v>
      </c>
      <c r="J22" t="str">
        <f t="shared" si="0"/>
        <v/>
      </c>
      <c r="K22" t="s">
        <v>711</v>
      </c>
      <c r="L22" s="25"/>
      <c r="M22" s="43">
        <v>1</v>
      </c>
      <c r="N22" s="43">
        <v>0</v>
      </c>
      <c r="O22" s="15" t="e">
        <f>HYPERLINK("mailto:"&amp;#REF!&amp;"&amp;subject=Your NSF Proposal:  "&amp;ckCodingTable[[#This Row],[prop_id]], #REF!)</f>
        <v>#REF!</v>
      </c>
      <c r="P22">
        <f xml:space="preserve"> P21+(ckCodingTable[ILN]&lt;"M")</f>
        <v>21</v>
      </c>
      <c r="Q22" t="s">
        <v>102</v>
      </c>
      <c r="R22" t="s">
        <v>681</v>
      </c>
      <c r="S22" s="15" t="str">
        <f>HYPERLINK("https://www.ejacket.nsf.gov/ej/showProposal.do?ID="&amp;ckCodingTable[[#This Row],[prop_id]],"eJ")</f>
        <v>eJ</v>
      </c>
      <c r="T22" t="s">
        <v>681</v>
      </c>
      <c r="U22" t="s">
        <v>835</v>
      </c>
      <c r="V22" t="s">
        <v>836</v>
      </c>
      <c r="W22" s="34">
        <v>43344</v>
      </c>
      <c r="X22">
        <v>60</v>
      </c>
      <c r="Y22">
        <v>4</v>
      </c>
      <c r="Z22">
        <v>1</v>
      </c>
      <c r="AA22" t="s">
        <v>841</v>
      </c>
      <c r="AB22" s="8"/>
      <c r="AC22">
        <v>0</v>
      </c>
      <c r="AD22">
        <v>0</v>
      </c>
      <c r="AE22">
        <v>0</v>
      </c>
      <c r="AF22">
        <v>0</v>
      </c>
      <c r="AG22" t="s">
        <v>194</v>
      </c>
      <c r="AH22" t="s">
        <v>193</v>
      </c>
      <c r="AI22" t="s">
        <v>191</v>
      </c>
      <c r="AJ22" t="s">
        <v>245</v>
      </c>
      <c r="AK22" t="s">
        <v>837</v>
      </c>
      <c r="AL22" t="s">
        <v>839</v>
      </c>
      <c r="AM22" t="s">
        <v>726</v>
      </c>
      <c r="AN22">
        <v>1</v>
      </c>
      <c r="AP22">
        <v>2.1</v>
      </c>
      <c r="AQ22" t="s">
        <v>840</v>
      </c>
      <c r="AR22">
        <v>6.75</v>
      </c>
      <c r="AS22" s="8">
        <v>43031.69027777778</v>
      </c>
      <c r="AT22">
        <v>4</v>
      </c>
      <c r="AY22">
        <v>607459</v>
      </c>
      <c r="AZ22">
        <v>0</v>
      </c>
      <c r="BA22">
        <v>607459</v>
      </c>
      <c r="BC22">
        <v>23133</v>
      </c>
      <c r="BE22">
        <v>5500</v>
      </c>
      <c r="BF22">
        <v>5</v>
      </c>
      <c r="BG22">
        <v>5</v>
      </c>
      <c r="BH22">
        <v>4.5</v>
      </c>
    </row>
    <row r="23" spans="1:70" x14ac:dyDescent="0.4">
      <c r="A23" s="34">
        <v>42935.723611111112</v>
      </c>
      <c r="B23" t="s">
        <v>279</v>
      </c>
      <c r="C23" t="s">
        <v>243</v>
      </c>
      <c r="D23" t="s">
        <v>712</v>
      </c>
      <c r="E23" t="s">
        <v>758</v>
      </c>
      <c r="F23" t="s">
        <v>100</v>
      </c>
      <c r="G23" t="s">
        <v>120</v>
      </c>
      <c r="H23" t="b">
        <f>_xlfn.XOR(IFERROR(MATCH(ckCodingTable[[#This Row],[st_code]],EpscorTable[],0)&gt;0,FALSE),IFERROR(FIND("9150",#REF!)&gt;0,FALSE))</f>
        <v>1</v>
      </c>
      <c r="I23" t="b">
        <f>_xlfn.XOR(ckCodingTable[[#This Row],[WMD]]&lt;&gt;"",IFERROR(FIND("9102",#REF!)&gt;0,FALSE))</f>
        <v>1</v>
      </c>
      <c r="J23" t="str">
        <f t="shared" si="0"/>
        <v>WMD</v>
      </c>
      <c r="K23" t="s">
        <v>711</v>
      </c>
      <c r="L23" s="25"/>
      <c r="M23" s="43">
        <v>1</v>
      </c>
      <c r="N23" s="43">
        <v>0</v>
      </c>
      <c r="O23" s="15" t="e">
        <f>HYPERLINK("mailto:"&amp;#REF!&amp;"&amp;subject=Your NSF Proposal:  "&amp;ckCodingTable[[#This Row],[prop_id]], #REF!)</f>
        <v>#REF!</v>
      </c>
      <c r="P23">
        <f xml:space="preserve"> P22+(ckCodingTable[ILN]&lt;"M")</f>
        <v>22</v>
      </c>
      <c r="Q23" t="s">
        <v>102</v>
      </c>
      <c r="R23" t="s">
        <v>682</v>
      </c>
      <c r="S23" s="15" t="str">
        <f>HYPERLINK("https://www.ejacket.nsf.gov/ej/showProposal.do?ID="&amp;ckCodingTable[[#This Row],[prop_id]],"eJ")</f>
        <v>eJ</v>
      </c>
      <c r="T23" t="s">
        <v>682</v>
      </c>
      <c r="U23" t="s">
        <v>842</v>
      </c>
      <c r="V23" t="s">
        <v>843</v>
      </c>
      <c r="W23" s="34">
        <v>43344</v>
      </c>
      <c r="X23">
        <v>60</v>
      </c>
      <c r="Y23">
        <v>4</v>
      </c>
      <c r="Z23">
        <v>1</v>
      </c>
      <c r="AA23" t="s">
        <v>847</v>
      </c>
      <c r="AB23" s="8"/>
      <c r="AC23">
        <v>2</v>
      </c>
      <c r="AD23">
        <v>0</v>
      </c>
      <c r="AE23">
        <v>0</v>
      </c>
      <c r="AF23">
        <v>0</v>
      </c>
      <c r="AG23" t="s">
        <v>194</v>
      </c>
      <c r="AH23" t="s">
        <v>193</v>
      </c>
      <c r="AI23" t="s">
        <v>191</v>
      </c>
      <c r="AJ23" t="s">
        <v>245</v>
      </c>
      <c r="AK23" t="s">
        <v>844</v>
      </c>
      <c r="AL23" t="s">
        <v>845</v>
      </c>
      <c r="AM23" t="s">
        <v>846</v>
      </c>
      <c r="AN23">
        <v>1</v>
      </c>
      <c r="AP23">
        <v>2.09</v>
      </c>
      <c r="AQ23" t="s">
        <v>750</v>
      </c>
      <c r="AR23">
        <v>6.5</v>
      </c>
      <c r="AS23" s="8">
        <v>43031.43472222222</v>
      </c>
      <c r="AT23">
        <v>4</v>
      </c>
      <c r="AY23">
        <v>552355</v>
      </c>
      <c r="AZ23">
        <v>0</v>
      </c>
      <c r="BA23">
        <v>552355</v>
      </c>
      <c r="BC23">
        <v>13000</v>
      </c>
      <c r="BF23">
        <v>12</v>
      </c>
      <c r="BG23">
        <v>5</v>
      </c>
      <c r="BH23">
        <v>5</v>
      </c>
    </row>
    <row r="24" spans="1:70" x14ac:dyDescent="0.4">
      <c r="A24" s="34">
        <v>42935.851388888892</v>
      </c>
      <c r="B24" t="s">
        <v>279</v>
      </c>
      <c r="C24" t="s">
        <v>243</v>
      </c>
      <c r="D24" t="s">
        <v>712</v>
      </c>
      <c r="E24" t="s">
        <v>729</v>
      </c>
      <c r="F24" t="s">
        <v>100</v>
      </c>
      <c r="G24" t="s">
        <v>107</v>
      </c>
      <c r="H24" t="b">
        <f>_xlfn.XOR(IFERROR(MATCH(ckCodingTable[[#This Row],[st_code]],EpscorTable[],0)&gt;0,FALSE),IFERROR(FIND("9150",#REF!)&gt;0,FALSE))</f>
        <v>1</v>
      </c>
      <c r="I24" t="b">
        <f>_xlfn.XOR(ckCodingTable[[#This Row],[WMD]]&lt;&gt;"",IFERROR(FIND("9102",#REF!)&gt;0,FALSE))</f>
        <v>0</v>
      </c>
      <c r="J24" t="str">
        <f t="shared" si="0"/>
        <v/>
      </c>
      <c r="K24" t="s">
        <v>711</v>
      </c>
      <c r="L24" s="25"/>
      <c r="M24" s="43">
        <v>1</v>
      </c>
      <c r="N24" s="43">
        <v>0</v>
      </c>
      <c r="O24" s="15" t="e">
        <f>HYPERLINK("mailto:"&amp;#REF!&amp;"&amp;subject=Your NSF Proposal:  "&amp;ckCodingTable[[#This Row],[prop_id]], #REF!)</f>
        <v>#REF!</v>
      </c>
      <c r="P24">
        <f xml:space="preserve"> P23+(ckCodingTable[ILN]&lt;"M")</f>
        <v>23</v>
      </c>
      <c r="Q24" t="s">
        <v>102</v>
      </c>
      <c r="R24" t="s">
        <v>683</v>
      </c>
      <c r="S24" s="15" t="str">
        <f>HYPERLINK("https://www.ejacket.nsf.gov/ej/showProposal.do?ID="&amp;ckCodingTable[[#This Row],[prop_id]],"eJ")</f>
        <v>eJ</v>
      </c>
      <c r="T24" t="s">
        <v>683</v>
      </c>
      <c r="U24" t="s">
        <v>848</v>
      </c>
      <c r="V24" t="s">
        <v>849</v>
      </c>
      <c r="W24" s="34">
        <v>43160</v>
      </c>
      <c r="X24">
        <v>60</v>
      </c>
      <c r="Y24">
        <v>4</v>
      </c>
      <c r="Z24">
        <v>1</v>
      </c>
      <c r="AA24" t="s">
        <v>854</v>
      </c>
      <c r="AB24" s="8"/>
      <c r="AC24">
        <v>0</v>
      </c>
      <c r="AD24">
        <v>0</v>
      </c>
      <c r="AE24">
        <v>0</v>
      </c>
      <c r="AF24">
        <v>0</v>
      </c>
      <c r="AG24" t="s">
        <v>194</v>
      </c>
      <c r="AH24" t="s">
        <v>193</v>
      </c>
      <c r="AI24" t="s">
        <v>191</v>
      </c>
      <c r="AJ24" t="s">
        <v>245</v>
      </c>
      <c r="AK24" t="s">
        <v>850</v>
      </c>
      <c r="AL24" t="s">
        <v>851</v>
      </c>
      <c r="AM24" t="s">
        <v>852</v>
      </c>
      <c r="AN24">
        <v>1</v>
      </c>
      <c r="AP24">
        <v>3.13</v>
      </c>
      <c r="AQ24" t="s">
        <v>853</v>
      </c>
      <c r="AR24">
        <v>5.5</v>
      </c>
      <c r="AS24" s="8">
        <v>43031.703472222223</v>
      </c>
      <c r="AT24">
        <v>4</v>
      </c>
      <c r="AY24">
        <v>549999</v>
      </c>
      <c r="AZ24">
        <v>0</v>
      </c>
      <c r="BA24">
        <v>549999</v>
      </c>
      <c r="BC24">
        <v>20000</v>
      </c>
      <c r="BF24">
        <v>5</v>
      </c>
      <c r="BG24">
        <v>5</v>
      </c>
      <c r="BH24">
        <v>5</v>
      </c>
      <c r="BI24">
        <v>4.5199999999999996</v>
      </c>
    </row>
    <row r="25" spans="1:70" x14ac:dyDescent="0.4">
      <c r="A25" s="34">
        <v>42954.500694444447</v>
      </c>
      <c r="B25" t="s">
        <v>856</v>
      </c>
      <c r="C25" t="s">
        <v>243</v>
      </c>
      <c r="D25" t="s">
        <v>857</v>
      </c>
      <c r="E25" t="s">
        <v>729</v>
      </c>
      <c r="F25" t="s">
        <v>100</v>
      </c>
      <c r="G25" t="s">
        <v>312</v>
      </c>
      <c r="H25" t="b">
        <f>_xlfn.XOR(IFERROR(MATCH(ckCodingTable[[#This Row],[st_code]],EpscorTable[],0)&gt;0,FALSE),IFERROR(FIND("9150",#REF!)&gt;0,FALSE))</f>
        <v>0</v>
      </c>
      <c r="I25" t="b">
        <f>_xlfn.XOR(ckCodingTable[[#This Row],[WMD]]&lt;&gt;"",IFERROR(FIND("9102",#REF!)&gt;0,FALSE))</f>
        <v>0</v>
      </c>
      <c r="J25" t="str">
        <f t="shared" si="0"/>
        <v/>
      </c>
      <c r="K25" t="s">
        <v>855</v>
      </c>
      <c r="L25" s="25"/>
      <c r="M25" s="43">
        <v>1</v>
      </c>
      <c r="N25" s="43">
        <v>0</v>
      </c>
      <c r="O25" s="15" t="e">
        <f>HYPERLINK("mailto:"&amp;#REF!&amp;"&amp;subject=Your NSF Proposal:  "&amp;ckCodingTable[[#This Row],[prop_id]], #REF!)</f>
        <v>#REF!</v>
      </c>
      <c r="P25">
        <f xml:space="preserve"> P24+(ckCodingTable[ILN]&lt;"M")</f>
        <v>24</v>
      </c>
      <c r="Q25" t="s">
        <v>102</v>
      </c>
      <c r="R25" t="s">
        <v>684</v>
      </c>
      <c r="S25" s="15" t="str">
        <f>HYPERLINK("https://www.ejacket.nsf.gov/ej/showProposal.do?ID="&amp;ckCodingTable[[#This Row],[prop_id]],"eJ")</f>
        <v>eJ</v>
      </c>
      <c r="T25" t="s">
        <v>684</v>
      </c>
      <c r="U25" t="s">
        <v>721</v>
      </c>
      <c r="V25" t="s">
        <v>858</v>
      </c>
      <c r="W25" s="34">
        <v>43101</v>
      </c>
      <c r="X25">
        <v>24</v>
      </c>
      <c r="Y25">
        <v>4</v>
      </c>
      <c r="Z25">
        <v>1</v>
      </c>
      <c r="AA25" t="s">
        <v>863</v>
      </c>
      <c r="AB25" s="8"/>
      <c r="AC25">
        <v>0</v>
      </c>
      <c r="AD25">
        <v>0</v>
      </c>
      <c r="AE25">
        <v>0</v>
      </c>
      <c r="AF25">
        <v>0</v>
      </c>
      <c r="AG25" t="s">
        <v>194</v>
      </c>
      <c r="AH25" t="s">
        <v>193</v>
      </c>
      <c r="AI25" t="s">
        <v>191</v>
      </c>
      <c r="AJ25" t="s">
        <v>245</v>
      </c>
      <c r="AK25" t="s">
        <v>859</v>
      </c>
      <c r="AL25" t="s">
        <v>860</v>
      </c>
      <c r="AM25" t="s">
        <v>861</v>
      </c>
      <c r="AN25">
        <v>1</v>
      </c>
      <c r="AP25">
        <v>4.05</v>
      </c>
      <c r="AQ25" t="s">
        <v>862</v>
      </c>
      <c r="AR25">
        <v>3.25</v>
      </c>
      <c r="AS25" s="8">
        <v>43031.775694444441</v>
      </c>
      <c r="AT25">
        <v>4</v>
      </c>
      <c r="AY25">
        <v>168126</v>
      </c>
      <c r="AZ25">
        <v>0</v>
      </c>
      <c r="BA25">
        <v>168126</v>
      </c>
      <c r="BF25">
        <v>4</v>
      </c>
    </row>
    <row r="26" spans="1:70" x14ac:dyDescent="0.4">
      <c r="A26" s="34">
        <v>42956.472222222219</v>
      </c>
      <c r="B26" t="s">
        <v>856</v>
      </c>
      <c r="C26" t="s">
        <v>243</v>
      </c>
      <c r="D26" t="s">
        <v>857</v>
      </c>
      <c r="E26" t="s">
        <v>713</v>
      </c>
      <c r="F26" t="s">
        <v>100</v>
      </c>
      <c r="G26" t="s">
        <v>867</v>
      </c>
      <c r="H26" t="b">
        <f>_xlfn.XOR(IFERROR(MATCH(ckCodingTable[[#This Row],[st_code]],EpscorTable[],0)&gt;0,FALSE),IFERROR(FIND("9150",#REF!)&gt;0,FALSE))</f>
        <v>0</v>
      </c>
      <c r="I26" t="b">
        <f>_xlfn.XOR(ckCodingTable[[#This Row],[WMD]]&lt;&gt;"",IFERROR(FIND("9102",#REF!)&gt;0,FALSE))</f>
        <v>0</v>
      </c>
      <c r="J26" t="str">
        <f t="shared" si="0"/>
        <v/>
      </c>
      <c r="K26" t="s">
        <v>855</v>
      </c>
      <c r="L26" s="25"/>
      <c r="M26" s="43">
        <v>1</v>
      </c>
      <c r="N26" s="43">
        <v>0</v>
      </c>
      <c r="O26" s="15" t="e">
        <f>HYPERLINK("mailto:"&amp;#REF!&amp;"&amp;subject=Your NSF Proposal:  "&amp;ckCodingTable[[#This Row],[prop_id]], #REF!)</f>
        <v>#REF!</v>
      </c>
      <c r="P26">
        <f xml:space="preserve"> P25+(ckCodingTable[ILN]&lt;"M")</f>
        <v>25</v>
      </c>
      <c r="Q26" t="s">
        <v>102</v>
      </c>
      <c r="R26" t="s">
        <v>685</v>
      </c>
      <c r="S26" s="15" t="str">
        <f>HYPERLINK("https://www.ejacket.nsf.gov/ej/showProposal.do?ID="&amp;ckCodingTable[[#This Row],[prop_id]],"eJ")</f>
        <v>eJ</v>
      </c>
      <c r="T26" t="s">
        <v>685</v>
      </c>
      <c r="U26" t="s">
        <v>864</v>
      </c>
      <c r="V26" t="s">
        <v>865</v>
      </c>
      <c r="W26" s="34">
        <v>43221</v>
      </c>
      <c r="X26">
        <v>24</v>
      </c>
      <c r="Y26">
        <v>3</v>
      </c>
      <c r="Z26">
        <v>1</v>
      </c>
      <c r="AA26" t="s">
        <v>870</v>
      </c>
      <c r="AB26" s="8"/>
      <c r="AC26">
        <v>0</v>
      </c>
      <c r="AD26">
        <v>0</v>
      </c>
      <c r="AE26">
        <v>0</v>
      </c>
      <c r="AF26">
        <v>0</v>
      </c>
      <c r="AG26" t="s">
        <v>194</v>
      </c>
      <c r="AH26" t="s">
        <v>193</v>
      </c>
      <c r="AI26" t="s">
        <v>191</v>
      </c>
      <c r="AJ26" t="s">
        <v>245</v>
      </c>
      <c r="AK26" t="s">
        <v>866</v>
      </c>
      <c r="AL26" t="s">
        <v>868</v>
      </c>
      <c r="AM26" t="s">
        <v>861</v>
      </c>
      <c r="AN26">
        <v>1</v>
      </c>
      <c r="AP26">
        <v>3.04</v>
      </c>
      <c r="AQ26" t="s">
        <v>869</v>
      </c>
      <c r="AR26">
        <v>5</v>
      </c>
      <c r="AS26" s="8">
        <v>43031.770833333336</v>
      </c>
      <c r="AT26">
        <v>3</v>
      </c>
      <c r="AY26">
        <v>172682</v>
      </c>
      <c r="AZ26">
        <v>0</v>
      </c>
      <c r="BA26">
        <v>172682</v>
      </c>
      <c r="BF26">
        <v>4</v>
      </c>
    </row>
    <row r="27" spans="1:70" x14ac:dyDescent="0.4">
      <c r="A27" s="34">
        <v>42956.581944444442</v>
      </c>
      <c r="B27" t="s">
        <v>856</v>
      </c>
      <c r="C27" t="s">
        <v>243</v>
      </c>
      <c r="D27" t="s">
        <v>857</v>
      </c>
      <c r="E27" t="s">
        <v>729</v>
      </c>
      <c r="F27" t="s">
        <v>100</v>
      </c>
      <c r="G27" t="s">
        <v>310</v>
      </c>
      <c r="H27" t="b">
        <f>_xlfn.XOR(IFERROR(MATCH(ckCodingTable[[#This Row],[st_code]],EpscorTable[],0)&gt;0,FALSE),IFERROR(FIND("9150",#REF!)&gt;0,FALSE))</f>
        <v>0</v>
      </c>
      <c r="I27" t="b">
        <f>_xlfn.XOR(ckCodingTable[[#This Row],[WMD]]&lt;&gt;"",IFERROR(FIND("9102",#REF!)&gt;0,FALSE))</f>
        <v>0</v>
      </c>
      <c r="J27" t="str">
        <f t="shared" si="0"/>
        <v/>
      </c>
      <c r="K27" t="s">
        <v>855</v>
      </c>
      <c r="L27" s="25"/>
      <c r="M27" s="43">
        <v>1</v>
      </c>
      <c r="N27" s="43">
        <v>0</v>
      </c>
      <c r="O27" s="15" t="e">
        <f>HYPERLINK("mailto:"&amp;#REF!&amp;"&amp;subject=Your NSF Proposal:  "&amp;ckCodingTable[[#This Row],[prop_id]], #REF!)</f>
        <v>#REF!</v>
      </c>
      <c r="P27">
        <f xml:space="preserve"> P26+(ckCodingTable[ILN]&lt;"M")</f>
        <v>26</v>
      </c>
      <c r="Q27" t="s">
        <v>102</v>
      </c>
      <c r="R27" t="s">
        <v>686</v>
      </c>
      <c r="S27" s="15" t="str">
        <f>HYPERLINK("https://www.ejacket.nsf.gov/ej/showProposal.do?ID="&amp;ckCodingTable[[#This Row],[prop_id]],"eJ")</f>
        <v>eJ</v>
      </c>
      <c r="T27" t="s">
        <v>686</v>
      </c>
      <c r="U27" t="s">
        <v>871</v>
      </c>
      <c r="V27" t="s">
        <v>872</v>
      </c>
      <c r="W27" s="34">
        <v>43344</v>
      </c>
      <c r="X27">
        <v>24</v>
      </c>
      <c r="Y27">
        <v>3</v>
      </c>
      <c r="Z27">
        <v>1</v>
      </c>
      <c r="AA27" t="s">
        <v>876</v>
      </c>
      <c r="AB27" s="8"/>
      <c r="AC27">
        <v>0</v>
      </c>
      <c r="AD27">
        <v>0</v>
      </c>
      <c r="AE27">
        <v>0</v>
      </c>
      <c r="AF27">
        <v>0</v>
      </c>
      <c r="AG27" t="s">
        <v>194</v>
      </c>
      <c r="AH27" t="s">
        <v>193</v>
      </c>
      <c r="AI27" t="s">
        <v>191</v>
      </c>
      <c r="AJ27" t="s">
        <v>245</v>
      </c>
      <c r="AK27" t="s">
        <v>873</v>
      </c>
      <c r="AL27" t="s">
        <v>874</v>
      </c>
      <c r="AM27" t="s">
        <v>861</v>
      </c>
      <c r="AN27">
        <v>1</v>
      </c>
      <c r="AP27">
        <v>1.01</v>
      </c>
      <c r="AQ27" t="s">
        <v>875</v>
      </c>
      <c r="AR27">
        <v>7</v>
      </c>
      <c r="AS27" s="8">
        <v>43031.369444444441</v>
      </c>
      <c r="AT27">
        <v>3</v>
      </c>
      <c r="AY27">
        <v>175000</v>
      </c>
      <c r="AZ27">
        <v>0</v>
      </c>
      <c r="BA27">
        <v>175000</v>
      </c>
      <c r="BC27">
        <v>10000</v>
      </c>
      <c r="BF27">
        <v>2</v>
      </c>
    </row>
    <row r="28" spans="1:70" x14ac:dyDescent="0.4">
      <c r="A28" s="34">
        <v>42956.621527777781</v>
      </c>
      <c r="B28" t="s">
        <v>856</v>
      </c>
      <c r="C28" t="s">
        <v>243</v>
      </c>
      <c r="D28" t="s">
        <v>857</v>
      </c>
      <c r="E28" t="s">
        <v>758</v>
      </c>
      <c r="F28" t="s">
        <v>100</v>
      </c>
      <c r="G28" t="s">
        <v>762</v>
      </c>
      <c r="H28" t="b">
        <f>_xlfn.XOR(IFERROR(MATCH(ckCodingTable[[#This Row],[st_code]],EpscorTable[],0)&gt;0,FALSE),IFERROR(FIND("9150",#REF!)&gt;0,FALSE))</f>
        <v>0</v>
      </c>
      <c r="I28" t="b">
        <f>_xlfn.XOR(ckCodingTable[[#This Row],[WMD]]&lt;&gt;"",IFERROR(FIND("9102",#REF!)&gt;0,FALSE))</f>
        <v>0</v>
      </c>
      <c r="J28" t="str">
        <f t="shared" si="0"/>
        <v/>
      </c>
      <c r="K28" t="s">
        <v>855</v>
      </c>
      <c r="L28" s="25"/>
      <c r="M28" s="43">
        <v>1</v>
      </c>
      <c r="N28" s="43">
        <v>0</v>
      </c>
      <c r="O28" s="15" t="e">
        <f>HYPERLINK("mailto:"&amp;#REF!&amp;"&amp;subject=Your NSF Proposal:  "&amp;ckCodingTable[[#This Row],[prop_id]], #REF!)</f>
        <v>#REF!</v>
      </c>
      <c r="P28">
        <f xml:space="preserve"> P27+(ckCodingTable[ILN]&lt;"M")</f>
        <v>27</v>
      </c>
      <c r="Q28" t="s">
        <v>102</v>
      </c>
      <c r="R28" t="s">
        <v>687</v>
      </c>
      <c r="S28" s="15" t="str">
        <f>HYPERLINK("https://www.ejacket.nsf.gov/ej/showProposal.do?ID="&amp;ckCodingTable[[#This Row],[prop_id]],"eJ")</f>
        <v>eJ</v>
      </c>
      <c r="T28" t="s">
        <v>687</v>
      </c>
      <c r="U28" t="s">
        <v>877</v>
      </c>
      <c r="V28" t="s">
        <v>878</v>
      </c>
      <c r="W28" s="34">
        <v>43282</v>
      </c>
      <c r="X28">
        <v>24</v>
      </c>
      <c r="Y28">
        <v>3</v>
      </c>
      <c r="Z28">
        <v>1</v>
      </c>
      <c r="AA28" t="s">
        <v>882</v>
      </c>
      <c r="AB28" s="8"/>
      <c r="AC28">
        <v>0</v>
      </c>
      <c r="AD28">
        <v>0</v>
      </c>
      <c r="AE28">
        <v>0</v>
      </c>
      <c r="AF28">
        <v>0</v>
      </c>
      <c r="AG28" t="s">
        <v>194</v>
      </c>
      <c r="AH28" t="s">
        <v>193</v>
      </c>
      <c r="AI28" t="s">
        <v>191</v>
      </c>
      <c r="AJ28" t="s">
        <v>245</v>
      </c>
      <c r="AK28" t="s">
        <v>761</v>
      </c>
      <c r="AL28" t="s">
        <v>879</v>
      </c>
      <c r="AM28" t="s">
        <v>880</v>
      </c>
      <c r="AN28">
        <v>1</v>
      </c>
      <c r="AP28">
        <v>2.02</v>
      </c>
      <c r="AQ28" t="s">
        <v>881</v>
      </c>
      <c r="AR28">
        <v>6.333333333333333</v>
      </c>
      <c r="AS28" s="8">
        <v>43031.767361111109</v>
      </c>
      <c r="AT28">
        <v>3</v>
      </c>
      <c r="AY28">
        <v>175000</v>
      </c>
      <c r="AZ28">
        <v>0</v>
      </c>
      <c r="BA28">
        <v>175000</v>
      </c>
      <c r="BC28">
        <v>4000</v>
      </c>
      <c r="BF28">
        <v>4</v>
      </c>
    </row>
    <row r="29" spans="1:70" x14ac:dyDescent="0.4">
      <c r="A29" s="34">
        <v>42956.647916666669</v>
      </c>
      <c r="B29" t="s">
        <v>856</v>
      </c>
      <c r="C29" t="s">
        <v>243</v>
      </c>
      <c r="D29" t="s">
        <v>857</v>
      </c>
      <c r="E29" t="s">
        <v>713</v>
      </c>
      <c r="F29" t="s">
        <v>100</v>
      </c>
      <c r="G29" t="s">
        <v>126</v>
      </c>
      <c r="H29" t="b">
        <f>_xlfn.XOR(IFERROR(MATCH(ckCodingTable[[#This Row],[st_code]],EpscorTable[],0)&gt;0,FALSE),IFERROR(FIND("9150",#REF!)&gt;0,FALSE))</f>
        <v>1</v>
      </c>
      <c r="I29" t="b">
        <f>_xlfn.XOR(ckCodingTable[[#This Row],[WMD]]&lt;&gt;"",IFERROR(FIND("9102",#REF!)&gt;0,FALSE))</f>
        <v>0</v>
      </c>
      <c r="J29" t="str">
        <f t="shared" si="0"/>
        <v/>
      </c>
      <c r="K29" t="s">
        <v>855</v>
      </c>
      <c r="L29" s="25"/>
      <c r="M29" s="43">
        <v>1</v>
      </c>
      <c r="N29" s="43">
        <v>0</v>
      </c>
      <c r="O29" s="15" t="e">
        <f>HYPERLINK("mailto:"&amp;#REF!&amp;"&amp;subject=Your NSF Proposal:  "&amp;ckCodingTable[[#This Row],[prop_id]], #REF!)</f>
        <v>#REF!</v>
      </c>
      <c r="P29">
        <f xml:space="preserve"> P28+(ckCodingTable[ILN]&lt;"M")</f>
        <v>28</v>
      </c>
      <c r="Q29" t="s">
        <v>102</v>
      </c>
      <c r="R29" t="s">
        <v>688</v>
      </c>
      <c r="S29" s="15" t="str">
        <f>HYPERLINK("https://www.ejacket.nsf.gov/ej/showProposal.do?ID="&amp;ckCodingTable[[#This Row],[prop_id]],"eJ")</f>
        <v>eJ</v>
      </c>
      <c r="T29" t="s">
        <v>688</v>
      </c>
      <c r="U29" t="s">
        <v>883</v>
      </c>
      <c r="V29" t="s">
        <v>884</v>
      </c>
      <c r="W29" s="34">
        <v>43252</v>
      </c>
      <c r="X29">
        <v>24</v>
      </c>
      <c r="Y29">
        <v>3</v>
      </c>
      <c r="Z29">
        <v>1</v>
      </c>
      <c r="AA29" t="s">
        <v>889</v>
      </c>
      <c r="AB29" s="8"/>
      <c r="AC29">
        <v>0</v>
      </c>
      <c r="AD29">
        <v>0</v>
      </c>
      <c r="AE29">
        <v>0</v>
      </c>
      <c r="AF29">
        <v>0</v>
      </c>
      <c r="AG29" t="s">
        <v>194</v>
      </c>
      <c r="AH29" t="s">
        <v>193</v>
      </c>
      <c r="AI29" t="s">
        <v>191</v>
      </c>
      <c r="AJ29" t="s">
        <v>245</v>
      </c>
      <c r="AK29" t="s">
        <v>885</v>
      </c>
      <c r="AL29" t="s">
        <v>886</v>
      </c>
      <c r="AM29" t="s">
        <v>887</v>
      </c>
      <c r="AN29">
        <v>1</v>
      </c>
      <c r="AP29">
        <v>4.05</v>
      </c>
      <c r="AQ29" t="s">
        <v>888</v>
      </c>
      <c r="AR29">
        <v>5.333333333333333</v>
      </c>
      <c r="AS29" s="8">
        <v>43031.741666666669</v>
      </c>
      <c r="AT29">
        <v>3</v>
      </c>
      <c r="AY29">
        <v>170144</v>
      </c>
      <c r="AZ29">
        <v>0</v>
      </c>
      <c r="BA29">
        <v>170144</v>
      </c>
      <c r="BF29">
        <v>4</v>
      </c>
    </row>
    <row r="30" spans="1:70" x14ac:dyDescent="0.4">
      <c r="A30" s="34">
        <v>42956.697222222225</v>
      </c>
      <c r="B30" t="s">
        <v>856</v>
      </c>
      <c r="C30" t="s">
        <v>243</v>
      </c>
      <c r="D30" t="s">
        <v>857</v>
      </c>
      <c r="E30" t="s">
        <v>713</v>
      </c>
      <c r="F30" t="s">
        <v>100</v>
      </c>
      <c r="G30" t="s">
        <v>821</v>
      </c>
      <c r="H30" t="b">
        <f>_xlfn.XOR(IFERROR(MATCH(ckCodingTable[[#This Row],[st_code]],EpscorTable[],0)&gt;0,FALSE),IFERROR(FIND("9150",#REF!)&gt;0,FALSE))</f>
        <v>0</v>
      </c>
      <c r="I30" t="b">
        <f>_xlfn.XOR(ckCodingTable[[#This Row],[WMD]]&lt;&gt;"",IFERROR(FIND("9102",#REF!)&gt;0,FALSE))</f>
        <v>1</v>
      </c>
      <c r="J30" t="str">
        <f t="shared" si="0"/>
        <v>WMD</v>
      </c>
      <c r="K30" t="s">
        <v>855</v>
      </c>
      <c r="L30" s="25"/>
      <c r="M30" s="43">
        <v>1</v>
      </c>
      <c r="N30" s="43">
        <v>0</v>
      </c>
      <c r="O30" s="15" t="e">
        <f>HYPERLINK("mailto:"&amp;#REF!&amp;"&amp;subject=Your NSF Proposal:  "&amp;ckCodingTable[[#This Row],[prop_id]], #REF!)</f>
        <v>#REF!</v>
      </c>
      <c r="P30">
        <f xml:space="preserve"> P29+(ckCodingTable[ILN]&lt;"M")</f>
        <v>29</v>
      </c>
      <c r="Q30" t="s">
        <v>102</v>
      </c>
      <c r="R30" t="s">
        <v>689</v>
      </c>
      <c r="S30" s="15" t="str">
        <f>HYPERLINK("https://www.ejacket.nsf.gov/ej/showProposal.do?ID="&amp;ckCodingTable[[#This Row],[prop_id]],"eJ")</f>
        <v>eJ</v>
      </c>
      <c r="T30" t="s">
        <v>689</v>
      </c>
      <c r="U30" t="s">
        <v>890</v>
      </c>
      <c r="V30" t="s">
        <v>891</v>
      </c>
      <c r="W30" s="34">
        <v>43252</v>
      </c>
      <c r="X30">
        <v>24</v>
      </c>
      <c r="Y30">
        <v>3</v>
      </c>
      <c r="Z30">
        <v>1</v>
      </c>
      <c r="AA30" t="s">
        <v>895</v>
      </c>
      <c r="AB30" s="8"/>
      <c r="AC30">
        <v>2</v>
      </c>
      <c r="AD30">
        <v>0</v>
      </c>
      <c r="AE30">
        <v>0</v>
      </c>
      <c r="AF30">
        <v>0</v>
      </c>
      <c r="AG30" t="s">
        <v>194</v>
      </c>
      <c r="AH30" t="s">
        <v>193</v>
      </c>
      <c r="AI30" t="s">
        <v>191</v>
      </c>
      <c r="AJ30" t="s">
        <v>245</v>
      </c>
      <c r="AK30" t="s">
        <v>892</v>
      </c>
      <c r="AL30" t="s">
        <v>893</v>
      </c>
      <c r="AM30" t="s">
        <v>880</v>
      </c>
      <c r="AN30">
        <v>1</v>
      </c>
      <c r="AP30">
        <v>4.05</v>
      </c>
      <c r="AQ30" t="s">
        <v>894</v>
      </c>
      <c r="AR30">
        <v>5.333333333333333</v>
      </c>
      <c r="AS30" s="8">
        <v>43032.675694444442</v>
      </c>
      <c r="AT30">
        <v>3</v>
      </c>
      <c r="AY30">
        <v>175000</v>
      </c>
      <c r="AZ30">
        <v>0</v>
      </c>
      <c r="BA30">
        <v>175000</v>
      </c>
      <c r="BF30">
        <v>4</v>
      </c>
    </row>
    <row r="31" spans="1:70" x14ac:dyDescent="0.4">
      <c r="A31" s="34">
        <v>42956.717361111114</v>
      </c>
      <c r="B31" t="s">
        <v>856</v>
      </c>
      <c r="C31" t="s">
        <v>243</v>
      </c>
      <c r="D31" t="s">
        <v>857</v>
      </c>
      <c r="E31" t="s">
        <v>713</v>
      </c>
      <c r="F31" t="s">
        <v>100</v>
      </c>
      <c r="G31" t="s">
        <v>821</v>
      </c>
      <c r="H31" t="b">
        <f>_xlfn.XOR(IFERROR(MATCH(ckCodingTable[[#This Row],[st_code]],EpscorTable[],0)&gt;0,FALSE),IFERROR(FIND("9150",#REF!)&gt;0,FALSE))</f>
        <v>0</v>
      </c>
      <c r="I31" t="b">
        <f>_xlfn.XOR(ckCodingTable[[#This Row],[WMD]]&lt;&gt;"",IFERROR(FIND("9102",#REF!)&gt;0,FALSE))</f>
        <v>0</v>
      </c>
      <c r="J31" t="str">
        <f t="shared" si="0"/>
        <v/>
      </c>
      <c r="K31" t="s">
        <v>855</v>
      </c>
      <c r="L31" s="25"/>
      <c r="M31" s="43">
        <v>1</v>
      </c>
      <c r="N31" s="43">
        <v>0</v>
      </c>
      <c r="O31" s="15" t="e">
        <f>HYPERLINK("mailto:"&amp;#REF!&amp;"&amp;subject=Your NSF Proposal:  "&amp;ckCodingTable[[#This Row],[prop_id]], #REF!)</f>
        <v>#REF!</v>
      </c>
      <c r="P31">
        <f xml:space="preserve"> P30+(ckCodingTable[ILN]&lt;"M")</f>
        <v>30</v>
      </c>
      <c r="Q31" t="s">
        <v>102</v>
      </c>
      <c r="R31" t="s">
        <v>690</v>
      </c>
      <c r="S31" s="15" t="str">
        <f>HYPERLINK("https://www.ejacket.nsf.gov/ej/showProposal.do?ID="&amp;ckCodingTable[[#This Row],[prop_id]],"eJ")</f>
        <v>eJ</v>
      </c>
      <c r="T31" t="s">
        <v>690</v>
      </c>
      <c r="U31" t="s">
        <v>896</v>
      </c>
      <c r="V31" t="s">
        <v>897</v>
      </c>
      <c r="W31" s="34">
        <v>43101</v>
      </c>
      <c r="X31">
        <v>24</v>
      </c>
      <c r="Y31">
        <v>3</v>
      </c>
      <c r="Z31">
        <v>1</v>
      </c>
      <c r="AA31" t="s">
        <v>901</v>
      </c>
      <c r="AB31" s="8"/>
      <c r="AC31">
        <v>0</v>
      </c>
      <c r="AD31">
        <v>0</v>
      </c>
      <c r="AE31">
        <v>0</v>
      </c>
      <c r="AF31">
        <v>0</v>
      </c>
      <c r="AG31" t="s">
        <v>194</v>
      </c>
      <c r="AH31" t="s">
        <v>193</v>
      </c>
      <c r="AI31" t="s">
        <v>191</v>
      </c>
      <c r="AJ31" t="s">
        <v>245</v>
      </c>
      <c r="AK31" t="s">
        <v>898</v>
      </c>
      <c r="AL31" t="s">
        <v>899</v>
      </c>
      <c r="AM31" t="s">
        <v>656</v>
      </c>
      <c r="AN31">
        <v>1</v>
      </c>
      <c r="AP31">
        <v>4.05</v>
      </c>
      <c r="AQ31" t="s">
        <v>900</v>
      </c>
      <c r="AR31">
        <v>4.666666666666667</v>
      </c>
      <c r="AS31" s="8">
        <v>43031.75</v>
      </c>
      <c r="AT31">
        <v>3</v>
      </c>
      <c r="AY31">
        <v>175000</v>
      </c>
      <c r="AZ31">
        <v>0</v>
      </c>
      <c r="BA31">
        <v>175000</v>
      </c>
      <c r="BF31">
        <v>4</v>
      </c>
    </row>
    <row r="32" spans="1:70" x14ac:dyDescent="0.4">
      <c r="A32" s="34">
        <v>42956.746527777781</v>
      </c>
      <c r="B32" t="s">
        <v>856</v>
      </c>
      <c r="C32" t="s">
        <v>243</v>
      </c>
      <c r="D32" t="s">
        <v>857</v>
      </c>
      <c r="E32" t="s">
        <v>729</v>
      </c>
      <c r="F32" t="s">
        <v>100</v>
      </c>
      <c r="G32" t="s">
        <v>821</v>
      </c>
      <c r="H32" t="b">
        <f>_xlfn.XOR(IFERROR(MATCH(ckCodingTable[[#This Row],[st_code]],EpscorTable[],0)&gt;0,FALSE),IFERROR(FIND("9150",#REF!)&gt;0,FALSE))</f>
        <v>0</v>
      </c>
      <c r="I32" t="b">
        <f>_xlfn.XOR(ckCodingTable[[#This Row],[WMD]]&lt;&gt;"",IFERROR(FIND("9102",#REF!)&gt;0,FALSE))</f>
        <v>0</v>
      </c>
      <c r="J32" t="str">
        <f t="shared" si="0"/>
        <v/>
      </c>
      <c r="K32" t="s">
        <v>855</v>
      </c>
      <c r="L32" s="25"/>
      <c r="M32" s="43">
        <v>1</v>
      </c>
      <c r="N32" s="43">
        <v>0</v>
      </c>
      <c r="O32" s="15" t="e">
        <f>HYPERLINK("mailto:"&amp;#REF!&amp;"&amp;subject=Your NSF Proposal:  "&amp;ckCodingTable[[#This Row],[prop_id]], #REF!)</f>
        <v>#REF!</v>
      </c>
      <c r="P32">
        <f xml:space="preserve"> P31+(ckCodingTable[ILN]&lt;"M")</f>
        <v>31</v>
      </c>
      <c r="Q32" t="s">
        <v>102</v>
      </c>
      <c r="R32" t="s">
        <v>691</v>
      </c>
      <c r="S32" s="15" t="str">
        <f>HYPERLINK("https://www.ejacket.nsf.gov/ej/showProposal.do?ID="&amp;ckCodingTable[[#This Row],[prop_id]],"eJ")</f>
        <v>eJ</v>
      </c>
      <c r="T32" t="s">
        <v>691</v>
      </c>
      <c r="U32" t="s">
        <v>289</v>
      </c>
      <c r="V32" t="s">
        <v>902</v>
      </c>
      <c r="W32" s="34">
        <v>43252</v>
      </c>
      <c r="X32">
        <v>24</v>
      </c>
      <c r="Y32">
        <v>3</v>
      </c>
      <c r="Z32">
        <v>1</v>
      </c>
      <c r="AA32" t="s">
        <v>906</v>
      </c>
      <c r="AB32" s="8"/>
      <c r="AC32">
        <v>0</v>
      </c>
      <c r="AD32">
        <v>0</v>
      </c>
      <c r="AE32">
        <v>0</v>
      </c>
      <c r="AF32">
        <v>0</v>
      </c>
      <c r="AG32" t="s">
        <v>194</v>
      </c>
      <c r="AH32" t="s">
        <v>193</v>
      </c>
      <c r="AI32" t="s">
        <v>191</v>
      </c>
      <c r="AJ32" t="s">
        <v>245</v>
      </c>
      <c r="AK32" t="s">
        <v>903</v>
      </c>
      <c r="AL32" t="s">
        <v>904</v>
      </c>
      <c r="AM32" t="s">
        <v>861</v>
      </c>
      <c r="AN32">
        <v>1</v>
      </c>
      <c r="AP32">
        <v>2.0299999999999998</v>
      </c>
      <c r="AQ32" t="s">
        <v>905</v>
      </c>
      <c r="AR32">
        <v>6</v>
      </c>
      <c r="AS32" s="8">
        <v>43031.734027777777</v>
      </c>
      <c r="AT32">
        <v>3</v>
      </c>
      <c r="AY32">
        <v>148477</v>
      </c>
      <c r="AZ32">
        <v>0</v>
      </c>
      <c r="BA32">
        <v>148477</v>
      </c>
      <c r="BC32">
        <v>7000</v>
      </c>
      <c r="BF32">
        <v>3</v>
      </c>
    </row>
  </sheetData>
  <conditionalFormatting sqref="G2:G32">
    <cfRule type="expression" dxfId="34" priority="5">
      <formula>$H2</formula>
    </cfRule>
  </conditionalFormatting>
  <conditionalFormatting sqref="J2:J32">
    <cfRule type="expression" dxfId="33" priority="4">
      <formula>$I2</formula>
    </cfRule>
  </conditionalFormatting>
  <conditionalFormatting sqref="M2:N32">
    <cfRule type="expression" dxfId="32" priority="1">
      <formula>$M2+$N2&lt;&gt;1</formula>
    </cfRule>
  </conditionalFormatting>
  <conditionalFormatting sqref="A2:BJ32">
    <cfRule type="expression" dxfId="31" priority="947">
      <formula>MOD($P2,2)</formula>
    </cfRule>
  </conditionalFormatting>
  <conditionalFormatting sqref="Y2:Y32">
    <cfRule type="expression" dxfId="30" priority="959">
      <formula>$Y2&lt;#REF!+3</formula>
    </cfRule>
  </conditionalFormatting>
  <conditionalFormatting sqref="Z2:Z32">
    <cfRule type="expression" dxfId="29" priority="971">
      <formula>AND($Q2="N", Z2&lt;&gt;BK1048532)</formula>
    </cfRule>
  </conditionalFormatting>
  <conditionalFormatting sqref="AA2:AA32">
    <cfRule type="expression" dxfId="28" priority="999">
      <formula>AND($Q2="N", AA2&lt;&gt;BP1048532)</formula>
    </cfRule>
  </conditionalFormatting>
  <conditionalFormatting sqref="W17:AA17 B2:F32">
    <cfRule type="expression" dxfId="27" priority="1004">
      <formula>AND($Q2="N", B2&lt;&gt;B1048547)</formula>
    </cfRule>
  </conditionalFormatting>
  <conditionalFormatting sqref="W2:Y32">
    <cfRule type="expression" dxfId="26" priority="1011">
      <formula>AND($Q2="N", W2&lt;&gt;AB1048547)</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sheetPr>
  <dimension ref="A1:AW17"/>
  <sheetViews>
    <sheetView workbookViewId="0">
      <selection sqref="A1:XFD1"/>
    </sheetView>
  </sheetViews>
  <sheetFormatPr defaultRowHeight="14.6" x14ac:dyDescent="0.4"/>
  <cols>
    <col min="1" max="1" width="9.3046875" style="34" customWidth="1"/>
    <col min="2" max="2" width="11.15234375" customWidth="1"/>
    <col min="3" max="3" width="11.3828125" customWidth="1"/>
    <col min="4" max="4" width="5.3828125" customWidth="1"/>
    <col min="6" max="6" width="5.84375" style="34" customWidth="1"/>
    <col min="7" max="7" width="3.3046875" style="34" customWidth="1"/>
    <col min="8" max="8" width="3.53515625" style="34" customWidth="1"/>
    <col min="9" max="9" width="13.53515625" customWidth="1"/>
    <col min="10" max="10" width="3.84375" customWidth="1"/>
    <col min="11" max="12" width="7.3828125" hidden="1" customWidth="1"/>
    <col min="13" max="13" width="5.3828125" customWidth="1"/>
    <col min="14" max="14" width="11" customWidth="1"/>
    <col min="15" max="15" width="14.3046875" style="25" customWidth="1"/>
    <col min="16" max="16" width="5.3046875" style="43" customWidth="1"/>
    <col min="17" max="17" width="4.53515625" style="43" customWidth="1"/>
    <col min="18" max="18" width="11.84375" customWidth="1"/>
    <col min="19" max="19" width="4.3828125" customWidth="1"/>
    <col min="20" max="20" width="3.69140625" customWidth="1"/>
    <col min="21" max="21" width="8.69140625" style="34" customWidth="1"/>
    <col min="22" max="22" width="3.69140625" customWidth="1"/>
    <col min="23" max="23" width="9.23046875" style="34"/>
    <col min="24" max="24" width="9.53515625" style="34" customWidth="1"/>
    <col min="25" max="25" width="11.53515625" customWidth="1"/>
    <col min="26" max="26" width="12.15234375" customWidth="1"/>
    <col min="27" max="27" width="9.84375" customWidth="1"/>
    <col min="28" max="28" width="10.15234375" customWidth="1"/>
    <col min="29" max="29" width="4.3828125" customWidth="1"/>
    <col min="30" max="35" width="3" customWidth="1"/>
    <col min="36" max="36" width="9.23046875" style="1"/>
    <col min="38" max="38" width="85.53515625" customWidth="1"/>
    <col min="39" max="39" width="10.3828125" customWidth="1"/>
    <col min="40" max="40" width="9.53515625" style="13" customWidth="1"/>
    <col min="41" max="41" width="10.3828125" customWidth="1"/>
    <col min="42" max="42" width="15.3828125" customWidth="1"/>
    <col min="43" max="43" width="11.69140625" customWidth="1"/>
    <col min="44" max="44" width="9.3046875" hidden="1" customWidth="1"/>
    <col min="45" max="45" width="11" hidden="1" customWidth="1"/>
    <col min="46" max="49" width="4.3046875" customWidth="1"/>
  </cols>
  <sheetData>
    <row r="1" spans="1:49" ht="29.15" customHeight="1" x14ac:dyDescent="0.4">
      <c r="A1" s="34" t="s">
        <v>7</v>
      </c>
      <c r="B1" t="s">
        <v>8</v>
      </c>
      <c r="C1" t="s">
        <v>5</v>
      </c>
      <c r="D1" t="s">
        <v>4</v>
      </c>
      <c r="E1" t="s">
        <v>93</v>
      </c>
      <c r="F1" t="s">
        <v>94</v>
      </c>
      <c r="G1" t="s">
        <v>95</v>
      </c>
      <c r="H1" t="s">
        <v>96</v>
      </c>
      <c r="I1" t="s">
        <v>13</v>
      </c>
      <c r="J1" t="s">
        <v>98</v>
      </c>
      <c r="K1" t="s">
        <v>136</v>
      </c>
      <c r="L1" t="s">
        <v>151</v>
      </c>
      <c r="M1" t="s">
        <v>150</v>
      </c>
      <c r="N1" t="s">
        <v>18</v>
      </c>
      <c r="O1" s="25" t="s">
        <v>17</v>
      </c>
      <c r="P1" s="43" t="s">
        <v>134</v>
      </c>
      <c r="Q1" s="43" t="s">
        <v>135</v>
      </c>
      <c r="R1" s="14" t="s">
        <v>142</v>
      </c>
      <c r="S1" s="14" t="s">
        <v>108</v>
      </c>
      <c r="T1" t="s">
        <v>89</v>
      </c>
      <c r="U1" t="s">
        <v>9</v>
      </c>
      <c r="V1" t="s">
        <v>1</v>
      </c>
      <c r="W1" t="s">
        <v>0</v>
      </c>
      <c r="X1" t="s">
        <v>10</v>
      </c>
      <c r="Y1" t="s">
        <v>19</v>
      </c>
      <c r="Z1" t="s">
        <v>11</v>
      </c>
      <c r="AA1" s="1" t="s">
        <v>90</v>
      </c>
      <c r="AB1" s="34" t="s">
        <v>20</v>
      </c>
      <c r="AC1" t="s">
        <v>21</v>
      </c>
      <c r="AD1" t="s">
        <v>152</v>
      </c>
      <c r="AE1" t="s">
        <v>153</v>
      </c>
      <c r="AF1" t="s">
        <v>154</v>
      </c>
      <c r="AG1" t="s">
        <v>155</v>
      </c>
      <c r="AH1" t="s">
        <v>156</v>
      </c>
      <c r="AI1" t="s">
        <v>157</v>
      </c>
      <c r="AJ1" t="s">
        <v>91</v>
      </c>
      <c r="AK1" t="s">
        <v>92</v>
      </c>
      <c r="AL1" t="s">
        <v>37</v>
      </c>
      <c r="AM1" t="s">
        <v>144</v>
      </c>
      <c r="AN1" s="13" t="s">
        <v>145</v>
      </c>
      <c r="AO1" t="s">
        <v>143</v>
      </c>
      <c r="AP1" t="s">
        <v>12</v>
      </c>
      <c r="AQ1" t="s">
        <v>88</v>
      </c>
      <c r="AR1" t="s">
        <v>97</v>
      </c>
      <c r="AS1" t="s">
        <v>99</v>
      </c>
      <c r="AT1" t="s">
        <v>146</v>
      </c>
      <c r="AU1" t="s">
        <v>147</v>
      </c>
      <c r="AV1" t="s">
        <v>148</v>
      </c>
      <c r="AW1" t="s">
        <v>149</v>
      </c>
    </row>
    <row r="2" spans="1:49" x14ac:dyDescent="0.4">
      <c r="A2" s="34">
        <v>42933.697916666664</v>
      </c>
      <c r="B2" t="s">
        <v>279</v>
      </c>
      <c r="C2" t="s">
        <v>243</v>
      </c>
      <c r="D2" t="s">
        <v>313</v>
      </c>
      <c r="E2" t="s">
        <v>314</v>
      </c>
      <c r="F2" t="s">
        <v>100</v>
      </c>
      <c r="G2" t="s">
        <v>101</v>
      </c>
      <c r="H2" t="s">
        <v>298</v>
      </c>
      <c r="I2" t="s">
        <v>306</v>
      </c>
      <c r="J2" t="s">
        <v>310</v>
      </c>
      <c r="K2" t="b">
        <f>_xlfn.XOR(IFERROR(MATCH(ckAwdTable[[#This Row],[st_code]],EpscorTable[],0)&gt;0,FALSE),IFERROR(FIND("9150",ckAwdTable[[#This Row],[PRCs]])&gt;0,FALSE))</f>
        <v>0</v>
      </c>
      <c r="L2" t="b">
        <f>_xlfn.XOR(ckAwdTable[[#This Row],[WMD]]&lt;&gt;"",IFERROR(FIND("9102",ckAwdTable[[#This Row],[PRCs]])&gt;0,FALSE))</f>
        <v>0</v>
      </c>
      <c r="M2" t="str">
        <f t="shared" ref="M2:M17" si="0">IF(SUM(AT2:AW2)&gt;0,"WMD","")</f>
        <v/>
      </c>
      <c r="P2" s="43">
        <v>0</v>
      </c>
      <c r="Q2" s="43">
        <v>0</v>
      </c>
      <c r="R2" s="15" t="str">
        <f>HYPERLINK("mailto:"&amp;ckAwdTable[[#This Row],[pi_emai_addr]]&amp;"&amp;subject=Your NSF Proposal:  "&amp;ckAwdTable[[#This Row],[prop_id]], ckAwdTable[[#This Row],[pi_emai_addr]])</f>
        <v>lziarek@buffalo.edu</v>
      </c>
      <c r="S2">
        <f xml:space="preserve"> S1+(ckAwdTable[ILN]&lt;"M")</f>
        <v>1</v>
      </c>
      <c r="T2" t="s">
        <v>102</v>
      </c>
      <c r="U2" t="s">
        <v>315</v>
      </c>
      <c r="V2" s="15" t="str">
        <f>HYPERLINK("https://www.ejacket.nsf.gov/ej/showProposal.do?ID="&amp;ckAwdTable[[#This Row],[prop_id]],"eJ")</f>
        <v>eJ</v>
      </c>
      <c r="W2" t="s">
        <v>315</v>
      </c>
      <c r="X2" t="s">
        <v>316</v>
      </c>
      <c r="Y2" t="s">
        <v>524</v>
      </c>
      <c r="Z2" t="s">
        <v>241</v>
      </c>
      <c r="AA2" s="1">
        <v>561136</v>
      </c>
      <c r="AB2" s="34">
        <v>43101</v>
      </c>
      <c r="AC2">
        <v>60</v>
      </c>
      <c r="AD2">
        <v>5</v>
      </c>
      <c r="AF2">
        <v>5</v>
      </c>
      <c r="AG2">
        <v>1</v>
      </c>
      <c r="AI2">
        <v>1</v>
      </c>
      <c r="AJ2"/>
      <c r="AL2" t="s">
        <v>525</v>
      </c>
      <c r="AN2" s="13">
        <v>20000</v>
      </c>
      <c r="AO2" t="s">
        <v>543</v>
      </c>
      <c r="AP2" t="s">
        <v>317</v>
      </c>
      <c r="AQ2" s="8"/>
      <c r="AR2" t="s">
        <v>309</v>
      </c>
      <c r="AS2" t="s">
        <v>544</v>
      </c>
      <c r="AT2">
        <v>0</v>
      </c>
      <c r="AU2">
        <v>0</v>
      </c>
      <c r="AV2">
        <v>0</v>
      </c>
      <c r="AW2">
        <v>0</v>
      </c>
    </row>
    <row r="3" spans="1:49" x14ac:dyDescent="0.4">
      <c r="A3" s="34">
        <v>42933.719444444447</v>
      </c>
      <c r="B3" t="s">
        <v>279</v>
      </c>
      <c r="C3" t="s">
        <v>243</v>
      </c>
      <c r="D3" t="s">
        <v>313</v>
      </c>
      <c r="E3" t="s">
        <v>318</v>
      </c>
      <c r="F3" t="s">
        <v>100</v>
      </c>
      <c r="G3" t="s">
        <v>101</v>
      </c>
      <c r="H3" t="s">
        <v>298</v>
      </c>
      <c r="I3" t="s">
        <v>306</v>
      </c>
      <c r="J3" t="s">
        <v>304</v>
      </c>
      <c r="K3" t="b">
        <f>_xlfn.XOR(IFERROR(MATCH(ckAwdTable[[#This Row],[st_code]],EpscorTable[],0)&gt;0,FALSE),IFERROR(FIND("9150",ckAwdTable[[#This Row],[PRCs]])&gt;0,FALSE))</f>
        <v>0</v>
      </c>
      <c r="L3" t="b">
        <f>_xlfn.XOR(ckAwdTable[[#This Row],[WMD]]&lt;&gt;"",IFERROR(FIND("9102",ckAwdTable[[#This Row],[PRCs]])&gt;0,FALSE))</f>
        <v>0</v>
      </c>
      <c r="M3" t="str">
        <f t="shared" si="0"/>
        <v/>
      </c>
      <c r="P3" s="43">
        <v>0</v>
      </c>
      <c r="Q3" s="43">
        <v>0</v>
      </c>
      <c r="R3" s="15" t="str">
        <f>HYPERLINK("mailto:"&amp;ckAwdTable[[#This Row],[pi_emai_addr]]&amp;"&amp;subject=Your NSF Proposal:  "&amp;ckAwdTable[[#This Row],[prop_id]], ckAwdTable[[#This Row],[pi_emai_addr]])</f>
        <v>ztatlock@cs.washington.edu</v>
      </c>
      <c r="S3">
        <f xml:space="preserve"> S2+(ckAwdTable[ILN]&lt;"M")</f>
        <v>2</v>
      </c>
      <c r="T3" t="s">
        <v>102</v>
      </c>
      <c r="U3" t="s">
        <v>319</v>
      </c>
      <c r="V3" s="15" t="str">
        <f>HYPERLINK("https://www.ejacket.nsf.gov/ej/showProposal.do?ID="&amp;ckAwdTable[[#This Row],[prop_id]],"eJ")</f>
        <v>eJ</v>
      </c>
      <c r="W3" t="s">
        <v>319</v>
      </c>
      <c r="X3" t="s">
        <v>320</v>
      </c>
      <c r="Y3" t="s">
        <v>518</v>
      </c>
      <c r="Z3" t="s">
        <v>281</v>
      </c>
      <c r="AA3" s="1">
        <v>648665</v>
      </c>
      <c r="AB3" s="34">
        <v>43191</v>
      </c>
      <c r="AC3">
        <v>60</v>
      </c>
      <c r="AD3">
        <v>4</v>
      </c>
      <c r="AF3">
        <v>4</v>
      </c>
      <c r="AG3">
        <v>1</v>
      </c>
      <c r="AI3">
        <v>1</v>
      </c>
      <c r="AJ3"/>
      <c r="AL3" t="s">
        <v>519</v>
      </c>
      <c r="AN3" s="13">
        <v>15000</v>
      </c>
      <c r="AO3" t="s">
        <v>297</v>
      </c>
      <c r="AP3" t="s">
        <v>321</v>
      </c>
      <c r="AQ3" s="8"/>
      <c r="AR3" t="s">
        <v>303</v>
      </c>
      <c r="AS3" t="s">
        <v>545</v>
      </c>
      <c r="AT3">
        <v>0</v>
      </c>
      <c r="AU3">
        <v>0</v>
      </c>
      <c r="AV3">
        <v>0</v>
      </c>
      <c r="AW3">
        <v>0</v>
      </c>
    </row>
    <row r="4" spans="1:49" x14ac:dyDescent="0.4">
      <c r="A4" s="34">
        <v>42933.731249999997</v>
      </c>
      <c r="B4" t="s">
        <v>279</v>
      </c>
      <c r="C4" t="s">
        <v>243</v>
      </c>
      <c r="D4" t="s">
        <v>313</v>
      </c>
      <c r="E4" t="s">
        <v>314</v>
      </c>
      <c r="F4" t="s">
        <v>100</v>
      </c>
      <c r="G4" t="s">
        <v>101</v>
      </c>
      <c r="H4" t="s">
        <v>298</v>
      </c>
      <c r="I4" t="s">
        <v>306</v>
      </c>
      <c r="J4" t="s">
        <v>300</v>
      </c>
      <c r="K4" t="b">
        <f>_xlfn.XOR(IFERROR(MATCH(ckAwdTable[[#This Row],[st_code]],EpscorTable[],0)&gt;0,FALSE),IFERROR(FIND("9150",ckAwdTable[[#This Row],[PRCs]])&gt;0,FALSE))</f>
        <v>0</v>
      </c>
      <c r="L4" t="b">
        <f>_xlfn.XOR(ckAwdTable[[#This Row],[WMD]]&lt;&gt;"",IFERROR(FIND("9102",ckAwdTable[[#This Row],[PRCs]])&gt;0,FALSE))</f>
        <v>0</v>
      </c>
      <c r="M4" t="str">
        <f t="shared" si="0"/>
        <v/>
      </c>
      <c r="P4" s="43">
        <v>0</v>
      </c>
      <c r="Q4" s="43">
        <v>0</v>
      </c>
      <c r="R4" s="15" t="str">
        <f>HYPERLINK("mailto:"&amp;ckAwdTable[[#This Row],[pi_emai_addr]]&amp;"&amp;subject=Your NSF Proposal:  "&amp;ckAwdTable[[#This Row],[prop_id]], ckAwdTable[[#This Row],[pi_emai_addr]])</f>
        <v>gbm26@drexel.edu</v>
      </c>
      <c r="S4">
        <f xml:space="preserve"> S3+(ckAwdTable[ILN]&lt;"M")</f>
        <v>3</v>
      </c>
      <c r="T4" t="s">
        <v>102</v>
      </c>
      <c r="U4" t="s">
        <v>322</v>
      </c>
      <c r="V4" s="15" t="str">
        <f>HYPERLINK("https://www.ejacket.nsf.gov/ej/showProposal.do?ID="&amp;ckAwdTable[[#This Row],[prop_id]],"eJ")</f>
        <v>eJ</v>
      </c>
      <c r="W4" t="s">
        <v>322</v>
      </c>
      <c r="X4" t="s">
        <v>323</v>
      </c>
      <c r="Y4" t="s">
        <v>530</v>
      </c>
      <c r="Z4" t="s">
        <v>324</v>
      </c>
      <c r="AA4" s="1">
        <v>495570</v>
      </c>
      <c r="AB4" s="34">
        <v>43101</v>
      </c>
      <c r="AC4">
        <v>60</v>
      </c>
      <c r="AD4">
        <v>4</v>
      </c>
      <c r="AF4">
        <v>4</v>
      </c>
      <c r="AG4">
        <v>1</v>
      </c>
      <c r="AI4">
        <v>1</v>
      </c>
      <c r="AJ4"/>
      <c r="AL4" t="s">
        <v>531</v>
      </c>
      <c r="AN4" s="13">
        <v>0</v>
      </c>
      <c r="AP4" t="s">
        <v>325</v>
      </c>
      <c r="AQ4" s="8"/>
      <c r="AR4" t="s">
        <v>546</v>
      </c>
      <c r="AS4" t="s">
        <v>547</v>
      </c>
      <c r="AT4">
        <v>0</v>
      </c>
      <c r="AU4">
        <v>0</v>
      </c>
      <c r="AV4">
        <v>0</v>
      </c>
      <c r="AW4">
        <v>0</v>
      </c>
    </row>
    <row r="5" spans="1:49" x14ac:dyDescent="0.4">
      <c r="A5" s="34">
        <v>42934.425000000003</v>
      </c>
      <c r="B5" t="s">
        <v>279</v>
      </c>
      <c r="C5" t="s">
        <v>243</v>
      </c>
      <c r="D5" t="s">
        <v>313</v>
      </c>
      <c r="E5" t="s">
        <v>314</v>
      </c>
      <c r="F5" t="s">
        <v>100</v>
      </c>
      <c r="G5" t="s">
        <v>101</v>
      </c>
      <c r="H5" t="s">
        <v>298</v>
      </c>
      <c r="I5" t="s">
        <v>306</v>
      </c>
      <c r="J5" t="s">
        <v>300</v>
      </c>
      <c r="K5" t="b">
        <f>_xlfn.XOR(IFERROR(MATCH(ckAwdTable[[#This Row],[st_code]],EpscorTable[],0)&gt;0,FALSE),IFERROR(FIND("9150",ckAwdTable[[#This Row],[PRCs]])&gt;0,FALSE))</f>
        <v>0</v>
      </c>
      <c r="L5" t="b">
        <f>_xlfn.XOR(ckAwdTable[[#This Row],[WMD]]&lt;&gt;"",IFERROR(FIND("9102",ckAwdTable[[#This Row],[PRCs]])&gt;0,FALSE))</f>
        <v>0</v>
      </c>
      <c r="M5" t="str">
        <f t="shared" si="0"/>
        <v/>
      </c>
      <c r="P5" s="43">
        <v>0</v>
      </c>
      <c r="Q5" s="43">
        <v>0</v>
      </c>
      <c r="R5" s="15" t="str">
        <f>HYPERLINK("mailto:"&amp;ckAwdTable[[#This Row],[pi_emai_addr]]&amp;"&amp;subject=Your NSF Proposal:  "&amp;ckAwdTable[[#This Row],[prop_id]], ckAwdTable[[#This Row],[pi_emai_addr]])</f>
        <v>csg63@drexel.edu</v>
      </c>
      <c r="S5">
        <f xml:space="preserve"> S4+(ckAwdTable[ILN]&lt;"M")</f>
        <v>4</v>
      </c>
      <c r="T5" t="s">
        <v>102</v>
      </c>
      <c r="U5" t="s">
        <v>326</v>
      </c>
      <c r="V5" s="15" t="str">
        <f>HYPERLINK("https://www.ejacket.nsf.gov/ej/showProposal.do?ID="&amp;ckAwdTable[[#This Row],[prop_id]],"eJ")</f>
        <v>eJ</v>
      </c>
      <c r="W5" t="s">
        <v>326</v>
      </c>
      <c r="X5" t="s">
        <v>327</v>
      </c>
      <c r="Y5" t="s">
        <v>521</v>
      </c>
      <c r="Z5" t="s">
        <v>324</v>
      </c>
      <c r="AA5" s="1">
        <v>622204</v>
      </c>
      <c r="AB5" s="34">
        <v>43344</v>
      </c>
      <c r="AC5">
        <v>60</v>
      </c>
      <c r="AD5">
        <v>4</v>
      </c>
      <c r="AF5">
        <v>4</v>
      </c>
      <c r="AG5">
        <v>1</v>
      </c>
      <c r="AI5">
        <v>1</v>
      </c>
      <c r="AJ5"/>
      <c r="AL5" t="s">
        <v>522</v>
      </c>
      <c r="AN5" s="13">
        <v>28660</v>
      </c>
      <c r="AO5" t="s">
        <v>297</v>
      </c>
      <c r="AP5" t="s">
        <v>328</v>
      </c>
      <c r="AQ5" s="8"/>
      <c r="AR5" t="s">
        <v>546</v>
      </c>
      <c r="AS5" t="s">
        <v>548</v>
      </c>
      <c r="AT5">
        <v>0</v>
      </c>
      <c r="AU5">
        <v>0</v>
      </c>
      <c r="AV5">
        <v>0</v>
      </c>
      <c r="AW5">
        <v>0</v>
      </c>
    </row>
    <row r="6" spans="1:49" x14ac:dyDescent="0.4">
      <c r="A6" s="34">
        <v>42934.681250000001</v>
      </c>
      <c r="B6" t="s">
        <v>279</v>
      </c>
      <c r="C6" t="s">
        <v>243</v>
      </c>
      <c r="D6" t="s">
        <v>313</v>
      </c>
      <c r="E6" t="s">
        <v>314</v>
      </c>
      <c r="F6" t="s">
        <v>100</v>
      </c>
      <c r="G6" t="s">
        <v>101</v>
      </c>
      <c r="H6" t="s">
        <v>298</v>
      </c>
      <c r="I6" t="s">
        <v>306</v>
      </c>
      <c r="J6" t="s">
        <v>308</v>
      </c>
      <c r="K6" t="b">
        <f>_xlfn.XOR(IFERROR(MATCH(ckAwdTable[[#This Row],[st_code]],EpscorTable[],0)&gt;0,FALSE),IFERROR(FIND("9150",ckAwdTable[[#This Row],[PRCs]])&gt;0,FALSE))</f>
        <v>0</v>
      </c>
      <c r="L6" t="b">
        <f>_xlfn.XOR(ckAwdTable[[#This Row],[WMD]]&lt;&gt;"",IFERROR(FIND("9102",ckAwdTable[[#This Row],[PRCs]])&gt;0,FALSE))</f>
        <v>0</v>
      </c>
      <c r="M6" t="str">
        <f t="shared" si="0"/>
        <v/>
      </c>
      <c r="P6" s="43">
        <v>0</v>
      </c>
      <c r="Q6" s="43">
        <v>0</v>
      </c>
      <c r="R6" s="15" t="str">
        <f>HYPERLINK("mailto:"&amp;ckAwdTable[[#This Row],[pi_emai_addr]]&amp;"&amp;subject=Your NSF Proposal:  "&amp;ckAwdTable[[#This Row],[prop_id]], ckAwdTable[[#This Row],[pi_emai_addr]])</f>
        <v>arjun@cs.umass.edu</v>
      </c>
      <c r="S6">
        <f xml:space="preserve"> S5+(ckAwdTable[ILN]&lt;"M")</f>
        <v>5</v>
      </c>
      <c r="T6" t="s">
        <v>102</v>
      </c>
      <c r="U6" t="s">
        <v>329</v>
      </c>
      <c r="V6" s="15" t="str">
        <f>HYPERLINK("https://www.ejacket.nsf.gov/ej/showProposal.do?ID="&amp;ckAwdTable[[#This Row],[prop_id]],"eJ")</f>
        <v>eJ</v>
      </c>
      <c r="W6" t="s">
        <v>329</v>
      </c>
      <c r="X6" t="s">
        <v>330</v>
      </c>
      <c r="Y6" t="s">
        <v>532</v>
      </c>
      <c r="Z6" t="s">
        <v>331</v>
      </c>
      <c r="AA6" s="1">
        <v>532375</v>
      </c>
      <c r="AB6" s="34">
        <v>43101</v>
      </c>
      <c r="AC6">
        <v>60</v>
      </c>
      <c r="AD6">
        <v>4</v>
      </c>
      <c r="AF6">
        <v>4</v>
      </c>
      <c r="AG6">
        <v>1</v>
      </c>
      <c r="AI6">
        <v>1</v>
      </c>
      <c r="AJ6"/>
      <c r="AL6" t="s">
        <v>533</v>
      </c>
      <c r="AN6" s="13">
        <v>0</v>
      </c>
      <c r="AP6" t="s">
        <v>332</v>
      </c>
      <c r="AQ6" s="8"/>
      <c r="AR6" t="s">
        <v>549</v>
      </c>
      <c r="AS6" t="s">
        <v>550</v>
      </c>
      <c r="AT6">
        <v>0</v>
      </c>
      <c r="AU6">
        <v>0</v>
      </c>
      <c r="AV6">
        <v>0</v>
      </c>
      <c r="AW6">
        <v>0</v>
      </c>
    </row>
    <row r="7" spans="1:49" x14ac:dyDescent="0.4">
      <c r="A7" s="34">
        <v>42934.72152777778</v>
      </c>
      <c r="B7" t="s">
        <v>279</v>
      </c>
      <c r="C7" t="s">
        <v>243</v>
      </c>
      <c r="D7" t="s">
        <v>313</v>
      </c>
      <c r="E7" t="s">
        <v>318</v>
      </c>
      <c r="F7" t="s">
        <v>100</v>
      </c>
      <c r="G7" t="s">
        <v>101</v>
      </c>
      <c r="H7" t="s">
        <v>298</v>
      </c>
      <c r="I7" t="s">
        <v>306</v>
      </c>
      <c r="J7" t="s">
        <v>312</v>
      </c>
      <c r="K7" t="b">
        <f>_xlfn.XOR(IFERROR(MATCH(ckAwdTable[[#This Row],[st_code]],EpscorTable[],0)&gt;0,FALSE),IFERROR(FIND("9150",ckAwdTable[[#This Row],[PRCs]])&gt;0,FALSE))</f>
        <v>0</v>
      </c>
      <c r="L7" t="b">
        <f>_xlfn.XOR(ckAwdTable[[#This Row],[WMD]]&lt;&gt;"",IFERROR(FIND("9102",ckAwdTable[[#This Row],[PRCs]])&gt;0,FALSE))</f>
        <v>0</v>
      </c>
      <c r="M7" t="str">
        <f t="shared" si="0"/>
        <v/>
      </c>
      <c r="P7" s="43">
        <v>0</v>
      </c>
      <c r="Q7" s="43">
        <v>0</v>
      </c>
      <c r="R7" s="15" t="str">
        <f>HYPERLINK("mailto:"&amp;ckAwdTable[[#This Row],[pi_emai_addr]]&amp;"&amp;subject=Your NSF Proposal:  "&amp;ckAwdTable[[#This Row],[prop_id]], ckAwdTable[[#This Row],[pi_emai_addr]])</f>
        <v>heades@augusta.edu</v>
      </c>
      <c r="S7">
        <f xml:space="preserve"> S6+(ckAwdTable[ILN]&lt;"M")</f>
        <v>6</v>
      </c>
      <c r="T7" t="s">
        <v>102</v>
      </c>
      <c r="U7" t="s">
        <v>333</v>
      </c>
      <c r="V7" s="15" t="str">
        <f>HYPERLINK("https://www.ejacket.nsf.gov/ej/showProposal.do?ID="&amp;ckAwdTable[[#This Row],[prop_id]],"eJ")</f>
        <v>eJ</v>
      </c>
      <c r="W7" t="s">
        <v>333</v>
      </c>
      <c r="X7" t="s">
        <v>334</v>
      </c>
      <c r="Y7" t="s">
        <v>534</v>
      </c>
      <c r="Z7" t="s">
        <v>335</v>
      </c>
      <c r="AA7" s="1">
        <v>500272</v>
      </c>
      <c r="AB7" s="34">
        <v>43160</v>
      </c>
      <c r="AC7">
        <v>60</v>
      </c>
      <c r="AD7">
        <v>5</v>
      </c>
      <c r="AF7">
        <v>5</v>
      </c>
      <c r="AG7">
        <v>1</v>
      </c>
      <c r="AI7">
        <v>1</v>
      </c>
      <c r="AJ7"/>
      <c r="AL7" t="s">
        <v>535</v>
      </c>
      <c r="AN7" s="13">
        <v>32960</v>
      </c>
      <c r="AO7" t="s">
        <v>297</v>
      </c>
      <c r="AP7" t="s">
        <v>336</v>
      </c>
      <c r="AQ7" s="8"/>
      <c r="AR7" t="s">
        <v>551</v>
      </c>
      <c r="AS7" t="s">
        <v>552</v>
      </c>
      <c r="AT7">
        <v>0</v>
      </c>
      <c r="AU7">
        <v>0</v>
      </c>
      <c r="AV7">
        <v>0</v>
      </c>
      <c r="AW7">
        <v>0</v>
      </c>
    </row>
    <row r="8" spans="1:49" x14ac:dyDescent="0.4">
      <c r="A8" s="34">
        <v>42935.388194444444</v>
      </c>
      <c r="B8" t="s">
        <v>279</v>
      </c>
      <c r="C8" t="s">
        <v>243</v>
      </c>
      <c r="D8" t="s">
        <v>313</v>
      </c>
      <c r="E8" t="s">
        <v>314</v>
      </c>
      <c r="F8" t="s">
        <v>100</v>
      </c>
      <c r="G8" t="s">
        <v>101</v>
      </c>
      <c r="H8" t="s">
        <v>298</v>
      </c>
      <c r="I8" t="s">
        <v>306</v>
      </c>
      <c r="J8" t="s">
        <v>300</v>
      </c>
      <c r="K8" t="b">
        <f>_xlfn.XOR(IFERROR(MATCH(ckAwdTable[[#This Row],[st_code]],EpscorTable[],0)&gt;0,FALSE),IFERROR(FIND("9150",ckAwdTable[[#This Row],[PRCs]])&gt;0,FALSE))</f>
        <v>0</v>
      </c>
      <c r="L8" t="b">
        <f>_xlfn.XOR(ckAwdTable[[#This Row],[WMD]]&lt;&gt;"",IFERROR(FIND("9102",ckAwdTable[[#This Row],[PRCs]])&gt;0,FALSE))</f>
        <v>0</v>
      </c>
      <c r="M8" t="str">
        <f t="shared" si="0"/>
        <v/>
      </c>
      <c r="P8" s="43">
        <v>0</v>
      </c>
      <c r="Q8" s="43">
        <v>0</v>
      </c>
      <c r="R8" s="15" t="str">
        <f>HYPERLINK("mailto:"&amp;ckAwdTable[[#This Row],[pi_emai_addr]]&amp;"&amp;subject=Your NSF Proposal:  "&amp;ckAwdTable[[#This Row],[prop_id]], ckAwdTable[[#This Row],[pi_emai_addr]])</f>
        <v>zhang@cse.psu.edu</v>
      </c>
      <c r="S8">
        <f xml:space="preserve"> S7+(ckAwdTable[ILN]&lt;"M")</f>
        <v>7</v>
      </c>
      <c r="T8" t="s">
        <v>102</v>
      </c>
      <c r="U8" t="s">
        <v>337</v>
      </c>
      <c r="V8" s="15" t="str">
        <f>HYPERLINK("https://www.ejacket.nsf.gov/ej/showProposal.do?ID="&amp;ckAwdTable[[#This Row],[prop_id]],"eJ")</f>
        <v>eJ</v>
      </c>
      <c r="W8" t="s">
        <v>337</v>
      </c>
      <c r="X8" t="s">
        <v>338</v>
      </c>
      <c r="Y8" t="s">
        <v>536</v>
      </c>
      <c r="Z8" t="s">
        <v>339</v>
      </c>
      <c r="AA8" s="1">
        <v>498999</v>
      </c>
      <c r="AB8" s="34">
        <v>43282</v>
      </c>
      <c r="AC8">
        <v>60</v>
      </c>
      <c r="AD8">
        <v>4</v>
      </c>
      <c r="AF8">
        <v>4</v>
      </c>
      <c r="AG8">
        <v>2</v>
      </c>
      <c r="AI8">
        <v>2</v>
      </c>
      <c r="AJ8"/>
      <c r="AL8" t="s">
        <v>537</v>
      </c>
      <c r="AN8" s="13">
        <v>12500</v>
      </c>
      <c r="AO8" t="s">
        <v>553</v>
      </c>
      <c r="AP8" t="s">
        <v>340</v>
      </c>
      <c r="AQ8" s="8"/>
      <c r="AR8" t="s">
        <v>554</v>
      </c>
      <c r="AS8" t="s">
        <v>555</v>
      </c>
      <c r="AT8">
        <v>0</v>
      </c>
      <c r="AU8">
        <v>0</v>
      </c>
      <c r="AV8">
        <v>0</v>
      </c>
      <c r="AW8">
        <v>0</v>
      </c>
    </row>
    <row r="9" spans="1:49" x14ac:dyDescent="0.4">
      <c r="A9" s="34">
        <v>42935.546527777777</v>
      </c>
      <c r="B9" t="s">
        <v>279</v>
      </c>
      <c r="C9" t="s">
        <v>243</v>
      </c>
      <c r="D9" t="s">
        <v>313</v>
      </c>
      <c r="E9" t="s">
        <v>314</v>
      </c>
      <c r="F9" t="s">
        <v>100</v>
      </c>
      <c r="G9" t="s">
        <v>101</v>
      </c>
      <c r="H9" t="s">
        <v>298</v>
      </c>
      <c r="I9" t="s">
        <v>306</v>
      </c>
      <c r="J9" t="s">
        <v>305</v>
      </c>
      <c r="K9" t="b">
        <f>_xlfn.XOR(IFERROR(MATCH(ckAwdTable[[#This Row],[st_code]],EpscorTable[],0)&gt;0,FALSE),IFERROR(FIND("9150",ckAwdTable[[#This Row],[PRCs]])&gt;0,FALSE))</f>
        <v>0</v>
      </c>
      <c r="L9" t="b">
        <f>_xlfn.XOR(ckAwdTable[[#This Row],[WMD]]&lt;&gt;"",IFERROR(FIND("9102",ckAwdTable[[#This Row],[PRCs]])&gt;0,FALSE))</f>
        <v>0</v>
      </c>
      <c r="M9" t="str">
        <f t="shared" si="0"/>
        <v/>
      </c>
      <c r="P9" s="43">
        <v>0</v>
      </c>
      <c r="Q9" s="43">
        <v>0</v>
      </c>
      <c r="R9" s="15" t="str">
        <f>HYPERLINK("mailto:"&amp;ckAwdTable[[#This Row],[pi_emai_addr]]&amp;"&amp;subject=Your NSF Proposal:  "&amp;ckAwdTable[[#This Row],[prop_id]], ckAwdTable[[#This Row],[pi_emai_addr]])</f>
        <v>michael.greenberg@pomona.edu</v>
      </c>
      <c r="S9">
        <f xml:space="preserve"> S8+(ckAwdTable[ILN]&lt;"M")</f>
        <v>8</v>
      </c>
      <c r="T9" t="s">
        <v>102</v>
      </c>
      <c r="U9" t="s">
        <v>341</v>
      </c>
      <c r="V9" s="15" t="str">
        <f>HYPERLINK("https://www.ejacket.nsf.gov/ej/showProposal.do?ID="&amp;ckAwdTable[[#This Row],[prop_id]],"eJ")</f>
        <v>eJ</v>
      </c>
      <c r="W9" t="s">
        <v>341</v>
      </c>
      <c r="X9" t="s">
        <v>342</v>
      </c>
      <c r="Y9" t="s">
        <v>296</v>
      </c>
      <c r="Z9" t="s">
        <v>343</v>
      </c>
      <c r="AA9" s="1">
        <v>430917</v>
      </c>
      <c r="AB9" s="34">
        <v>43191</v>
      </c>
      <c r="AC9">
        <v>60</v>
      </c>
      <c r="AD9">
        <v>5</v>
      </c>
      <c r="AF9">
        <v>5</v>
      </c>
      <c r="AG9">
        <v>1</v>
      </c>
      <c r="AI9">
        <v>1</v>
      </c>
      <c r="AJ9"/>
      <c r="AL9" t="s">
        <v>523</v>
      </c>
      <c r="AN9" s="13">
        <v>40000</v>
      </c>
      <c r="AO9" t="s">
        <v>297</v>
      </c>
      <c r="AP9" t="s">
        <v>344</v>
      </c>
      <c r="AQ9" s="8"/>
      <c r="AR9" t="s">
        <v>556</v>
      </c>
      <c r="AS9" t="s">
        <v>557</v>
      </c>
      <c r="AT9">
        <v>0</v>
      </c>
      <c r="AU9">
        <v>0</v>
      </c>
      <c r="AV9">
        <v>0</v>
      </c>
      <c r="AW9">
        <v>0</v>
      </c>
    </row>
    <row r="10" spans="1:49" x14ac:dyDescent="0.4">
      <c r="A10" s="34">
        <v>42935.551388888889</v>
      </c>
      <c r="B10" t="s">
        <v>279</v>
      </c>
      <c r="C10" t="s">
        <v>243</v>
      </c>
      <c r="D10" t="s">
        <v>313</v>
      </c>
      <c r="E10" t="s">
        <v>314</v>
      </c>
      <c r="F10" t="s">
        <v>100</v>
      </c>
      <c r="G10" t="s">
        <v>101</v>
      </c>
      <c r="H10" t="s">
        <v>298</v>
      </c>
      <c r="I10" t="s">
        <v>306</v>
      </c>
      <c r="J10" t="s">
        <v>308</v>
      </c>
      <c r="K10" t="b">
        <f>_xlfn.XOR(IFERROR(MATCH(ckAwdTable[[#This Row],[st_code]],EpscorTable[],0)&gt;0,FALSE),IFERROR(FIND("9150",ckAwdTable[[#This Row],[PRCs]])&gt;0,FALSE))</f>
        <v>0</v>
      </c>
      <c r="L10" t="b">
        <f>_xlfn.XOR(ckAwdTable[[#This Row],[WMD]]&lt;&gt;"",IFERROR(FIND("9102",ckAwdTable[[#This Row],[PRCs]])&gt;0,FALSE))</f>
        <v>0</v>
      </c>
      <c r="M10" t="str">
        <f t="shared" si="0"/>
        <v/>
      </c>
      <c r="P10" s="43">
        <v>0</v>
      </c>
      <c r="Q10" s="43">
        <v>0</v>
      </c>
      <c r="R10" s="15" t="str">
        <f>HYPERLINK("mailto:"&amp;ckAwdTable[[#This Row],[pi_emai_addr]]&amp;"&amp;subject=Your NSF Proposal:  "&amp;ckAwdTable[[#This Row],[prop_id]], ckAwdTable[[#This Row],[pi_emai_addr]])</f>
        <v>bwood5@wellesley.edu</v>
      </c>
      <c r="S10">
        <f xml:space="preserve"> S9+(ckAwdTable[ILN]&lt;"M")</f>
        <v>9</v>
      </c>
      <c r="T10" t="s">
        <v>102</v>
      </c>
      <c r="U10" t="s">
        <v>345</v>
      </c>
      <c r="V10" s="15" t="str">
        <f>HYPERLINK("https://www.ejacket.nsf.gov/ej/showProposal.do?ID="&amp;ckAwdTable[[#This Row],[prop_id]],"eJ")</f>
        <v>eJ</v>
      </c>
      <c r="W10" t="s">
        <v>345</v>
      </c>
      <c r="X10" t="s">
        <v>346</v>
      </c>
      <c r="Y10" t="s">
        <v>285</v>
      </c>
      <c r="Z10" t="s">
        <v>347</v>
      </c>
      <c r="AA10" s="1">
        <v>475283</v>
      </c>
      <c r="AB10" s="34">
        <v>43191</v>
      </c>
      <c r="AC10">
        <v>60</v>
      </c>
      <c r="AD10">
        <v>4</v>
      </c>
      <c r="AF10">
        <v>4</v>
      </c>
      <c r="AG10">
        <v>1</v>
      </c>
      <c r="AI10">
        <v>1</v>
      </c>
      <c r="AJ10"/>
      <c r="AL10" t="s">
        <v>538</v>
      </c>
      <c r="AN10" s="13">
        <v>17500</v>
      </c>
      <c r="AO10" t="s">
        <v>297</v>
      </c>
      <c r="AP10" t="s">
        <v>348</v>
      </c>
      <c r="AQ10" s="8"/>
      <c r="AR10" t="s">
        <v>558</v>
      </c>
      <c r="AS10" t="s">
        <v>559</v>
      </c>
      <c r="AT10">
        <v>0</v>
      </c>
      <c r="AU10">
        <v>0</v>
      </c>
      <c r="AV10">
        <v>0</v>
      </c>
      <c r="AW10">
        <v>0</v>
      </c>
    </row>
    <row r="11" spans="1:49" x14ac:dyDescent="0.4">
      <c r="A11" s="34">
        <v>42935.561805555553</v>
      </c>
      <c r="B11" t="s">
        <v>279</v>
      </c>
      <c r="C11" t="s">
        <v>243</v>
      </c>
      <c r="D11" t="s">
        <v>313</v>
      </c>
      <c r="E11" t="s">
        <v>314</v>
      </c>
      <c r="F11" t="s">
        <v>100</v>
      </c>
      <c r="G11" t="s">
        <v>101</v>
      </c>
      <c r="H11" t="s">
        <v>298</v>
      </c>
      <c r="I11" t="s">
        <v>306</v>
      </c>
      <c r="J11" t="s">
        <v>561</v>
      </c>
      <c r="K11" t="b">
        <f>_xlfn.XOR(IFERROR(MATCH(ckAwdTable[[#This Row],[st_code]],EpscorTable[],0)&gt;0,FALSE),IFERROR(FIND("9150",ckAwdTable[[#This Row],[PRCs]])&gt;0,FALSE))</f>
        <v>0</v>
      </c>
      <c r="L11" t="b">
        <f>_xlfn.XOR(ckAwdTable[[#This Row],[WMD]]&lt;&gt;"",IFERROR(FIND("9102",ckAwdTable[[#This Row],[PRCs]])&gt;0,FALSE))</f>
        <v>0</v>
      </c>
      <c r="M11" t="str">
        <f t="shared" si="0"/>
        <v/>
      </c>
      <c r="P11" s="43">
        <v>0</v>
      </c>
      <c r="Q11" s="43">
        <v>0</v>
      </c>
      <c r="R11" s="15" t="str">
        <f>HYPERLINK("mailto:"&amp;ckAwdTable[[#This Row],[pi_emai_addr]]&amp;"&amp;subject=Your NSF Proposal:  "&amp;ckAwdTable[[#This Row],[prop_id]], ckAwdTable[[#This Row],[pi_emai_addr]])</f>
        <v>samth@cs.indiana.edu</v>
      </c>
      <c r="S11">
        <f xml:space="preserve"> S10+(ckAwdTable[ILN]&lt;"M")</f>
        <v>10</v>
      </c>
      <c r="T11" t="s">
        <v>102</v>
      </c>
      <c r="U11" t="s">
        <v>349</v>
      </c>
      <c r="V11" s="15" t="str">
        <f>HYPERLINK("https://www.ejacket.nsf.gov/ej/showProposal.do?ID="&amp;ckAwdTable[[#This Row],[prop_id]],"eJ")</f>
        <v>eJ</v>
      </c>
      <c r="W11" t="s">
        <v>349</v>
      </c>
      <c r="X11" t="s">
        <v>350</v>
      </c>
      <c r="Y11" t="s">
        <v>528</v>
      </c>
      <c r="Z11" t="s">
        <v>351</v>
      </c>
      <c r="AA11" s="1">
        <v>501687</v>
      </c>
      <c r="AB11" s="34">
        <v>43282</v>
      </c>
      <c r="AC11">
        <v>60</v>
      </c>
      <c r="AD11">
        <v>4</v>
      </c>
      <c r="AF11">
        <v>4</v>
      </c>
      <c r="AG11">
        <v>1</v>
      </c>
      <c r="AI11">
        <v>1</v>
      </c>
      <c r="AJ11"/>
      <c r="AL11" t="s">
        <v>529</v>
      </c>
      <c r="AN11" s="13">
        <v>20000</v>
      </c>
      <c r="AO11" t="s">
        <v>297</v>
      </c>
      <c r="AP11" t="s">
        <v>352</v>
      </c>
      <c r="AQ11" s="8"/>
      <c r="AR11" t="s">
        <v>560</v>
      </c>
      <c r="AS11" t="s">
        <v>562</v>
      </c>
      <c r="AT11">
        <v>0</v>
      </c>
      <c r="AU11">
        <v>0</v>
      </c>
      <c r="AV11">
        <v>0</v>
      </c>
      <c r="AW11">
        <v>0</v>
      </c>
    </row>
    <row r="12" spans="1:49" x14ac:dyDescent="0.4">
      <c r="A12" s="34">
        <v>42935.652777777781</v>
      </c>
      <c r="B12" t="s">
        <v>279</v>
      </c>
      <c r="C12" t="s">
        <v>243</v>
      </c>
      <c r="D12" t="s">
        <v>313</v>
      </c>
      <c r="E12" t="s">
        <v>314</v>
      </c>
      <c r="F12" t="s">
        <v>100</v>
      </c>
      <c r="G12" t="s">
        <v>101</v>
      </c>
      <c r="H12" t="s">
        <v>298</v>
      </c>
      <c r="I12" t="s">
        <v>563</v>
      </c>
      <c r="J12" t="s">
        <v>116</v>
      </c>
      <c r="K12" t="b">
        <f>_xlfn.XOR(IFERROR(MATCH(ckAwdTable[[#This Row],[st_code]],EpscorTable[],0)&gt;0,FALSE),IFERROR(FIND("9150",ckAwdTable[[#This Row],[PRCs]])&gt;0,FALSE))</f>
        <v>0</v>
      </c>
      <c r="L12" t="b">
        <f>_xlfn.XOR(ckAwdTable[[#This Row],[WMD]]&lt;&gt;"",IFERROR(FIND("9102",ckAwdTable[[#This Row],[PRCs]])&gt;0,FALSE))</f>
        <v>0</v>
      </c>
      <c r="M12" t="str">
        <f t="shared" si="0"/>
        <v/>
      </c>
      <c r="P12" s="43">
        <v>0</v>
      </c>
      <c r="Q12" s="43">
        <v>0</v>
      </c>
      <c r="R12" s="15" t="str">
        <f>HYPERLINK("mailto:"&amp;ckAwdTable[[#This Row],[pi_emai_addr]]&amp;"&amp;subject=Your NSF Proposal:  "&amp;ckAwdTable[[#This Row],[prop_id]], ckAwdTable[[#This Row],[pi_emai_addr]])</f>
        <v>sxc2311@louisiana.edu</v>
      </c>
      <c r="S12">
        <f xml:space="preserve"> S11+(ckAwdTable[ILN]&lt;"M")</f>
        <v>11</v>
      </c>
      <c r="T12" t="s">
        <v>102</v>
      </c>
      <c r="U12" t="s">
        <v>353</v>
      </c>
      <c r="V12" s="15" t="str">
        <f>HYPERLINK("https://www.ejacket.nsf.gov/ej/showProposal.do?ID="&amp;ckAwdTable[[#This Row],[prop_id]],"eJ")</f>
        <v>eJ</v>
      </c>
      <c r="W12" t="s">
        <v>353</v>
      </c>
      <c r="X12" t="s">
        <v>289</v>
      </c>
      <c r="Y12" t="s">
        <v>514</v>
      </c>
      <c r="Z12" t="s">
        <v>354</v>
      </c>
      <c r="AA12" s="1">
        <v>506060</v>
      </c>
      <c r="AB12" s="34">
        <v>43132</v>
      </c>
      <c r="AC12">
        <v>60</v>
      </c>
      <c r="AD12">
        <v>4</v>
      </c>
      <c r="AF12">
        <v>4</v>
      </c>
      <c r="AG12">
        <v>1</v>
      </c>
      <c r="AI12">
        <v>1</v>
      </c>
      <c r="AJ12"/>
      <c r="AL12" t="s">
        <v>515</v>
      </c>
      <c r="AN12" s="13">
        <v>20250</v>
      </c>
      <c r="AO12" t="s">
        <v>297</v>
      </c>
      <c r="AP12" t="s">
        <v>355</v>
      </c>
      <c r="AQ12" s="8"/>
      <c r="AR12" t="s">
        <v>564</v>
      </c>
      <c r="AS12" t="s">
        <v>565</v>
      </c>
      <c r="AT12">
        <v>0</v>
      </c>
      <c r="AU12">
        <v>0</v>
      </c>
      <c r="AV12">
        <v>0</v>
      </c>
      <c r="AW12">
        <v>0</v>
      </c>
    </row>
    <row r="13" spans="1:49" x14ac:dyDescent="0.4">
      <c r="A13" s="34">
        <v>42935.665277777778</v>
      </c>
      <c r="B13" t="s">
        <v>279</v>
      </c>
      <c r="C13" t="s">
        <v>243</v>
      </c>
      <c r="D13" t="s">
        <v>313</v>
      </c>
      <c r="E13" t="s">
        <v>318</v>
      </c>
      <c r="F13" t="s">
        <v>100</v>
      </c>
      <c r="G13" t="s">
        <v>101</v>
      </c>
      <c r="H13" t="s">
        <v>298</v>
      </c>
      <c r="I13" t="s">
        <v>306</v>
      </c>
      <c r="J13" t="s">
        <v>302</v>
      </c>
      <c r="K13" t="b">
        <f>_xlfn.XOR(IFERROR(MATCH(ckAwdTable[[#This Row],[st_code]],EpscorTable[],0)&gt;0,FALSE),IFERROR(FIND("9150",ckAwdTable[[#This Row],[PRCs]])&gt;0,FALSE))</f>
        <v>0</v>
      </c>
      <c r="L13" t="b">
        <f>_xlfn.XOR(ckAwdTable[[#This Row],[WMD]]&lt;&gt;"",IFERROR(FIND("9102",ckAwdTable[[#This Row],[PRCs]])&gt;0,FALSE))</f>
        <v>0</v>
      </c>
      <c r="M13" t="str">
        <f t="shared" si="0"/>
        <v/>
      </c>
      <c r="P13" s="43">
        <v>0</v>
      </c>
      <c r="Q13" s="43">
        <v>0</v>
      </c>
      <c r="R13" s="15" t="str">
        <f>HYPERLINK("mailto:"&amp;ckAwdTable[[#This Row],[pi_emai_addr]]&amp;"&amp;subject=Your NSF Proposal:  "&amp;ckAwdTable[[#This Row],[prop_id]], ckAwdTable[[#This Row],[pi_emai_addr]])</f>
        <v>loris@cs.wisc.edu</v>
      </c>
      <c r="S13">
        <f xml:space="preserve"> S12+(ckAwdTable[ILN]&lt;"M")</f>
        <v>12</v>
      </c>
      <c r="T13" t="s">
        <v>102</v>
      </c>
      <c r="U13" t="s">
        <v>356</v>
      </c>
      <c r="V13" s="15" t="str">
        <f>HYPERLINK("https://www.ejacket.nsf.gov/ej/showProposal.do?ID="&amp;ckAwdTable[[#This Row],[prop_id]],"eJ")</f>
        <v>eJ</v>
      </c>
      <c r="W13" t="s">
        <v>356</v>
      </c>
      <c r="X13" t="s">
        <v>357</v>
      </c>
      <c r="Y13" t="s">
        <v>516</v>
      </c>
      <c r="Z13" t="s">
        <v>284</v>
      </c>
      <c r="AA13" s="1">
        <v>571195</v>
      </c>
      <c r="AB13" s="34">
        <v>43344</v>
      </c>
      <c r="AC13">
        <v>60</v>
      </c>
      <c r="AD13">
        <v>4</v>
      </c>
      <c r="AF13">
        <v>4</v>
      </c>
      <c r="AG13">
        <v>1</v>
      </c>
      <c r="AI13">
        <v>1</v>
      </c>
      <c r="AJ13"/>
      <c r="AL13" t="s">
        <v>517</v>
      </c>
      <c r="AN13" s="13">
        <v>15928</v>
      </c>
      <c r="AO13" t="s">
        <v>297</v>
      </c>
      <c r="AP13" t="s">
        <v>358</v>
      </c>
      <c r="AQ13" s="8"/>
      <c r="AR13" t="s">
        <v>301</v>
      </c>
      <c r="AS13" t="s">
        <v>566</v>
      </c>
      <c r="AT13">
        <v>0</v>
      </c>
      <c r="AU13">
        <v>0</v>
      </c>
      <c r="AV13">
        <v>0</v>
      </c>
      <c r="AW13">
        <v>0</v>
      </c>
    </row>
    <row r="14" spans="1:49" x14ac:dyDescent="0.4">
      <c r="A14" s="34">
        <v>42935.67291666667</v>
      </c>
      <c r="B14" t="s">
        <v>279</v>
      </c>
      <c r="C14" t="s">
        <v>243</v>
      </c>
      <c r="D14" t="s">
        <v>313</v>
      </c>
      <c r="E14" t="s">
        <v>314</v>
      </c>
      <c r="F14" t="s">
        <v>100</v>
      </c>
      <c r="G14" t="s">
        <v>101</v>
      </c>
      <c r="H14" t="s">
        <v>298</v>
      </c>
      <c r="I14" t="s">
        <v>306</v>
      </c>
      <c r="J14" t="s">
        <v>308</v>
      </c>
      <c r="K14" t="b">
        <f>_xlfn.XOR(IFERROR(MATCH(ckAwdTable[[#This Row],[st_code]],EpscorTable[],0)&gt;0,FALSE),IFERROR(FIND("9150",ckAwdTable[[#This Row],[PRCs]])&gt;0,FALSE))</f>
        <v>0</v>
      </c>
      <c r="L14" t="b">
        <f>_xlfn.XOR(ckAwdTable[[#This Row],[WMD]]&lt;&gt;"",IFERROR(FIND("9102",ckAwdTable[[#This Row],[PRCs]])&gt;0,FALSE))</f>
        <v>0</v>
      </c>
      <c r="M14" t="str">
        <f t="shared" si="0"/>
        <v/>
      </c>
      <c r="P14" s="43">
        <v>0</v>
      </c>
      <c r="Q14" s="43">
        <v>0</v>
      </c>
      <c r="R14" s="15" t="str">
        <f>HYPERLINK("mailto:"&amp;ckAwdTable[[#This Row],[pi_emai_addr]]&amp;"&amp;subject=Your NSF Proposal:  "&amp;ckAwdTable[[#This Row],[prop_id]], ckAwdTable[[#This Row],[pi_emai_addr]])</f>
        <v>mcarbin@csail.mit.edu</v>
      </c>
      <c r="S14">
        <f xml:space="preserve"> S13+(ckAwdTable[ILN]&lt;"M")</f>
        <v>13</v>
      </c>
      <c r="T14" t="s">
        <v>102</v>
      </c>
      <c r="U14" t="s">
        <v>359</v>
      </c>
      <c r="V14" s="15" t="str">
        <f>HYPERLINK("https://www.ejacket.nsf.gov/ej/showProposal.do?ID="&amp;ckAwdTable[[#This Row],[prop_id]],"eJ")</f>
        <v>eJ</v>
      </c>
      <c r="W14" t="s">
        <v>359</v>
      </c>
      <c r="X14" t="s">
        <v>360</v>
      </c>
      <c r="Y14" t="s">
        <v>296</v>
      </c>
      <c r="Z14" t="s">
        <v>244</v>
      </c>
      <c r="AA14" s="1">
        <v>525000</v>
      </c>
      <c r="AB14" s="34">
        <v>43282</v>
      </c>
      <c r="AC14">
        <v>60</v>
      </c>
      <c r="AD14">
        <v>4</v>
      </c>
      <c r="AF14">
        <v>4</v>
      </c>
      <c r="AG14">
        <v>1</v>
      </c>
      <c r="AI14">
        <v>1</v>
      </c>
      <c r="AJ14"/>
      <c r="AL14" t="s">
        <v>520</v>
      </c>
      <c r="AN14" s="13">
        <v>0</v>
      </c>
      <c r="AP14" t="s">
        <v>361</v>
      </c>
      <c r="AQ14" s="8"/>
      <c r="AR14" t="s">
        <v>307</v>
      </c>
      <c r="AS14" t="s">
        <v>567</v>
      </c>
      <c r="AT14">
        <v>0</v>
      </c>
      <c r="AU14">
        <v>0</v>
      </c>
      <c r="AV14">
        <v>0</v>
      </c>
      <c r="AW14">
        <v>0</v>
      </c>
    </row>
    <row r="15" spans="1:49" x14ac:dyDescent="0.4">
      <c r="A15" s="34">
        <v>42935.705555555556</v>
      </c>
      <c r="B15" t="s">
        <v>279</v>
      </c>
      <c r="C15" t="s">
        <v>243</v>
      </c>
      <c r="D15" t="s">
        <v>313</v>
      </c>
      <c r="E15" t="s">
        <v>314</v>
      </c>
      <c r="F15" t="s">
        <v>100</v>
      </c>
      <c r="G15" t="s">
        <v>101</v>
      </c>
      <c r="H15" t="s">
        <v>298</v>
      </c>
      <c r="I15" t="s">
        <v>306</v>
      </c>
      <c r="J15" t="s">
        <v>310</v>
      </c>
      <c r="K15" t="b">
        <f>_xlfn.XOR(IFERROR(MATCH(ckAwdTable[[#This Row],[st_code]],EpscorTable[],0)&gt;0,FALSE),IFERROR(FIND("9150",ckAwdTable[[#This Row],[PRCs]])&gt;0,FALSE))</f>
        <v>0</v>
      </c>
      <c r="L15" t="b">
        <f>_xlfn.XOR(ckAwdTable[[#This Row],[WMD]]&lt;&gt;"",IFERROR(FIND("9102",ckAwdTable[[#This Row],[PRCs]])&gt;0,FALSE))</f>
        <v>0</v>
      </c>
      <c r="M15" t="str">
        <f t="shared" si="0"/>
        <v/>
      </c>
      <c r="P15" s="43">
        <v>0</v>
      </c>
      <c r="Q15" s="43">
        <v>0</v>
      </c>
      <c r="R15" s="15" t="str">
        <f>HYPERLINK("mailto:"&amp;ckAwdTable[[#This Row],[pi_emai_addr]]&amp;"&amp;subject=Your NSF Proposal:  "&amp;ckAwdTable[[#This Row],[prop_id]], ckAwdTable[[#This Row],[pi_emai_addr]])</f>
        <v>raffi.khatchadourian@hunter.cuny.edu</v>
      </c>
      <c r="S15">
        <f xml:space="preserve"> S14+(ckAwdTable[ILN]&lt;"M")</f>
        <v>14</v>
      </c>
      <c r="T15" t="s">
        <v>102</v>
      </c>
      <c r="U15" t="s">
        <v>362</v>
      </c>
      <c r="V15" s="15" t="str">
        <f>HYPERLINK("https://www.ejacket.nsf.gov/ej/showProposal.do?ID="&amp;ckAwdTable[[#This Row],[prop_id]],"eJ")</f>
        <v>eJ</v>
      </c>
      <c r="W15" t="s">
        <v>362</v>
      </c>
      <c r="X15" t="s">
        <v>363</v>
      </c>
      <c r="Y15" t="s">
        <v>539</v>
      </c>
      <c r="Z15" t="s">
        <v>364</v>
      </c>
      <c r="AA15" s="1">
        <v>580408</v>
      </c>
      <c r="AB15" s="34">
        <v>43344</v>
      </c>
      <c r="AC15">
        <v>60</v>
      </c>
      <c r="AD15">
        <v>5</v>
      </c>
      <c r="AF15">
        <v>5</v>
      </c>
      <c r="AG15">
        <v>1</v>
      </c>
      <c r="AI15">
        <v>1</v>
      </c>
      <c r="AJ15"/>
      <c r="AL15" t="s">
        <v>540</v>
      </c>
      <c r="AN15" s="13">
        <v>35000</v>
      </c>
      <c r="AO15" t="s">
        <v>568</v>
      </c>
      <c r="AP15" t="s">
        <v>365</v>
      </c>
      <c r="AQ15" s="8"/>
      <c r="AR15" t="s">
        <v>569</v>
      </c>
      <c r="AS15" t="s">
        <v>570</v>
      </c>
      <c r="AT15">
        <v>0</v>
      </c>
      <c r="AU15">
        <v>0</v>
      </c>
      <c r="AV15">
        <v>0</v>
      </c>
      <c r="AW15">
        <v>0</v>
      </c>
    </row>
    <row r="16" spans="1:49" x14ac:dyDescent="0.4">
      <c r="A16" s="34">
        <v>42935.706944444442</v>
      </c>
      <c r="B16" t="s">
        <v>279</v>
      </c>
      <c r="C16" t="s">
        <v>243</v>
      </c>
      <c r="D16" t="s">
        <v>313</v>
      </c>
      <c r="E16" t="s">
        <v>314</v>
      </c>
      <c r="F16" t="s">
        <v>100</v>
      </c>
      <c r="G16" t="s">
        <v>101</v>
      </c>
      <c r="H16" t="s">
        <v>298</v>
      </c>
      <c r="I16" t="s">
        <v>306</v>
      </c>
      <c r="J16" t="s">
        <v>311</v>
      </c>
      <c r="K16" t="b">
        <f>_xlfn.XOR(IFERROR(MATCH(ckAwdTable[[#This Row],[st_code]],EpscorTable[],0)&gt;0,FALSE),IFERROR(FIND("9150",ckAwdTable[[#This Row],[PRCs]])&gt;0,FALSE))</f>
        <v>0</v>
      </c>
      <c r="L16" t="b">
        <f>_xlfn.XOR(ckAwdTable[[#This Row],[WMD]]&lt;&gt;"",IFERROR(FIND("9102",ckAwdTable[[#This Row],[PRCs]])&gt;0,FALSE))</f>
        <v>0</v>
      </c>
      <c r="M16" t="str">
        <f t="shared" si="0"/>
        <v/>
      </c>
      <c r="P16" s="43">
        <v>0</v>
      </c>
      <c r="Q16" s="43">
        <v>0</v>
      </c>
      <c r="R16" s="15" t="str">
        <f>HYPERLINK("mailto:"&amp;ckAwdTable[[#This Row],[pi_emai_addr]]&amp;"&amp;subject=Your NSF Proposal:  "&amp;ckAwdTable[[#This Row],[prop_id]], ckAwdTable[[#This Row],[pi_emai_addr]])</f>
        <v>dvanhorn@cs.umd.edu</v>
      </c>
      <c r="S16">
        <f xml:space="preserve"> S15+(ckAwdTable[ILN]&lt;"M")</f>
        <v>15</v>
      </c>
      <c r="T16" t="s">
        <v>102</v>
      </c>
      <c r="U16" t="s">
        <v>366</v>
      </c>
      <c r="V16" s="15" t="str">
        <f>HYPERLINK("https://www.ejacket.nsf.gov/ej/showProposal.do?ID="&amp;ckAwdTable[[#This Row],[prop_id]],"eJ")</f>
        <v>eJ</v>
      </c>
      <c r="W16" t="s">
        <v>366</v>
      </c>
      <c r="X16" t="s">
        <v>367</v>
      </c>
      <c r="Y16" t="s">
        <v>526</v>
      </c>
      <c r="Z16" t="s">
        <v>368</v>
      </c>
      <c r="AA16" s="1">
        <v>551069</v>
      </c>
      <c r="AB16" s="34">
        <v>43101</v>
      </c>
      <c r="AC16">
        <v>60</v>
      </c>
      <c r="AD16">
        <v>4</v>
      </c>
      <c r="AF16">
        <v>4</v>
      </c>
      <c r="AG16">
        <v>1</v>
      </c>
      <c r="AI16">
        <v>1</v>
      </c>
      <c r="AJ16"/>
      <c r="AL16" t="s">
        <v>527</v>
      </c>
      <c r="AN16" s="13">
        <v>15000</v>
      </c>
      <c r="AO16" t="s">
        <v>297</v>
      </c>
      <c r="AP16" t="s">
        <v>369</v>
      </c>
      <c r="AQ16" s="8"/>
      <c r="AR16" t="s">
        <v>571</v>
      </c>
      <c r="AS16" t="s">
        <v>572</v>
      </c>
      <c r="AT16">
        <v>0</v>
      </c>
      <c r="AU16">
        <v>0</v>
      </c>
      <c r="AV16">
        <v>0</v>
      </c>
      <c r="AW16">
        <v>0</v>
      </c>
    </row>
    <row r="17" spans="1:49" x14ac:dyDescent="0.4">
      <c r="A17" s="34">
        <v>42935.757638888892</v>
      </c>
      <c r="B17" t="s">
        <v>279</v>
      </c>
      <c r="C17" t="s">
        <v>243</v>
      </c>
      <c r="D17" t="s">
        <v>313</v>
      </c>
      <c r="E17" t="s">
        <v>318</v>
      </c>
      <c r="F17" t="s">
        <v>100</v>
      </c>
      <c r="G17" t="s">
        <v>101</v>
      </c>
      <c r="H17" t="s">
        <v>298</v>
      </c>
      <c r="I17" t="s">
        <v>306</v>
      </c>
      <c r="J17" t="s">
        <v>299</v>
      </c>
      <c r="K17" t="b">
        <f>_xlfn.XOR(IFERROR(MATCH(ckAwdTable[[#This Row],[st_code]],EpscorTable[],0)&gt;0,FALSE),IFERROR(FIND("9150",ckAwdTable[[#This Row],[PRCs]])&gt;0,FALSE))</f>
        <v>0</v>
      </c>
      <c r="L17" t="b">
        <f>_xlfn.XOR(ckAwdTable[[#This Row],[WMD]]&lt;&gt;"",IFERROR(FIND("9102",ckAwdTable[[#This Row],[PRCs]])&gt;0,FALSE))</f>
        <v>0</v>
      </c>
      <c r="M17" t="str">
        <f t="shared" si="0"/>
        <v/>
      </c>
      <c r="P17" s="43">
        <v>0</v>
      </c>
      <c r="Q17" s="43">
        <v>0</v>
      </c>
      <c r="R17" s="15" t="str">
        <f>HYPERLINK("mailto:"&amp;ckAwdTable[[#This Row],[pi_emai_addr]]&amp;"&amp;subject=Your NSF Proposal:  "&amp;ckAwdTable[[#This Row],[prop_id]], ckAwdTable[[#This Row],[pi_emai_addr]])</f>
        <v>pavol.cerny@colorado.edu</v>
      </c>
      <c r="S17">
        <f xml:space="preserve"> S16+(ckAwdTable[ILN]&lt;"M")</f>
        <v>16</v>
      </c>
      <c r="T17" t="s">
        <v>102</v>
      </c>
      <c r="U17" t="s">
        <v>370</v>
      </c>
      <c r="V17" s="15" t="str">
        <f>HYPERLINK("https://www.ejacket.nsf.gov/ej/showProposal.do?ID="&amp;ckAwdTable[[#This Row],[prop_id]],"eJ")</f>
        <v>eJ</v>
      </c>
      <c r="W17" t="s">
        <v>370</v>
      </c>
      <c r="X17" t="s">
        <v>371</v>
      </c>
      <c r="Y17" t="s">
        <v>541</v>
      </c>
      <c r="Z17" t="s">
        <v>372</v>
      </c>
      <c r="AA17" s="1">
        <v>542402</v>
      </c>
      <c r="AB17" s="34">
        <v>43282</v>
      </c>
      <c r="AC17">
        <v>60</v>
      </c>
      <c r="AD17">
        <v>4</v>
      </c>
      <c r="AF17">
        <v>4</v>
      </c>
      <c r="AG17">
        <v>1</v>
      </c>
      <c r="AI17">
        <v>1</v>
      </c>
      <c r="AJ17"/>
      <c r="AL17" t="s">
        <v>542</v>
      </c>
      <c r="AN17" s="13">
        <v>0</v>
      </c>
      <c r="AP17" t="s">
        <v>373</v>
      </c>
      <c r="AQ17" s="8"/>
      <c r="AR17" t="s">
        <v>573</v>
      </c>
      <c r="AS17" t="s">
        <v>574</v>
      </c>
      <c r="AT17">
        <v>0</v>
      </c>
      <c r="AU17">
        <v>0</v>
      </c>
      <c r="AV17">
        <v>0</v>
      </c>
      <c r="AW17">
        <v>0</v>
      </c>
    </row>
  </sheetData>
  <conditionalFormatting sqref="A2:AW17">
    <cfRule type="expression" dxfId="25" priority="6">
      <formula>MOD($S2,2)</formula>
    </cfRule>
  </conditionalFormatting>
  <conditionalFormatting sqref="J2:J17">
    <cfRule type="expression" dxfId="24" priority="5">
      <formula>$K2</formula>
    </cfRule>
  </conditionalFormatting>
  <conditionalFormatting sqref="M2:M17">
    <cfRule type="expression" dxfId="23" priority="4">
      <formula>$L2</formula>
    </cfRule>
  </conditionalFormatting>
  <conditionalFormatting sqref="AF2:AF17 AI2:AI17">
    <cfRule type="expression" dxfId="22" priority="3">
      <formula>AF2&gt;0</formula>
    </cfRule>
  </conditionalFormatting>
  <conditionalFormatting sqref="AD2:AE17">
    <cfRule type="expression" dxfId="21" priority="2">
      <formula>$AD2&lt;$AE2+3</formula>
    </cfRule>
  </conditionalFormatting>
  <conditionalFormatting sqref="B2:H16 AB2:AO16">
    <cfRule type="expression" dxfId="20" priority="7">
      <formula>AND($T2="N", B2&lt;&gt;B1048532)</formula>
    </cfRule>
  </conditionalFormatting>
  <conditionalFormatting sqref="B17:H17 AB17:AO17">
    <cfRule type="expression" dxfId="19" priority="8">
      <formula>AND($T17="N", B17&lt;&gt;B1)</formula>
    </cfRule>
  </conditionalFormatting>
  <conditionalFormatting sqref="P2:Q17">
    <cfRule type="expression" dxfId="18" priority="1">
      <formula>$P2+$Q2&lt;&gt;1</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theme="6" tint="-0.249977111117893"/>
    <pageSetUpPr fitToPage="1"/>
  </sheetPr>
  <dimension ref="A1:W34"/>
  <sheetViews>
    <sheetView tabSelected="1" topLeftCell="C1" workbookViewId="0">
      <selection activeCell="E14" sqref="E14"/>
    </sheetView>
  </sheetViews>
  <sheetFormatPr defaultRowHeight="14.6" x14ac:dyDescent="0.4"/>
  <cols>
    <col min="1" max="1" width="6.3828125" style="6" hidden="1" customWidth="1"/>
    <col min="2" max="2" width="2.15234375" hidden="1" customWidth="1"/>
    <col min="3" max="3" width="9.3046875" customWidth="1"/>
    <col min="4" max="5" width="11.84375" customWidth="1"/>
    <col min="6" max="6" width="9" style="21" customWidth="1"/>
    <col min="7" max="7" width="5.84375" customWidth="1"/>
    <col min="8" max="8" width="10" customWidth="1"/>
    <col min="9" max="9" width="8.69140625" customWidth="1"/>
    <col min="10" max="10" width="9" customWidth="1"/>
    <col min="11" max="11" width="5.15234375" customWidth="1"/>
    <col min="12" max="12" width="9.15234375" customWidth="1"/>
    <col min="13" max="13" width="14.53515625" customWidth="1"/>
    <col min="14" max="14" width="2.3828125" customWidth="1"/>
    <col min="15" max="15" width="3.3828125" customWidth="1"/>
    <col min="16" max="16" width="3.53515625" customWidth="1"/>
    <col min="17" max="17" width="10.3046875" customWidth="1"/>
    <col min="18" max="18" width="9.84375" customWidth="1"/>
    <col min="19" max="19" width="10.3046875" customWidth="1"/>
    <col min="20" max="20" width="12.53515625" style="6" customWidth="1"/>
    <col min="21" max="21" width="3" customWidth="1"/>
    <col min="22" max="22" width="3.53515625" customWidth="1"/>
    <col min="23" max="23" width="9.15234375" customWidth="1"/>
    <col min="24" max="24" width="12.53515625" customWidth="1"/>
    <col min="25" max="25" width="11" customWidth="1"/>
    <col min="26" max="26" width="6.53515625" customWidth="1"/>
    <col min="27" max="27" width="16.53515625" customWidth="1"/>
  </cols>
  <sheetData>
    <row r="1" spans="1:23" x14ac:dyDescent="0.4">
      <c r="A1" s="6" t="s">
        <v>141</v>
      </c>
      <c r="M1" s="3"/>
    </row>
    <row r="2" spans="1:23" x14ac:dyDescent="0.4">
      <c r="D2" s="22" t="s">
        <v>16</v>
      </c>
      <c r="E2" s="22"/>
      <c r="H2" s="4" t="s">
        <v>137</v>
      </c>
      <c r="I2" s="12" t="e">
        <f>LOWER(#REF!)</f>
        <v>#REF!</v>
      </c>
      <c r="J2" s="4" t="s">
        <v>15</v>
      </c>
      <c r="K2">
        <f ca="1">YEAR(NOW())+(MONTH(NOW())&gt;9)-2000</f>
        <v>18</v>
      </c>
      <c r="M2" s="4"/>
      <c r="N2" s="21"/>
      <c r="O2" s="22" t="s">
        <v>138</v>
      </c>
      <c r="P2" s="21"/>
      <c r="Q2" s="21"/>
      <c r="T2" s="23" t="s">
        <v>139</v>
      </c>
      <c r="W2" s="23" t="s">
        <v>140</v>
      </c>
    </row>
    <row r="3" spans="1:23" x14ac:dyDescent="0.4">
      <c r="A3" s="6" t="s">
        <v>0</v>
      </c>
      <c r="B3" t="s">
        <v>1</v>
      </c>
      <c r="C3" t="s">
        <v>2</v>
      </c>
      <c r="D3" t="s">
        <v>6</v>
      </c>
      <c r="E3" t="s">
        <v>660</v>
      </c>
      <c r="F3"/>
      <c r="T3"/>
    </row>
    <row r="4" spans="1:23" x14ac:dyDescent="0.4">
      <c r="A4" s="10" t="s">
        <v>661</v>
      </c>
      <c r="B4" s="7" t="e">
        <f>IF(#REF!=" ","",HYPERLINK("https://www.ejacket.nsf.gov/ej/showProposal.do?Continue=Y&amp;ID="&amp;BudgetsTable[[#This Row],[prop_id]],BudgetsTable[[#This Row],[prop_id]]))</f>
        <v>#REF!</v>
      </c>
      <c r="C4" s="7" t="e">
        <f>IF(#REF!=" ","",HYPERLINK("https://www.ejacket.nsf.gov/ej/processReviewAnalysis.do?dispatch=add&amp;uniqId="&amp;BudgetsTable[[#This Row],[prop_id]]&amp;pm_ibm_logn_id,"&gt;ra"))</f>
        <v>#REF!</v>
      </c>
      <c r="D4" s="11" t="e">
        <f ca="1">IF(ISBLANK(#REF!),"FY"&amp;fiscalyear,"FY"&amp;fiscalyear-1+#REF!)</f>
        <v>#REF!</v>
      </c>
      <c r="E4" s="85"/>
      <c r="F4"/>
      <c r="T4"/>
    </row>
    <row r="5" spans="1:23" x14ac:dyDescent="0.4">
      <c r="A5" s="10" t="s">
        <v>662</v>
      </c>
      <c r="B5" s="7" t="e">
        <f>IF(#REF!=" ","",HYPERLINK("https://www.ejacket.nsf.gov/ej/showProposal.do?Continue=Y&amp;ID="&amp;BudgetsTable[[#This Row],[prop_id]],BudgetsTable[[#This Row],[prop_id]]))</f>
        <v>#REF!</v>
      </c>
      <c r="C5" s="7" t="e">
        <f>IF(#REF!=" ","",HYPERLINK("https://www.ejacket.nsf.gov/ej/processReviewAnalysis.do?dispatch=add&amp;uniqId="&amp;BudgetsTable[[#This Row],[prop_id]]&amp;pm_ibm_logn_id,"&gt;ra"))</f>
        <v>#REF!</v>
      </c>
      <c r="D5" s="11" t="e">
        <f ca="1">IF(ISBLANK(#REF!),"FY"&amp;fiscalyear,"FY"&amp;fiscalyear-1+#REF!)</f>
        <v>#REF!</v>
      </c>
      <c r="E5" s="85"/>
      <c r="F5"/>
      <c r="T5"/>
    </row>
    <row r="6" spans="1:23" x14ac:dyDescent="0.4">
      <c r="A6" s="10" t="s">
        <v>663</v>
      </c>
      <c r="B6" s="7" t="e">
        <f>IF(#REF!=" ","",HYPERLINK("https://www.ejacket.nsf.gov/ej/showProposal.do?Continue=Y&amp;ID="&amp;BudgetsTable[[#This Row],[prop_id]],BudgetsTable[[#This Row],[prop_id]]))</f>
        <v>#REF!</v>
      </c>
      <c r="C6" s="7" t="e">
        <f>IF(#REF!=" ","",HYPERLINK("https://www.ejacket.nsf.gov/ej/processReviewAnalysis.do?dispatch=add&amp;uniqId="&amp;BudgetsTable[[#This Row],[prop_id]]&amp;pm_ibm_logn_id,"&gt;ra"))</f>
        <v>#REF!</v>
      </c>
      <c r="D6" s="11" t="e">
        <f ca="1">IF(ISBLANK(#REF!),"FY"&amp;fiscalyear,"FY"&amp;fiscalyear-1+#REF!)</f>
        <v>#REF!</v>
      </c>
      <c r="E6" s="85"/>
      <c r="F6"/>
      <c r="T6"/>
    </row>
    <row r="7" spans="1:23" x14ac:dyDescent="0.4">
      <c r="A7" s="10" t="s">
        <v>664</v>
      </c>
      <c r="B7" s="7" t="e">
        <f>IF(#REF!=" ","",HYPERLINK("https://www.ejacket.nsf.gov/ej/showProposal.do?Continue=Y&amp;ID="&amp;BudgetsTable[[#This Row],[prop_id]],BudgetsTable[[#This Row],[prop_id]]))</f>
        <v>#REF!</v>
      </c>
      <c r="C7" s="7" t="e">
        <f>IF(#REF!=" ","",HYPERLINK("https://www.ejacket.nsf.gov/ej/processReviewAnalysis.do?dispatch=add&amp;uniqId="&amp;BudgetsTable[[#This Row],[prop_id]]&amp;pm_ibm_logn_id,"&gt;ra"))</f>
        <v>#REF!</v>
      </c>
      <c r="D7" s="11" t="e">
        <f ca="1">IF(ISBLANK(#REF!),"FY"&amp;fiscalyear,"FY"&amp;fiscalyear-1+#REF!)</f>
        <v>#REF!</v>
      </c>
      <c r="E7" s="85"/>
      <c r="F7"/>
      <c r="T7"/>
    </row>
    <row r="8" spans="1:23" x14ac:dyDescent="0.4">
      <c r="A8" s="10" t="s">
        <v>665</v>
      </c>
      <c r="B8" s="7" t="e">
        <f>IF(#REF!=" ","",HYPERLINK("https://www.ejacket.nsf.gov/ej/showProposal.do?Continue=Y&amp;ID="&amp;BudgetsTable[[#This Row],[prop_id]],BudgetsTable[[#This Row],[prop_id]]))</f>
        <v>#REF!</v>
      </c>
      <c r="C8" s="7" t="e">
        <f>IF(#REF!=" ","",HYPERLINK("https://www.ejacket.nsf.gov/ej/processReviewAnalysis.do?dispatch=add&amp;uniqId="&amp;BudgetsTable[[#This Row],[prop_id]]&amp;pm_ibm_logn_id,"&gt;ra"))</f>
        <v>#REF!</v>
      </c>
      <c r="D8" s="11" t="e">
        <f ca="1">IF(ISBLANK(#REF!),"FY"&amp;fiscalyear,"FY"&amp;fiscalyear-1+#REF!)</f>
        <v>#REF!</v>
      </c>
      <c r="E8" s="85"/>
      <c r="F8"/>
      <c r="T8"/>
    </row>
    <row r="9" spans="1:23" x14ac:dyDescent="0.4">
      <c r="A9" s="10" t="s">
        <v>666</v>
      </c>
      <c r="B9" s="7" t="e">
        <f>IF(#REF!=" ","",HYPERLINK("https://www.ejacket.nsf.gov/ej/showProposal.do?Continue=Y&amp;ID="&amp;BudgetsTable[[#This Row],[prop_id]],BudgetsTable[[#This Row],[prop_id]]))</f>
        <v>#REF!</v>
      </c>
      <c r="C9" s="7" t="e">
        <f>IF(#REF!=" ","",HYPERLINK("https://www.ejacket.nsf.gov/ej/processReviewAnalysis.do?dispatch=add&amp;uniqId="&amp;BudgetsTable[[#This Row],[prop_id]]&amp;pm_ibm_logn_id,"&gt;ra"))</f>
        <v>#REF!</v>
      </c>
      <c r="D9" s="11" t="e">
        <f ca="1">IF(ISBLANK(#REF!),"FY"&amp;fiscalyear,"FY"&amp;fiscalyear-1+#REF!)</f>
        <v>#REF!</v>
      </c>
      <c r="E9" s="85"/>
      <c r="F9"/>
      <c r="T9"/>
    </row>
    <row r="10" spans="1:23" x14ac:dyDescent="0.4">
      <c r="A10" s="10" t="s">
        <v>667</v>
      </c>
      <c r="B10" s="7" t="e">
        <f>IF(#REF!=" ","",HYPERLINK("https://www.ejacket.nsf.gov/ej/showProposal.do?Continue=Y&amp;ID="&amp;BudgetsTable[[#This Row],[prop_id]],BudgetsTable[[#This Row],[prop_id]]))</f>
        <v>#REF!</v>
      </c>
      <c r="C10" s="7" t="e">
        <f>IF(#REF!=" ","",HYPERLINK("https://www.ejacket.nsf.gov/ej/processReviewAnalysis.do?dispatch=add&amp;uniqId="&amp;BudgetsTable[[#This Row],[prop_id]]&amp;pm_ibm_logn_id,"&gt;ra"))</f>
        <v>#REF!</v>
      </c>
      <c r="D10" s="11" t="e">
        <f ca="1">IF(ISBLANK(#REF!),"FY"&amp;fiscalyear,"FY"&amp;fiscalyear-1+#REF!)</f>
        <v>#REF!</v>
      </c>
      <c r="E10" s="85"/>
      <c r="F10"/>
      <c r="T10"/>
    </row>
    <row r="11" spans="1:23" x14ac:dyDescent="0.4">
      <c r="A11" s="10" t="s">
        <v>668</v>
      </c>
      <c r="B11" s="7" t="e">
        <f>IF(#REF!=" ","",HYPERLINK("https://www.ejacket.nsf.gov/ej/showProposal.do?Continue=Y&amp;ID="&amp;BudgetsTable[[#This Row],[prop_id]],BudgetsTable[[#This Row],[prop_id]]))</f>
        <v>#REF!</v>
      </c>
      <c r="C11" s="7" t="e">
        <f>IF(#REF!=" ","",HYPERLINK("https://www.ejacket.nsf.gov/ej/processReviewAnalysis.do?dispatch=add&amp;uniqId="&amp;BudgetsTable[[#This Row],[prop_id]]&amp;pm_ibm_logn_id,"&gt;ra"))</f>
        <v>#REF!</v>
      </c>
      <c r="D11" s="11" t="e">
        <f ca="1">IF(ISBLANK(#REF!),"FY"&amp;fiscalyear,"FY"&amp;fiscalyear-1+#REF!)</f>
        <v>#REF!</v>
      </c>
      <c r="E11" s="85"/>
      <c r="F11"/>
      <c r="T11"/>
    </row>
    <row r="12" spans="1:23" x14ac:dyDescent="0.4">
      <c r="A12" s="10" t="s">
        <v>669</v>
      </c>
      <c r="B12" s="7" t="e">
        <f>IF(#REF!=" ","",HYPERLINK("https://www.ejacket.nsf.gov/ej/showProposal.do?Continue=Y&amp;ID="&amp;BudgetsTable[[#This Row],[prop_id]],BudgetsTable[[#This Row],[prop_id]]))</f>
        <v>#REF!</v>
      </c>
      <c r="C12" s="7" t="e">
        <f>IF(#REF!=" ","",HYPERLINK("https://www.ejacket.nsf.gov/ej/processReviewAnalysis.do?dispatch=add&amp;uniqId="&amp;BudgetsTable[[#This Row],[prop_id]]&amp;pm_ibm_logn_id,"&gt;ra"))</f>
        <v>#REF!</v>
      </c>
      <c r="D12" s="11" t="e">
        <f ca="1">IF(ISBLANK(#REF!),"FY"&amp;fiscalyear,"FY"&amp;fiscalyear-1+#REF!)</f>
        <v>#REF!</v>
      </c>
      <c r="E12" s="85"/>
      <c r="F12"/>
      <c r="T12"/>
    </row>
    <row r="13" spans="1:23" x14ac:dyDescent="0.4">
      <c r="A13" s="10" t="s">
        <v>670</v>
      </c>
      <c r="B13" s="7" t="e">
        <f>IF(#REF!=" ","",HYPERLINK("https://www.ejacket.nsf.gov/ej/showProposal.do?Continue=Y&amp;ID="&amp;BudgetsTable[[#This Row],[prop_id]],BudgetsTable[[#This Row],[prop_id]]))</f>
        <v>#REF!</v>
      </c>
      <c r="C13" s="7" t="e">
        <f>IF(#REF!=" ","",HYPERLINK("https://www.ejacket.nsf.gov/ej/processReviewAnalysis.do?dispatch=add&amp;uniqId="&amp;BudgetsTable[[#This Row],[prop_id]]&amp;pm_ibm_logn_id,"&gt;ra"))</f>
        <v>#REF!</v>
      </c>
      <c r="D13" s="11" t="e">
        <f ca="1">IF(ISBLANK(#REF!),"FY"&amp;fiscalyear,"FY"&amp;fiscalyear-1+#REF!)</f>
        <v>#REF!</v>
      </c>
      <c r="E13" s="85"/>
      <c r="F13"/>
      <c r="T13"/>
    </row>
    <row r="14" spans="1:23" x14ac:dyDescent="0.4">
      <c r="A14" s="10" t="s">
        <v>671</v>
      </c>
      <c r="B14" s="7" t="e">
        <f>IF(#REF!=" ","",HYPERLINK("https://www.ejacket.nsf.gov/ej/showProposal.do?Continue=Y&amp;ID="&amp;BudgetsTable[[#This Row],[prop_id]],BudgetsTable[[#This Row],[prop_id]]))</f>
        <v>#REF!</v>
      </c>
      <c r="C14" s="7" t="e">
        <f>IF(#REF!=" ","",HYPERLINK("https://www.ejacket.nsf.gov/ej/processReviewAnalysis.do?dispatch=add&amp;uniqId="&amp;BudgetsTable[[#This Row],[prop_id]]&amp;pm_ibm_logn_id,"&gt;ra"))</f>
        <v>#REF!</v>
      </c>
      <c r="D14" s="11" t="e">
        <f ca="1">IF(ISBLANK(#REF!),"FY"&amp;fiscalyear,"FY"&amp;fiscalyear-1+#REF!)</f>
        <v>#REF!</v>
      </c>
      <c r="E14" s="85"/>
      <c r="F14"/>
      <c r="T14"/>
    </row>
    <row r="15" spans="1:23" x14ac:dyDescent="0.4">
      <c r="A15" s="10" t="s">
        <v>672</v>
      </c>
      <c r="B15" s="7" t="e">
        <f>IF(#REF!=" ","",HYPERLINK("https://www.ejacket.nsf.gov/ej/showProposal.do?Continue=Y&amp;ID="&amp;BudgetsTable[[#This Row],[prop_id]],BudgetsTable[[#This Row],[prop_id]]))</f>
        <v>#REF!</v>
      </c>
      <c r="C15" s="7" t="e">
        <f>IF(#REF!=" ","",HYPERLINK("https://www.ejacket.nsf.gov/ej/processReviewAnalysis.do?dispatch=add&amp;uniqId="&amp;BudgetsTable[[#This Row],[prop_id]]&amp;pm_ibm_logn_id,"&gt;ra"))</f>
        <v>#REF!</v>
      </c>
      <c r="D15" s="11" t="e">
        <f ca="1">IF(ISBLANK(#REF!),"FY"&amp;fiscalyear,"FY"&amp;fiscalyear-1+#REF!)</f>
        <v>#REF!</v>
      </c>
      <c r="E15" s="85"/>
      <c r="F15"/>
      <c r="T15"/>
    </row>
    <row r="16" spans="1:23" x14ac:dyDescent="0.4">
      <c r="A16" s="10" t="s">
        <v>673</v>
      </c>
      <c r="B16" s="7" t="e">
        <f>IF(#REF!=" ","",HYPERLINK("https://www.ejacket.nsf.gov/ej/showProposal.do?Continue=Y&amp;ID="&amp;BudgetsTable[[#This Row],[prop_id]],BudgetsTable[[#This Row],[prop_id]]))</f>
        <v>#REF!</v>
      </c>
      <c r="C16" s="7" t="e">
        <f>IF(#REF!=" ","",HYPERLINK("https://www.ejacket.nsf.gov/ej/processReviewAnalysis.do?dispatch=add&amp;uniqId="&amp;BudgetsTable[[#This Row],[prop_id]]&amp;pm_ibm_logn_id,"&gt;ra"))</f>
        <v>#REF!</v>
      </c>
      <c r="D16" s="11" t="e">
        <f ca="1">IF(ISBLANK(#REF!),"FY"&amp;fiscalyear,"FY"&amp;fiscalyear-1+#REF!)</f>
        <v>#REF!</v>
      </c>
      <c r="E16" s="85"/>
      <c r="F16"/>
      <c r="T16"/>
    </row>
    <row r="17" spans="1:20" x14ac:dyDescent="0.4">
      <c r="A17" s="10" t="s">
        <v>674</v>
      </c>
      <c r="B17" s="7" t="e">
        <f>IF(#REF!=" ","",HYPERLINK("https://www.ejacket.nsf.gov/ej/showProposal.do?Continue=Y&amp;ID="&amp;BudgetsTable[[#This Row],[prop_id]],BudgetsTable[[#This Row],[prop_id]]))</f>
        <v>#REF!</v>
      </c>
      <c r="C17" s="7" t="e">
        <f>IF(#REF!=" ","",HYPERLINK("https://www.ejacket.nsf.gov/ej/processReviewAnalysis.do?dispatch=add&amp;uniqId="&amp;BudgetsTable[[#This Row],[prop_id]]&amp;pm_ibm_logn_id,"&gt;ra"))</f>
        <v>#REF!</v>
      </c>
      <c r="D17" s="11" t="e">
        <f ca="1">IF(ISBLANK(#REF!),"FY"&amp;fiscalyear,"FY"&amp;fiscalyear-1+#REF!)</f>
        <v>#REF!</v>
      </c>
      <c r="E17" s="85"/>
      <c r="F17"/>
      <c r="T17"/>
    </row>
    <row r="18" spans="1:20" x14ac:dyDescent="0.4">
      <c r="A18" s="10" t="s">
        <v>675</v>
      </c>
      <c r="B18" s="7" t="e">
        <f>IF(#REF!=" ","",HYPERLINK("https://www.ejacket.nsf.gov/ej/showProposal.do?Continue=Y&amp;ID="&amp;BudgetsTable[[#This Row],[prop_id]],BudgetsTable[[#This Row],[prop_id]]))</f>
        <v>#REF!</v>
      </c>
      <c r="C18" s="7" t="e">
        <f>IF(#REF!=" ","",HYPERLINK("https://www.ejacket.nsf.gov/ej/processReviewAnalysis.do?dispatch=add&amp;uniqId="&amp;BudgetsTable[[#This Row],[prop_id]]&amp;pm_ibm_logn_id,"&gt;ra"))</f>
        <v>#REF!</v>
      </c>
      <c r="D18" s="11" t="e">
        <f ca="1">IF(ISBLANK(#REF!),"FY"&amp;fiscalyear,"FY"&amp;fiscalyear-1+#REF!)</f>
        <v>#REF!</v>
      </c>
      <c r="E18" s="85"/>
      <c r="F18"/>
      <c r="T18"/>
    </row>
    <row r="19" spans="1:20" x14ac:dyDescent="0.4">
      <c r="A19" s="10" t="s">
        <v>676</v>
      </c>
      <c r="B19" s="7" t="e">
        <f>IF(#REF!=" ","",HYPERLINK("https://www.ejacket.nsf.gov/ej/showProposal.do?Continue=Y&amp;ID="&amp;BudgetsTable[[#This Row],[prop_id]],BudgetsTable[[#This Row],[prop_id]]))</f>
        <v>#REF!</v>
      </c>
      <c r="C19" s="7" t="e">
        <f>IF(#REF!=" ","",HYPERLINK("https://www.ejacket.nsf.gov/ej/processReviewAnalysis.do?dispatch=add&amp;uniqId="&amp;BudgetsTable[[#This Row],[prop_id]]&amp;pm_ibm_logn_id,"&gt;ra"))</f>
        <v>#REF!</v>
      </c>
      <c r="D19" s="11" t="e">
        <f ca="1">IF(ISBLANK(#REF!),"FY"&amp;fiscalyear,"FY"&amp;fiscalyear-1+#REF!)</f>
        <v>#REF!</v>
      </c>
      <c r="E19" s="85"/>
      <c r="F19"/>
      <c r="T19"/>
    </row>
    <row r="20" spans="1:20" x14ac:dyDescent="0.4">
      <c r="A20" s="10" t="s">
        <v>677</v>
      </c>
      <c r="B20" s="7" t="e">
        <f>IF(#REF!=" ","",HYPERLINK("https://www.ejacket.nsf.gov/ej/showProposal.do?Continue=Y&amp;ID="&amp;BudgetsTable[[#This Row],[prop_id]],BudgetsTable[[#This Row],[prop_id]]))</f>
        <v>#REF!</v>
      </c>
      <c r="C20" s="7" t="e">
        <f>IF(#REF!=" ","",HYPERLINK("https://www.ejacket.nsf.gov/ej/processReviewAnalysis.do?dispatch=add&amp;uniqId="&amp;BudgetsTable[[#This Row],[prop_id]]&amp;pm_ibm_logn_id,"&gt;ra"))</f>
        <v>#REF!</v>
      </c>
      <c r="D20" s="11" t="e">
        <f ca="1">IF(ISBLANK(#REF!),"FY"&amp;fiscalyear,"FY"&amp;fiscalyear-1+#REF!)</f>
        <v>#REF!</v>
      </c>
      <c r="E20" s="85"/>
      <c r="F20"/>
      <c r="T20"/>
    </row>
    <row r="21" spans="1:20" x14ac:dyDescent="0.4">
      <c r="A21" s="10" t="s">
        <v>678</v>
      </c>
      <c r="B21" s="7" t="e">
        <f>IF(#REF!=" ","",HYPERLINK("https://www.ejacket.nsf.gov/ej/showProposal.do?Continue=Y&amp;ID="&amp;BudgetsTable[[#This Row],[prop_id]],BudgetsTable[[#This Row],[prop_id]]))</f>
        <v>#REF!</v>
      </c>
      <c r="C21" s="7" t="e">
        <f>IF(#REF!=" ","",HYPERLINK("https://www.ejacket.nsf.gov/ej/processReviewAnalysis.do?dispatch=add&amp;uniqId="&amp;BudgetsTable[[#This Row],[prop_id]]&amp;pm_ibm_logn_id,"&gt;ra"))</f>
        <v>#REF!</v>
      </c>
      <c r="D21" s="11" t="e">
        <f ca="1">IF(ISBLANK(#REF!),"FY"&amp;fiscalyear,"FY"&amp;fiscalyear-1+#REF!)</f>
        <v>#REF!</v>
      </c>
      <c r="E21" s="85"/>
      <c r="F21"/>
      <c r="T21"/>
    </row>
    <row r="22" spans="1:20" x14ac:dyDescent="0.4">
      <c r="A22" s="10" t="s">
        <v>679</v>
      </c>
      <c r="B22" s="7" t="e">
        <f>IF(#REF!=" ","",HYPERLINK("https://www.ejacket.nsf.gov/ej/showProposal.do?Continue=Y&amp;ID="&amp;BudgetsTable[[#This Row],[prop_id]],BudgetsTable[[#This Row],[prop_id]]))</f>
        <v>#REF!</v>
      </c>
      <c r="C22" s="7" t="e">
        <f>IF(#REF!=" ","",HYPERLINK("https://www.ejacket.nsf.gov/ej/processReviewAnalysis.do?dispatch=add&amp;uniqId="&amp;BudgetsTable[[#This Row],[prop_id]]&amp;pm_ibm_logn_id,"&gt;ra"))</f>
        <v>#REF!</v>
      </c>
      <c r="D22" s="11" t="e">
        <f ca="1">IF(ISBLANK(#REF!),"FY"&amp;fiscalyear,"FY"&amp;fiscalyear-1+#REF!)</f>
        <v>#REF!</v>
      </c>
      <c r="E22" s="85"/>
      <c r="F22"/>
      <c r="T22"/>
    </row>
    <row r="23" spans="1:20" x14ac:dyDescent="0.4">
      <c r="A23" s="10" t="s">
        <v>680</v>
      </c>
      <c r="B23" s="7" t="e">
        <f>IF(#REF!=" ","",HYPERLINK("https://www.ejacket.nsf.gov/ej/showProposal.do?Continue=Y&amp;ID="&amp;BudgetsTable[[#This Row],[prop_id]],BudgetsTable[[#This Row],[prop_id]]))</f>
        <v>#REF!</v>
      </c>
      <c r="C23" s="7" t="e">
        <f>IF(#REF!=" ","",HYPERLINK("https://www.ejacket.nsf.gov/ej/processReviewAnalysis.do?dispatch=add&amp;uniqId="&amp;BudgetsTable[[#This Row],[prop_id]]&amp;pm_ibm_logn_id,"&gt;ra"))</f>
        <v>#REF!</v>
      </c>
      <c r="D23" s="11" t="e">
        <f ca="1">IF(ISBLANK(#REF!),"FY"&amp;fiscalyear,"FY"&amp;fiscalyear-1+#REF!)</f>
        <v>#REF!</v>
      </c>
      <c r="E23" s="85"/>
      <c r="F23"/>
      <c r="T23"/>
    </row>
    <row r="24" spans="1:20" x14ac:dyDescent="0.4">
      <c r="A24" s="10" t="s">
        <v>681</v>
      </c>
      <c r="B24" s="7" t="e">
        <f>IF(#REF!=" ","",HYPERLINK("https://www.ejacket.nsf.gov/ej/showProposal.do?Continue=Y&amp;ID="&amp;BudgetsTable[[#This Row],[prop_id]],BudgetsTable[[#This Row],[prop_id]]))</f>
        <v>#REF!</v>
      </c>
      <c r="C24" s="7" t="e">
        <f>IF(#REF!=" ","",HYPERLINK("https://www.ejacket.nsf.gov/ej/processReviewAnalysis.do?dispatch=add&amp;uniqId="&amp;BudgetsTable[[#This Row],[prop_id]]&amp;pm_ibm_logn_id,"&gt;ra"))</f>
        <v>#REF!</v>
      </c>
      <c r="D24" s="11" t="e">
        <f ca="1">IF(ISBLANK(#REF!),"FY"&amp;fiscalyear,"FY"&amp;fiscalyear-1+#REF!)</f>
        <v>#REF!</v>
      </c>
      <c r="E24" s="85"/>
      <c r="F24"/>
      <c r="T24"/>
    </row>
    <row r="25" spans="1:20" x14ac:dyDescent="0.4">
      <c r="A25" s="10" t="s">
        <v>682</v>
      </c>
      <c r="B25" s="7" t="e">
        <f>IF(#REF!=" ","",HYPERLINK("https://www.ejacket.nsf.gov/ej/showProposal.do?Continue=Y&amp;ID="&amp;BudgetsTable[[#This Row],[prop_id]],BudgetsTable[[#This Row],[prop_id]]))</f>
        <v>#REF!</v>
      </c>
      <c r="C25" s="7" t="e">
        <f>IF(#REF!=" ","",HYPERLINK("https://www.ejacket.nsf.gov/ej/processReviewAnalysis.do?dispatch=add&amp;uniqId="&amp;BudgetsTable[[#This Row],[prop_id]]&amp;pm_ibm_logn_id,"&gt;ra"))</f>
        <v>#REF!</v>
      </c>
      <c r="D25" s="11" t="e">
        <f ca="1">IF(ISBLANK(#REF!),"FY"&amp;fiscalyear,"FY"&amp;fiscalyear-1+#REF!)</f>
        <v>#REF!</v>
      </c>
      <c r="E25" s="85"/>
      <c r="F25"/>
      <c r="T25"/>
    </row>
    <row r="26" spans="1:20" x14ac:dyDescent="0.4">
      <c r="A26" s="10" t="s">
        <v>683</v>
      </c>
      <c r="B26" s="7" t="e">
        <f>IF(#REF!=" ","",HYPERLINK("https://www.ejacket.nsf.gov/ej/showProposal.do?Continue=Y&amp;ID="&amp;BudgetsTable[[#This Row],[prop_id]],BudgetsTable[[#This Row],[prop_id]]))</f>
        <v>#REF!</v>
      </c>
      <c r="C26" s="7" t="e">
        <f>IF(#REF!=" ","",HYPERLINK("https://www.ejacket.nsf.gov/ej/processReviewAnalysis.do?dispatch=add&amp;uniqId="&amp;BudgetsTable[[#This Row],[prop_id]]&amp;pm_ibm_logn_id,"&gt;ra"))</f>
        <v>#REF!</v>
      </c>
      <c r="D26" s="11" t="e">
        <f ca="1">IF(ISBLANK(#REF!),"FY"&amp;fiscalyear,"FY"&amp;fiscalyear-1+#REF!)</f>
        <v>#REF!</v>
      </c>
      <c r="E26" s="85"/>
      <c r="F26"/>
      <c r="T26"/>
    </row>
    <row r="27" spans="1:20" x14ac:dyDescent="0.4">
      <c r="A27" s="10" t="s">
        <v>684</v>
      </c>
      <c r="B27" s="7" t="e">
        <f>IF(#REF!=" ","",HYPERLINK("https://www.ejacket.nsf.gov/ej/showProposal.do?Continue=Y&amp;ID="&amp;BudgetsTable[[#This Row],[prop_id]],BudgetsTable[[#This Row],[prop_id]]))</f>
        <v>#REF!</v>
      </c>
      <c r="C27" s="7" t="e">
        <f>IF(#REF!=" ","",HYPERLINK("https://www.ejacket.nsf.gov/ej/processReviewAnalysis.do?dispatch=add&amp;uniqId="&amp;BudgetsTable[[#This Row],[prop_id]]&amp;pm_ibm_logn_id,"&gt;ra"))</f>
        <v>#REF!</v>
      </c>
      <c r="D27" s="11" t="e">
        <f ca="1">IF(ISBLANK(#REF!),"FY"&amp;fiscalyear,"FY"&amp;fiscalyear-1+#REF!)</f>
        <v>#REF!</v>
      </c>
      <c r="E27" s="85"/>
      <c r="F27"/>
      <c r="T27"/>
    </row>
    <row r="28" spans="1:20" x14ac:dyDescent="0.4">
      <c r="A28" s="10" t="s">
        <v>685</v>
      </c>
      <c r="B28" s="7" t="e">
        <f>IF(#REF!=" ","",HYPERLINK("https://www.ejacket.nsf.gov/ej/showProposal.do?Continue=Y&amp;ID="&amp;BudgetsTable[[#This Row],[prop_id]],BudgetsTable[[#This Row],[prop_id]]))</f>
        <v>#REF!</v>
      </c>
      <c r="C28" s="7" t="e">
        <f>IF(#REF!=" ","",HYPERLINK("https://www.ejacket.nsf.gov/ej/processReviewAnalysis.do?dispatch=add&amp;uniqId="&amp;BudgetsTable[[#This Row],[prop_id]]&amp;pm_ibm_logn_id,"&gt;ra"))</f>
        <v>#REF!</v>
      </c>
      <c r="D28" s="11" t="e">
        <f ca="1">IF(ISBLANK(#REF!),"FY"&amp;fiscalyear,"FY"&amp;fiscalyear-1+#REF!)</f>
        <v>#REF!</v>
      </c>
      <c r="E28" s="85"/>
      <c r="F28"/>
      <c r="T28"/>
    </row>
    <row r="29" spans="1:20" x14ac:dyDescent="0.4">
      <c r="A29" s="10" t="s">
        <v>686</v>
      </c>
      <c r="B29" s="7" t="e">
        <f>IF(#REF!=" ","",HYPERLINK("https://www.ejacket.nsf.gov/ej/showProposal.do?Continue=Y&amp;ID="&amp;BudgetsTable[[#This Row],[prop_id]],BudgetsTable[[#This Row],[prop_id]]))</f>
        <v>#REF!</v>
      </c>
      <c r="C29" s="7" t="e">
        <f>IF(#REF!=" ","",HYPERLINK("https://www.ejacket.nsf.gov/ej/processReviewAnalysis.do?dispatch=add&amp;uniqId="&amp;BudgetsTable[[#This Row],[prop_id]]&amp;pm_ibm_logn_id,"&gt;ra"))</f>
        <v>#REF!</v>
      </c>
      <c r="D29" s="11" t="e">
        <f ca="1">IF(ISBLANK(#REF!),"FY"&amp;fiscalyear,"FY"&amp;fiscalyear-1+#REF!)</f>
        <v>#REF!</v>
      </c>
      <c r="E29" s="85"/>
      <c r="F29"/>
      <c r="T29"/>
    </row>
    <row r="30" spans="1:20" x14ac:dyDescent="0.4">
      <c r="A30" s="10" t="s">
        <v>687</v>
      </c>
      <c r="B30" s="7" t="e">
        <f>IF(#REF!=" ","",HYPERLINK("https://www.ejacket.nsf.gov/ej/showProposal.do?Continue=Y&amp;ID="&amp;BudgetsTable[[#This Row],[prop_id]],BudgetsTable[[#This Row],[prop_id]]))</f>
        <v>#REF!</v>
      </c>
      <c r="C30" s="7" t="e">
        <f>IF(#REF!=" ","",HYPERLINK("https://www.ejacket.nsf.gov/ej/processReviewAnalysis.do?dispatch=add&amp;uniqId="&amp;BudgetsTable[[#This Row],[prop_id]]&amp;pm_ibm_logn_id,"&gt;ra"))</f>
        <v>#REF!</v>
      </c>
      <c r="D30" s="11" t="e">
        <f ca="1">IF(ISBLANK(#REF!),"FY"&amp;fiscalyear,"FY"&amp;fiscalyear-1+#REF!)</f>
        <v>#REF!</v>
      </c>
      <c r="E30" s="85"/>
      <c r="F30"/>
      <c r="T30"/>
    </row>
    <row r="31" spans="1:20" x14ac:dyDescent="0.4">
      <c r="A31" s="10" t="s">
        <v>688</v>
      </c>
      <c r="B31" s="7" t="e">
        <f>IF(#REF!=" ","",HYPERLINK("https://www.ejacket.nsf.gov/ej/showProposal.do?Continue=Y&amp;ID="&amp;BudgetsTable[[#This Row],[prop_id]],BudgetsTable[[#This Row],[prop_id]]))</f>
        <v>#REF!</v>
      </c>
      <c r="C31" s="7" t="e">
        <f>IF(#REF!=" ","",HYPERLINK("https://www.ejacket.nsf.gov/ej/processReviewAnalysis.do?dispatch=add&amp;uniqId="&amp;BudgetsTable[[#This Row],[prop_id]]&amp;pm_ibm_logn_id,"&gt;ra"))</f>
        <v>#REF!</v>
      </c>
      <c r="D31" s="11" t="e">
        <f ca="1">IF(ISBLANK(#REF!),"FY"&amp;fiscalyear,"FY"&amp;fiscalyear-1+#REF!)</f>
        <v>#REF!</v>
      </c>
      <c r="E31" s="85"/>
      <c r="F31"/>
      <c r="T31"/>
    </row>
    <row r="32" spans="1:20" x14ac:dyDescent="0.4">
      <c r="A32" s="10" t="s">
        <v>689</v>
      </c>
      <c r="B32" s="7" t="e">
        <f>IF(#REF!=" ","",HYPERLINK("https://www.ejacket.nsf.gov/ej/showProposal.do?Continue=Y&amp;ID="&amp;BudgetsTable[[#This Row],[prop_id]],BudgetsTable[[#This Row],[prop_id]]))</f>
        <v>#REF!</v>
      </c>
      <c r="C32" s="7" t="e">
        <f>IF(#REF!=" ","",HYPERLINK("https://www.ejacket.nsf.gov/ej/processReviewAnalysis.do?dispatch=add&amp;uniqId="&amp;BudgetsTable[[#This Row],[prop_id]]&amp;pm_ibm_logn_id,"&gt;ra"))</f>
        <v>#REF!</v>
      </c>
      <c r="D32" s="11" t="e">
        <f ca="1">IF(ISBLANK(#REF!),"FY"&amp;fiscalyear,"FY"&amp;fiscalyear-1+#REF!)</f>
        <v>#REF!</v>
      </c>
      <c r="E32" s="85"/>
      <c r="F32"/>
      <c r="T32"/>
    </row>
    <row r="33" spans="1:20" x14ac:dyDescent="0.4">
      <c r="A33" s="10" t="s">
        <v>690</v>
      </c>
      <c r="B33" s="7" t="e">
        <f>IF(#REF!=" ","",HYPERLINK("https://www.ejacket.nsf.gov/ej/showProposal.do?Continue=Y&amp;ID="&amp;BudgetsTable[[#This Row],[prop_id]],BudgetsTable[[#This Row],[prop_id]]))</f>
        <v>#REF!</v>
      </c>
      <c r="C33" s="7" t="e">
        <f>IF(#REF!=" ","",HYPERLINK("https://www.ejacket.nsf.gov/ej/processReviewAnalysis.do?dispatch=add&amp;uniqId="&amp;BudgetsTable[[#This Row],[prop_id]]&amp;pm_ibm_logn_id,"&gt;ra"))</f>
        <v>#REF!</v>
      </c>
      <c r="D33" s="11" t="e">
        <f ca="1">IF(ISBLANK(#REF!),"FY"&amp;fiscalyear,"FY"&amp;fiscalyear-1+#REF!)</f>
        <v>#REF!</v>
      </c>
      <c r="E33" s="85"/>
      <c r="F33"/>
      <c r="T33"/>
    </row>
    <row r="34" spans="1:20" x14ac:dyDescent="0.4">
      <c r="A34" s="10" t="s">
        <v>691</v>
      </c>
      <c r="B34" s="7" t="e">
        <f>IF(#REF!=" ","",HYPERLINK("https://www.ejacket.nsf.gov/ej/showProposal.do?Continue=Y&amp;ID="&amp;BudgetsTable[[#This Row],[prop_id]],BudgetsTable[[#This Row],[prop_id]]))</f>
        <v>#REF!</v>
      </c>
      <c r="C34" s="7" t="e">
        <f>IF(#REF!=" ","",HYPERLINK("https://www.ejacket.nsf.gov/ej/processReviewAnalysis.do?dispatch=add&amp;uniqId="&amp;BudgetsTable[[#This Row],[prop_id]]&amp;pm_ibm_logn_id,"&gt;ra"))</f>
        <v>#REF!</v>
      </c>
      <c r="D34" s="11" t="e">
        <f ca="1">IF(ISBLANK(#REF!),"FY"&amp;fiscalyear,"FY"&amp;fiscalyear-1+#REF!)</f>
        <v>#REF!</v>
      </c>
      <c r="E34" s="85"/>
      <c r="F34"/>
      <c r="T34"/>
    </row>
  </sheetData>
  <conditionalFormatting sqref="A4:A33">
    <cfRule type="expression" dxfId="17" priority="872">
      <formula>MOD(#REF!,5)=1</formula>
    </cfRule>
    <cfRule type="expression" dxfId="16" priority="873">
      <formula>#REF!&lt;&gt;$I1047784</formula>
    </cfRule>
    <cfRule type="expression" dxfId="15" priority="874">
      <formula>MOD(#REF!,5)=2</formula>
    </cfRule>
    <cfRule type="expression" dxfId="14" priority="875">
      <formula>MOD(#REF!,5)=0</formula>
    </cfRule>
    <cfRule type="expression" dxfId="13" priority="876">
      <formula>MOD(#REF!,5)=3</formula>
    </cfRule>
  </conditionalFormatting>
  <conditionalFormatting sqref="B4:E34">
    <cfRule type="expression" dxfId="12" priority="927">
      <formula>MOD($A4,5)=3</formula>
    </cfRule>
    <cfRule type="expression" dxfId="11" priority="928">
      <formula>MOD($A4,5)=0</formula>
    </cfRule>
    <cfRule type="expression" dxfId="10" priority="929">
      <formula>MOD($A4,5)=2</formula>
    </cfRule>
    <cfRule type="expression" dxfId="9" priority="930">
      <formula>MOD($A4,5)=1</formula>
    </cfRule>
    <cfRule type="expression" dxfId="8" priority="931">
      <formula>ISBLANK(#REF!)</formula>
    </cfRule>
  </conditionalFormatting>
  <conditionalFormatting sqref="A34">
    <cfRule type="expression" dxfId="7" priority="932">
      <formula>MOD(#REF!,5)=1</formula>
    </cfRule>
    <cfRule type="expression" dxfId="6" priority="933">
      <formula>#REF!&lt;&gt;$I1047879</formula>
    </cfRule>
    <cfRule type="expression" dxfId="5" priority="934">
      <formula>MOD(#REF!,5)=2</formula>
    </cfRule>
    <cfRule type="expression" dxfId="4" priority="935">
      <formula>MOD(#REF!,5)=0</formula>
    </cfRule>
    <cfRule type="expression" dxfId="3" priority="936">
      <formula>MOD(#REF!,5)=3</formula>
    </cfRule>
  </conditionalFormatting>
  <pageMargins left="0.25" right="0.25" top="0.75" bottom="0.75" header="0.3" footer="0.3"/>
  <pageSetup paperSize="3" scale="65" fitToHeight="0"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101"/>
  <sheetViews>
    <sheetView workbookViewId="0">
      <selection activeCell="B16" sqref="B16"/>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32" customWidth="1"/>
    <col min="12" max="12" width="16.15234375" customWidth="1"/>
    <col min="13" max="14" width="6.3046875" style="24" customWidth="1"/>
    <col min="15" max="15" width="5.15234375" customWidth="1"/>
    <col min="16" max="16" width="80.53515625" bestFit="1" customWidth="1"/>
  </cols>
  <sheetData>
    <row r="1" spans="1:16" ht="51.45" customHeight="1" x14ac:dyDescent="0.4">
      <c r="A1" t="s">
        <v>108</v>
      </c>
      <c r="B1" t="s">
        <v>9</v>
      </c>
      <c r="C1" t="s">
        <v>10</v>
      </c>
      <c r="D1" t="s">
        <v>204</v>
      </c>
      <c r="E1" t="s">
        <v>205</v>
      </c>
      <c r="F1" t="s">
        <v>206</v>
      </c>
      <c r="G1" t="s">
        <v>207</v>
      </c>
      <c r="H1" t="s">
        <v>208</v>
      </c>
      <c r="I1" t="s">
        <v>209</v>
      </c>
      <c r="J1" t="s">
        <v>210</v>
      </c>
      <c r="K1" s="32" t="s">
        <v>211</v>
      </c>
      <c r="L1" t="s">
        <v>212</v>
      </c>
      <c r="M1" s="24" t="s">
        <v>213</v>
      </c>
      <c r="N1" s="24" t="s">
        <v>214</v>
      </c>
      <c r="O1" t="s">
        <v>215</v>
      </c>
      <c r="P1" t="s">
        <v>216</v>
      </c>
    </row>
    <row r="2" spans="1:16" x14ac:dyDescent="0.4">
      <c r="A2">
        <f t="shared" ref="A2:A33" si="0">A1+(B2&lt;&gt;B1)</f>
        <v>1</v>
      </c>
      <c r="B2" t="s">
        <v>315</v>
      </c>
      <c r="C2" t="s">
        <v>316</v>
      </c>
      <c r="D2" t="s">
        <v>229</v>
      </c>
      <c r="E2" t="s">
        <v>318</v>
      </c>
      <c r="F2" t="s">
        <v>374</v>
      </c>
      <c r="G2" t="s">
        <v>375</v>
      </c>
      <c r="H2" t="s">
        <v>232</v>
      </c>
      <c r="I2" t="s">
        <v>221</v>
      </c>
      <c r="J2" t="s">
        <v>291</v>
      </c>
      <c r="K2" s="34">
        <v>43006</v>
      </c>
      <c r="L2" s="8"/>
      <c r="M2" s="24">
        <f>LEN(ProjTextTable[[#This Row],[text]])</f>
        <v>2547</v>
      </c>
      <c r="N2" s="24">
        <f>LEN(TRIM(CLEAN(SUBSTITUTE(ProjTextTable[[#This Row],[text]],CHAR(10)," "))))+1 - LEN(SUBSTITUTE(CLEAN(SUBSTITUTE(ProjTextTable[[#This Row],[text]],CHAR(10)," "))," ",""))</f>
        <v>358</v>
      </c>
      <c r="O2" t="s">
        <v>233</v>
      </c>
      <c r="P2" t="s">
        <v>376</v>
      </c>
    </row>
    <row r="3" spans="1:16" x14ac:dyDescent="0.4">
      <c r="A3">
        <f t="shared" si="0"/>
        <v>1</v>
      </c>
      <c r="B3" t="s">
        <v>315</v>
      </c>
      <c r="C3" t="s">
        <v>316</v>
      </c>
      <c r="D3" t="s">
        <v>218</v>
      </c>
      <c r="E3" t="s">
        <v>377</v>
      </c>
      <c r="F3" t="s">
        <v>378</v>
      </c>
      <c r="G3" t="s">
        <v>379</v>
      </c>
      <c r="H3" t="s">
        <v>380</v>
      </c>
      <c r="I3" t="s">
        <v>235</v>
      </c>
      <c r="J3" t="s">
        <v>197</v>
      </c>
      <c r="K3" s="34">
        <v>43007</v>
      </c>
      <c r="L3" s="8">
        <v>43002.683518518519</v>
      </c>
      <c r="M3" s="24">
        <f>LEN(ProjTextTable[[#This Row],[text]])</f>
        <v>2941</v>
      </c>
      <c r="N3" s="24">
        <f>LEN(TRIM(CLEAN(SUBSTITUTE(ProjTextTable[[#This Row],[text]],CHAR(10)," "))))+1 - LEN(SUBSTITUTE(CLEAN(SUBSTITUTE(ProjTextTable[[#This Row],[text]],CHAR(10)," "))," ",""))</f>
        <v>450</v>
      </c>
      <c r="O3" t="s">
        <v>223</v>
      </c>
      <c r="P3" t="s">
        <v>381</v>
      </c>
    </row>
    <row r="4" spans="1:16" x14ac:dyDescent="0.4">
      <c r="A4">
        <f t="shared" si="0"/>
        <v>1</v>
      </c>
      <c r="B4" t="s">
        <v>315</v>
      </c>
      <c r="C4" t="s">
        <v>316</v>
      </c>
      <c r="D4" t="s">
        <v>218</v>
      </c>
      <c r="E4" t="s">
        <v>377</v>
      </c>
      <c r="F4" t="s">
        <v>382</v>
      </c>
      <c r="G4" t="s">
        <v>383</v>
      </c>
      <c r="H4" t="s">
        <v>384</v>
      </c>
      <c r="I4" t="s">
        <v>235</v>
      </c>
      <c r="J4" t="s">
        <v>197</v>
      </c>
      <c r="K4" s="34">
        <v>43007</v>
      </c>
      <c r="L4" s="8">
        <v>42986.696377314816</v>
      </c>
      <c r="M4" s="24">
        <f>LEN(ProjTextTable[[#This Row],[text]])</f>
        <v>2695</v>
      </c>
      <c r="N4" s="24">
        <f>LEN(TRIM(CLEAN(SUBSTITUTE(ProjTextTable[[#This Row],[text]],CHAR(10)," "))))+1 - LEN(SUBSTITUTE(CLEAN(SUBSTITUTE(ProjTextTable[[#This Row],[text]],CHAR(10)," "))," ",""))</f>
        <v>405</v>
      </c>
      <c r="O4" t="s">
        <v>219</v>
      </c>
      <c r="P4" t="s">
        <v>385</v>
      </c>
    </row>
    <row r="5" spans="1:16" x14ac:dyDescent="0.4">
      <c r="A5">
        <f t="shared" si="0"/>
        <v>1</v>
      </c>
      <c r="B5" t="s">
        <v>315</v>
      </c>
      <c r="C5" t="s">
        <v>316</v>
      </c>
      <c r="D5" t="s">
        <v>218</v>
      </c>
      <c r="E5" t="s">
        <v>314</v>
      </c>
      <c r="F5" t="s">
        <v>386</v>
      </c>
      <c r="G5" t="s">
        <v>387</v>
      </c>
      <c r="H5" t="s">
        <v>388</v>
      </c>
      <c r="I5" t="s">
        <v>197</v>
      </c>
      <c r="J5" t="s">
        <v>197</v>
      </c>
      <c r="K5" s="34">
        <v>42998</v>
      </c>
      <c r="L5" s="8">
        <v>42998.545752314814</v>
      </c>
      <c r="M5" s="24">
        <f>LEN(ProjTextTable[[#This Row],[text]])</f>
        <v>2833</v>
      </c>
      <c r="N5" s="24">
        <f>LEN(TRIM(CLEAN(SUBSTITUTE(ProjTextTable[[#This Row],[text]],CHAR(10)," "))))+1 - LEN(SUBSTITUTE(CLEAN(SUBSTITUTE(ProjTextTable[[#This Row],[text]],CHAR(10)," "))," ",""))</f>
        <v>419</v>
      </c>
      <c r="O5" t="s">
        <v>223</v>
      </c>
      <c r="P5" t="s">
        <v>389</v>
      </c>
    </row>
    <row r="6" spans="1:16" x14ac:dyDescent="0.4">
      <c r="A6">
        <f t="shared" si="0"/>
        <v>1</v>
      </c>
      <c r="B6" t="s">
        <v>315</v>
      </c>
      <c r="C6" t="s">
        <v>316</v>
      </c>
      <c r="D6" t="s">
        <v>218</v>
      </c>
      <c r="E6" t="s">
        <v>377</v>
      </c>
      <c r="F6" t="s">
        <v>390</v>
      </c>
      <c r="G6" t="s">
        <v>391</v>
      </c>
      <c r="H6" t="s">
        <v>392</v>
      </c>
      <c r="I6" t="s">
        <v>235</v>
      </c>
      <c r="J6" t="s">
        <v>197</v>
      </c>
      <c r="K6" s="34">
        <v>43007</v>
      </c>
      <c r="L6" s="8">
        <v>43006.612337962964</v>
      </c>
      <c r="M6" s="24">
        <f>LEN(ProjTextTable[[#This Row],[text]])</f>
        <v>4959</v>
      </c>
      <c r="N6" s="24">
        <f>LEN(TRIM(CLEAN(SUBSTITUTE(ProjTextTable[[#This Row],[text]],CHAR(10)," "))))+1 - LEN(SUBSTITUTE(CLEAN(SUBSTITUTE(ProjTextTable[[#This Row],[text]],CHAR(10)," "))," ",""))</f>
        <v>767</v>
      </c>
      <c r="O6" t="s">
        <v>222</v>
      </c>
      <c r="P6" t="s">
        <v>393</v>
      </c>
    </row>
    <row r="7" spans="1:16" x14ac:dyDescent="0.4">
      <c r="A7">
        <f t="shared" si="0"/>
        <v>1</v>
      </c>
      <c r="B7" t="s">
        <v>315</v>
      </c>
      <c r="C7" t="s">
        <v>316</v>
      </c>
      <c r="D7" t="s">
        <v>218</v>
      </c>
      <c r="E7" t="s">
        <v>377</v>
      </c>
      <c r="F7" t="s">
        <v>394</v>
      </c>
      <c r="G7" t="s">
        <v>395</v>
      </c>
      <c r="H7" t="s">
        <v>396</v>
      </c>
      <c r="I7" t="s">
        <v>235</v>
      </c>
      <c r="J7" t="s">
        <v>197</v>
      </c>
      <c r="K7" s="34">
        <v>43007</v>
      </c>
      <c r="L7" s="8">
        <v>43002.885231481479</v>
      </c>
      <c r="M7" s="24">
        <f>LEN(ProjTextTable[[#This Row],[text]])</f>
        <v>4704</v>
      </c>
      <c r="N7" s="24">
        <f>LEN(TRIM(CLEAN(SUBSTITUTE(ProjTextTable[[#This Row],[text]],CHAR(10)," "))))+1 - LEN(SUBSTITUTE(CLEAN(SUBSTITUTE(ProjTextTable[[#This Row],[text]],CHAR(10)," "))," ",""))</f>
        <v>703</v>
      </c>
      <c r="O7" t="s">
        <v>223</v>
      </c>
      <c r="P7" t="s">
        <v>397</v>
      </c>
    </row>
    <row r="8" spans="1:16" x14ac:dyDescent="0.4">
      <c r="A8">
        <f t="shared" si="0"/>
        <v>1</v>
      </c>
      <c r="B8" t="s">
        <v>315</v>
      </c>
      <c r="C8" t="s">
        <v>316</v>
      </c>
      <c r="D8" t="s">
        <v>220</v>
      </c>
      <c r="E8" t="s">
        <v>314</v>
      </c>
      <c r="F8" t="s">
        <v>14</v>
      </c>
      <c r="G8" t="s">
        <v>14</v>
      </c>
      <c r="H8" t="s">
        <v>14</v>
      </c>
      <c r="K8" s="34"/>
      <c r="L8" s="8">
        <v>42933.697916666664</v>
      </c>
      <c r="M8" s="24">
        <f>LEN(ProjTextTable[[#This Row],[text]])</f>
        <v>3675</v>
      </c>
      <c r="N8" s="24">
        <f>LEN(TRIM(CLEAN(SUBSTITUTE(ProjTextTable[[#This Row],[text]],CHAR(10)," "))))+1 - LEN(SUBSTITUTE(CLEAN(SUBSTITUTE(ProjTextTable[[#This Row],[text]],CHAR(10)," "))," ",""))</f>
        <v>514</v>
      </c>
      <c r="O8" t="s">
        <v>14</v>
      </c>
      <c r="P8" t="s">
        <v>398</v>
      </c>
    </row>
    <row r="9" spans="1:16" x14ac:dyDescent="0.4">
      <c r="A9">
        <f t="shared" si="0"/>
        <v>2</v>
      </c>
      <c r="B9" t="s">
        <v>319</v>
      </c>
      <c r="C9" t="s">
        <v>320</v>
      </c>
      <c r="D9" t="s">
        <v>229</v>
      </c>
      <c r="E9" t="s">
        <v>318</v>
      </c>
      <c r="F9" t="s">
        <v>374</v>
      </c>
      <c r="G9" t="s">
        <v>375</v>
      </c>
      <c r="H9" t="s">
        <v>232</v>
      </c>
      <c r="I9" t="s">
        <v>221</v>
      </c>
      <c r="J9" t="s">
        <v>217</v>
      </c>
      <c r="K9" s="34">
        <v>43006</v>
      </c>
      <c r="L9" s="8"/>
      <c r="M9" s="24">
        <f>LEN(ProjTextTable[[#This Row],[text]])</f>
        <v>4911</v>
      </c>
      <c r="N9" s="24">
        <f>LEN(TRIM(CLEAN(SUBSTITUTE(ProjTextTable[[#This Row],[text]],CHAR(10)," "))))+1 - LEN(SUBSTITUTE(CLEAN(SUBSTITUTE(ProjTextTable[[#This Row],[text]],CHAR(10)," "))," ",""))</f>
        <v>700</v>
      </c>
      <c r="O9" t="s">
        <v>233</v>
      </c>
      <c r="P9" t="s">
        <v>399</v>
      </c>
    </row>
    <row r="10" spans="1:16" x14ac:dyDescent="0.4">
      <c r="A10">
        <f t="shared" si="0"/>
        <v>2</v>
      </c>
      <c r="B10" t="s">
        <v>319</v>
      </c>
      <c r="C10" t="s">
        <v>320</v>
      </c>
      <c r="D10" t="s">
        <v>218</v>
      </c>
      <c r="E10" t="s">
        <v>377</v>
      </c>
      <c r="F10" t="s">
        <v>400</v>
      </c>
      <c r="G10" t="s">
        <v>401</v>
      </c>
      <c r="H10" t="s">
        <v>402</v>
      </c>
      <c r="I10" t="s">
        <v>235</v>
      </c>
      <c r="J10" t="s">
        <v>197</v>
      </c>
      <c r="K10" s="34">
        <v>43007</v>
      </c>
      <c r="L10" s="8">
        <v>43007.508599537039</v>
      </c>
      <c r="M10" s="24">
        <f>LEN(ProjTextTable[[#This Row],[text]])</f>
        <v>2687</v>
      </c>
      <c r="N10" s="24">
        <f>LEN(TRIM(CLEAN(SUBSTITUTE(ProjTextTable[[#This Row],[text]],CHAR(10)," "))))+1 - LEN(SUBSTITUTE(CLEAN(SUBSTITUTE(ProjTextTable[[#This Row],[text]],CHAR(10)," "))," ",""))</f>
        <v>388</v>
      </c>
      <c r="O10" t="s">
        <v>223</v>
      </c>
      <c r="P10" t="s">
        <v>403</v>
      </c>
    </row>
    <row r="11" spans="1:16" x14ac:dyDescent="0.4">
      <c r="A11">
        <f t="shared" si="0"/>
        <v>2</v>
      </c>
      <c r="B11" t="s">
        <v>319</v>
      </c>
      <c r="C11" t="s">
        <v>320</v>
      </c>
      <c r="D11" t="s">
        <v>218</v>
      </c>
      <c r="E11" t="s">
        <v>377</v>
      </c>
      <c r="F11" t="s">
        <v>404</v>
      </c>
      <c r="G11" t="s">
        <v>405</v>
      </c>
      <c r="H11" t="s">
        <v>406</v>
      </c>
      <c r="I11" t="s">
        <v>235</v>
      </c>
      <c r="J11" t="s">
        <v>197</v>
      </c>
      <c r="K11" s="34">
        <v>43007</v>
      </c>
      <c r="L11" s="8">
        <v>43000.894050925926</v>
      </c>
      <c r="M11" s="24">
        <f>LEN(ProjTextTable[[#This Row],[text]])</f>
        <v>2276</v>
      </c>
      <c r="N11" s="24">
        <f>LEN(TRIM(CLEAN(SUBSTITUTE(ProjTextTable[[#This Row],[text]],CHAR(10)," "))))+1 - LEN(SUBSTITUTE(CLEAN(SUBSTITUTE(ProjTextTable[[#This Row],[text]],CHAR(10)," "))," ",""))</f>
        <v>355</v>
      </c>
      <c r="O11" t="s">
        <v>219</v>
      </c>
      <c r="P11" t="s">
        <v>407</v>
      </c>
    </row>
    <row r="12" spans="1:16" x14ac:dyDescent="0.4">
      <c r="A12">
        <f t="shared" si="0"/>
        <v>2</v>
      </c>
      <c r="B12" t="s">
        <v>319</v>
      </c>
      <c r="C12" t="s">
        <v>320</v>
      </c>
      <c r="D12" t="s">
        <v>218</v>
      </c>
      <c r="E12" t="s">
        <v>377</v>
      </c>
      <c r="F12" t="s">
        <v>394</v>
      </c>
      <c r="G12" t="s">
        <v>395</v>
      </c>
      <c r="H12" t="s">
        <v>396</v>
      </c>
      <c r="I12" t="s">
        <v>235</v>
      </c>
      <c r="J12" t="s">
        <v>197</v>
      </c>
      <c r="K12" s="34">
        <v>43007</v>
      </c>
      <c r="L12" s="8">
        <v>43007.355509259258</v>
      </c>
      <c r="M12" s="24">
        <f>LEN(ProjTextTable[[#This Row],[text]])</f>
        <v>4164</v>
      </c>
      <c r="N12" s="24">
        <f>LEN(TRIM(CLEAN(SUBSTITUTE(ProjTextTable[[#This Row],[text]],CHAR(10)," "))))+1 - LEN(SUBSTITUTE(CLEAN(SUBSTITUTE(ProjTextTable[[#This Row],[text]],CHAR(10)," "))," ",""))</f>
        <v>610</v>
      </c>
      <c r="O12" t="s">
        <v>222</v>
      </c>
      <c r="P12" t="s">
        <v>408</v>
      </c>
    </row>
    <row r="13" spans="1:16" x14ac:dyDescent="0.4">
      <c r="A13">
        <f t="shared" si="0"/>
        <v>2</v>
      </c>
      <c r="B13" t="s">
        <v>319</v>
      </c>
      <c r="C13" t="s">
        <v>320</v>
      </c>
      <c r="D13" t="s">
        <v>218</v>
      </c>
      <c r="E13" t="s">
        <v>377</v>
      </c>
      <c r="F13" t="s">
        <v>409</v>
      </c>
      <c r="G13" t="s">
        <v>410</v>
      </c>
      <c r="H13" t="s">
        <v>411</v>
      </c>
      <c r="I13" t="s">
        <v>235</v>
      </c>
      <c r="J13" t="s">
        <v>197</v>
      </c>
      <c r="K13" s="34">
        <v>43007</v>
      </c>
      <c r="L13" s="8">
        <v>43002.923622685186</v>
      </c>
      <c r="M13" s="24">
        <f>LEN(ProjTextTable[[#This Row],[text]])</f>
        <v>1851</v>
      </c>
      <c r="N13" s="24">
        <f>LEN(TRIM(CLEAN(SUBSTITUTE(ProjTextTable[[#This Row],[text]],CHAR(10)," "))))+1 - LEN(SUBSTITUTE(CLEAN(SUBSTITUTE(ProjTextTable[[#This Row],[text]],CHAR(10)," "))," ",""))</f>
        <v>273</v>
      </c>
      <c r="O13" t="s">
        <v>290</v>
      </c>
      <c r="P13" t="s">
        <v>412</v>
      </c>
    </row>
    <row r="14" spans="1:16" x14ac:dyDescent="0.4">
      <c r="A14">
        <f t="shared" si="0"/>
        <v>2</v>
      </c>
      <c r="B14" t="s">
        <v>319</v>
      </c>
      <c r="C14" t="s">
        <v>320</v>
      </c>
      <c r="D14" t="s">
        <v>220</v>
      </c>
      <c r="E14" t="s">
        <v>318</v>
      </c>
      <c r="F14" t="s">
        <v>14</v>
      </c>
      <c r="G14" t="s">
        <v>14</v>
      </c>
      <c r="H14" t="s">
        <v>14</v>
      </c>
      <c r="K14" s="34"/>
      <c r="L14" s="8">
        <v>42933.719444444447</v>
      </c>
      <c r="M14" s="24">
        <f>LEN(ProjTextTable[[#This Row],[text]])</f>
        <v>3812</v>
      </c>
      <c r="N14" s="24">
        <f>LEN(TRIM(CLEAN(SUBSTITUTE(ProjTextTable[[#This Row],[text]],CHAR(10)," "))))+1 - LEN(SUBSTITUTE(CLEAN(SUBSTITUTE(ProjTextTable[[#This Row],[text]],CHAR(10)," "))," ",""))</f>
        <v>529</v>
      </c>
      <c r="O14" t="s">
        <v>14</v>
      </c>
      <c r="P14" t="s">
        <v>413</v>
      </c>
    </row>
    <row r="15" spans="1:16" x14ac:dyDescent="0.4">
      <c r="A15">
        <f t="shared" si="0"/>
        <v>3</v>
      </c>
      <c r="B15" t="s">
        <v>322</v>
      </c>
      <c r="C15" t="s">
        <v>323</v>
      </c>
      <c r="D15" t="s">
        <v>229</v>
      </c>
      <c r="E15" t="s">
        <v>318</v>
      </c>
      <c r="F15" t="s">
        <v>374</v>
      </c>
      <c r="G15" t="s">
        <v>375</v>
      </c>
      <c r="H15" t="s">
        <v>287</v>
      </c>
      <c r="I15" t="s">
        <v>217</v>
      </c>
      <c r="K15" s="34">
        <v>43006</v>
      </c>
      <c r="L15" s="8"/>
      <c r="M15" s="24">
        <f>LEN(ProjTextTable[[#This Row],[text]])</f>
        <v>2236</v>
      </c>
      <c r="N15" s="24">
        <f>LEN(TRIM(CLEAN(SUBSTITUTE(ProjTextTable[[#This Row],[text]],CHAR(10)," "))))+1 - LEN(SUBSTITUTE(CLEAN(SUBSTITUTE(ProjTextTable[[#This Row],[text]],CHAR(10)," "))," ",""))</f>
        <v>321</v>
      </c>
      <c r="O15" t="s">
        <v>286</v>
      </c>
      <c r="P15" t="s">
        <v>414</v>
      </c>
    </row>
    <row r="16" spans="1:16" x14ac:dyDescent="0.4">
      <c r="A16">
        <f t="shared" si="0"/>
        <v>3</v>
      </c>
      <c r="B16" t="s">
        <v>322</v>
      </c>
      <c r="C16" t="s">
        <v>323</v>
      </c>
      <c r="D16" t="s">
        <v>218</v>
      </c>
      <c r="E16" t="s">
        <v>377</v>
      </c>
      <c r="F16" t="s">
        <v>400</v>
      </c>
      <c r="G16" t="s">
        <v>401</v>
      </c>
      <c r="H16" t="s">
        <v>402</v>
      </c>
      <c r="I16" t="s">
        <v>235</v>
      </c>
      <c r="J16" t="s">
        <v>197</v>
      </c>
      <c r="K16" s="34">
        <v>43007</v>
      </c>
      <c r="L16" s="8">
        <v>43005.997511574074</v>
      </c>
      <c r="M16" s="24">
        <f>LEN(ProjTextTable[[#This Row],[text]])</f>
        <v>2438</v>
      </c>
      <c r="N16" s="24">
        <f>LEN(TRIM(CLEAN(SUBSTITUTE(ProjTextTable[[#This Row],[text]],CHAR(10)," "))))+1 - LEN(SUBSTITUTE(CLEAN(SUBSTITUTE(ProjTextTable[[#This Row],[text]],CHAR(10)," "))," ",""))</f>
        <v>369</v>
      </c>
      <c r="O16" t="s">
        <v>219</v>
      </c>
      <c r="P16" t="s">
        <v>415</v>
      </c>
    </row>
    <row r="17" spans="1:16" x14ac:dyDescent="0.4">
      <c r="A17">
        <f t="shared" si="0"/>
        <v>3</v>
      </c>
      <c r="B17" t="s">
        <v>322</v>
      </c>
      <c r="C17" t="s">
        <v>323</v>
      </c>
      <c r="D17" t="s">
        <v>218</v>
      </c>
      <c r="E17" t="s">
        <v>377</v>
      </c>
      <c r="F17" t="s">
        <v>404</v>
      </c>
      <c r="G17" t="s">
        <v>405</v>
      </c>
      <c r="H17" t="s">
        <v>406</v>
      </c>
      <c r="I17" t="s">
        <v>235</v>
      </c>
      <c r="J17" t="s">
        <v>197</v>
      </c>
      <c r="K17" s="34">
        <v>43007</v>
      </c>
      <c r="L17" s="8">
        <v>43000.894062500003</v>
      </c>
      <c r="M17" s="24">
        <f>LEN(ProjTextTable[[#This Row],[text]])</f>
        <v>1757</v>
      </c>
      <c r="N17" s="24">
        <f>LEN(TRIM(CLEAN(SUBSTITUTE(ProjTextTable[[#This Row],[text]],CHAR(10)," "))))+1 - LEN(SUBSTITUTE(CLEAN(SUBSTITUTE(ProjTextTable[[#This Row],[text]],CHAR(10)," "))," ",""))</f>
        <v>247</v>
      </c>
      <c r="O17" t="s">
        <v>223</v>
      </c>
      <c r="P17" t="s">
        <v>416</v>
      </c>
    </row>
    <row r="18" spans="1:16" x14ac:dyDescent="0.4">
      <c r="A18">
        <f t="shared" si="0"/>
        <v>3</v>
      </c>
      <c r="B18" t="s">
        <v>322</v>
      </c>
      <c r="C18" t="s">
        <v>323</v>
      </c>
      <c r="D18" t="s">
        <v>218</v>
      </c>
      <c r="E18" t="s">
        <v>377</v>
      </c>
      <c r="F18" t="s">
        <v>390</v>
      </c>
      <c r="G18" t="s">
        <v>391</v>
      </c>
      <c r="H18" t="s">
        <v>392</v>
      </c>
      <c r="I18" t="s">
        <v>235</v>
      </c>
      <c r="J18" t="s">
        <v>197</v>
      </c>
      <c r="K18" s="34">
        <v>43007</v>
      </c>
      <c r="L18" s="8">
        <v>43002.993414351855</v>
      </c>
      <c r="M18" s="24">
        <f>LEN(ProjTextTable[[#This Row],[text]])</f>
        <v>2503</v>
      </c>
      <c r="N18" s="24">
        <f>LEN(TRIM(CLEAN(SUBSTITUTE(ProjTextTable[[#This Row],[text]],CHAR(10)," "))))+1 - LEN(SUBSTITUTE(CLEAN(SUBSTITUTE(ProjTextTable[[#This Row],[text]],CHAR(10)," "))," ",""))</f>
        <v>380</v>
      </c>
      <c r="O18" t="s">
        <v>226</v>
      </c>
      <c r="P18" t="s">
        <v>417</v>
      </c>
    </row>
    <row r="19" spans="1:16" x14ac:dyDescent="0.4">
      <c r="A19">
        <f t="shared" si="0"/>
        <v>3</v>
      </c>
      <c r="B19" t="s">
        <v>322</v>
      </c>
      <c r="C19" t="s">
        <v>323</v>
      </c>
      <c r="D19" t="s">
        <v>218</v>
      </c>
      <c r="E19" t="s">
        <v>377</v>
      </c>
      <c r="F19" t="s">
        <v>418</v>
      </c>
      <c r="G19" t="s">
        <v>419</v>
      </c>
      <c r="H19" t="s">
        <v>420</v>
      </c>
      <c r="I19" t="s">
        <v>235</v>
      </c>
      <c r="J19" t="s">
        <v>197</v>
      </c>
      <c r="K19" s="34">
        <v>43007</v>
      </c>
      <c r="L19" s="8">
        <v>43006.334074074075</v>
      </c>
      <c r="M19" s="24">
        <f>LEN(ProjTextTable[[#This Row],[text]])</f>
        <v>3011</v>
      </c>
      <c r="N19" s="24">
        <f>LEN(TRIM(CLEAN(SUBSTITUTE(ProjTextTable[[#This Row],[text]],CHAR(10)," "))))+1 - LEN(SUBSTITUTE(CLEAN(SUBSTITUTE(ProjTextTable[[#This Row],[text]],CHAR(10)," "))," ",""))</f>
        <v>444</v>
      </c>
      <c r="O19" t="s">
        <v>219</v>
      </c>
      <c r="P19" t="s">
        <v>421</v>
      </c>
    </row>
    <row r="20" spans="1:16" x14ac:dyDescent="0.4">
      <c r="A20">
        <f t="shared" si="0"/>
        <v>3</v>
      </c>
      <c r="B20" t="s">
        <v>322</v>
      </c>
      <c r="C20" t="s">
        <v>323</v>
      </c>
      <c r="D20" t="s">
        <v>220</v>
      </c>
      <c r="E20" t="s">
        <v>314</v>
      </c>
      <c r="F20" t="s">
        <v>14</v>
      </c>
      <c r="G20" t="s">
        <v>14</v>
      </c>
      <c r="H20" t="s">
        <v>14</v>
      </c>
      <c r="K20" s="34"/>
      <c r="L20" s="8">
        <v>42933.731249999997</v>
      </c>
      <c r="M20" s="24">
        <f>LEN(ProjTextTable[[#This Row],[text]])</f>
        <v>3617</v>
      </c>
      <c r="N20" s="24">
        <f>LEN(TRIM(CLEAN(SUBSTITUTE(ProjTextTable[[#This Row],[text]],CHAR(10)," "))))+1 - LEN(SUBSTITUTE(CLEAN(SUBSTITUTE(ProjTextTable[[#This Row],[text]],CHAR(10)," "))," ",""))</f>
        <v>509</v>
      </c>
      <c r="O20" t="s">
        <v>14</v>
      </c>
      <c r="P20" t="s">
        <v>422</v>
      </c>
    </row>
    <row r="21" spans="1:16" x14ac:dyDescent="0.4">
      <c r="A21">
        <f t="shared" si="0"/>
        <v>4</v>
      </c>
      <c r="B21" t="s">
        <v>326</v>
      </c>
      <c r="C21" t="s">
        <v>327</v>
      </c>
      <c r="D21" t="s">
        <v>229</v>
      </c>
      <c r="E21" t="s">
        <v>318</v>
      </c>
      <c r="F21" t="s">
        <v>374</v>
      </c>
      <c r="G21" t="s">
        <v>375</v>
      </c>
      <c r="H21" t="s">
        <v>232</v>
      </c>
      <c r="I21" t="s">
        <v>221</v>
      </c>
      <c r="J21" t="s">
        <v>293</v>
      </c>
      <c r="K21" s="34">
        <v>43006</v>
      </c>
      <c r="L21" s="8"/>
      <c r="M21" s="24">
        <f>LEN(ProjTextTable[[#This Row],[text]])</f>
        <v>3763</v>
      </c>
      <c r="N21" s="24">
        <f>LEN(TRIM(CLEAN(SUBSTITUTE(ProjTextTable[[#This Row],[text]],CHAR(10)," "))))+1 - LEN(SUBSTITUTE(CLEAN(SUBSTITUTE(ProjTextTable[[#This Row],[text]],CHAR(10)," "))," ",""))</f>
        <v>548</v>
      </c>
      <c r="O21" t="s">
        <v>233</v>
      </c>
      <c r="P21" t="s">
        <v>423</v>
      </c>
    </row>
    <row r="22" spans="1:16" x14ac:dyDescent="0.4">
      <c r="A22">
        <f t="shared" si="0"/>
        <v>4</v>
      </c>
      <c r="B22" t="s">
        <v>326</v>
      </c>
      <c r="C22" t="s">
        <v>327</v>
      </c>
      <c r="D22" t="s">
        <v>218</v>
      </c>
      <c r="E22" t="s">
        <v>377</v>
      </c>
      <c r="F22" t="s">
        <v>400</v>
      </c>
      <c r="G22" t="s">
        <v>401</v>
      </c>
      <c r="H22" t="s">
        <v>402</v>
      </c>
      <c r="I22" t="s">
        <v>235</v>
      </c>
      <c r="J22" t="s">
        <v>197</v>
      </c>
      <c r="K22" s="34">
        <v>43007</v>
      </c>
      <c r="L22" s="8">
        <v>43007.026909722219</v>
      </c>
      <c r="M22" s="24">
        <f>LEN(ProjTextTable[[#This Row],[text]])</f>
        <v>2602</v>
      </c>
      <c r="N22" s="24">
        <f>LEN(TRIM(CLEAN(SUBSTITUTE(ProjTextTable[[#This Row],[text]],CHAR(10)," "))))+1 - LEN(SUBSTITUTE(CLEAN(SUBSTITUTE(ProjTextTable[[#This Row],[text]],CHAR(10)," "))," ",""))</f>
        <v>382</v>
      </c>
      <c r="O22" t="s">
        <v>226</v>
      </c>
      <c r="P22" t="s">
        <v>424</v>
      </c>
    </row>
    <row r="23" spans="1:16" x14ac:dyDescent="0.4">
      <c r="A23">
        <f t="shared" si="0"/>
        <v>4</v>
      </c>
      <c r="B23" t="s">
        <v>326</v>
      </c>
      <c r="C23" t="s">
        <v>327</v>
      </c>
      <c r="D23" t="s">
        <v>218</v>
      </c>
      <c r="E23" t="s">
        <v>377</v>
      </c>
      <c r="F23" t="s">
        <v>390</v>
      </c>
      <c r="G23" t="s">
        <v>391</v>
      </c>
      <c r="H23" t="s">
        <v>392</v>
      </c>
      <c r="I23" t="s">
        <v>235</v>
      </c>
      <c r="J23" t="s">
        <v>197</v>
      </c>
      <c r="K23" s="34">
        <v>43007</v>
      </c>
      <c r="L23" s="8">
        <v>43002.993506944447</v>
      </c>
      <c r="M23" s="24">
        <f>LEN(ProjTextTable[[#This Row],[text]])</f>
        <v>2192</v>
      </c>
      <c r="N23" s="24">
        <f>LEN(TRIM(CLEAN(SUBSTITUTE(ProjTextTable[[#This Row],[text]],CHAR(10)," "))))+1 - LEN(SUBSTITUTE(CLEAN(SUBSTITUTE(ProjTextTable[[#This Row],[text]],CHAR(10)," "))," ",""))</f>
        <v>338</v>
      </c>
      <c r="O23" t="s">
        <v>290</v>
      </c>
      <c r="P23" t="s">
        <v>425</v>
      </c>
    </row>
    <row r="24" spans="1:16" x14ac:dyDescent="0.4">
      <c r="A24">
        <f t="shared" si="0"/>
        <v>4</v>
      </c>
      <c r="B24" t="s">
        <v>326</v>
      </c>
      <c r="C24" t="s">
        <v>327</v>
      </c>
      <c r="D24" t="s">
        <v>218</v>
      </c>
      <c r="E24" t="s">
        <v>377</v>
      </c>
      <c r="F24" t="s">
        <v>418</v>
      </c>
      <c r="G24" t="s">
        <v>419</v>
      </c>
      <c r="H24" t="s">
        <v>420</v>
      </c>
      <c r="I24" t="s">
        <v>235</v>
      </c>
      <c r="J24" t="s">
        <v>197</v>
      </c>
      <c r="K24" s="34">
        <v>43007</v>
      </c>
      <c r="L24" s="8">
        <v>43005.367222222223</v>
      </c>
      <c r="M24" s="24">
        <f>LEN(ProjTextTable[[#This Row],[text]])</f>
        <v>2759</v>
      </c>
      <c r="N24" s="24">
        <f>LEN(TRIM(CLEAN(SUBSTITUTE(ProjTextTable[[#This Row],[text]],CHAR(10)," "))))+1 - LEN(SUBSTITUTE(CLEAN(SUBSTITUTE(ProjTextTable[[#This Row],[text]],CHAR(10)," "))," ",""))</f>
        <v>402</v>
      </c>
      <c r="O24" t="s">
        <v>223</v>
      </c>
      <c r="P24" t="s">
        <v>426</v>
      </c>
    </row>
    <row r="25" spans="1:16" x14ac:dyDescent="0.4">
      <c r="A25">
        <f t="shared" si="0"/>
        <v>4</v>
      </c>
      <c r="B25" t="s">
        <v>326</v>
      </c>
      <c r="C25" t="s">
        <v>327</v>
      </c>
      <c r="D25" t="s">
        <v>218</v>
      </c>
      <c r="E25" t="s">
        <v>377</v>
      </c>
      <c r="F25" t="s">
        <v>409</v>
      </c>
      <c r="G25" t="s">
        <v>410</v>
      </c>
      <c r="H25" t="s">
        <v>411</v>
      </c>
      <c r="I25" t="s">
        <v>235</v>
      </c>
      <c r="J25" t="s">
        <v>197</v>
      </c>
      <c r="K25" s="34">
        <v>43007</v>
      </c>
      <c r="L25" s="8">
        <v>43001.865590277775</v>
      </c>
      <c r="M25" s="24">
        <f>LEN(ProjTextTable[[#This Row],[text]])</f>
        <v>2063</v>
      </c>
      <c r="N25" s="24">
        <f>LEN(TRIM(CLEAN(SUBSTITUTE(ProjTextTable[[#This Row],[text]],CHAR(10)," "))))+1 - LEN(SUBSTITUTE(CLEAN(SUBSTITUTE(ProjTextTable[[#This Row],[text]],CHAR(10)," "))," ",""))</f>
        <v>314</v>
      </c>
      <c r="O25" t="s">
        <v>219</v>
      </c>
      <c r="P25" t="s">
        <v>427</v>
      </c>
    </row>
    <row r="26" spans="1:16" x14ac:dyDescent="0.4">
      <c r="A26">
        <f t="shared" si="0"/>
        <v>4</v>
      </c>
      <c r="B26" t="s">
        <v>326</v>
      </c>
      <c r="C26" t="s">
        <v>327</v>
      </c>
      <c r="D26" t="s">
        <v>220</v>
      </c>
      <c r="E26" t="s">
        <v>314</v>
      </c>
      <c r="F26" t="s">
        <v>14</v>
      </c>
      <c r="G26" t="s">
        <v>14</v>
      </c>
      <c r="H26" t="s">
        <v>14</v>
      </c>
      <c r="K26" s="34"/>
      <c r="L26" s="8">
        <v>42934.425000000003</v>
      </c>
      <c r="M26" s="24">
        <f>LEN(ProjTextTable[[#This Row],[text]])</f>
        <v>4479</v>
      </c>
      <c r="N26" s="24">
        <f>LEN(TRIM(CLEAN(SUBSTITUTE(ProjTextTable[[#This Row],[text]],CHAR(10)," "))))+1 - LEN(SUBSTITUTE(CLEAN(SUBSTITUTE(ProjTextTable[[#This Row],[text]],CHAR(10)," "))," ",""))</f>
        <v>640</v>
      </c>
      <c r="O26" t="s">
        <v>14</v>
      </c>
      <c r="P26" t="s">
        <v>428</v>
      </c>
    </row>
    <row r="27" spans="1:16" x14ac:dyDescent="0.4">
      <c r="A27">
        <f t="shared" si="0"/>
        <v>5</v>
      </c>
      <c r="B27" t="s">
        <v>329</v>
      </c>
      <c r="C27" t="s">
        <v>330</v>
      </c>
      <c r="D27" t="s">
        <v>229</v>
      </c>
      <c r="E27" t="s">
        <v>318</v>
      </c>
      <c r="F27" t="s">
        <v>374</v>
      </c>
      <c r="G27" t="s">
        <v>375</v>
      </c>
      <c r="H27" t="s">
        <v>287</v>
      </c>
      <c r="I27" t="s">
        <v>217</v>
      </c>
      <c r="K27" s="34">
        <v>43006</v>
      </c>
      <c r="L27" s="8"/>
      <c r="M27" s="24">
        <f>LEN(ProjTextTable[[#This Row],[text]])</f>
        <v>4184</v>
      </c>
      <c r="N27" s="24">
        <f>LEN(TRIM(CLEAN(SUBSTITUTE(ProjTextTable[[#This Row],[text]],CHAR(10)," "))))+1 - LEN(SUBSTITUTE(CLEAN(SUBSTITUTE(ProjTextTable[[#This Row],[text]],CHAR(10)," "))," ",""))</f>
        <v>573</v>
      </c>
      <c r="O27" t="s">
        <v>286</v>
      </c>
      <c r="P27" t="s">
        <v>429</v>
      </c>
    </row>
    <row r="28" spans="1:16" x14ac:dyDescent="0.4">
      <c r="A28">
        <f t="shared" si="0"/>
        <v>5</v>
      </c>
      <c r="B28" t="s">
        <v>329</v>
      </c>
      <c r="C28" t="s">
        <v>330</v>
      </c>
      <c r="D28" t="s">
        <v>218</v>
      </c>
      <c r="E28" t="s">
        <v>377</v>
      </c>
      <c r="F28" t="s">
        <v>378</v>
      </c>
      <c r="G28" t="s">
        <v>379</v>
      </c>
      <c r="H28" t="s">
        <v>380</v>
      </c>
      <c r="I28" t="s">
        <v>235</v>
      </c>
      <c r="J28" t="s">
        <v>197</v>
      </c>
      <c r="K28" s="34">
        <v>43007</v>
      </c>
      <c r="L28" s="8">
        <v>43003.927164351851</v>
      </c>
      <c r="M28" s="24">
        <f>LEN(ProjTextTable[[#This Row],[text]])</f>
        <v>4332</v>
      </c>
      <c r="N28" s="24">
        <f>LEN(TRIM(CLEAN(SUBSTITUTE(ProjTextTable[[#This Row],[text]],CHAR(10)," "))))+1 - LEN(SUBSTITUTE(CLEAN(SUBSTITUTE(ProjTextTable[[#This Row],[text]],CHAR(10)," "))," ",""))</f>
        <v>665</v>
      </c>
      <c r="O28" t="s">
        <v>225</v>
      </c>
      <c r="P28" t="s">
        <v>430</v>
      </c>
    </row>
    <row r="29" spans="1:16" x14ac:dyDescent="0.4">
      <c r="A29">
        <f t="shared" si="0"/>
        <v>5</v>
      </c>
      <c r="B29" t="s">
        <v>329</v>
      </c>
      <c r="C29" t="s">
        <v>330</v>
      </c>
      <c r="D29" t="s">
        <v>218</v>
      </c>
      <c r="E29" t="s">
        <v>377</v>
      </c>
      <c r="F29" t="s">
        <v>382</v>
      </c>
      <c r="G29" t="s">
        <v>383</v>
      </c>
      <c r="H29" t="s">
        <v>384</v>
      </c>
      <c r="I29" t="s">
        <v>235</v>
      </c>
      <c r="J29" t="s">
        <v>197</v>
      </c>
      <c r="K29" s="34">
        <v>43007</v>
      </c>
      <c r="L29" s="8">
        <v>42984.682974537034</v>
      </c>
      <c r="M29" s="24">
        <f>LEN(ProjTextTable[[#This Row],[text]])</f>
        <v>3022</v>
      </c>
      <c r="N29" s="24">
        <f>LEN(TRIM(CLEAN(SUBSTITUTE(ProjTextTable[[#This Row],[text]],CHAR(10)," "))))+1 - LEN(SUBSTITUTE(CLEAN(SUBSTITUTE(ProjTextTable[[#This Row],[text]],CHAR(10)," "))," ",""))</f>
        <v>456</v>
      </c>
      <c r="O29" t="s">
        <v>226</v>
      </c>
      <c r="P29" t="s">
        <v>431</v>
      </c>
    </row>
    <row r="30" spans="1:16" x14ac:dyDescent="0.4">
      <c r="A30">
        <f t="shared" si="0"/>
        <v>5</v>
      </c>
      <c r="B30" t="s">
        <v>329</v>
      </c>
      <c r="C30" t="s">
        <v>330</v>
      </c>
      <c r="D30" t="s">
        <v>218</v>
      </c>
      <c r="E30" t="s">
        <v>377</v>
      </c>
      <c r="F30" t="s">
        <v>432</v>
      </c>
      <c r="G30" t="s">
        <v>433</v>
      </c>
      <c r="H30" t="s">
        <v>434</v>
      </c>
      <c r="I30" t="s">
        <v>235</v>
      </c>
      <c r="J30" t="s">
        <v>197</v>
      </c>
      <c r="K30" s="34">
        <v>43007</v>
      </c>
      <c r="L30" s="8">
        <v>43003.000439814816</v>
      </c>
      <c r="M30" s="24">
        <f>LEN(ProjTextTable[[#This Row],[text]])</f>
        <v>6834</v>
      </c>
      <c r="N30" s="24">
        <f>LEN(TRIM(CLEAN(SUBSTITUTE(ProjTextTable[[#This Row],[text]],CHAR(10)," "))))+1 - LEN(SUBSTITUTE(CLEAN(SUBSTITUTE(ProjTextTable[[#This Row],[text]],CHAR(10)," "))," ",""))</f>
        <v>1077</v>
      </c>
      <c r="O30" t="s">
        <v>219</v>
      </c>
      <c r="P30" t="s">
        <v>435</v>
      </c>
    </row>
    <row r="31" spans="1:16" x14ac:dyDescent="0.4">
      <c r="A31">
        <f t="shared" si="0"/>
        <v>5</v>
      </c>
      <c r="B31" t="s">
        <v>329</v>
      </c>
      <c r="C31" t="s">
        <v>330</v>
      </c>
      <c r="D31" t="s">
        <v>218</v>
      </c>
      <c r="E31" t="s">
        <v>377</v>
      </c>
      <c r="F31" t="s">
        <v>418</v>
      </c>
      <c r="G31" t="s">
        <v>419</v>
      </c>
      <c r="H31" t="s">
        <v>420</v>
      </c>
      <c r="I31" t="s">
        <v>235</v>
      </c>
      <c r="J31" t="s">
        <v>197</v>
      </c>
      <c r="K31" s="34">
        <v>43007</v>
      </c>
      <c r="L31" s="8">
        <v>43006.286157407405</v>
      </c>
      <c r="M31" s="24">
        <f>LEN(ProjTextTable[[#This Row],[text]])</f>
        <v>5301</v>
      </c>
      <c r="N31" s="24">
        <f>LEN(TRIM(CLEAN(SUBSTITUTE(ProjTextTable[[#This Row],[text]],CHAR(10)," "))))+1 - LEN(SUBSTITUTE(CLEAN(SUBSTITUTE(ProjTextTable[[#This Row],[text]],CHAR(10)," "))," ",""))</f>
        <v>796</v>
      </c>
      <c r="O31" t="s">
        <v>223</v>
      </c>
      <c r="P31" t="s">
        <v>436</v>
      </c>
    </row>
    <row r="32" spans="1:16" x14ac:dyDescent="0.4">
      <c r="A32">
        <f t="shared" si="0"/>
        <v>5</v>
      </c>
      <c r="B32" t="s">
        <v>329</v>
      </c>
      <c r="C32" t="s">
        <v>330</v>
      </c>
      <c r="D32" t="s">
        <v>220</v>
      </c>
      <c r="E32" t="s">
        <v>314</v>
      </c>
      <c r="F32" t="s">
        <v>14</v>
      </c>
      <c r="G32" t="s">
        <v>14</v>
      </c>
      <c r="H32" t="s">
        <v>14</v>
      </c>
      <c r="K32" s="34"/>
      <c r="L32" s="8">
        <v>42934.681250000001</v>
      </c>
      <c r="M32" s="24">
        <f>LEN(ProjTextTable[[#This Row],[text]])</f>
        <v>4212</v>
      </c>
      <c r="N32" s="24">
        <f>LEN(TRIM(CLEAN(SUBSTITUTE(ProjTextTable[[#This Row],[text]],CHAR(10)," "))))+1 - LEN(SUBSTITUTE(CLEAN(SUBSTITUTE(ProjTextTable[[#This Row],[text]],CHAR(10)," "))," ",""))</f>
        <v>618</v>
      </c>
      <c r="O32" t="s">
        <v>14</v>
      </c>
      <c r="P32" t="s">
        <v>437</v>
      </c>
    </row>
    <row r="33" spans="1:16" x14ac:dyDescent="0.4">
      <c r="A33">
        <f t="shared" si="0"/>
        <v>6</v>
      </c>
      <c r="B33" t="s">
        <v>333</v>
      </c>
      <c r="C33" t="s">
        <v>334</v>
      </c>
      <c r="D33" t="s">
        <v>229</v>
      </c>
      <c r="E33" t="s">
        <v>318</v>
      </c>
      <c r="F33" t="s">
        <v>374</v>
      </c>
      <c r="G33" t="s">
        <v>375</v>
      </c>
      <c r="H33" t="s">
        <v>287</v>
      </c>
      <c r="I33" t="s">
        <v>217</v>
      </c>
      <c r="K33" s="34">
        <v>43006</v>
      </c>
      <c r="L33" s="8"/>
      <c r="M33" s="24">
        <f>LEN(ProjTextTable[[#This Row],[text]])</f>
        <v>2742</v>
      </c>
      <c r="N33" s="24">
        <f>LEN(TRIM(CLEAN(SUBSTITUTE(ProjTextTable[[#This Row],[text]],CHAR(10)," "))))+1 - LEN(SUBSTITUTE(CLEAN(SUBSTITUTE(ProjTextTable[[#This Row],[text]],CHAR(10)," "))," ",""))</f>
        <v>393</v>
      </c>
      <c r="O33" t="s">
        <v>286</v>
      </c>
      <c r="P33" t="s">
        <v>438</v>
      </c>
    </row>
    <row r="34" spans="1:16" x14ac:dyDescent="0.4">
      <c r="A34">
        <f t="shared" ref="A34:A65" si="1">A33+(B34&lt;&gt;B33)</f>
        <v>6</v>
      </c>
      <c r="B34" t="s">
        <v>333</v>
      </c>
      <c r="C34" t="s">
        <v>334</v>
      </c>
      <c r="D34" t="s">
        <v>218</v>
      </c>
      <c r="E34" t="s">
        <v>377</v>
      </c>
      <c r="F34" t="s">
        <v>378</v>
      </c>
      <c r="G34" t="s">
        <v>379</v>
      </c>
      <c r="H34" t="s">
        <v>380</v>
      </c>
      <c r="I34" t="s">
        <v>235</v>
      </c>
      <c r="J34" t="s">
        <v>197</v>
      </c>
      <c r="K34" s="34">
        <v>43007</v>
      </c>
      <c r="L34" s="8">
        <v>43002.685219907406</v>
      </c>
      <c r="M34" s="24">
        <f>LEN(ProjTextTable[[#This Row],[text]])</f>
        <v>3317</v>
      </c>
      <c r="N34" s="24">
        <f>LEN(TRIM(CLEAN(SUBSTITUTE(ProjTextTable[[#This Row],[text]],CHAR(10)," "))))+1 - LEN(SUBSTITUTE(CLEAN(SUBSTITUTE(ProjTextTable[[#This Row],[text]],CHAR(10)," "))," ",""))</f>
        <v>524</v>
      </c>
      <c r="O34" t="s">
        <v>222</v>
      </c>
      <c r="P34" t="s">
        <v>439</v>
      </c>
    </row>
    <row r="35" spans="1:16" x14ac:dyDescent="0.4">
      <c r="A35">
        <f t="shared" si="1"/>
        <v>6</v>
      </c>
      <c r="B35" t="s">
        <v>333</v>
      </c>
      <c r="C35" t="s">
        <v>334</v>
      </c>
      <c r="D35" t="s">
        <v>218</v>
      </c>
      <c r="E35" t="s">
        <v>377</v>
      </c>
      <c r="F35" t="s">
        <v>400</v>
      </c>
      <c r="G35" t="s">
        <v>401</v>
      </c>
      <c r="H35" t="s">
        <v>402</v>
      </c>
      <c r="I35" t="s">
        <v>235</v>
      </c>
      <c r="J35" t="s">
        <v>197</v>
      </c>
      <c r="K35" s="34">
        <v>43007</v>
      </c>
      <c r="L35" s="8">
        <v>43005.991643518515</v>
      </c>
      <c r="M35" s="24">
        <f>LEN(ProjTextTable[[#This Row],[text]])</f>
        <v>3960</v>
      </c>
      <c r="N35" s="24">
        <f>LEN(TRIM(CLEAN(SUBSTITUTE(ProjTextTable[[#This Row],[text]],CHAR(10)," "))))+1 - LEN(SUBSTITUTE(CLEAN(SUBSTITUTE(ProjTextTable[[#This Row],[text]],CHAR(10)," "))," ",""))</f>
        <v>605</v>
      </c>
      <c r="O35" t="s">
        <v>225</v>
      </c>
      <c r="P35" t="s">
        <v>440</v>
      </c>
    </row>
    <row r="36" spans="1:16" x14ac:dyDescent="0.4">
      <c r="A36">
        <f t="shared" si="1"/>
        <v>6</v>
      </c>
      <c r="B36" t="s">
        <v>333</v>
      </c>
      <c r="C36" t="s">
        <v>334</v>
      </c>
      <c r="D36" t="s">
        <v>218</v>
      </c>
      <c r="E36" t="s">
        <v>377</v>
      </c>
      <c r="F36" t="s">
        <v>382</v>
      </c>
      <c r="G36" t="s">
        <v>383</v>
      </c>
      <c r="H36" t="s">
        <v>384</v>
      </c>
      <c r="I36" t="s">
        <v>235</v>
      </c>
      <c r="J36" t="s">
        <v>197</v>
      </c>
      <c r="K36" s="34">
        <v>43007</v>
      </c>
      <c r="L36" s="8">
        <v>43006.672766203701</v>
      </c>
      <c r="M36" s="24">
        <f>LEN(ProjTextTable[[#This Row],[text]])</f>
        <v>3648</v>
      </c>
      <c r="N36" s="24">
        <f>LEN(TRIM(CLEAN(SUBSTITUTE(ProjTextTable[[#This Row],[text]],CHAR(10)," "))))+1 - LEN(SUBSTITUTE(CLEAN(SUBSTITUTE(ProjTextTable[[#This Row],[text]],CHAR(10)," "))," ",""))</f>
        <v>546</v>
      </c>
      <c r="O36" t="s">
        <v>225</v>
      </c>
      <c r="P36" t="s">
        <v>441</v>
      </c>
    </row>
    <row r="37" spans="1:16" x14ac:dyDescent="0.4">
      <c r="A37">
        <f t="shared" si="1"/>
        <v>6</v>
      </c>
      <c r="B37" t="s">
        <v>333</v>
      </c>
      <c r="C37" t="s">
        <v>334</v>
      </c>
      <c r="D37" t="s">
        <v>218</v>
      </c>
      <c r="E37" t="s">
        <v>377</v>
      </c>
      <c r="F37" t="s">
        <v>418</v>
      </c>
      <c r="G37" t="s">
        <v>419</v>
      </c>
      <c r="H37" t="s">
        <v>420</v>
      </c>
      <c r="I37" t="s">
        <v>235</v>
      </c>
      <c r="J37" t="s">
        <v>197</v>
      </c>
      <c r="K37" s="34">
        <v>43007</v>
      </c>
      <c r="L37" s="8">
        <v>43007.331909722219</v>
      </c>
      <c r="M37" s="24">
        <f>LEN(ProjTextTable[[#This Row],[text]])</f>
        <v>2352</v>
      </c>
      <c r="N37" s="24">
        <f>LEN(TRIM(CLEAN(SUBSTITUTE(ProjTextTable[[#This Row],[text]],CHAR(10)," "))))+1 - LEN(SUBSTITUTE(CLEAN(SUBSTITUTE(ProjTextTable[[#This Row],[text]],CHAR(10)," "))," ",""))</f>
        <v>356</v>
      </c>
      <c r="O37" t="s">
        <v>223</v>
      </c>
      <c r="P37" t="s">
        <v>442</v>
      </c>
    </row>
    <row r="38" spans="1:16" x14ac:dyDescent="0.4">
      <c r="A38">
        <f t="shared" si="1"/>
        <v>6</v>
      </c>
      <c r="B38" t="s">
        <v>333</v>
      </c>
      <c r="C38" t="s">
        <v>334</v>
      </c>
      <c r="D38" t="s">
        <v>218</v>
      </c>
      <c r="E38" t="s">
        <v>377</v>
      </c>
      <c r="F38" t="s">
        <v>409</v>
      </c>
      <c r="G38" t="s">
        <v>410</v>
      </c>
      <c r="H38" t="s">
        <v>411</v>
      </c>
      <c r="I38" t="s">
        <v>235</v>
      </c>
      <c r="J38" t="s">
        <v>197</v>
      </c>
      <c r="K38" s="34">
        <v>43007</v>
      </c>
      <c r="L38" s="8">
        <v>43001.734201388892</v>
      </c>
      <c r="M38" s="24">
        <f>LEN(ProjTextTable[[#This Row],[text]])</f>
        <v>2530</v>
      </c>
      <c r="N38" s="24">
        <f>LEN(TRIM(CLEAN(SUBSTITUTE(ProjTextTable[[#This Row],[text]],CHAR(10)," "))))+1 - LEN(SUBSTITUTE(CLEAN(SUBSTITUTE(ProjTextTable[[#This Row],[text]],CHAR(10)," "))," ",""))</f>
        <v>386</v>
      </c>
      <c r="O38" t="s">
        <v>219</v>
      </c>
      <c r="P38" t="s">
        <v>443</v>
      </c>
    </row>
    <row r="39" spans="1:16" x14ac:dyDescent="0.4">
      <c r="A39">
        <f t="shared" si="1"/>
        <v>6</v>
      </c>
      <c r="B39" t="s">
        <v>333</v>
      </c>
      <c r="C39" t="s">
        <v>334</v>
      </c>
      <c r="D39" t="s">
        <v>220</v>
      </c>
      <c r="E39" t="s">
        <v>318</v>
      </c>
      <c r="F39" t="s">
        <v>14</v>
      </c>
      <c r="G39" t="s">
        <v>14</v>
      </c>
      <c r="H39" t="s">
        <v>14</v>
      </c>
      <c r="K39" s="34"/>
      <c r="L39" s="8">
        <v>42934.72152777778</v>
      </c>
      <c r="M39" s="24">
        <f>LEN(ProjTextTable[[#This Row],[text]])</f>
        <v>3333</v>
      </c>
      <c r="N39" s="24">
        <f>LEN(TRIM(CLEAN(SUBSTITUTE(ProjTextTable[[#This Row],[text]],CHAR(10)," "))))+1 - LEN(SUBSTITUTE(CLEAN(SUBSTITUTE(ProjTextTable[[#This Row],[text]],CHAR(10)," "))," ",""))</f>
        <v>497</v>
      </c>
      <c r="O39" t="s">
        <v>14</v>
      </c>
      <c r="P39" t="s">
        <v>444</v>
      </c>
    </row>
    <row r="40" spans="1:16" x14ac:dyDescent="0.4">
      <c r="A40">
        <f t="shared" si="1"/>
        <v>7</v>
      </c>
      <c r="B40" t="s">
        <v>337</v>
      </c>
      <c r="C40" t="s">
        <v>338</v>
      </c>
      <c r="D40" t="s">
        <v>229</v>
      </c>
      <c r="E40" t="s">
        <v>318</v>
      </c>
      <c r="F40" t="s">
        <v>374</v>
      </c>
      <c r="G40" t="s">
        <v>375</v>
      </c>
      <c r="H40" t="s">
        <v>287</v>
      </c>
      <c r="I40" t="s">
        <v>217</v>
      </c>
      <c r="K40" s="34">
        <v>43006</v>
      </c>
      <c r="L40" s="8"/>
      <c r="M40" s="24">
        <f>LEN(ProjTextTable[[#This Row],[text]])</f>
        <v>1661</v>
      </c>
      <c r="N40" s="24">
        <f>LEN(TRIM(CLEAN(SUBSTITUTE(ProjTextTable[[#This Row],[text]],CHAR(10)," "))))+1 - LEN(SUBSTITUTE(CLEAN(SUBSTITUTE(ProjTextTable[[#This Row],[text]],CHAR(10)," "))," ",""))</f>
        <v>238</v>
      </c>
      <c r="O40" t="s">
        <v>286</v>
      </c>
      <c r="P40" t="s">
        <v>445</v>
      </c>
    </row>
    <row r="41" spans="1:16" x14ac:dyDescent="0.4">
      <c r="A41">
        <f t="shared" si="1"/>
        <v>7</v>
      </c>
      <c r="B41" t="s">
        <v>337</v>
      </c>
      <c r="C41" t="s">
        <v>338</v>
      </c>
      <c r="D41" t="s">
        <v>218</v>
      </c>
      <c r="E41" t="s">
        <v>377</v>
      </c>
      <c r="F41" t="s">
        <v>378</v>
      </c>
      <c r="G41" t="s">
        <v>379</v>
      </c>
      <c r="H41" t="s">
        <v>380</v>
      </c>
      <c r="I41" t="s">
        <v>235</v>
      </c>
      <c r="J41" t="s">
        <v>197</v>
      </c>
      <c r="K41" s="34">
        <v>43007</v>
      </c>
      <c r="L41" s="8">
        <v>43002.694641203707</v>
      </c>
      <c r="M41" s="24">
        <f>LEN(ProjTextTable[[#This Row],[text]])</f>
        <v>5404</v>
      </c>
      <c r="N41" s="24">
        <f>LEN(TRIM(CLEAN(SUBSTITUTE(ProjTextTable[[#This Row],[text]],CHAR(10)," "))))+1 - LEN(SUBSTITUTE(CLEAN(SUBSTITUTE(ProjTextTable[[#This Row],[text]],CHAR(10)," "))," ",""))</f>
        <v>881</v>
      </c>
      <c r="O41" t="s">
        <v>225</v>
      </c>
      <c r="P41" t="s">
        <v>446</v>
      </c>
    </row>
    <row r="42" spans="1:16" x14ac:dyDescent="0.4">
      <c r="A42">
        <f t="shared" si="1"/>
        <v>7</v>
      </c>
      <c r="B42" t="s">
        <v>337</v>
      </c>
      <c r="C42" t="s">
        <v>338</v>
      </c>
      <c r="D42" t="s">
        <v>218</v>
      </c>
      <c r="E42" t="s">
        <v>377</v>
      </c>
      <c r="F42" t="s">
        <v>432</v>
      </c>
      <c r="G42" t="s">
        <v>433</v>
      </c>
      <c r="H42" t="s">
        <v>434</v>
      </c>
      <c r="I42" t="s">
        <v>235</v>
      </c>
      <c r="J42" t="s">
        <v>197</v>
      </c>
      <c r="K42" s="34">
        <v>43007</v>
      </c>
      <c r="L42" s="8">
        <v>43007.432280092595</v>
      </c>
      <c r="M42" s="24">
        <f>LEN(ProjTextTable[[#This Row],[text]])</f>
        <v>7976</v>
      </c>
      <c r="N42" s="24">
        <f>LEN(TRIM(CLEAN(SUBSTITUTE(ProjTextTable[[#This Row],[text]],CHAR(10)," "))))+1 - LEN(SUBSTITUTE(CLEAN(SUBSTITUTE(ProjTextTable[[#This Row],[text]],CHAR(10)," "))," ",""))</f>
        <v>1204</v>
      </c>
      <c r="O42" t="s">
        <v>226</v>
      </c>
      <c r="P42" t="s">
        <v>447</v>
      </c>
    </row>
    <row r="43" spans="1:16" x14ac:dyDescent="0.4">
      <c r="A43">
        <f t="shared" si="1"/>
        <v>7</v>
      </c>
      <c r="B43" t="s">
        <v>337</v>
      </c>
      <c r="C43" t="s">
        <v>338</v>
      </c>
      <c r="D43" t="s">
        <v>218</v>
      </c>
      <c r="E43" t="s">
        <v>377</v>
      </c>
      <c r="F43" t="s">
        <v>418</v>
      </c>
      <c r="G43" t="s">
        <v>419</v>
      </c>
      <c r="H43" t="s">
        <v>420</v>
      </c>
      <c r="I43" t="s">
        <v>235</v>
      </c>
      <c r="J43" t="s">
        <v>197</v>
      </c>
      <c r="K43" s="34">
        <v>43007</v>
      </c>
      <c r="L43" s="8">
        <v>43005.959791666668</v>
      </c>
      <c r="M43" s="24">
        <f>LEN(ProjTextTable[[#This Row],[text]])</f>
        <v>2090</v>
      </c>
      <c r="N43" s="24">
        <f>LEN(TRIM(CLEAN(SUBSTITUTE(ProjTextTable[[#This Row],[text]],CHAR(10)," "))))+1 - LEN(SUBSTITUTE(CLEAN(SUBSTITUTE(ProjTextTable[[#This Row],[text]],CHAR(10)," "))," ",""))</f>
        <v>302</v>
      </c>
      <c r="O43" t="s">
        <v>223</v>
      </c>
      <c r="P43" t="s">
        <v>448</v>
      </c>
    </row>
    <row r="44" spans="1:16" x14ac:dyDescent="0.4">
      <c r="A44">
        <f t="shared" si="1"/>
        <v>7</v>
      </c>
      <c r="B44" t="s">
        <v>337</v>
      </c>
      <c r="C44" t="s">
        <v>338</v>
      </c>
      <c r="D44" t="s">
        <v>218</v>
      </c>
      <c r="E44" t="s">
        <v>377</v>
      </c>
      <c r="F44" t="s">
        <v>394</v>
      </c>
      <c r="G44" t="s">
        <v>395</v>
      </c>
      <c r="H44" t="s">
        <v>396</v>
      </c>
      <c r="I44" t="s">
        <v>235</v>
      </c>
      <c r="J44" t="s">
        <v>197</v>
      </c>
      <c r="K44" s="34">
        <v>43007</v>
      </c>
      <c r="L44" s="8">
        <v>43002.884710648148</v>
      </c>
      <c r="M44" s="24">
        <f>LEN(ProjTextTable[[#This Row],[text]])</f>
        <v>4283</v>
      </c>
      <c r="N44" s="24">
        <f>LEN(TRIM(CLEAN(SUBSTITUTE(ProjTextTable[[#This Row],[text]],CHAR(10)," "))))+1 - LEN(SUBSTITUTE(CLEAN(SUBSTITUTE(ProjTextTable[[#This Row],[text]],CHAR(10)," "))," ",""))</f>
        <v>620</v>
      </c>
      <c r="O44" t="s">
        <v>219</v>
      </c>
      <c r="P44" t="s">
        <v>449</v>
      </c>
    </row>
    <row r="45" spans="1:16" x14ac:dyDescent="0.4">
      <c r="A45">
        <f t="shared" si="1"/>
        <v>7</v>
      </c>
      <c r="B45" t="s">
        <v>337</v>
      </c>
      <c r="C45" t="s">
        <v>338</v>
      </c>
      <c r="D45" t="s">
        <v>220</v>
      </c>
      <c r="E45" t="s">
        <v>314</v>
      </c>
      <c r="F45" t="s">
        <v>14</v>
      </c>
      <c r="G45" t="s">
        <v>14</v>
      </c>
      <c r="H45" t="s">
        <v>14</v>
      </c>
      <c r="K45" s="34"/>
      <c r="L45" s="8">
        <v>42935.388194444444</v>
      </c>
      <c r="M45" s="24">
        <f>LEN(ProjTextTable[[#This Row],[text]])</f>
        <v>3937</v>
      </c>
      <c r="N45" s="24">
        <f>LEN(TRIM(CLEAN(SUBSTITUTE(ProjTextTable[[#This Row],[text]],CHAR(10)," "))))+1 - LEN(SUBSTITUTE(CLEAN(SUBSTITUTE(ProjTextTable[[#This Row],[text]],CHAR(10)," "))," ",""))</f>
        <v>565</v>
      </c>
      <c r="O45" t="s">
        <v>14</v>
      </c>
      <c r="P45" t="s">
        <v>450</v>
      </c>
    </row>
    <row r="46" spans="1:16" x14ac:dyDescent="0.4">
      <c r="A46">
        <f t="shared" si="1"/>
        <v>8</v>
      </c>
      <c r="B46" t="s">
        <v>341</v>
      </c>
      <c r="C46" t="s">
        <v>342</v>
      </c>
      <c r="D46" t="s">
        <v>229</v>
      </c>
      <c r="E46" t="s">
        <v>318</v>
      </c>
      <c r="F46" t="s">
        <v>374</v>
      </c>
      <c r="G46" t="s">
        <v>375</v>
      </c>
      <c r="H46" t="s">
        <v>232</v>
      </c>
      <c r="I46" t="s">
        <v>221</v>
      </c>
      <c r="J46" t="s">
        <v>292</v>
      </c>
      <c r="K46" s="34">
        <v>43006</v>
      </c>
      <c r="L46" s="8"/>
      <c r="M46" s="24">
        <f>LEN(ProjTextTable[[#This Row],[text]])</f>
        <v>3646</v>
      </c>
      <c r="N46" s="24">
        <f>LEN(TRIM(CLEAN(SUBSTITUTE(ProjTextTable[[#This Row],[text]],CHAR(10)," "))))+1 - LEN(SUBSTITUTE(CLEAN(SUBSTITUTE(ProjTextTable[[#This Row],[text]],CHAR(10)," "))," ",""))</f>
        <v>538</v>
      </c>
      <c r="O46" t="s">
        <v>233</v>
      </c>
      <c r="P46" t="s">
        <v>451</v>
      </c>
    </row>
    <row r="47" spans="1:16" x14ac:dyDescent="0.4">
      <c r="A47">
        <f t="shared" si="1"/>
        <v>8</v>
      </c>
      <c r="B47" t="s">
        <v>341</v>
      </c>
      <c r="C47" t="s">
        <v>342</v>
      </c>
      <c r="D47" t="s">
        <v>218</v>
      </c>
      <c r="E47" t="s">
        <v>377</v>
      </c>
      <c r="F47" t="s">
        <v>378</v>
      </c>
      <c r="G47" t="s">
        <v>379</v>
      </c>
      <c r="H47" t="s">
        <v>380</v>
      </c>
      <c r="I47" t="s">
        <v>235</v>
      </c>
      <c r="J47" t="s">
        <v>197</v>
      </c>
      <c r="K47" s="34">
        <v>43007</v>
      </c>
      <c r="L47" s="8">
        <v>43002.684479166666</v>
      </c>
      <c r="M47" s="24">
        <f>LEN(ProjTextTable[[#This Row],[text]])</f>
        <v>3055</v>
      </c>
      <c r="N47" s="24">
        <f>LEN(TRIM(CLEAN(SUBSTITUTE(ProjTextTable[[#This Row],[text]],CHAR(10)," "))))+1 - LEN(SUBSTITUTE(CLEAN(SUBSTITUTE(ProjTextTable[[#This Row],[text]],CHAR(10)," "))," ",""))</f>
        <v>466</v>
      </c>
      <c r="O47" t="s">
        <v>290</v>
      </c>
      <c r="P47" t="s">
        <v>452</v>
      </c>
    </row>
    <row r="48" spans="1:16" x14ac:dyDescent="0.4">
      <c r="A48">
        <f t="shared" si="1"/>
        <v>8</v>
      </c>
      <c r="B48" t="s">
        <v>341</v>
      </c>
      <c r="C48" t="s">
        <v>342</v>
      </c>
      <c r="D48" t="s">
        <v>218</v>
      </c>
      <c r="E48" t="s">
        <v>377</v>
      </c>
      <c r="F48" t="s">
        <v>404</v>
      </c>
      <c r="G48" t="s">
        <v>405</v>
      </c>
      <c r="H48" t="s">
        <v>406</v>
      </c>
      <c r="I48" t="s">
        <v>235</v>
      </c>
      <c r="J48" t="s">
        <v>197</v>
      </c>
      <c r="K48" s="34">
        <v>43007</v>
      </c>
      <c r="L48" s="8">
        <v>43000.894062500003</v>
      </c>
      <c r="M48" s="24">
        <f>LEN(ProjTextTable[[#This Row],[text]])</f>
        <v>2261</v>
      </c>
      <c r="N48" s="24">
        <f>LEN(TRIM(CLEAN(SUBSTITUTE(ProjTextTable[[#This Row],[text]],CHAR(10)," "))))+1 - LEN(SUBSTITUTE(CLEAN(SUBSTITUTE(ProjTextTable[[#This Row],[text]],CHAR(10)," "))," ",""))</f>
        <v>321</v>
      </c>
      <c r="O48" t="s">
        <v>219</v>
      </c>
      <c r="P48" t="s">
        <v>453</v>
      </c>
    </row>
    <row r="49" spans="1:16" x14ac:dyDescent="0.4">
      <c r="A49">
        <f t="shared" si="1"/>
        <v>8</v>
      </c>
      <c r="B49" t="s">
        <v>341</v>
      </c>
      <c r="C49" t="s">
        <v>342</v>
      </c>
      <c r="D49" t="s">
        <v>218</v>
      </c>
      <c r="E49" t="s">
        <v>314</v>
      </c>
      <c r="F49" t="s">
        <v>454</v>
      </c>
      <c r="G49" t="s">
        <v>455</v>
      </c>
      <c r="H49" t="s">
        <v>456</v>
      </c>
      <c r="I49" t="s">
        <v>197</v>
      </c>
      <c r="J49" t="s">
        <v>197</v>
      </c>
      <c r="K49" s="34">
        <v>42998</v>
      </c>
      <c r="L49" s="8">
        <v>42990.532638888886</v>
      </c>
      <c r="M49" s="24">
        <f>LEN(ProjTextTable[[#This Row],[text]])</f>
        <v>6887</v>
      </c>
      <c r="N49" s="24">
        <f>LEN(TRIM(CLEAN(SUBSTITUTE(ProjTextTable[[#This Row],[text]],CHAR(10)," "))))+1 - LEN(SUBSTITUTE(CLEAN(SUBSTITUTE(ProjTextTable[[#This Row],[text]],CHAR(10)," "))," ",""))</f>
        <v>1027</v>
      </c>
      <c r="O49" t="s">
        <v>223</v>
      </c>
      <c r="P49" t="s">
        <v>457</v>
      </c>
    </row>
    <row r="50" spans="1:16" x14ac:dyDescent="0.4">
      <c r="A50">
        <f t="shared" si="1"/>
        <v>8</v>
      </c>
      <c r="B50" t="s">
        <v>341</v>
      </c>
      <c r="C50" t="s">
        <v>342</v>
      </c>
      <c r="D50" t="s">
        <v>218</v>
      </c>
      <c r="E50" t="s">
        <v>377</v>
      </c>
      <c r="F50" t="s">
        <v>382</v>
      </c>
      <c r="G50" t="s">
        <v>383</v>
      </c>
      <c r="H50" t="s">
        <v>384</v>
      </c>
      <c r="I50" t="s">
        <v>235</v>
      </c>
      <c r="J50" t="s">
        <v>197</v>
      </c>
      <c r="K50" s="34">
        <v>43007</v>
      </c>
      <c r="L50" s="8">
        <v>42976.77884259259</v>
      </c>
      <c r="M50" s="24">
        <f>LEN(ProjTextTable[[#This Row],[text]])</f>
        <v>3358</v>
      </c>
      <c r="N50" s="24">
        <f>LEN(TRIM(CLEAN(SUBSTITUTE(ProjTextTable[[#This Row],[text]],CHAR(10)," "))))+1 - LEN(SUBSTITUTE(CLEAN(SUBSTITUTE(ProjTextTable[[#This Row],[text]],CHAR(10)," "))," ",""))</f>
        <v>532</v>
      </c>
      <c r="O50" t="s">
        <v>226</v>
      </c>
      <c r="P50" t="s">
        <v>458</v>
      </c>
    </row>
    <row r="51" spans="1:16" x14ac:dyDescent="0.4">
      <c r="A51">
        <f t="shared" si="1"/>
        <v>8</v>
      </c>
      <c r="B51" t="s">
        <v>341</v>
      </c>
      <c r="C51" t="s">
        <v>342</v>
      </c>
      <c r="D51" t="s">
        <v>218</v>
      </c>
      <c r="E51" t="s">
        <v>377</v>
      </c>
      <c r="F51" t="s">
        <v>418</v>
      </c>
      <c r="G51" t="s">
        <v>419</v>
      </c>
      <c r="H51" t="s">
        <v>420</v>
      </c>
      <c r="I51" t="s">
        <v>235</v>
      </c>
      <c r="J51" t="s">
        <v>197</v>
      </c>
      <c r="K51" s="34">
        <v>43007</v>
      </c>
      <c r="L51" s="8">
        <v>43005.469814814816</v>
      </c>
      <c r="M51" s="24">
        <f>LEN(ProjTextTable[[#This Row],[text]])</f>
        <v>1358</v>
      </c>
      <c r="N51" s="24">
        <f>LEN(TRIM(CLEAN(SUBSTITUTE(ProjTextTable[[#This Row],[text]],CHAR(10)," "))))+1 - LEN(SUBSTITUTE(CLEAN(SUBSTITUTE(ProjTextTable[[#This Row],[text]],CHAR(10)," "))," ",""))</f>
        <v>203</v>
      </c>
      <c r="O51" t="s">
        <v>219</v>
      </c>
      <c r="P51" t="s">
        <v>459</v>
      </c>
    </row>
    <row r="52" spans="1:16" x14ac:dyDescent="0.4">
      <c r="A52">
        <f t="shared" si="1"/>
        <v>8</v>
      </c>
      <c r="B52" t="s">
        <v>341</v>
      </c>
      <c r="C52" t="s">
        <v>342</v>
      </c>
      <c r="D52" t="s">
        <v>220</v>
      </c>
      <c r="E52" t="s">
        <v>314</v>
      </c>
      <c r="F52" t="s">
        <v>14</v>
      </c>
      <c r="G52" t="s">
        <v>14</v>
      </c>
      <c r="H52" t="s">
        <v>14</v>
      </c>
      <c r="K52" s="34"/>
      <c r="L52" s="8">
        <v>42935.546527777777</v>
      </c>
      <c r="M52" s="24">
        <f>LEN(ProjTextTable[[#This Row],[text]])</f>
        <v>3743</v>
      </c>
      <c r="N52" s="24">
        <f>LEN(TRIM(CLEAN(SUBSTITUTE(ProjTextTable[[#This Row],[text]],CHAR(10)," "))))+1 - LEN(SUBSTITUTE(CLEAN(SUBSTITUTE(ProjTextTable[[#This Row],[text]],CHAR(10)," "))," ",""))</f>
        <v>529</v>
      </c>
      <c r="O52" t="s">
        <v>14</v>
      </c>
      <c r="P52" t="s">
        <v>460</v>
      </c>
    </row>
    <row r="53" spans="1:16" x14ac:dyDescent="0.4">
      <c r="A53">
        <f t="shared" si="1"/>
        <v>9</v>
      </c>
      <c r="B53" t="s">
        <v>345</v>
      </c>
      <c r="C53" t="s">
        <v>346</v>
      </c>
      <c r="D53" t="s">
        <v>229</v>
      </c>
      <c r="E53" t="s">
        <v>318</v>
      </c>
      <c r="F53" t="s">
        <v>374</v>
      </c>
      <c r="G53" t="s">
        <v>375</v>
      </c>
      <c r="H53" t="s">
        <v>287</v>
      </c>
      <c r="I53" t="s">
        <v>217</v>
      </c>
      <c r="K53" s="34">
        <v>43006</v>
      </c>
      <c r="L53" s="8"/>
      <c r="M53" s="24">
        <f>LEN(ProjTextTable[[#This Row],[text]])</f>
        <v>2219</v>
      </c>
      <c r="N53" s="24">
        <f>LEN(TRIM(CLEAN(SUBSTITUTE(ProjTextTable[[#This Row],[text]],CHAR(10)," "))))+1 - LEN(SUBSTITUTE(CLEAN(SUBSTITUTE(ProjTextTable[[#This Row],[text]],CHAR(10)," "))," ",""))</f>
        <v>310</v>
      </c>
      <c r="O53" t="s">
        <v>286</v>
      </c>
      <c r="P53" t="s">
        <v>461</v>
      </c>
    </row>
    <row r="54" spans="1:16" x14ac:dyDescent="0.4">
      <c r="A54">
        <f t="shared" si="1"/>
        <v>9</v>
      </c>
      <c r="B54" t="s">
        <v>345</v>
      </c>
      <c r="C54" t="s">
        <v>346</v>
      </c>
      <c r="D54" t="s">
        <v>218</v>
      </c>
      <c r="E54" t="s">
        <v>377</v>
      </c>
      <c r="F54" t="s">
        <v>404</v>
      </c>
      <c r="G54" t="s">
        <v>405</v>
      </c>
      <c r="H54" t="s">
        <v>406</v>
      </c>
      <c r="I54" t="s">
        <v>235</v>
      </c>
      <c r="J54" t="s">
        <v>197</v>
      </c>
      <c r="K54" s="34">
        <v>43007</v>
      </c>
      <c r="L54" s="8">
        <v>43000.895370370374</v>
      </c>
      <c r="M54" s="24">
        <f>LEN(ProjTextTable[[#This Row],[text]])</f>
        <v>2200</v>
      </c>
      <c r="N54" s="24">
        <f>LEN(TRIM(CLEAN(SUBSTITUTE(ProjTextTable[[#This Row],[text]],CHAR(10)," "))))+1 - LEN(SUBSTITUTE(CLEAN(SUBSTITUTE(ProjTextTable[[#This Row],[text]],CHAR(10)," "))," ",""))</f>
        <v>327</v>
      </c>
      <c r="O54" t="s">
        <v>219</v>
      </c>
      <c r="P54" t="s">
        <v>462</v>
      </c>
    </row>
    <row r="55" spans="1:16" x14ac:dyDescent="0.4">
      <c r="A55">
        <f t="shared" si="1"/>
        <v>9</v>
      </c>
      <c r="B55" t="s">
        <v>345</v>
      </c>
      <c r="C55" t="s">
        <v>346</v>
      </c>
      <c r="D55" t="s">
        <v>218</v>
      </c>
      <c r="E55" t="s">
        <v>377</v>
      </c>
      <c r="F55" t="s">
        <v>390</v>
      </c>
      <c r="G55" t="s">
        <v>391</v>
      </c>
      <c r="H55" t="s">
        <v>392</v>
      </c>
      <c r="I55" t="s">
        <v>235</v>
      </c>
      <c r="J55" t="s">
        <v>197</v>
      </c>
      <c r="K55" s="34">
        <v>43007</v>
      </c>
      <c r="L55" s="8">
        <v>43002.993622685186</v>
      </c>
      <c r="M55" s="24">
        <f>LEN(ProjTextTable[[#This Row],[text]])</f>
        <v>2666</v>
      </c>
      <c r="N55" s="24">
        <f>LEN(TRIM(CLEAN(SUBSTITUTE(ProjTextTable[[#This Row],[text]],CHAR(10)," "))))+1 - LEN(SUBSTITUTE(CLEAN(SUBSTITUTE(ProjTextTable[[#This Row],[text]],CHAR(10)," "))," ",""))</f>
        <v>404</v>
      </c>
      <c r="O55" t="s">
        <v>219</v>
      </c>
      <c r="P55" t="s">
        <v>463</v>
      </c>
    </row>
    <row r="56" spans="1:16" x14ac:dyDescent="0.4">
      <c r="A56">
        <f t="shared" si="1"/>
        <v>9</v>
      </c>
      <c r="B56" t="s">
        <v>345</v>
      </c>
      <c r="C56" t="s">
        <v>346</v>
      </c>
      <c r="D56" t="s">
        <v>218</v>
      </c>
      <c r="E56" t="s">
        <v>377</v>
      </c>
      <c r="F56" t="s">
        <v>418</v>
      </c>
      <c r="G56" t="s">
        <v>419</v>
      </c>
      <c r="H56" t="s">
        <v>420</v>
      </c>
      <c r="I56" t="s">
        <v>235</v>
      </c>
      <c r="J56" t="s">
        <v>197</v>
      </c>
      <c r="K56" s="34">
        <v>43007</v>
      </c>
      <c r="L56" s="8">
        <v>43005.906307870369</v>
      </c>
      <c r="M56" s="24">
        <f>LEN(ProjTextTable[[#This Row],[text]])</f>
        <v>2999</v>
      </c>
      <c r="N56" s="24">
        <f>LEN(TRIM(CLEAN(SUBSTITUTE(ProjTextTable[[#This Row],[text]],CHAR(10)," "))))+1 - LEN(SUBSTITUTE(CLEAN(SUBSTITUTE(ProjTextTable[[#This Row],[text]],CHAR(10)," "))," ",""))</f>
        <v>459</v>
      </c>
      <c r="O56" t="s">
        <v>219</v>
      </c>
      <c r="P56" t="s">
        <v>464</v>
      </c>
    </row>
    <row r="57" spans="1:16" x14ac:dyDescent="0.4">
      <c r="A57">
        <f t="shared" si="1"/>
        <v>9</v>
      </c>
      <c r="B57" t="s">
        <v>345</v>
      </c>
      <c r="C57" t="s">
        <v>346</v>
      </c>
      <c r="D57" t="s">
        <v>218</v>
      </c>
      <c r="E57" t="s">
        <v>377</v>
      </c>
      <c r="F57" t="s">
        <v>394</v>
      </c>
      <c r="G57" t="s">
        <v>395</v>
      </c>
      <c r="H57" t="s">
        <v>396</v>
      </c>
      <c r="I57" t="s">
        <v>235</v>
      </c>
      <c r="J57" t="s">
        <v>197</v>
      </c>
      <c r="K57" s="34">
        <v>43007</v>
      </c>
      <c r="L57" s="8">
        <v>43002.884062500001</v>
      </c>
      <c r="M57" s="24">
        <f>LEN(ProjTextTable[[#This Row],[text]])</f>
        <v>2850</v>
      </c>
      <c r="N57" s="24">
        <f>LEN(TRIM(CLEAN(SUBSTITUTE(ProjTextTable[[#This Row],[text]],CHAR(10)," "))))+1 - LEN(SUBSTITUTE(CLEAN(SUBSTITUTE(ProjTextTable[[#This Row],[text]],CHAR(10)," "))," ",""))</f>
        <v>381</v>
      </c>
      <c r="O57" t="s">
        <v>219</v>
      </c>
      <c r="P57" t="s">
        <v>465</v>
      </c>
    </row>
    <row r="58" spans="1:16" x14ac:dyDescent="0.4">
      <c r="A58">
        <f t="shared" si="1"/>
        <v>9</v>
      </c>
      <c r="B58" t="s">
        <v>345</v>
      </c>
      <c r="C58" t="s">
        <v>346</v>
      </c>
      <c r="D58" t="s">
        <v>220</v>
      </c>
      <c r="E58" t="s">
        <v>314</v>
      </c>
      <c r="F58" t="s">
        <v>14</v>
      </c>
      <c r="G58" t="s">
        <v>14</v>
      </c>
      <c r="H58" t="s">
        <v>14</v>
      </c>
      <c r="K58" s="34"/>
      <c r="L58" s="8">
        <v>42935.551388888889</v>
      </c>
      <c r="M58" s="24">
        <f>LEN(ProjTextTable[[#This Row],[text]])</f>
        <v>3894</v>
      </c>
      <c r="N58" s="24">
        <f>LEN(TRIM(CLEAN(SUBSTITUTE(ProjTextTable[[#This Row],[text]],CHAR(10)," "))))+1 - LEN(SUBSTITUTE(CLEAN(SUBSTITUTE(ProjTextTable[[#This Row],[text]],CHAR(10)," "))," ",""))</f>
        <v>525</v>
      </c>
      <c r="O58" t="s">
        <v>14</v>
      </c>
      <c r="P58" t="s">
        <v>466</v>
      </c>
    </row>
    <row r="59" spans="1:16" x14ac:dyDescent="0.4">
      <c r="A59">
        <f t="shared" si="1"/>
        <v>10</v>
      </c>
      <c r="B59" t="s">
        <v>349</v>
      </c>
      <c r="C59" t="s">
        <v>350</v>
      </c>
      <c r="D59" t="s">
        <v>229</v>
      </c>
      <c r="E59" t="s">
        <v>318</v>
      </c>
      <c r="F59" t="s">
        <v>374</v>
      </c>
      <c r="G59" t="s">
        <v>375</v>
      </c>
      <c r="H59" t="s">
        <v>232</v>
      </c>
      <c r="I59" t="s">
        <v>221</v>
      </c>
      <c r="J59" t="s">
        <v>467</v>
      </c>
      <c r="K59" s="34">
        <v>43006</v>
      </c>
      <c r="L59" s="8"/>
      <c r="M59" s="24">
        <f>LEN(ProjTextTable[[#This Row],[text]])</f>
        <v>2455</v>
      </c>
      <c r="N59" s="24">
        <f>LEN(TRIM(CLEAN(SUBSTITUTE(ProjTextTable[[#This Row],[text]],CHAR(10)," "))))+1 - LEN(SUBSTITUTE(CLEAN(SUBSTITUTE(ProjTextTable[[#This Row],[text]],CHAR(10)," "))," ",""))</f>
        <v>342</v>
      </c>
      <c r="O59" t="s">
        <v>233</v>
      </c>
      <c r="P59" t="s">
        <v>468</v>
      </c>
    </row>
    <row r="60" spans="1:16" x14ac:dyDescent="0.4">
      <c r="A60">
        <f t="shared" si="1"/>
        <v>10</v>
      </c>
      <c r="B60" t="s">
        <v>349</v>
      </c>
      <c r="C60" t="s">
        <v>350</v>
      </c>
      <c r="D60" t="s">
        <v>218</v>
      </c>
      <c r="E60" t="s">
        <v>377</v>
      </c>
      <c r="F60" t="s">
        <v>378</v>
      </c>
      <c r="G60" t="s">
        <v>379</v>
      </c>
      <c r="H60" t="s">
        <v>380</v>
      </c>
      <c r="I60" t="s">
        <v>235</v>
      </c>
      <c r="J60" t="s">
        <v>197</v>
      </c>
      <c r="K60" s="34">
        <v>43007</v>
      </c>
      <c r="L60" s="8">
        <v>43002.687592592592</v>
      </c>
      <c r="M60" s="24">
        <f>LEN(ProjTextTable[[#This Row],[text]])</f>
        <v>5324</v>
      </c>
      <c r="N60" s="24">
        <f>LEN(TRIM(CLEAN(SUBSTITUTE(ProjTextTable[[#This Row],[text]],CHAR(10)," "))))+1 - LEN(SUBSTITUTE(CLEAN(SUBSTITUTE(ProjTextTable[[#This Row],[text]],CHAR(10)," "))," ",""))</f>
        <v>856</v>
      </c>
      <c r="O60" t="s">
        <v>227</v>
      </c>
      <c r="P60" t="s">
        <v>469</v>
      </c>
    </row>
    <row r="61" spans="1:16" x14ac:dyDescent="0.4">
      <c r="A61">
        <f t="shared" si="1"/>
        <v>10</v>
      </c>
      <c r="B61" t="s">
        <v>349</v>
      </c>
      <c r="C61" t="s">
        <v>350</v>
      </c>
      <c r="D61" t="s">
        <v>218</v>
      </c>
      <c r="E61" t="s">
        <v>377</v>
      </c>
      <c r="F61" t="s">
        <v>400</v>
      </c>
      <c r="G61" t="s">
        <v>401</v>
      </c>
      <c r="H61" t="s">
        <v>402</v>
      </c>
      <c r="I61" t="s">
        <v>235</v>
      </c>
      <c r="J61" t="s">
        <v>197</v>
      </c>
      <c r="K61" s="34">
        <v>43007</v>
      </c>
      <c r="L61" s="8">
        <v>43007.019791666666</v>
      </c>
      <c r="M61" s="24">
        <f>LEN(ProjTextTable[[#This Row],[text]])</f>
        <v>2341</v>
      </c>
      <c r="N61" s="24">
        <f>LEN(TRIM(CLEAN(SUBSTITUTE(ProjTextTable[[#This Row],[text]],CHAR(10)," "))))+1 - LEN(SUBSTITUTE(CLEAN(SUBSTITUTE(ProjTextTable[[#This Row],[text]],CHAR(10)," "))," ",""))</f>
        <v>334</v>
      </c>
      <c r="O61" t="s">
        <v>223</v>
      </c>
      <c r="P61" t="s">
        <v>470</v>
      </c>
    </row>
    <row r="62" spans="1:16" x14ac:dyDescent="0.4">
      <c r="A62">
        <f t="shared" si="1"/>
        <v>10</v>
      </c>
      <c r="B62" t="s">
        <v>349</v>
      </c>
      <c r="C62" t="s">
        <v>350</v>
      </c>
      <c r="D62" t="s">
        <v>218</v>
      </c>
      <c r="E62" t="s">
        <v>377</v>
      </c>
      <c r="F62" t="s">
        <v>432</v>
      </c>
      <c r="G62" t="s">
        <v>433</v>
      </c>
      <c r="H62" t="s">
        <v>434</v>
      </c>
      <c r="I62" t="s">
        <v>235</v>
      </c>
      <c r="J62" t="s">
        <v>197</v>
      </c>
      <c r="K62" s="34">
        <v>43007</v>
      </c>
      <c r="L62" s="8">
        <v>43003.001689814817</v>
      </c>
      <c r="M62" s="24">
        <f>LEN(ProjTextTable[[#This Row],[text]])</f>
        <v>4607</v>
      </c>
      <c r="N62" s="24">
        <f>LEN(TRIM(CLEAN(SUBSTITUTE(ProjTextTable[[#This Row],[text]],CHAR(10)," "))))+1 - LEN(SUBSTITUTE(CLEAN(SUBSTITUTE(ProjTextTable[[#This Row],[text]],CHAR(10)," "))," ",""))</f>
        <v>697</v>
      </c>
      <c r="O62" t="s">
        <v>222</v>
      </c>
      <c r="P62" t="s">
        <v>471</v>
      </c>
    </row>
    <row r="63" spans="1:16" x14ac:dyDescent="0.4">
      <c r="A63">
        <f t="shared" si="1"/>
        <v>10</v>
      </c>
      <c r="B63" t="s">
        <v>349</v>
      </c>
      <c r="C63" t="s">
        <v>350</v>
      </c>
      <c r="D63" t="s">
        <v>218</v>
      </c>
      <c r="E63" t="s">
        <v>377</v>
      </c>
      <c r="F63" t="s">
        <v>409</v>
      </c>
      <c r="G63" t="s">
        <v>410</v>
      </c>
      <c r="H63" t="s">
        <v>411</v>
      </c>
      <c r="I63" t="s">
        <v>235</v>
      </c>
      <c r="J63" t="s">
        <v>197</v>
      </c>
      <c r="K63" s="34">
        <v>43007</v>
      </c>
      <c r="L63" s="8">
        <v>43002.909386574072</v>
      </c>
      <c r="M63" s="24">
        <f>LEN(ProjTextTable[[#This Row],[text]])</f>
        <v>1905</v>
      </c>
      <c r="N63" s="24">
        <f>LEN(TRIM(CLEAN(SUBSTITUTE(ProjTextTable[[#This Row],[text]],CHAR(10)," "))))+1 - LEN(SUBSTITUTE(CLEAN(SUBSTITUTE(ProjTextTable[[#This Row],[text]],CHAR(10)," "))," ",""))</f>
        <v>287</v>
      </c>
      <c r="O63" t="s">
        <v>219</v>
      </c>
      <c r="P63" t="s">
        <v>472</v>
      </c>
    </row>
    <row r="64" spans="1:16" x14ac:dyDescent="0.4">
      <c r="A64">
        <f t="shared" si="1"/>
        <v>10</v>
      </c>
      <c r="B64" t="s">
        <v>349</v>
      </c>
      <c r="C64" t="s">
        <v>350</v>
      </c>
      <c r="D64" t="s">
        <v>220</v>
      </c>
      <c r="E64" t="s">
        <v>314</v>
      </c>
      <c r="F64" t="s">
        <v>14</v>
      </c>
      <c r="G64" t="s">
        <v>14</v>
      </c>
      <c r="H64" t="s">
        <v>14</v>
      </c>
      <c r="K64" s="34"/>
      <c r="L64" s="8">
        <v>42935.561805555553</v>
      </c>
      <c r="M64" s="24">
        <f>LEN(ProjTextTable[[#This Row],[text]])</f>
        <v>3713</v>
      </c>
      <c r="N64" s="24">
        <f>LEN(TRIM(CLEAN(SUBSTITUTE(ProjTextTable[[#This Row],[text]],CHAR(10)," "))))+1 - LEN(SUBSTITUTE(CLEAN(SUBSTITUTE(ProjTextTable[[#This Row],[text]],CHAR(10)," "))," ",""))</f>
        <v>538</v>
      </c>
      <c r="O64" t="s">
        <v>14</v>
      </c>
      <c r="P64" t="s">
        <v>473</v>
      </c>
    </row>
    <row r="65" spans="1:16" x14ac:dyDescent="0.4">
      <c r="A65">
        <f t="shared" si="1"/>
        <v>11</v>
      </c>
      <c r="B65" t="s">
        <v>353</v>
      </c>
      <c r="C65" t="s">
        <v>289</v>
      </c>
      <c r="D65" t="s">
        <v>229</v>
      </c>
      <c r="E65" t="s">
        <v>318</v>
      </c>
      <c r="F65" t="s">
        <v>374</v>
      </c>
      <c r="G65" t="s">
        <v>375</v>
      </c>
      <c r="H65" t="s">
        <v>282</v>
      </c>
      <c r="I65" t="s">
        <v>101</v>
      </c>
      <c r="J65" t="s">
        <v>101</v>
      </c>
      <c r="K65" s="34">
        <v>43006</v>
      </c>
      <c r="L65" s="8"/>
      <c r="M65" s="24">
        <f>LEN(ProjTextTable[[#This Row],[text]])</f>
        <v>1959</v>
      </c>
      <c r="N65" s="24">
        <f>LEN(TRIM(CLEAN(SUBSTITUTE(ProjTextTable[[#This Row],[text]],CHAR(10)," "))))+1 - LEN(SUBSTITUTE(CLEAN(SUBSTITUTE(ProjTextTable[[#This Row],[text]],CHAR(10)," "))," ",""))</f>
        <v>283</v>
      </c>
      <c r="O65" t="s">
        <v>280</v>
      </c>
      <c r="P65" t="s">
        <v>474</v>
      </c>
    </row>
    <row r="66" spans="1:16" x14ac:dyDescent="0.4">
      <c r="A66">
        <f t="shared" ref="A66:A97" si="2">A65+(B66&lt;&gt;B65)</f>
        <v>11</v>
      </c>
      <c r="B66" t="s">
        <v>353</v>
      </c>
      <c r="C66" t="s">
        <v>289</v>
      </c>
      <c r="D66" t="s">
        <v>218</v>
      </c>
      <c r="E66" t="s">
        <v>377</v>
      </c>
      <c r="F66" t="s">
        <v>400</v>
      </c>
      <c r="G66" t="s">
        <v>401</v>
      </c>
      <c r="H66" t="s">
        <v>402</v>
      </c>
      <c r="I66" t="s">
        <v>235</v>
      </c>
      <c r="J66" t="s">
        <v>197</v>
      </c>
      <c r="K66" s="34">
        <v>43007</v>
      </c>
      <c r="L66" s="8">
        <v>43007.361712962964</v>
      </c>
      <c r="M66" s="24">
        <f>LEN(ProjTextTable[[#This Row],[text]])</f>
        <v>2689</v>
      </c>
      <c r="N66" s="24">
        <f>LEN(TRIM(CLEAN(SUBSTITUTE(ProjTextTable[[#This Row],[text]],CHAR(10)," "))))+1 - LEN(SUBSTITUTE(CLEAN(SUBSTITUTE(ProjTextTable[[#This Row],[text]],CHAR(10)," "))," ",""))</f>
        <v>419</v>
      </c>
      <c r="O66" t="s">
        <v>219</v>
      </c>
      <c r="P66" t="s">
        <v>475</v>
      </c>
    </row>
    <row r="67" spans="1:16" x14ac:dyDescent="0.4">
      <c r="A67">
        <f t="shared" si="2"/>
        <v>11</v>
      </c>
      <c r="B67" t="s">
        <v>353</v>
      </c>
      <c r="C67" t="s">
        <v>289</v>
      </c>
      <c r="D67" t="s">
        <v>218</v>
      </c>
      <c r="E67" t="s">
        <v>377</v>
      </c>
      <c r="F67" t="s">
        <v>382</v>
      </c>
      <c r="G67" t="s">
        <v>383</v>
      </c>
      <c r="H67" t="s">
        <v>384</v>
      </c>
      <c r="I67" t="s">
        <v>235</v>
      </c>
      <c r="J67" t="s">
        <v>197</v>
      </c>
      <c r="K67" s="34">
        <v>43007</v>
      </c>
      <c r="L67" s="8">
        <v>43006.555532407408</v>
      </c>
      <c r="M67" s="24">
        <f>LEN(ProjTextTable[[#This Row],[text]])</f>
        <v>3772</v>
      </c>
      <c r="N67" s="24">
        <f>LEN(TRIM(CLEAN(SUBSTITUTE(ProjTextTable[[#This Row],[text]],CHAR(10)," "))))+1 - LEN(SUBSTITUTE(CLEAN(SUBSTITUTE(ProjTextTable[[#This Row],[text]],CHAR(10)," "))," ",""))</f>
        <v>619</v>
      </c>
      <c r="O67" t="s">
        <v>222</v>
      </c>
      <c r="P67" t="s">
        <v>476</v>
      </c>
    </row>
    <row r="68" spans="1:16" x14ac:dyDescent="0.4">
      <c r="A68">
        <f t="shared" si="2"/>
        <v>11</v>
      </c>
      <c r="B68" t="s">
        <v>353</v>
      </c>
      <c r="C68" t="s">
        <v>289</v>
      </c>
      <c r="D68" t="s">
        <v>218</v>
      </c>
      <c r="E68" t="s">
        <v>377</v>
      </c>
      <c r="F68" t="s">
        <v>390</v>
      </c>
      <c r="G68" t="s">
        <v>391</v>
      </c>
      <c r="H68" t="s">
        <v>392</v>
      </c>
      <c r="I68" t="s">
        <v>235</v>
      </c>
      <c r="J68" t="s">
        <v>197</v>
      </c>
      <c r="K68" s="34">
        <v>43007</v>
      </c>
      <c r="L68" s="8">
        <v>43002.993715277778</v>
      </c>
      <c r="M68" s="24">
        <f>LEN(ProjTextTable[[#This Row],[text]])</f>
        <v>1917</v>
      </c>
      <c r="N68" s="24">
        <f>LEN(TRIM(CLEAN(SUBSTITUTE(ProjTextTable[[#This Row],[text]],CHAR(10)," "))))+1 - LEN(SUBSTITUTE(CLEAN(SUBSTITUTE(ProjTextTable[[#This Row],[text]],CHAR(10)," "))," ",""))</f>
        <v>298</v>
      </c>
      <c r="O68" t="s">
        <v>290</v>
      </c>
      <c r="P68" t="s">
        <v>477</v>
      </c>
    </row>
    <row r="69" spans="1:16" x14ac:dyDescent="0.4">
      <c r="A69">
        <f t="shared" si="2"/>
        <v>11</v>
      </c>
      <c r="B69" t="s">
        <v>353</v>
      </c>
      <c r="C69" t="s">
        <v>289</v>
      </c>
      <c r="D69" t="s">
        <v>218</v>
      </c>
      <c r="E69" t="s">
        <v>377</v>
      </c>
      <c r="F69" t="s">
        <v>418</v>
      </c>
      <c r="G69" t="s">
        <v>419</v>
      </c>
      <c r="H69" t="s">
        <v>420</v>
      </c>
      <c r="I69" t="s">
        <v>235</v>
      </c>
      <c r="J69" t="s">
        <v>197</v>
      </c>
      <c r="K69" s="34">
        <v>43007</v>
      </c>
      <c r="L69" s="8">
        <v>43004.792754629627</v>
      </c>
      <c r="M69" s="24">
        <f>LEN(ProjTextTable[[#This Row],[text]])</f>
        <v>2015</v>
      </c>
      <c r="N69" s="24">
        <f>LEN(TRIM(CLEAN(SUBSTITUTE(ProjTextTable[[#This Row],[text]],CHAR(10)," "))))+1 - LEN(SUBSTITUTE(CLEAN(SUBSTITUTE(ProjTextTable[[#This Row],[text]],CHAR(10)," "))," ",""))</f>
        <v>310</v>
      </c>
      <c r="O69" t="s">
        <v>290</v>
      </c>
      <c r="P69" t="s">
        <v>478</v>
      </c>
    </row>
    <row r="70" spans="1:16" x14ac:dyDescent="0.4">
      <c r="A70">
        <f t="shared" si="2"/>
        <v>11</v>
      </c>
      <c r="B70" t="s">
        <v>353</v>
      </c>
      <c r="C70" t="s">
        <v>289</v>
      </c>
      <c r="D70" t="s">
        <v>220</v>
      </c>
      <c r="E70" t="s">
        <v>314</v>
      </c>
      <c r="F70" t="s">
        <v>14</v>
      </c>
      <c r="G70" t="s">
        <v>14</v>
      </c>
      <c r="H70" t="s">
        <v>14</v>
      </c>
      <c r="K70" s="34"/>
      <c r="L70" s="8">
        <v>42935.652777777781</v>
      </c>
      <c r="M70" s="24">
        <f>LEN(ProjTextTable[[#This Row],[text]])</f>
        <v>4407</v>
      </c>
      <c r="N70" s="24">
        <f>LEN(TRIM(CLEAN(SUBSTITUTE(ProjTextTable[[#This Row],[text]],CHAR(10)," "))))+1 - LEN(SUBSTITUTE(CLEAN(SUBSTITUTE(ProjTextTable[[#This Row],[text]],CHAR(10)," "))," ",""))</f>
        <v>655</v>
      </c>
      <c r="O70" t="s">
        <v>14</v>
      </c>
      <c r="P70" t="s">
        <v>479</v>
      </c>
    </row>
    <row r="71" spans="1:16" x14ac:dyDescent="0.4">
      <c r="A71">
        <f t="shared" si="2"/>
        <v>12</v>
      </c>
      <c r="B71" t="s">
        <v>356</v>
      </c>
      <c r="C71" t="s">
        <v>357</v>
      </c>
      <c r="D71" t="s">
        <v>229</v>
      </c>
      <c r="E71" t="s">
        <v>318</v>
      </c>
      <c r="F71" t="s">
        <v>374</v>
      </c>
      <c r="G71" t="s">
        <v>375</v>
      </c>
      <c r="H71" t="s">
        <v>282</v>
      </c>
      <c r="I71" t="s">
        <v>101</v>
      </c>
      <c r="J71" t="s">
        <v>101</v>
      </c>
      <c r="K71" s="34">
        <v>43006</v>
      </c>
      <c r="L71" s="8"/>
      <c r="M71" s="24">
        <f>LEN(ProjTextTable[[#This Row],[text]])</f>
        <v>2540</v>
      </c>
      <c r="N71" s="24">
        <f>LEN(TRIM(CLEAN(SUBSTITUTE(ProjTextTable[[#This Row],[text]],CHAR(10)," "))))+1 - LEN(SUBSTITUTE(CLEAN(SUBSTITUTE(ProjTextTable[[#This Row],[text]],CHAR(10)," "))," ",""))</f>
        <v>349</v>
      </c>
      <c r="O71" t="s">
        <v>280</v>
      </c>
      <c r="P71" t="s">
        <v>480</v>
      </c>
    </row>
    <row r="72" spans="1:16" x14ac:dyDescent="0.4">
      <c r="A72">
        <f t="shared" si="2"/>
        <v>12</v>
      </c>
      <c r="B72" t="s">
        <v>356</v>
      </c>
      <c r="C72" t="s">
        <v>357</v>
      </c>
      <c r="D72" t="s">
        <v>218</v>
      </c>
      <c r="E72" t="s">
        <v>377</v>
      </c>
      <c r="F72" t="s">
        <v>400</v>
      </c>
      <c r="G72" t="s">
        <v>401</v>
      </c>
      <c r="H72" t="s">
        <v>402</v>
      </c>
      <c r="I72" t="s">
        <v>235</v>
      </c>
      <c r="J72" t="s">
        <v>197</v>
      </c>
      <c r="K72" s="34">
        <v>43007</v>
      </c>
      <c r="L72" s="8">
        <v>43003.223645833335</v>
      </c>
      <c r="M72" s="24">
        <f>LEN(ProjTextTable[[#This Row],[text]])</f>
        <v>2289</v>
      </c>
      <c r="N72" s="24">
        <f>LEN(TRIM(CLEAN(SUBSTITUTE(ProjTextTable[[#This Row],[text]],CHAR(10)," "))))+1 - LEN(SUBSTITUTE(CLEAN(SUBSTITUTE(ProjTextTable[[#This Row],[text]],CHAR(10)," "))," ",""))</f>
        <v>349</v>
      </c>
      <c r="O72" t="s">
        <v>290</v>
      </c>
      <c r="P72" t="s">
        <v>481</v>
      </c>
    </row>
    <row r="73" spans="1:16" x14ac:dyDescent="0.4">
      <c r="A73">
        <f t="shared" si="2"/>
        <v>12</v>
      </c>
      <c r="B73" t="s">
        <v>356</v>
      </c>
      <c r="C73" t="s">
        <v>357</v>
      </c>
      <c r="D73" t="s">
        <v>218</v>
      </c>
      <c r="E73" t="s">
        <v>377</v>
      </c>
      <c r="F73" t="s">
        <v>432</v>
      </c>
      <c r="G73" t="s">
        <v>433</v>
      </c>
      <c r="H73" t="s">
        <v>434</v>
      </c>
      <c r="I73" t="s">
        <v>235</v>
      </c>
      <c r="J73" t="s">
        <v>197</v>
      </c>
      <c r="K73" s="34">
        <v>43007</v>
      </c>
      <c r="L73" s="8">
        <v>43003.002337962964</v>
      </c>
      <c r="M73" s="24">
        <f>LEN(ProjTextTable[[#This Row],[text]])</f>
        <v>3634</v>
      </c>
      <c r="N73" s="24">
        <f>LEN(TRIM(CLEAN(SUBSTITUTE(ProjTextTable[[#This Row],[text]],CHAR(10)," "))))+1 - LEN(SUBSTITUTE(CLEAN(SUBSTITUTE(ProjTextTable[[#This Row],[text]],CHAR(10)," "))," ",""))</f>
        <v>527</v>
      </c>
      <c r="O73" t="s">
        <v>290</v>
      </c>
      <c r="P73" t="s">
        <v>482</v>
      </c>
    </row>
    <row r="74" spans="1:16" x14ac:dyDescent="0.4">
      <c r="A74">
        <f t="shared" si="2"/>
        <v>12</v>
      </c>
      <c r="B74" t="s">
        <v>356</v>
      </c>
      <c r="C74" t="s">
        <v>357</v>
      </c>
      <c r="D74" t="s">
        <v>218</v>
      </c>
      <c r="E74" t="s">
        <v>377</v>
      </c>
      <c r="F74" t="s">
        <v>394</v>
      </c>
      <c r="G74" t="s">
        <v>395</v>
      </c>
      <c r="H74" t="s">
        <v>396</v>
      </c>
      <c r="I74" t="s">
        <v>235</v>
      </c>
      <c r="J74" t="s">
        <v>197</v>
      </c>
      <c r="K74" s="34">
        <v>43007</v>
      </c>
      <c r="L74" s="8">
        <v>43007.349502314813</v>
      </c>
      <c r="M74" s="24">
        <f>LEN(ProjTextTable[[#This Row],[text]])</f>
        <v>4649</v>
      </c>
      <c r="N74" s="24">
        <f>LEN(TRIM(CLEAN(SUBSTITUTE(ProjTextTable[[#This Row],[text]],CHAR(10)," "))))+1 - LEN(SUBSTITUTE(CLEAN(SUBSTITUTE(ProjTextTable[[#This Row],[text]],CHAR(10)," "))," ",""))</f>
        <v>672</v>
      </c>
      <c r="O74" t="s">
        <v>222</v>
      </c>
      <c r="P74" t="s">
        <v>483</v>
      </c>
    </row>
    <row r="75" spans="1:16" x14ac:dyDescent="0.4">
      <c r="A75">
        <f t="shared" si="2"/>
        <v>12</v>
      </c>
      <c r="B75" t="s">
        <v>356</v>
      </c>
      <c r="C75" t="s">
        <v>357</v>
      </c>
      <c r="D75" t="s">
        <v>218</v>
      </c>
      <c r="E75" t="s">
        <v>377</v>
      </c>
      <c r="F75" t="s">
        <v>409</v>
      </c>
      <c r="G75" t="s">
        <v>410</v>
      </c>
      <c r="H75" t="s">
        <v>411</v>
      </c>
      <c r="I75" t="s">
        <v>235</v>
      </c>
      <c r="J75" t="s">
        <v>197</v>
      </c>
      <c r="K75" s="34">
        <v>43007</v>
      </c>
      <c r="L75" s="8">
        <v>43001.697569444441</v>
      </c>
      <c r="M75" s="24">
        <f>LEN(ProjTextTable[[#This Row],[text]])</f>
        <v>2816</v>
      </c>
      <c r="N75" s="24">
        <f>LEN(TRIM(CLEAN(SUBSTITUTE(ProjTextTable[[#This Row],[text]],CHAR(10)," "))))+1 - LEN(SUBSTITUTE(CLEAN(SUBSTITUTE(ProjTextTable[[#This Row],[text]],CHAR(10)," "))," ",""))</f>
        <v>404</v>
      </c>
      <c r="O75" t="s">
        <v>223</v>
      </c>
      <c r="P75" t="s">
        <v>484</v>
      </c>
    </row>
    <row r="76" spans="1:16" x14ac:dyDescent="0.4">
      <c r="A76">
        <f t="shared" si="2"/>
        <v>13</v>
      </c>
      <c r="B76" t="s">
        <v>359</v>
      </c>
      <c r="C76" t="s">
        <v>360</v>
      </c>
      <c r="D76" t="s">
        <v>229</v>
      </c>
      <c r="E76" t="s">
        <v>318</v>
      </c>
      <c r="F76" t="s">
        <v>374</v>
      </c>
      <c r="G76" t="s">
        <v>375</v>
      </c>
      <c r="H76" t="s">
        <v>232</v>
      </c>
      <c r="I76" t="s">
        <v>221</v>
      </c>
      <c r="J76" t="s">
        <v>224</v>
      </c>
      <c r="K76" s="34">
        <v>43006</v>
      </c>
      <c r="L76" s="8"/>
      <c r="M76" s="24">
        <f>LEN(ProjTextTable[[#This Row],[text]])</f>
        <v>2756</v>
      </c>
      <c r="N76" s="24">
        <f>LEN(TRIM(CLEAN(SUBSTITUTE(ProjTextTable[[#This Row],[text]],CHAR(10)," "))))+1 - LEN(SUBSTITUTE(CLEAN(SUBSTITUTE(ProjTextTable[[#This Row],[text]],CHAR(10)," "))," ",""))</f>
        <v>376</v>
      </c>
      <c r="O76" t="s">
        <v>233</v>
      </c>
      <c r="P76" t="s">
        <v>485</v>
      </c>
    </row>
    <row r="77" spans="1:16" x14ac:dyDescent="0.4">
      <c r="A77">
        <f t="shared" si="2"/>
        <v>13</v>
      </c>
      <c r="B77" t="s">
        <v>359</v>
      </c>
      <c r="C77" t="s">
        <v>360</v>
      </c>
      <c r="D77" t="s">
        <v>218</v>
      </c>
      <c r="E77" t="s">
        <v>377</v>
      </c>
      <c r="F77" t="s">
        <v>404</v>
      </c>
      <c r="G77" t="s">
        <v>405</v>
      </c>
      <c r="H77" t="s">
        <v>406</v>
      </c>
      <c r="I77" t="s">
        <v>235</v>
      </c>
      <c r="J77" t="s">
        <v>197</v>
      </c>
      <c r="K77" s="34">
        <v>43007</v>
      </c>
      <c r="L77" s="8">
        <v>43000.894062500003</v>
      </c>
      <c r="M77" s="24">
        <f>LEN(ProjTextTable[[#This Row],[text]])</f>
        <v>2440</v>
      </c>
      <c r="N77" s="24">
        <f>LEN(TRIM(CLEAN(SUBSTITUTE(ProjTextTable[[#This Row],[text]],CHAR(10)," "))))+1 - LEN(SUBSTITUTE(CLEAN(SUBSTITUTE(ProjTextTable[[#This Row],[text]],CHAR(10)," "))," ",""))</f>
        <v>366</v>
      </c>
      <c r="O77" t="s">
        <v>223</v>
      </c>
      <c r="P77" t="s">
        <v>486</v>
      </c>
    </row>
    <row r="78" spans="1:16" x14ac:dyDescent="0.4">
      <c r="A78">
        <f t="shared" si="2"/>
        <v>13</v>
      </c>
      <c r="B78" t="s">
        <v>359</v>
      </c>
      <c r="C78" t="s">
        <v>360</v>
      </c>
      <c r="D78" t="s">
        <v>218</v>
      </c>
      <c r="E78" t="s">
        <v>377</v>
      </c>
      <c r="F78" t="s">
        <v>382</v>
      </c>
      <c r="G78" t="s">
        <v>383</v>
      </c>
      <c r="H78" t="s">
        <v>384</v>
      </c>
      <c r="I78" t="s">
        <v>235</v>
      </c>
      <c r="J78" t="s">
        <v>197</v>
      </c>
      <c r="K78" s="34">
        <v>43007</v>
      </c>
      <c r="L78" s="8">
        <v>42971.696851851855</v>
      </c>
      <c r="M78" s="24">
        <f>LEN(ProjTextTable[[#This Row],[text]])</f>
        <v>2908</v>
      </c>
      <c r="N78" s="24">
        <f>LEN(TRIM(CLEAN(SUBSTITUTE(ProjTextTable[[#This Row],[text]],CHAR(10)," "))))+1 - LEN(SUBSTITUTE(CLEAN(SUBSTITUTE(ProjTextTable[[#This Row],[text]],CHAR(10)," "))," ",""))</f>
        <v>426</v>
      </c>
      <c r="O78" t="s">
        <v>222</v>
      </c>
      <c r="P78" t="s">
        <v>487</v>
      </c>
    </row>
    <row r="79" spans="1:16" x14ac:dyDescent="0.4">
      <c r="A79">
        <f t="shared" si="2"/>
        <v>13</v>
      </c>
      <c r="B79" t="s">
        <v>359</v>
      </c>
      <c r="C79" t="s">
        <v>360</v>
      </c>
      <c r="D79" t="s">
        <v>218</v>
      </c>
      <c r="E79" t="s">
        <v>377</v>
      </c>
      <c r="F79" t="s">
        <v>432</v>
      </c>
      <c r="G79" t="s">
        <v>433</v>
      </c>
      <c r="H79" t="s">
        <v>434</v>
      </c>
      <c r="I79" t="s">
        <v>235</v>
      </c>
      <c r="J79" t="s">
        <v>197</v>
      </c>
      <c r="K79" s="34">
        <v>43007</v>
      </c>
      <c r="L79" s="8">
        <v>43003.002766203703</v>
      </c>
      <c r="M79" s="24">
        <f>LEN(ProjTextTable[[#This Row],[text]])</f>
        <v>4393</v>
      </c>
      <c r="N79" s="24">
        <f>LEN(TRIM(CLEAN(SUBSTITUTE(ProjTextTable[[#This Row],[text]],CHAR(10)," "))))+1 - LEN(SUBSTITUTE(CLEAN(SUBSTITUTE(ProjTextTable[[#This Row],[text]],CHAR(10)," "))," ",""))</f>
        <v>665</v>
      </c>
      <c r="O79" t="s">
        <v>290</v>
      </c>
      <c r="P79" t="s">
        <v>488</v>
      </c>
    </row>
    <row r="80" spans="1:16" x14ac:dyDescent="0.4">
      <c r="A80">
        <f t="shared" si="2"/>
        <v>13</v>
      </c>
      <c r="B80" t="s">
        <v>359</v>
      </c>
      <c r="C80" t="s">
        <v>360</v>
      </c>
      <c r="D80" t="s">
        <v>218</v>
      </c>
      <c r="E80" t="s">
        <v>377</v>
      </c>
      <c r="F80" t="s">
        <v>394</v>
      </c>
      <c r="G80" t="s">
        <v>395</v>
      </c>
      <c r="H80" t="s">
        <v>396</v>
      </c>
      <c r="I80" t="s">
        <v>235</v>
      </c>
      <c r="J80" t="s">
        <v>197</v>
      </c>
      <c r="K80" s="34">
        <v>43007</v>
      </c>
      <c r="L80" s="8">
        <v>43007.35261574074</v>
      </c>
      <c r="M80" s="24">
        <f>LEN(ProjTextTable[[#This Row],[text]])</f>
        <v>4873</v>
      </c>
      <c r="N80" s="24">
        <f>LEN(TRIM(CLEAN(SUBSTITUTE(ProjTextTable[[#This Row],[text]],CHAR(10)," "))))+1 - LEN(SUBSTITUTE(CLEAN(SUBSTITUTE(ProjTextTable[[#This Row],[text]],CHAR(10)," "))," ",""))</f>
        <v>706</v>
      </c>
      <c r="O80" t="s">
        <v>223</v>
      </c>
      <c r="P80" t="s">
        <v>489</v>
      </c>
    </row>
    <row r="81" spans="1:16" x14ac:dyDescent="0.4">
      <c r="A81">
        <f t="shared" si="2"/>
        <v>13</v>
      </c>
      <c r="B81" t="s">
        <v>359</v>
      </c>
      <c r="C81" t="s">
        <v>360</v>
      </c>
      <c r="D81" t="s">
        <v>220</v>
      </c>
      <c r="E81" t="s">
        <v>314</v>
      </c>
      <c r="F81" t="s">
        <v>14</v>
      </c>
      <c r="G81" t="s">
        <v>14</v>
      </c>
      <c r="H81" t="s">
        <v>14</v>
      </c>
      <c r="K81" s="34"/>
      <c r="L81" s="8">
        <v>42935.67291666667</v>
      </c>
      <c r="M81" s="24">
        <f>LEN(ProjTextTable[[#This Row],[text]])</f>
        <v>4452</v>
      </c>
      <c r="N81" s="24">
        <f>LEN(TRIM(CLEAN(SUBSTITUTE(ProjTextTable[[#This Row],[text]],CHAR(10)," "))))+1 - LEN(SUBSTITUTE(CLEAN(SUBSTITUTE(ProjTextTable[[#This Row],[text]],CHAR(10)," "))," ",""))</f>
        <v>627</v>
      </c>
      <c r="O81" t="s">
        <v>14</v>
      </c>
      <c r="P81" t="s">
        <v>490</v>
      </c>
    </row>
    <row r="82" spans="1:16" x14ac:dyDescent="0.4">
      <c r="A82">
        <f t="shared" si="2"/>
        <v>14</v>
      </c>
      <c r="B82" t="s">
        <v>362</v>
      </c>
      <c r="C82" t="s">
        <v>363</v>
      </c>
      <c r="D82" t="s">
        <v>229</v>
      </c>
      <c r="E82" t="s">
        <v>318</v>
      </c>
      <c r="F82" t="s">
        <v>374</v>
      </c>
      <c r="G82" t="s">
        <v>375</v>
      </c>
      <c r="H82" t="s">
        <v>287</v>
      </c>
      <c r="I82" t="s">
        <v>217</v>
      </c>
      <c r="K82" s="34">
        <v>43006</v>
      </c>
      <c r="L82" s="8"/>
      <c r="M82" s="24">
        <f>LEN(ProjTextTable[[#This Row],[text]])</f>
        <v>1980</v>
      </c>
      <c r="N82" s="24">
        <f>LEN(TRIM(CLEAN(SUBSTITUTE(ProjTextTable[[#This Row],[text]],CHAR(10)," "))))+1 - LEN(SUBSTITUTE(CLEAN(SUBSTITUTE(ProjTextTable[[#This Row],[text]],CHAR(10)," "))," ",""))</f>
        <v>281</v>
      </c>
      <c r="O82" t="s">
        <v>286</v>
      </c>
      <c r="P82" t="s">
        <v>491</v>
      </c>
    </row>
    <row r="83" spans="1:16" x14ac:dyDescent="0.4">
      <c r="A83">
        <f t="shared" si="2"/>
        <v>14</v>
      </c>
      <c r="B83" t="s">
        <v>362</v>
      </c>
      <c r="C83" t="s">
        <v>363</v>
      </c>
      <c r="D83" t="s">
        <v>218</v>
      </c>
      <c r="E83" t="s">
        <v>377</v>
      </c>
      <c r="F83" t="s">
        <v>378</v>
      </c>
      <c r="G83" t="s">
        <v>379</v>
      </c>
      <c r="H83" t="s">
        <v>380</v>
      </c>
      <c r="I83" t="s">
        <v>235</v>
      </c>
      <c r="J83" t="s">
        <v>197</v>
      </c>
      <c r="K83" s="34">
        <v>43007</v>
      </c>
      <c r="L83" s="8">
        <v>43004.020775462966</v>
      </c>
      <c r="M83" s="24">
        <f>LEN(ProjTextTable[[#This Row],[text]])</f>
        <v>2291</v>
      </c>
      <c r="N83" s="24">
        <f>LEN(TRIM(CLEAN(SUBSTITUTE(ProjTextTable[[#This Row],[text]],CHAR(10)," "))))+1 - LEN(SUBSTITUTE(CLEAN(SUBSTITUTE(ProjTextTable[[#This Row],[text]],CHAR(10)," "))," ",""))</f>
        <v>339</v>
      </c>
      <c r="O83" t="s">
        <v>226</v>
      </c>
      <c r="P83" t="s">
        <v>492</v>
      </c>
    </row>
    <row r="84" spans="1:16" x14ac:dyDescent="0.4">
      <c r="A84">
        <f t="shared" si="2"/>
        <v>14</v>
      </c>
      <c r="B84" t="s">
        <v>362</v>
      </c>
      <c r="C84" t="s">
        <v>363</v>
      </c>
      <c r="D84" t="s">
        <v>218</v>
      </c>
      <c r="E84" t="s">
        <v>377</v>
      </c>
      <c r="F84" t="s">
        <v>404</v>
      </c>
      <c r="G84" t="s">
        <v>405</v>
      </c>
      <c r="H84" t="s">
        <v>406</v>
      </c>
      <c r="I84" t="s">
        <v>235</v>
      </c>
      <c r="J84" t="s">
        <v>197</v>
      </c>
      <c r="K84" s="34">
        <v>43007</v>
      </c>
      <c r="L84" s="8">
        <v>43000.894062500003</v>
      </c>
      <c r="M84" s="24">
        <f>LEN(ProjTextTable[[#This Row],[text]])</f>
        <v>2196</v>
      </c>
      <c r="N84" s="24">
        <f>LEN(TRIM(CLEAN(SUBSTITUTE(ProjTextTable[[#This Row],[text]],CHAR(10)," "))))+1 - LEN(SUBSTITUTE(CLEAN(SUBSTITUTE(ProjTextTable[[#This Row],[text]],CHAR(10)," "))," ",""))</f>
        <v>324</v>
      </c>
      <c r="O84" t="s">
        <v>225</v>
      </c>
      <c r="P84" t="s">
        <v>493</v>
      </c>
    </row>
    <row r="85" spans="1:16" x14ac:dyDescent="0.4">
      <c r="A85">
        <f t="shared" si="2"/>
        <v>14</v>
      </c>
      <c r="B85" t="s">
        <v>362</v>
      </c>
      <c r="C85" t="s">
        <v>363</v>
      </c>
      <c r="D85" t="s">
        <v>218</v>
      </c>
      <c r="E85" t="s">
        <v>377</v>
      </c>
      <c r="F85" t="s">
        <v>382</v>
      </c>
      <c r="G85" t="s">
        <v>383</v>
      </c>
      <c r="H85" t="s">
        <v>384</v>
      </c>
      <c r="I85" t="s">
        <v>235</v>
      </c>
      <c r="J85" t="s">
        <v>197</v>
      </c>
      <c r="K85" s="34">
        <v>43007</v>
      </c>
      <c r="L85" s="8">
        <v>42984.782604166663</v>
      </c>
      <c r="M85" s="24">
        <f>LEN(ProjTextTable[[#This Row],[text]])</f>
        <v>2411</v>
      </c>
      <c r="N85" s="24">
        <f>LEN(TRIM(CLEAN(SUBSTITUTE(ProjTextTable[[#This Row],[text]],CHAR(10)," "))))+1 - LEN(SUBSTITUTE(CLEAN(SUBSTITUTE(ProjTextTable[[#This Row],[text]],CHAR(10)," "))," ",""))</f>
        <v>354</v>
      </c>
      <c r="O85" t="s">
        <v>242</v>
      </c>
      <c r="P85" t="s">
        <v>494</v>
      </c>
    </row>
    <row r="86" spans="1:16" x14ac:dyDescent="0.4">
      <c r="A86">
        <f t="shared" si="2"/>
        <v>14</v>
      </c>
      <c r="B86" t="s">
        <v>362</v>
      </c>
      <c r="C86" t="s">
        <v>363</v>
      </c>
      <c r="D86" t="s">
        <v>218</v>
      </c>
      <c r="E86" t="s">
        <v>377</v>
      </c>
      <c r="F86" t="s">
        <v>390</v>
      </c>
      <c r="G86" t="s">
        <v>391</v>
      </c>
      <c r="H86" t="s">
        <v>392</v>
      </c>
      <c r="I86" t="s">
        <v>235</v>
      </c>
      <c r="J86" t="s">
        <v>197</v>
      </c>
      <c r="K86" s="34">
        <v>43007</v>
      </c>
      <c r="L86" s="8">
        <v>43002.993831018517</v>
      </c>
      <c r="M86" s="24">
        <f>LEN(ProjTextTable[[#This Row],[text]])</f>
        <v>3193</v>
      </c>
      <c r="N86" s="24">
        <f>LEN(TRIM(CLEAN(SUBSTITUTE(ProjTextTable[[#This Row],[text]],CHAR(10)," "))))+1 - LEN(SUBSTITUTE(CLEAN(SUBSTITUTE(ProjTextTable[[#This Row],[text]],CHAR(10)," "))," ",""))</f>
        <v>475</v>
      </c>
      <c r="O86" t="s">
        <v>225</v>
      </c>
      <c r="P86" t="s">
        <v>495</v>
      </c>
    </row>
    <row r="87" spans="1:16" x14ac:dyDescent="0.4">
      <c r="A87">
        <f t="shared" si="2"/>
        <v>14</v>
      </c>
      <c r="B87" t="s">
        <v>362</v>
      </c>
      <c r="C87" t="s">
        <v>363</v>
      </c>
      <c r="D87" t="s">
        <v>218</v>
      </c>
      <c r="E87" t="s">
        <v>314</v>
      </c>
      <c r="F87" t="s">
        <v>496</v>
      </c>
      <c r="G87" t="s">
        <v>497</v>
      </c>
      <c r="H87" t="s">
        <v>498</v>
      </c>
      <c r="I87" t="s">
        <v>197</v>
      </c>
      <c r="J87" t="s">
        <v>197</v>
      </c>
      <c r="K87" s="34">
        <v>42998</v>
      </c>
      <c r="L87" s="8">
        <v>42998.46166666667</v>
      </c>
      <c r="M87" s="24">
        <f>LEN(ProjTextTable[[#This Row],[text]])</f>
        <v>6692</v>
      </c>
      <c r="N87" s="24">
        <f>LEN(TRIM(CLEAN(SUBSTITUTE(ProjTextTable[[#This Row],[text]],CHAR(10)," "))))+1 - LEN(SUBSTITUTE(CLEAN(SUBSTITUTE(ProjTextTable[[#This Row],[text]],CHAR(10)," "))," ",""))</f>
        <v>949</v>
      </c>
      <c r="O87" t="s">
        <v>226</v>
      </c>
      <c r="P87" t="s">
        <v>499</v>
      </c>
    </row>
    <row r="88" spans="1:16" x14ac:dyDescent="0.4">
      <c r="A88">
        <f t="shared" si="2"/>
        <v>14</v>
      </c>
      <c r="B88" t="s">
        <v>362</v>
      </c>
      <c r="C88" t="s">
        <v>363</v>
      </c>
      <c r="D88" t="s">
        <v>220</v>
      </c>
      <c r="E88" t="s">
        <v>314</v>
      </c>
      <c r="F88" t="s">
        <v>14</v>
      </c>
      <c r="G88" t="s">
        <v>14</v>
      </c>
      <c r="H88" t="s">
        <v>14</v>
      </c>
      <c r="K88" s="34"/>
      <c r="L88" s="8">
        <v>42935.705555555556</v>
      </c>
      <c r="M88" s="24">
        <f>LEN(ProjTextTable[[#This Row],[text]])</f>
        <v>4261</v>
      </c>
      <c r="N88" s="24">
        <f>LEN(TRIM(CLEAN(SUBSTITUTE(ProjTextTable[[#This Row],[text]],CHAR(10)," "))))+1 - LEN(SUBSTITUTE(CLEAN(SUBSTITUTE(ProjTextTable[[#This Row],[text]],CHAR(10)," "))," ",""))</f>
        <v>571</v>
      </c>
      <c r="O88" t="s">
        <v>14</v>
      </c>
      <c r="P88" t="s">
        <v>500</v>
      </c>
    </row>
    <row r="89" spans="1:16" x14ac:dyDescent="0.4">
      <c r="A89">
        <f t="shared" si="2"/>
        <v>15</v>
      </c>
      <c r="B89" t="s">
        <v>366</v>
      </c>
      <c r="C89" t="s">
        <v>367</v>
      </c>
      <c r="D89" t="s">
        <v>229</v>
      </c>
      <c r="E89" t="s">
        <v>318</v>
      </c>
      <c r="F89" t="s">
        <v>374</v>
      </c>
      <c r="G89" t="s">
        <v>375</v>
      </c>
      <c r="H89" t="s">
        <v>232</v>
      </c>
      <c r="I89" t="s">
        <v>221</v>
      </c>
      <c r="J89" t="s">
        <v>501</v>
      </c>
      <c r="K89" s="34">
        <v>43006</v>
      </c>
      <c r="L89" s="8"/>
      <c r="M89" s="24">
        <f>LEN(ProjTextTable[[#This Row],[text]])</f>
        <v>4292</v>
      </c>
      <c r="N89" s="24">
        <f>LEN(TRIM(CLEAN(SUBSTITUTE(ProjTextTable[[#This Row],[text]],CHAR(10)," "))))+1 - LEN(SUBSTITUTE(CLEAN(SUBSTITUTE(ProjTextTable[[#This Row],[text]],CHAR(10)," "))," ",""))</f>
        <v>597</v>
      </c>
      <c r="O89" t="s">
        <v>233</v>
      </c>
      <c r="P89" t="s">
        <v>502</v>
      </c>
    </row>
    <row r="90" spans="1:16" x14ac:dyDescent="0.4">
      <c r="A90">
        <f t="shared" si="2"/>
        <v>15</v>
      </c>
      <c r="B90" t="s">
        <v>366</v>
      </c>
      <c r="C90" t="s">
        <v>367</v>
      </c>
      <c r="D90" t="s">
        <v>218</v>
      </c>
      <c r="E90" t="s">
        <v>377</v>
      </c>
      <c r="F90" t="s">
        <v>378</v>
      </c>
      <c r="G90" t="s">
        <v>379</v>
      </c>
      <c r="H90" t="s">
        <v>380</v>
      </c>
      <c r="I90" t="s">
        <v>235</v>
      </c>
      <c r="J90" t="s">
        <v>197</v>
      </c>
      <c r="K90" s="34">
        <v>43007</v>
      </c>
      <c r="L90" s="8">
        <v>43002.689722222225</v>
      </c>
      <c r="M90" s="24">
        <f>LEN(ProjTextTable[[#This Row],[text]])</f>
        <v>4174</v>
      </c>
      <c r="N90" s="24">
        <f>LEN(TRIM(CLEAN(SUBSTITUTE(ProjTextTable[[#This Row],[text]],CHAR(10)," "))))+1 - LEN(SUBSTITUTE(CLEAN(SUBSTITUTE(ProjTextTable[[#This Row],[text]],CHAR(10)," "))," ",""))</f>
        <v>640</v>
      </c>
      <c r="O90" t="s">
        <v>227</v>
      </c>
      <c r="P90" t="s">
        <v>503</v>
      </c>
    </row>
    <row r="91" spans="1:16" x14ac:dyDescent="0.4">
      <c r="A91">
        <f t="shared" si="2"/>
        <v>15</v>
      </c>
      <c r="B91" t="s">
        <v>366</v>
      </c>
      <c r="C91" t="s">
        <v>367</v>
      </c>
      <c r="D91" t="s">
        <v>218</v>
      </c>
      <c r="E91" t="s">
        <v>377</v>
      </c>
      <c r="F91" t="s">
        <v>400</v>
      </c>
      <c r="G91" t="s">
        <v>401</v>
      </c>
      <c r="H91" t="s">
        <v>402</v>
      </c>
      <c r="I91" t="s">
        <v>235</v>
      </c>
      <c r="J91" t="s">
        <v>197</v>
      </c>
      <c r="K91" s="34">
        <v>43007</v>
      </c>
      <c r="L91" s="8">
        <v>43003.223055555558</v>
      </c>
      <c r="M91" s="24">
        <f>LEN(ProjTextTable[[#This Row],[text]])</f>
        <v>2435</v>
      </c>
      <c r="N91" s="24">
        <f>LEN(TRIM(CLEAN(SUBSTITUTE(ProjTextTable[[#This Row],[text]],CHAR(10)," "))))+1 - LEN(SUBSTITUTE(CLEAN(SUBSTITUTE(ProjTextTable[[#This Row],[text]],CHAR(10)," "))," ",""))</f>
        <v>326</v>
      </c>
      <c r="O91" t="s">
        <v>223</v>
      </c>
      <c r="P91" t="s">
        <v>504</v>
      </c>
    </row>
    <row r="92" spans="1:16" x14ac:dyDescent="0.4">
      <c r="A92">
        <f t="shared" si="2"/>
        <v>15</v>
      </c>
      <c r="B92" t="s">
        <v>366</v>
      </c>
      <c r="C92" t="s">
        <v>367</v>
      </c>
      <c r="D92" t="s">
        <v>218</v>
      </c>
      <c r="E92" t="s">
        <v>377</v>
      </c>
      <c r="F92" t="s">
        <v>432</v>
      </c>
      <c r="G92" t="s">
        <v>433</v>
      </c>
      <c r="H92" t="s">
        <v>434</v>
      </c>
      <c r="I92" t="s">
        <v>235</v>
      </c>
      <c r="J92" t="s">
        <v>197</v>
      </c>
      <c r="K92" s="34">
        <v>43007</v>
      </c>
      <c r="L92" s="8">
        <v>43003.003263888888</v>
      </c>
      <c r="M92" s="24">
        <f>LEN(ProjTextTable[[#This Row],[text]])</f>
        <v>6040</v>
      </c>
      <c r="N92" s="24">
        <f>LEN(TRIM(CLEAN(SUBSTITUTE(ProjTextTable[[#This Row],[text]],CHAR(10)," "))))+1 - LEN(SUBSTITUTE(CLEAN(SUBSTITUTE(ProjTextTable[[#This Row],[text]],CHAR(10)," "))," ",""))</f>
        <v>876</v>
      </c>
      <c r="O92" t="s">
        <v>222</v>
      </c>
      <c r="P92" t="s">
        <v>505</v>
      </c>
    </row>
    <row r="93" spans="1:16" x14ac:dyDescent="0.4">
      <c r="A93">
        <f t="shared" si="2"/>
        <v>15</v>
      </c>
      <c r="B93" t="s">
        <v>366</v>
      </c>
      <c r="C93" t="s">
        <v>367</v>
      </c>
      <c r="D93" t="s">
        <v>218</v>
      </c>
      <c r="E93" t="s">
        <v>377</v>
      </c>
      <c r="F93" t="s">
        <v>409</v>
      </c>
      <c r="G93" t="s">
        <v>410</v>
      </c>
      <c r="H93" t="s">
        <v>411</v>
      </c>
      <c r="I93" t="s">
        <v>235</v>
      </c>
      <c r="J93" t="s">
        <v>197</v>
      </c>
      <c r="K93" s="34">
        <v>43007</v>
      </c>
      <c r="L93" s="8">
        <v>43001.84233796296</v>
      </c>
      <c r="M93" s="24">
        <f>LEN(ProjTextTable[[#This Row],[text]])</f>
        <v>1876</v>
      </c>
      <c r="N93" s="24">
        <f>LEN(TRIM(CLEAN(SUBSTITUTE(ProjTextTable[[#This Row],[text]],CHAR(10)," "))))+1 - LEN(SUBSTITUTE(CLEAN(SUBSTITUTE(ProjTextTable[[#This Row],[text]],CHAR(10)," "))," ",""))</f>
        <v>273</v>
      </c>
      <c r="O93" t="s">
        <v>219</v>
      </c>
      <c r="P93" t="s">
        <v>506</v>
      </c>
    </row>
    <row r="94" spans="1:16" x14ac:dyDescent="0.4">
      <c r="A94">
        <f t="shared" si="2"/>
        <v>15</v>
      </c>
      <c r="B94" t="s">
        <v>366</v>
      </c>
      <c r="C94" t="s">
        <v>367</v>
      </c>
      <c r="D94" t="s">
        <v>220</v>
      </c>
      <c r="E94" t="s">
        <v>314</v>
      </c>
      <c r="F94" t="s">
        <v>14</v>
      </c>
      <c r="G94" t="s">
        <v>14</v>
      </c>
      <c r="H94" t="s">
        <v>14</v>
      </c>
      <c r="K94" s="34"/>
      <c r="L94" s="8">
        <v>42935.706944444442</v>
      </c>
      <c r="M94" s="24">
        <f>LEN(ProjTextTable[[#This Row],[text]])</f>
        <v>3043</v>
      </c>
      <c r="N94" s="24">
        <f>LEN(TRIM(CLEAN(SUBSTITUTE(ProjTextTable[[#This Row],[text]],CHAR(10)," "))))+1 - LEN(SUBSTITUTE(CLEAN(SUBSTITUTE(ProjTextTable[[#This Row],[text]],CHAR(10)," "))," ",""))</f>
        <v>408</v>
      </c>
      <c r="O94" t="s">
        <v>14</v>
      </c>
      <c r="P94" t="s">
        <v>507</v>
      </c>
    </row>
    <row r="95" spans="1:16" x14ac:dyDescent="0.4">
      <c r="A95">
        <f t="shared" si="2"/>
        <v>16</v>
      </c>
      <c r="B95" t="s">
        <v>370</v>
      </c>
      <c r="C95" t="s">
        <v>371</v>
      </c>
      <c r="D95" t="s">
        <v>229</v>
      </c>
      <c r="E95" t="s">
        <v>318</v>
      </c>
      <c r="F95" t="s">
        <v>374</v>
      </c>
      <c r="G95" t="s">
        <v>375</v>
      </c>
      <c r="H95" t="s">
        <v>287</v>
      </c>
      <c r="I95" t="s">
        <v>217</v>
      </c>
      <c r="K95" s="34">
        <v>43006</v>
      </c>
      <c r="L95" s="8"/>
      <c r="M95" s="24">
        <f>LEN(ProjTextTable[[#This Row],[text]])</f>
        <v>2191</v>
      </c>
      <c r="N95" s="24">
        <f>LEN(TRIM(CLEAN(SUBSTITUTE(ProjTextTable[[#This Row],[text]],CHAR(10)," "))))+1 - LEN(SUBSTITUTE(CLEAN(SUBSTITUTE(ProjTextTable[[#This Row],[text]],CHAR(10)," "))," ",""))</f>
        <v>307</v>
      </c>
      <c r="O95" t="s">
        <v>286</v>
      </c>
      <c r="P95" t="s">
        <v>508</v>
      </c>
    </row>
    <row r="96" spans="1:16" x14ac:dyDescent="0.4">
      <c r="A96">
        <f t="shared" si="2"/>
        <v>16</v>
      </c>
      <c r="B96" t="s">
        <v>370</v>
      </c>
      <c r="C96" t="s">
        <v>371</v>
      </c>
      <c r="D96" t="s">
        <v>218</v>
      </c>
      <c r="E96" t="s">
        <v>377</v>
      </c>
      <c r="F96" t="s">
        <v>404</v>
      </c>
      <c r="G96" t="s">
        <v>405</v>
      </c>
      <c r="H96" t="s">
        <v>406</v>
      </c>
      <c r="I96" t="s">
        <v>235</v>
      </c>
      <c r="J96" t="s">
        <v>197</v>
      </c>
      <c r="K96" s="34">
        <v>43007</v>
      </c>
      <c r="L96" s="8">
        <v>43000.894062500003</v>
      </c>
      <c r="M96" s="24">
        <f>LEN(ProjTextTable[[#This Row],[text]])</f>
        <v>2223</v>
      </c>
      <c r="N96" s="24">
        <f>LEN(TRIM(CLEAN(SUBSTITUTE(ProjTextTable[[#This Row],[text]],CHAR(10)," "))))+1 - LEN(SUBSTITUTE(CLEAN(SUBSTITUTE(ProjTextTable[[#This Row],[text]],CHAR(10)," "))," ",""))</f>
        <v>319</v>
      </c>
      <c r="O96" t="s">
        <v>219</v>
      </c>
      <c r="P96" t="s">
        <v>509</v>
      </c>
    </row>
    <row r="97" spans="1:16" x14ac:dyDescent="0.4">
      <c r="A97">
        <f t="shared" si="2"/>
        <v>16</v>
      </c>
      <c r="B97" t="s">
        <v>370</v>
      </c>
      <c r="C97" t="s">
        <v>371</v>
      </c>
      <c r="D97" t="s">
        <v>218</v>
      </c>
      <c r="E97" t="s">
        <v>377</v>
      </c>
      <c r="F97" t="s">
        <v>432</v>
      </c>
      <c r="G97" t="s">
        <v>433</v>
      </c>
      <c r="H97" t="s">
        <v>434</v>
      </c>
      <c r="I97" t="s">
        <v>235</v>
      </c>
      <c r="J97" t="s">
        <v>197</v>
      </c>
      <c r="K97" s="34">
        <v>43007</v>
      </c>
      <c r="L97" s="8">
        <v>43003.003738425927</v>
      </c>
      <c r="M97" s="24">
        <f>LEN(ProjTextTable[[#This Row],[text]])</f>
        <v>6348</v>
      </c>
      <c r="N97" s="24">
        <f>LEN(TRIM(CLEAN(SUBSTITUTE(ProjTextTable[[#This Row],[text]],CHAR(10)," "))))+1 - LEN(SUBSTITUTE(CLEAN(SUBSTITUTE(ProjTextTable[[#This Row],[text]],CHAR(10)," "))," ",""))</f>
        <v>937</v>
      </c>
      <c r="O97" t="s">
        <v>219</v>
      </c>
      <c r="P97" t="s">
        <v>510</v>
      </c>
    </row>
    <row r="98" spans="1:16" x14ac:dyDescent="0.4">
      <c r="A98">
        <f t="shared" ref="A98:A100" si="3">A97+(B98&lt;&gt;B97)</f>
        <v>16</v>
      </c>
      <c r="B98" t="s">
        <v>370</v>
      </c>
      <c r="C98" t="s">
        <v>371</v>
      </c>
      <c r="D98" t="s">
        <v>218</v>
      </c>
      <c r="E98" t="s">
        <v>377</v>
      </c>
      <c r="F98" t="s">
        <v>394</v>
      </c>
      <c r="G98" t="s">
        <v>395</v>
      </c>
      <c r="H98" t="s">
        <v>396</v>
      </c>
      <c r="I98" t="s">
        <v>235</v>
      </c>
      <c r="J98" t="s">
        <v>197</v>
      </c>
      <c r="K98" s="34">
        <v>43007</v>
      </c>
      <c r="L98" s="8">
        <v>43007.356469907405</v>
      </c>
      <c r="M98" s="24">
        <f>LEN(ProjTextTable[[#This Row],[text]])</f>
        <v>4067</v>
      </c>
      <c r="N98" s="24">
        <f>LEN(TRIM(CLEAN(SUBSTITUTE(ProjTextTable[[#This Row],[text]],CHAR(10)," "))))+1 - LEN(SUBSTITUTE(CLEAN(SUBSTITUTE(ProjTextTable[[#This Row],[text]],CHAR(10)," "))," ",""))</f>
        <v>606</v>
      </c>
      <c r="O98" t="s">
        <v>226</v>
      </c>
      <c r="P98" t="s">
        <v>511</v>
      </c>
    </row>
    <row r="99" spans="1:16" x14ac:dyDescent="0.4">
      <c r="A99">
        <f t="shared" si="3"/>
        <v>16</v>
      </c>
      <c r="B99" t="s">
        <v>370</v>
      </c>
      <c r="C99" t="s">
        <v>371</v>
      </c>
      <c r="D99" t="s">
        <v>218</v>
      </c>
      <c r="E99" t="s">
        <v>377</v>
      </c>
      <c r="F99" t="s">
        <v>409</v>
      </c>
      <c r="G99" t="s">
        <v>410</v>
      </c>
      <c r="H99" t="s">
        <v>411</v>
      </c>
      <c r="I99" t="s">
        <v>235</v>
      </c>
      <c r="J99" t="s">
        <v>197</v>
      </c>
      <c r="K99" s="34">
        <v>43007</v>
      </c>
      <c r="L99" s="8">
        <v>43001.75949074074</v>
      </c>
      <c r="M99" s="24">
        <f>LEN(ProjTextTable[[#This Row],[text]])</f>
        <v>2097</v>
      </c>
      <c r="N99" s="24">
        <f>LEN(TRIM(CLEAN(SUBSTITUTE(ProjTextTable[[#This Row],[text]],CHAR(10)," "))))+1 - LEN(SUBSTITUTE(CLEAN(SUBSTITUTE(ProjTextTable[[#This Row],[text]],CHAR(10)," "))," ",""))</f>
        <v>315</v>
      </c>
      <c r="O99" t="s">
        <v>223</v>
      </c>
      <c r="P99" t="s">
        <v>512</v>
      </c>
    </row>
    <row r="100" spans="1:16" x14ac:dyDescent="0.4">
      <c r="A100">
        <f t="shared" si="3"/>
        <v>16</v>
      </c>
      <c r="B100" t="s">
        <v>370</v>
      </c>
      <c r="C100" t="s">
        <v>371</v>
      </c>
      <c r="D100" t="s">
        <v>220</v>
      </c>
      <c r="E100" t="s">
        <v>318</v>
      </c>
      <c r="F100" t="s">
        <v>14</v>
      </c>
      <c r="G100" t="s">
        <v>14</v>
      </c>
      <c r="H100" t="s">
        <v>14</v>
      </c>
      <c r="K100" s="34"/>
      <c r="L100" s="8">
        <v>42935.757638888892</v>
      </c>
      <c r="M100" s="24">
        <f>LEN(ProjTextTable[[#This Row],[text]])</f>
        <v>4121</v>
      </c>
      <c r="N100" s="24">
        <f>LEN(TRIM(CLEAN(SUBSTITUTE(ProjTextTable[[#This Row],[text]],CHAR(10)," "))))+1 - LEN(SUBSTITUTE(CLEAN(SUBSTITUTE(ProjTextTable[[#This Row],[text]],CHAR(10)," "))," ",""))</f>
        <v>596</v>
      </c>
      <c r="O100" t="s">
        <v>14</v>
      </c>
      <c r="P100" t="s">
        <v>513</v>
      </c>
    </row>
    <row r="101" spans="1:16" x14ac:dyDescent="0.4">
      <c r="B101" t="s">
        <v>228</v>
      </c>
      <c r="K101" s="34"/>
      <c r="M101"/>
      <c r="N101"/>
      <c r="P101">
        <f>SUBTOTAL(103,ProjTextTable[text])</f>
        <v>99</v>
      </c>
    </row>
  </sheetData>
  <conditionalFormatting sqref="A2:P100">
    <cfRule type="expression" dxfId="2"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V18"/>
  <sheetViews>
    <sheetView workbookViewId="0"/>
  </sheetViews>
  <sheetFormatPr defaultRowHeight="14.6" x14ac:dyDescent="0.4"/>
  <cols>
    <col min="1" max="1" width="9.3046875" customWidth="1"/>
    <col min="2" max="2" width="38.3828125" customWidth="1"/>
    <col min="3" max="3" width="11.3828125" customWidth="1"/>
    <col min="4" max="4" width="5.3828125" customWidth="1"/>
    <col min="6" max="8" width="5.84375" style="34" customWidth="1"/>
    <col min="9" max="9" width="3.3046875" style="34" customWidth="1"/>
    <col min="10" max="10" width="3.53515625" style="34" customWidth="1"/>
    <col min="11" max="11" width="13.53515625" customWidth="1"/>
    <col min="12" max="12" width="3.84375" customWidth="1"/>
    <col min="13" max="14" width="7.3828125" hidden="1" customWidth="1"/>
    <col min="15" max="15" width="5.3828125" customWidth="1"/>
    <col min="16" max="16" width="11" customWidth="1"/>
    <col min="17" max="17" width="14.3046875" style="25" customWidth="1"/>
    <col min="18" max="18" width="5.3046875" style="43" customWidth="1"/>
    <col min="19" max="19" width="4.53515625" style="43" customWidth="1"/>
    <col min="20" max="20" width="11.84375" customWidth="1"/>
    <col min="21" max="21" width="4.3828125" customWidth="1"/>
    <col min="22" max="22" width="3.69140625" customWidth="1"/>
    <col min="23" max="23" width="8.69140625" style="34" customWidth="1"/>
    <col min="24" max="24" width="3.69140625" customWidth="1"/>
    <col min="25" max="25" width="9.23046875" style="34"/>
    <col min="26" max="26" width="9.53515625" style="34" customWidth="1"/>
    <col min="27" max="27" width="11.53515625" customWidth="1"/>
    <col min="28" max="28" width="12.15234375" customWidth="1"/>
    <col min="29" max="29" width="9.84375" customWidth="1"/>
    <col min="30" max="30" width="10.15234375" customWidth="1"/>
    <col min="31" max="31" width="4.3828125" customWidth="1"/>
    <col min="32" max="37" width="3" customWidth="1"/>
    <col min="38" max="38" width="9.23046875" style="1"/>
    <col min="40" max="40" width="85.53515625" customWidth="1"/>
    <col min="41" max="41" width="10.3828125" customWidth="1"/>
    <col min="42" max="42" width="9.53515625" style="13" customWidth="1"/>
    <col min="43" max="43" width="10.3828125" customWidth="1"/>
    <col min="44" max="44" width="15.3828125" customWidth="1"/>
    <col min="45" max="45" width="11.69140625" customWidth="1"/>
    <col min="46" max="46" width="9.3046875" hidden="1" customWidth="1"/>
    <col min="47" max="47" width="11" hidden="1" customWidth="1"/>
    <col min="48" max="51" width="4.3046875" customWidth="1"/>
  </cols>
  <sheetData>
    <row r="1" spans="1:48" x14ac:dyDescent="0.4">
      <c r="A1" s="84" t="s">
        <v>640</v>
      </c>
      <c r="T1" s="44" t="s">
        <v>275</v>
      </c>
      <c r="AF1" s="44" t="s">
        <v>268</v>
      </c>
      <c r="AG1" s="44"/>
      <c r="AH1" s="44"/>
      <c r="AI1" s="44"/>
      <c r="AJ1" s="44"/>
      <c r="AK1" s="44"/>
      <c r="AL1" s="45" t="s">
        <v>269</v>
      </c>
      <c r="AM1" s="44"/>
      <c r="AN1" s="44"/>
      <c r="AO1" s="44"/>
      <c r="AP1" s="46" t="s">
        <v>267</v>
      </c>
      <c r="AQ1" s="44"/>
      <c r="AR1" s="44"/>
      <c r="AS1" s="44"/>
      <c r="AT1" s="44"/>
      <c r="AU1" s="44"/>
      <c r="AV1" s="44" t="s">
        <v>270</v>
      </c>
    </row>
    <row r="2" spans="1:48" x14ac:dyDescent="0.4">
      <c r="A2" t="s">
        <v>645</v>
      </c>
      <c r="B2" t="s">
        <v>646</v>
      </c>
      <c r="F2"/>
      <c r="G2"/>
      <c r="H2"/>
      <c r="I2"/>
      <c r="J2"/>
      <c r="Q2"/>
      <c r="R2"/>
      <c r="S2"/>
      <c r="W2"/>
      <c r="Y2"/>
      <c r="Z2"/>
      <c r="AL2"/>
      <c r="AP2"/>
    </row>
    <row r="3" spans="1:48" x14ac:dyDescent="0.4">
      <c r="A3" t="s">
        <v>288</v>
      </c>
      <c r="B3" t="s">
        <v>647</v>
      </c>
      <c r="F3"/>
      <c r="G3"/>
      <c r="H3"/>
      <c r="I3"/>
      <c r="J3"/>
      <c r="Q3"/>
      <c r="R3"/>
      <c r="S3"/>
      <c r="W3"/>
      <c r="Y3"/>
      <c r="Z3"/>
      <c r="AL3"/>
      <c r="AP3"/>
    </row>
    <row r="4" spans="1:48" x14ac:dyDescent="0.4">
      <c r="A4" t="s">
        <v>648</v>
      </c>
      <c r="B4" t="s">
        <v>649</v>
      </c>
      <c r="F4"/>
      <c r="G4"/>
      <c r="H4"/>
      <c r="I4"/>
      <c r="J4"/>
      <c r="Q4"/>
      <c r="R4"/>
      <c r="S4"/>
      <c r="W4"/>
      <c r="Y4"/>
      <c r="Z4"/>
      <c r="AL4"/>
      <c r="AP4"/>
    </row>
    <row r="5" spans="1:48" x14ac:dyDescent="0.4">
      <c r="A5" t="s">
        <v>650</v>
      </c>
      <c r="B5" t="s">
        <v>651</v>
      </c>
      <c r="F5"/>
      <c r="G5"/>
      <c r="H5"/>
      <c r="I5"/>
      <c r="J5"/>
      <c r="Q5"/>
      <c r="R5"/>
      <c r="S5"/>
      <c r="W5"/>
      <c r="Y5"/>
      <c r="Z5"/>
      <c r="AL5"/>
      <c r="AP5"/>
    </row>
    <row r="6" spans="1:48" x14ac:dyDescent="0.4">
      <c r="A6" t="s">
        <v>652</v>
      </c>
      <c r="B6" t="s">
        <v>653</v>
      </c>
      <c r="F6"/>
      <c r="G6"/>
      <c r="H6"/>
      <c r="I6"/>
      <c r="J6"/>
      <c r="Q6"/>
      <c r="R6"/>
      <c r="S6"/>
      <c r="W6"/>
      <c r="Y6"/>
      <c r="Z6"/>
      <c r="AL6"/>
      <c r="AP6"/>
    </row>
    <row r="7" spans="1:48" x14ac:dyDescent="0.4">
      <c r="A7" t="s">
        <v>654</v>
      </c>
      <c r="B7" t="s">
        <v>655</v>
      </c>
      <c r="F7"/>
      <c r="G7"/>
      <c r="H7"/>
      <c r="I7"/>
      <c r="J7"/>
      <c r="Q7"/>
      <c r="R7"/>
      <c r="S7"/>
      <c r="W7"/>
      <c r="Y7"/>
      <c r="Z7"/>
      <c r="AL7"/>
      <c r="AP7"/>
    </row>
    <row r="8" spans="1:48" x14ac:dyDescent="0.4">
      <c r="A8" t="s">
        <v>656</v>
      </c>
      <c r="B8" t="s">
        <v>657</v>
      </c>
      <c r="F8"/>
      <c r="G8"/>
      <c r="H8"/>
      <c r="I8"/>
      <c r="J8"/>
      <c r="Q8"/>
      <c r="R8"/>
      <c r="S8"/>
      <c r="W8"/>
      <c r="Y8"/>
      <c r="Z8"/>
      <c r="AL8"/>
      <c r="AP8"/>
    </row>
    <row r="9" spans="1:48" x14ac:dyDescent="0.4">
      <c r="A9" t="s">
        <v>658</v>
      </c>
      <c r="B9" t="s">
        <v>659</v>
      </c>
      <c r="F9"/>
      <c r="G9"/>
      <c r="H9"/>
      <c r="I9"/>
      <c r="J9"/>
      <c r="Q9"/>
      <c r="R9"/>
      <c r="S9"/>
      <c r="W9"/>
      <c r="Y9"/>
      <c r="Z9"/>
      <c r="AL9"/>
      <c r="AP9"/>
    </row>
    <row r="10" spans="1:48" x14ac:dyDescent="0.4">
      <c r="I10"/>
      <c r="J10"/>
      <c r="Q10"/>
      <c r="R10"/>
      <c r="S10"/>
      <c r="W10"/>
      <c r="Y10"/>
      <c r="Z10"/>
      <c r="AL10"/>
      <c r="AP10"/>
    </row>
    <row r="11" spans="1:48" x14ac:dyDescent="0.4">
      <c r="I11"/>
      <c r="J11"/>
      <c r="Q11"/>
      <c r="R11"/>
      <c r="S11"/>
      <c r="W11"/>
      <c r="Y11"/>
      <c r="Z11"/>
      <c r="AL11"/>
      <c r="AP11"/>
    </row>
    <row r="12" spans="1:48" x14ac:dyDescent="0.4">
      <c r="I12"/>
      <c r="J12"/>
      <c r="Q12"/>
      <c r="R12"/>
      <c r="S12"/>
      <c r="W12"/>
      <c r="Y12"/>
      <c r="Z12"/>
      <c r="AL12"/>
      <c r="AP12"/>
    </row>
    <row r="13" spans="1:48" x14ac:dyDescent="0.4">
      <c r="I13"/>
      <c r="J13"/>
      <c r="Q13"/>
      <c r="R13"/>
      <c r="S13"/>
      <c r="W13"/>
      <c r="Y13"/>
      <c r="Z13"/>
      <c r="AL13"/>
      <c r="AP13"/>
    </row>
    <row r="14" spans="1:48" x14ac:dyDescent="0.4">
      <c r="I14"/>
      <c r="J14"/>
      <c r="Q14"/>
      <c r="R14"/>
      <c r="S14"/>
      <c r="W14"/>
      <c r="Y14"/>
      <c r="Z14"/>
      <c r="AL14"/>
      <c r="AP14"/>
    </row>
    <row r="15" spans="1:48" x14ac:dyDescent="0.4">
      <c r="I15"/>
      <c r="J15"/>
      <c r="Q15"/>
      <c r="R15"/>
      <c r="S15"/>
      <c r="W15"/>
      <c r="Y15"/>
      <c r="Z15"/>
      <c r="AL15"/>
      <c r="AP15"/>
    </row>
    <row r="16" spans="1:48" x14ac:dyDescent="0.4">
      <c r="I16"/>
      <c r="J16"/>
      <c r="Q16"/>
      <c r="R16"/>
      <c r="S16"/>
      <c r="W16"/>
      <c r="Y16"/>
      <c r="Z16"/>
      <c r="AL16"/>
      <c r="AP16"/>
    </row>
    <row r="17" spans="9:42" x14ac:dyDescent="0.4">
      <c r="I17"/>
      <c r="J17"/>
      <c r="Q17"/>
      <c r="R17"/>
      <c r="S17"/>
      <c r="W17"/>
      <c r="Y17"/>
      <c r="Z17"/>
      <c r="AL17"/>
      <c r="AP17"/>
    </row>
    <row r="18" spans="9:42" x14ac:dyDescent="0.4">
      <c r="I18"/>
      <c r="J18"/>
      <c r="Q18"/>
      <c r="R18"/>
      <c r="S18"/>
      <c r="W18"/>
      <c r="Y18"/>
      <c r="Z18"/>
      <c r="AL18"/>
      <c r="AP18"/>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7"/>
  <sheetViews>
    <sheetView showGridLines="0" workbookViewId="0">
      <selection activeCell="F16" sqref="F16"/>
    </sheetView>
  </sheetViews>
  <sheetFormatPr defaultRowHeight="14.6" x14ac:dyDescent="0.4"/>
  <cols>
    <col min="1" max="1" width="10.3828125" style="6" customWidth="1"/>
    <col min="2" max="2" width="16.3046875" customWidth="1"/>
    <col min="3" max="3" width="3.3046875" style="5" customWidth="1"/>
    <col min="4" max="4" width="15.69140625" style="26"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45.84375" customWidth="1"/>
    <col min="15" max="15" width="10.53515625" customWidth="1"/>
    <col min="16" max="16" width="9.84375"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x14ac:dyDescent="0.4">
      <c r="A1" s="65" t="s">
        <v>602</v>
      </c>
      <c r="H1" s="3" t="s">
        <v>272</v>
      </c>
      <c r="M1" s="20" t="s">
        <v>109</v>
      </c>
    </row>
    <row r="2" spans="1:13" ht="16" customHeight="1" x14ac:dyDescent="0.4">
      <c r="A2" s="9"/>
      <c r="H2" t="s">
        <v>273</v>
      </c>
      <c r="J2" s="33"/>
      <c r="M2" s="19" t="s">
        <v>110</v>
      </c>
    </row>
    <row r="3" spans="1:13" ht="16" customHeight="1" x14ac:dyDescent="0.4">
      <c r="J3" s="33"/>
      <c r="M3" s="19" t="s">
        <v>105</v>
      </c>
    </row>
    <row r="4" spans="1:13" ht="16" customHeight="1" x14ac:dyDescent="0.4">
      <c r="B4" s="4"/>
      <c r="C4" s="16"/>
      <c r="E4" s="4"/>
      <c r="F4" s="33"/>
      <c r="J4" s="33"/>
      <c r="M4" s="19" t="s">
        <v>111</v>
      </c>
    </row>
    <row r="5" spans="1:13" ht="16" customHeight="1" x14ac:dyDescent="0.4">
      <c r="E5" s="4"/>
      <c r="F5" s="33"/>
      <c r="J5" s="33"/>
      <c r="M5" s="19" t="s">
        <v>106</v>
      </c>
    </row>
    <row r="6" spans="1:13" ht="16" customHeight="1" x14ac:dyDescent="0.4">
      <c r="E6" s="4"/>
      <c r="F6" s="33"/>
      <c r="H6" t="s">
        <v>276</v>
      </c>
      <c r="J6" s="34"/>
      <c r="M6" s="19" t="s">
        <v>112</v>
      </c>
    </row>
    <row r="7" spans="1:13" ht="16" customHeight="1" x14ac:dyDescent="0.4">
      <c r="E7" s="4"/>
      <c r="F7" s="33"/>
      <c r="I7" s="27" t="s">
        <v>277</v>
      </c>
      <c r="J7" s="27"/>
      <c r="K7" s="7" t="s">
        <v>230</v>
      </c>
      <c r="M7" s="19" t="s">
        <v>113</v>
      </c>
    </row>
    <row r="8" spans="1:13" ht="16" customHeight="1" x14ac:dyDescent="0.4">
      <c r="E8" s="4"/>
      <c r="F8" s="47"/>
      <c r="I8" s="27" t="s">
        <v>278</v>
      </c>
      <c r="J8" s="27"/>
      <c r="K8" s="7" t="s">
        <v>231</v>
      </c>
      <c r="M8" s="19" t="s">
        <v>107</v>
      </c>
    </row>
    <row r="9" spans="1:13" ht="16" customHeight="1" x14ac:dyDescent="0.4">
      <c r="E9" s="4"/>
      <c r="F9" s="34"/>
      <c r="H9" s="3" t="s">
        <v>159</v>
      </c>
      <c r="M9" s="19" t="s">
        <v>114</v>
      </c>
    </row>
    <row r="10" spans="1:13" ht="18.45" x14ac:dyDescent="0.4">
      <c r="A10" s="51"/>
      <c r="B10" s="67" t="s">
        <v>601</v>
      </c>
      <c r="C10" s="67"/>
      <c r="D10" s="67"/>
      <c r="E10" s="52"/>
      <c r="H10" s="3" t="s">
        <v>160</v>
      </c>
      <c r="K10" s="6"/>
      <c r="M10" s="19" t="s">
        <v>115</v>
      </c>
    </row>
    <row r="11" spans="1:13" ht="15.9" x14ac:dyDescent="0.4">
      <c r="A11" s="53"/>
      <c r="B11" s="54" t="s">
        <v>575</v>
      </c>
      <c r="C11" s="54"/>
      <c r="D11" s="54" t="s">
        <v>576</v>
      </c>
      <c r="E11" s="54"/>
      <c r="H11" s="3" t="s">
        <v>271</v>
      </c>
      <c r="K11" s="6"/>
      <c r="M11" s="19" t="s">
        <v>103</v>
      </c>
    </row>
    <row r="12" spans="1:13" ht="20.149999999999999" customHeight="1" x14ac:dyDescent="0.4">
      <c r="B12" s="55" t="s">
        <v>577</v>
      </c>
      <c r="C12" s="55"/>
      <c r="D12" s="64" t="s">
        <v>593</v>
      </c>
      <c r="E12" s="56" t="s">
        <v>594</v>
      </c>
      <c r="K12" s="6"/>
      <c r="M12" s="19" t="s">
        <v>116</v>
      </c>
    </row>
    <row r="13" spans="1:13" ht="20.149999999999999" customHeight="1" x14ac:dyDescent="0.4">
      <c r="B13" s="55" t="s">
        <v>588</v>
      </c>
      <c r="C13" s="55"/>
      <c r="D13" s="57" t="s">
        <v>644</v>
      </c>
      <c r="E13" s="58"/>
      <c r="K13" s="6"/>
      <c r="M13" s="19" t="s">
        <v>117</v>
      </c>
    </row>
    <row r="14" spans="1:13" ht="20.149999999999999" customHeight="1" x14ac:dyDescent="0.4">
      <c r="B14" s="55" t="s">
        <v>582</v>
      </c>
      <c r="C14" s="55"/>
      <c r="D14" s="57" t="s">
        <v>583</v>
      </c>
      <c r="E14" s="58"/>
      <c r="I14" s="28" t="s">
        <v>158</v>
      </c>
      <c r="K14" s="6"/>
      <c r="M14" s="19" t="s">
        <v>118</v>
      </c>
    </row>
    <row r="15" spans="1:13" ht="20.149999999999999" customHeight="1" x14ac:dyDescent="0.4">
      <c r="B15" s="55" t="s">
        <v>578</v>
      </c>
      <c r="C15" s="55"/>
      <c r="D15" s="57" t="s">
        <v>597</v>
      </c>
      <c r="E15" s="58"/>
      <c r="G15" s="24"/>
      <c r="I15" s="28" t="s">
        <v>195</v>
      </c>
      <c r="K15" s="6"/>
      <c r="M15" s="19" t="s">
        <v>119</v>
      </c>
    </row>
    <row r="16" spans="1:13" ht="20.149999999999999" customHeight="1" x14ac:dyDescent="0.4">
      <c r="B16" s="55" t="s">
        <v>579</v>
      </c>
      <c r="C16" s="55"/>
      <c r="D16" s="59" t="s">
        <v>596</v>
      </c>
      <c r="E16" s="60"/>
      <c r="G16" s="24"/>
      <c r="I16" s="28" t="s">
        <v>236</v>
      </c>
      <c r="K16" s="6"/>
      <c r="M16" s="19" t="s">
        <v>120</v>
      </c>
    </row>
    <row r="17" spans="2:13" ht="20.149999999999999" customHeight="1" x14ac:dyDescent="0.4">
      <c r="B17" s="55" t="s">
        <v>580</v>
      </c>
      <c r="C17" s="55"/>
      <c r="D17" s="57" t="s">
        <v>595</v>
      </c>
      <c r="E17" s="58"/>
      <c r="G17" s="24"/>
      <c r="I17" s="28" t="s">
        <v>237</v>
      </c>
      <c r="K17" s="6"/>
      <c r="M17" s="19" t="s">
        <v>121</v>
      </c>
    </row>
    <row r="18" spans="2:13" ht="20.149999999999999" customHeight="1" x14ac:dyDescent="0.4">
      <c r="B18" s="55" t="s">
        <v>581</v>
      </c>
      <c r="C18" s="55"/>
      <c r="D18" s="57" t="s">
        <v>599</v>
      </c>
      <c r="E18" s="58"/>
      <c r="I18" s="28" t="s">
        <v>196</v>
      </c>
      <c r="K18" s="6"/>
      <c r="M18" s="19" t="s">
        <v>122</v>
      </c>
    </row>
    <row r="19" spans="2:13" ht="20.149999999999999" customHeight="1" x14ac:dyDescent="0.4">
      <c r="B19" s="55" t="s">
        <v>584</v>
      </c>
      <c r="C19" s="55"/>
      <c r="D19" s="57" t="s">
        <v>193</v>
      </c>
      <c r="E19" s="58"/>
      <c r="I19" s="28" t="s">
        <v>199</v>
      </c>
      <c r="K19" s="6"/>
      <c r="M19" s="19" t="s">
        <v>123</v>
      </c>
    </row>
    <row r="20" spans="2:13" ht="20.149999999999999" customHeight="1" x14ac:dyDescent="0.4">
      <c r="B20" s="55" t="s">
        <v>585</v>
      </c>
      <c r="C20" s="55"/>
      <c r="D20" s="57" t="s">
        <v>600</v>
      </c>
      <c r="E20" s="58"/>
      <c r="I20" s="28" t="s">
        <v>198</v>
      </c>
      <c r="K20" s="6"/>
      <c r="M20" s="19" t="s">
        <v>124</v>
      </c>
    </row>
    <row r="21" spans="2:13" ht="20.149999999999999" customHeight="1" x14ac:dyDescent="0.4">
      <c r="B21" s="55" t="s">
        <v>586</v>
      </c>
      <c r="C21" s="55"/>
      <c r="D21" s="57" t="s">
        <v>587</v>
      </c>
      <c r="E21" s="58"/>
      <c r="I21" s="28" t="s">
        <v>202</v>
      </c>
      <c r="K21" s="6"/>
      <c r="M21" s="19" t="s">
        <v>125</v>
      </c>
    </row>
    <row r="22" spans="2:13" ht="20.149999999999999" customHeight="1" x14ac:dyDescent="0.4">
      <c r="B22" s="55" t="s">
        <v>589</v>
      </c>
      <c r="C22" s="55"/>
      <c r="D22" s="57" t="s">
        <v>590</v>
      </c>
      <c r="E22" s="58"/>
      <c r="K22" s="6"/>
      <c r="M22" s="19" t="s">
        <v>126</v>
      </c>
    </row>
    <row r="23" spans="2:13" ht="20.149999999999999" customHeight="1" x14ac:dyDescent="0.4">
      <c r="B23" s="55" t="s">
        <v>591</v>
      </c>
      <c r="C23" s="55"/>
      <c r="D23" s="57" t="s">
        <v>592</v>
      </c>
      <c r="E23" s="58"/>
      <c r="M23" s="19" t="s">
        <v>127</v>
      </c>
    </row>
    <row r="24" spans="2:13" ht="20.149999999999999" customHeight="1" x14ac:dyDescent="0.4">
      <c r="B24" s="61"/>
      <c r="C24" s="61"/>
      <c r="D24" s="62"/>
      <c r="E24" s="63"/>
      <c r="M24" s="19" t="s">
        <v>104</v>
      </c>
    </row>
    <row r="25" spans="2:13" ht="20.149999999999999" customHeight="1" x14ac:dyDescent="0.4">
      <c r="B25" s="3"/>
      <c r="C25" s="3"/>
      <c r="D25" s="3"/>
      <c r="E25" s="3"/>
      <c r="M25" s="19" t="s">
        <v>128</v>
      </c>
    </row>
    <row r="26" spans="2:13" ht="20.149999999999999" customHeight="1" x14ac:dyDescent="0.4">
      <c r="C26"/>
      <c r="D26"/>
      <c r="M26" s="19" t="s">
        <v>129</v>
      </c>
    </row>
    <row r="27" spans="2:13" x14ac:dyDescent="0.4">
      <c r="C27"/>
      <c r="D27"/>
      <c r="H27" s="5"/>
      <c r="I27" s="26"/>
      <c r="M27" s="19" t="s">
        <v>130</v>
      </c>
    </row>
    <row r="28" spans="2:13" x14ac:dyDescent="0.4">
      <c r="B28" s="28"/>
      <c r="C28"/>
      <c r="D28" s="28"/>
      <c r="E28" s="28"/>
      <c r="H28" s="5"/>
      <c r="I28" s="26"/>
      <c r="M28" s="19" t="s">
        <v>131</v>
      </c>
    </row>
    <row r="29" spans="2:13" x14ac:dyDescent="0.4">
      <c r="B29" s="28"/>
      <c r="C29"/>
      <c r="D29" s="28"/>
      <c r="E29" s="28"/>
      <c r="G29" s="12"/>
      <c r="H29" s="5"/>
      <c r="I29" s="26"/>
      <c r="M29" s="19" t="s">
        <v>132</v>
      </c>
    </row>
    <row r="30" spans="2:13" x14ac:dyDescent="0.4">
      <c r="B30" s="28"/>
      <c r="C30"/>
      <c r="D30" s="28"/>
      <c r="G30" s="12"/>
      <c r="H30" s="5"/>
      <c r="I30" s="26"/>
      <c r="M30" s="19" t="s">
        <v>133</v>
      </c>
    </row>
    <row r="31" spans="2:13" x14ac:dyDescent="0.4">
      <c r="B31" s="28"/>
      <c r="C31"/>
      <c r="D31" s="28"/>
    </row>
    <row r="32" spans="2:13" ht="16" customHeight="1" x14ac:dyDescent="0.4">
      <c r="B32" s="28"/>
      <c r="C32"/>
      <c r="D32" s="28"/>
    </row>
    <row r="33" spans="2:4" x14ac:dyDescent="0.4">
      <c r="B33" s="28"/>
      <c r="C33"/>
      <c r="D33" s="28"/>
    </row>
    <row r="34" spans="2:4" x14ac:dyDescent="0.4">
      <c r="B34" s="28"/>
      <c r="C34"/>
      <c r="D34" s="28"/>
    </row>
    <row r="35" spans="2:4" x14ac:dyDescent="0.4">
      <c r="B35" s="28"/>
      <c r="C35"/>
      <c r="D35" s="28"/>
    </row>
    <row r="36" spans="2:4" x14ac:dyDescent="0.4">
      <c r="B36" s="28"/>
      <c r="C36" s="47"/>
      <c r="D36" s="28"/>
    </row>
    <row r="37" spans="2:4" x14ac:dyDescent="0.4">
      <c r="B37" s="28"/>
      <c r="C37"/>
      <c r="D37" s="28"/>
    </row>
    <row r="38" spans="2:4" x14ac:dyDescent="0.4">
      <c r="B38" s="28"/>
      <c r="C38"/>
      <c r="D38" s="28"/>
    </row>
    <row r="39" spans="2:4" x14ac:dyDescent="0.4">
      <c r="B39" s="28"/>
      <c r="C39"/>
      <c r="D39" s="28"/>
    </row>
    <row r="40" spans="2:4" x14ac:dyDescent="0.4">
      <c r="B40" s="28"/>
      <c r="C40"/>
      <c r="D40" s="28"/>
    </row>
    <row r="41" spans="2:4" x14ac:dyDescent="0.4">
      <c r="B41" s="28"/>
      <c r="C41"/>
      <c r="D41" s="28"/>
    </row>
    <row r="42" spans="2:4" x14ac:dyDescent="0.4">
      <c r="B42" s="28"/>
      <c r="C42"/>
      <c r="D42" s="28"/>
    </row>
    <row r="43" spans="2:4" x14ac:dyDescent="0.4">
      <c r="B43" s="28"/>
      <c r="C43"/>
      <c r="D43" s="28"/>
    </row>
    <row r="44" spans="2:4" x14ac:dyDescent="0.4">
      <c r="B44" s="28"/>
      <c r="C44"/>
      <c r="D44" s="28"/>
    </row>
    <row r="45" spans="2:4" x14ac:dyDescent="0.4">
      <c r="B45" s="28"/>
      <c r="C45"/>
      <c r="D45" s="28"/>
    </row>
    <row r="46" spans="2:4" x14ac:dyDescent="0.4">
      <c r="B46" s="28"/>
      <c r="C46"/>
      <c r="D46" s="28"/>
    </row>
    <row r="47" spans="2:4" x14ac:dyDescent="0.4">
      <c r="D47" s="28"/>
    </row>
  </sheetData>
  <mergeCells count="1">
    <mergeCell ref="B10:D10"/>
  </mergeCells>
  <conditionalFormatting sqref="D12:E23">
    <cfRule type="expression" dxfId="1" priority="1">
      <formula>SEARCH("eg:",D12)=1</formula>
    </cfRule>
  </conditionalFormatting>
  <dataValidations count="1">
    <dataValidation type="list" allowBlank="1" showInputMessage="1" showErrorMessage="1" sqref="B26 D26 E26">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9</xdr:col>
                    <xdr:colOff>457200</xdr:colOff>
                    <xdr:row>7</xdr:row>
                    <xdr:rowOff>174171</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A963"/>
  <sheetViews>
    <sheetView workbookViewId="0">
      <selection activeCell="R3" sqref="R3"/>
    </sheetView>
  </sheetViews>
  <sheetFormatPr defaultRowHeight="14.6" x14ac:dyDescent="0.4"/>
  <cols>
    <col min="1" max="1" width="9.3046875" customWidth="1"/>
    <col min="2" max="2" width="15.3828125" style="25" customWidth="1"/>
    <col min="3" max="3" width="15" style="25" customWidth="1"/>
    <col min="4" max="4" width="9.3046875" customWidth="1"/>
    <col min="5" max="5" width="6.69140625" style="5" customWidth="1"/>
    <col min="6" max="7" width="6.69140625" customWidth="1"/>
    <col min="8" max="8" width="11.3046875" customWidth="1"/>
    <col min="9" max="9" width="8.84375" customWidth="1"/>
    <col min="10" max="10" width="6.3828125" customWidth="1"/>
    <col min="11" max="11" width="8.15234375" customWidth="1"/>
    <col min="12" max="12" width="11" customWidth="1"/>
    <col min="13" max="13" width="5" style="30" customWidth="1"/>
    <col min="14" max="16" width="4" customWidth="1"/>
    <col min="17" max="17" width="12.84375" customWidth="1"/>
    <col min="18" max="18" width="5.84375" customWidth="1"/>
    <col min="19" max="19" width="12.69140625" customWidth="1"/>
    <col min="20" max="20" width="18.53515625" customWidth="1"/>
    <col min="21" max="21" width="11.15234375" customWidth="1"/>
    <col min="22" max="22" width="9.3828125" customWidth="1"/>
    <col min="23" max="23" width="9.69140625" customWidth="1"/>
    <col min="24" max="24" width="5.3046875" customWidth="1"/>
    <col min="25" max="25" width="5.15234375" customWidth="1"/>
    <col min="26" max="26" width="4.69140625" customWidth="1"/>
    <col min="27" max="27" width="9.3046875" customWidth="1"/>
    <col min="28" max="28" width="3" customWidth="1"/>
    <col min="29" max="29" width="3.53515625" customWidth="1"/>
    <col min="30" max="30" width="4.15234375" style="5" customWidth="1"/>
    <col min="31" max="31" width="4.15234375" style="34" customWidth="1"/>
    <col min="32" max="32" width="4.69140625" style="34" customWidth="1"/>
    <col min="33" max="33" width="4.15234375" style="34" customWidth="1"/>
    <col min="34" max="34" width="5.3828125" customWidth="1"/>
    <col min="35" max="35" width="9.3046875" customWidth="1"/>
    <col min="36" max="36" width="11.84375" style="30" customWidth="1"/>
    <col min="37" max="37" width="13.69140625" customWidth="1"/>
    <col min="38" max="38" width="19.84375" customWidth="1"/>
    <col min="39" max="40" width="13.15234375" style="36" customWidth="1"/>
    <col min="41" max="41" width="3.3046875" style="24" customWidth="1"/>
    <col min="42" max="42" width="8.69140625" style="24" customWidth="1"/>
    <col min="43" max="43" width="9.3046875" customWidth="1"/>
    <col min="44" max="44" width="9.15234375" style="24" customWidth="1"/>
    <col min="45" max="45" width="15.53515625" style="24" customWidth="1"/>
    <col min="46" max="46" width="20.15234375" style="24" customWidth="1"/>
    <col min="47" max="47" width="9.3828125" style="24" customWidth="1"/>
    <col min="48" max="48" width="3.69140625" style="24" customWidth="1"/>
    <col min="49" max="49" width="10.15234375" customWidth="1"/>
    <col min="50" max="50" width="41.84375" customWidth="1"/>
    <col min="51" max="51" width="3" style="24" customWidth="1"/>
    <col min="52" max="52" width="3" customWidth="1"/>
    <col min="53" max="54" width="3" style="24" customWidth="1"/>
    <col min="55" max="58" width="3" customWidth="1"/>
    <col min="59" max="60" width="3" style="31" customWidth="1"/>
    <col min="61" max="61" width="3" customWidth="1"/>
    <col min="62" max="62" width="3" style="24" customWidth="1"/>
    <col min="63" max="64" width="3" customWidth="1"/>
    <col min="65" max="65" width="25.53515625" customWidth="1"/>
    <col min="66" max="67" width="13.15234375" style="36" customWidth="1"/>
    <col min="68" max="68" width="3.53515625" customWidth="1"/>
    <col min="69" max="69" width="9.3828125" style="24" customWidth="1"/>
    <col min="70" max="70" width="3.53515625" customWidth="1"/>
    <col min="71" max="75" width="10" customWidth="1"/>
    <col min="76" max="76" width="10" style="30" customWidth="1"/>
    <col min="77" max="77" width="5" customWidth="1"/>
    <col min="78" max="78" width="10" customWidth="1"/>
    <col min="79" max="79" width="12.53515625" style="13" customWidth="1"/>
    <col min="80" max="80" width="9" customWidth="1"/>
    <col min="81" max="81" width="2.15234375" style="13" customWidth="1"/>
    <col min="82" max="88" width="2.15234375" customWidth="1"/>
    <col min="89" max="89" width="2.15234375" style="5" customWidth="1"/>
    <col min="90" max="94" width="2.15234375" customWidth="1"/>
    <col min="95" max="95" width="2.15234375" style="5" customWidth="1"/>
    <col min="96" max="96" width="2.15234375" customWidth="1"/>
    <col min="97" max="97" width="2.15234375" style="30" customWidth="1"/>
    <col min="98" max="101" width="2.15234375" customWidth="1"/>
    <col min="102" max="102" width="2.15234375" style="5" customWidth="1"/>
    <col min="103" max="147" width="2.15234375" customWidth="1"/>
    <col min="148" max="149" width="5.53515625" customWidth="1"/>
  </cols>
  <sheetData>
    <row r="1" spans="1:131" ht="61.4" customHeight="1" x14ac:dyDescent="0.4">
      <c r="A1" s="5" t="s">
        <v>166</v>
      </c>
      <c r="B1" s="25" t="s">
        <v>7</v>
      </c>
      <c r="C1" s="25" t="s">
        <v>17</v>
      </c>
      <c r="D1" s="34" t="s">
        <v>88</v>
      </c>
      <c r="E1" t="s">
        <v>187</v>
      </c>
      <c r="F1" t="s">
        <v>185</v>
      </c>
      <c r="G1" s="2" t="s">
        <v>94</v>
      </c>
      <c r="H1" t="s">
        <v>8</v>
      </c>
      <c r="I1" t="s">
        <v>5</v>
      </c>
      <c r="J1" t="s">
        <v>4</v>
      </c>
      <c r="K1" t="s">
        <v>93</v>
      </c>
      <c r="L1" t="s">
        <v>18</v>
      </c>
      <c r="M1" s="50" t="s">
        <v>201</v>
      </c>
      <c r="N1" t="s">
        <v>24</v>
      </c>
      <c r="O1" s="29" t="s">
        <v>161</v>
      </c>
      <c r="P1" s="29" t="s">
        <v>203</v>
      </c>
      <c r="Q1" s="29" t="s">
        <v>162</v>
      </c>
      <c r="R1" s="29" t="s">
        <v>164</v>
      </c>
      <c r="S1" s="29" t="s">
        <v>163</v>
      </c>
      <c r="T1" t="s">
        <v>152</v>
      </c>
      <c r="U1" s="14" t="s">
        <v>168</v>
      </c>
      <c r="V1" s="34" t="s">
        <v>169</v>
      </c>
      <c r="W1" s="14" t="s">
        <v>173</v>
      </c>
      <c r="X1" s="14" t="s">
        <v>1</v>
      </c>
      <c r="Y1" s="14" t="s">
        <v>239</v>
      </c>
      <c r="Z1" s="14" t="s">
        <v>240</v>
      </c>
      <c r="AA1" s="14" t="s">
        <v>165</v>
      </c>
      <c r="AB1" s="14" t="s">
        <v>38</v>
      </c>
      <c r="AC1" s="30" t="s">
        <v>39</v>
      </c>
      <c r="AD1" t="s">
        <v>40</v>
      </c>
      <c r="AE1" t="s">
        <v>41</v>
      </c>
      <c r="AF1" s="36" t="s">
        <v>42</v>
      </c>
      <c r="AG1" s="36" t="s">
        <v>43</v>
      </c>
      <c r="AH1" s="24" t="s">
        <v>170</v>
      </c>
      <c r="AI1" s="24" t="s">
        <v>171</v>
      </c>
      <c r="AJ1" s="34" t="s">
        <v>172</v>
      </c>
      <c r="AK1" s="24" t="s">
        <v>25</v>
      </c>
      <c r="AL1" s="24" t="s">
        <v>28</v>
      </c>
      <c r="AM1" s="34" t="s">
        <v>27</v>
      </c>
      <c r="AN1" s="5" t="s">
        <v>175</v>
      </c>
      <c r="AO1" s="24" t="s">
        <v>26</v>
      </c>
      <c r="AP1" t="s">
        <v>176</v>
      </c>
      <c r="AQ1" s="24" t="s">
        <v>29</v>
      </c>
      <c r="AR1" s="13" t="s">
        <v>32</v>
      </c>
      <c r="AS1" s="24" t="s">
        <v>31</v>
      </c>
      <c r="AT1" s="34" t="s">
        <v>177</v>
      </c>
      <c r="AU1" s="24" t="s">
        <v>30</v>
      </c>
      <c r="AV1" s="34" t="s">
        <v>178</v>
      </c>
      <c r="AW1" t="s">
        <v>33</v>
      </c>
      <c r="AX1" s="31" t="s">
        <v>36</v>
      </c>
      <c r="AY1" t="s">
        <v>34</v>
      </c>
      <c r="AZ1" t="s">
        <v>35</v>
      </c>
      <c r="BA1" s="34" t="s">
        <v>179</v>
      </c>
      <c r="BB1" t="s">
        <v>180</v>
      </c>
      <c r="BC1" t="s">
        <v>37</v>
      </c>
      <c r="BD1" s="36" t="s">
        <v>22</v>
      </c>
      <c r="BE1" s="36" t="s">
        <v>23</v>
      </c>
      <c r="BF1" t="s">
        <v>181</v>
      </c>
      <c r="BG1" s="34" t="s">
        <v>20</v>
      </c>
      <c r="BH1" t="s">
        <v>21</v>
      </c>
      <c r="BI1" t="s">
        <v>3</v>
      </c>
      <c r="BJ1" t="s">
        <v>184</v>
      </c>
      <c r="BK1" t="s">
        <v>200</v>
      </c>
      <c r="BL1" t="s">
        <v>188</v>
      </c>
      <c r="BM1" t="s">
        <v>186</v>
      </c>
      <c r="BN1" t="s">
        <v>182</v>
      </c>
      <c r="BO1" t="s">
        <v>183</v>
      </c>
      <c r="BP1" s="13" t="s">
        <v>44</v>
      </c>
      <c r="BQ1" t="s">
        <v>45</v>
      </c>
      <c r="BR1" t="s">
        <v>46</v>
      </c>
      <c r="BS1" t="s">
        <v>47</v>
      </c>
      <c r="BT1" t="s">
        <v>48</v>
      </c>
      <c r="BU1" s="13" t="s">
        <v>49</v>
      </c>
      <c r="BV1" s="13" t="s">
        <v>50</v>
      </c>
      <c r="BW1" t="s">
        <v>51</v>
      </c>
      <c r="BX1" t="s">
        <v>52</v>
      </c>
      <c r="BY1" t="s">
        <v>53</v>
      </c>
      <c r="BZ1" t="s">
        <v>54</v>
      </c>
      <c r="CA1" s="13" t="s">
        <v>55</v>
      </c>
      <c r="CB1" s="13" t="s">
        <v>56</v>
      </c>
      <c r="CC1" t="s">
        <v>57</v>
      </c>
      <c r="CD1" t="s">
        <v>58</v>
      </c>
      <c r="CE1" t="s">
        <v>59</v>
      </c>
      <c r="CF1" t="s">
        <v>60</v>
      </c>
      <c r="CG1" s="13" t="s">
        <v>61</v>
      </c>
      <c r="CH1" s="13" t="s">
        <v>62</v>
      </c>
      <c r="CI1" t="s">
        <v>63</v>
      </c>
      <c r="CJ1" t="s">
        <v>64</v>
      </c>
      <c r="CK1" t="s">
        <v>65</v>
      </c>
      <c r="CL1" t="s">
        <v>66</v>
      </c>
      <c r="CM1" s="13" t="s">
        <v>67</v>
      </c>
      <c r="CN1" s="13" t="s">
        <v>68</v>
      </c>
      <c r="CO1" t="s">
        <v>69</v>
      </c>
      <c r="CP1" t="s">
        <v>70</v>
      </c>
      <c r="CQ1" t="s">
        <v>71</v>
      </c>
      <c r="CR1" t="s">
        <v>72</v>
      </c>
      <c r="CS1" s="13" t="s">
        <v>73</v>
      </c>
      <c r="CT1" s="13" t="s">
        <v>74</v>
      </c>
      <c r="CU1" t="s">
        <v>75</v>
      </c>
      <c r="CV1" t="s">
        <v>76</v>
      </c>
      <c r="CW1" t="s">
        <v>77</v>
      </c>
      <c r="CX1" t="s">
        <v>78</v>
      </c>
      <c r="CY1" t="s">
        <v>79</v>
      </c>
      <c r="CZ1" s="13" t="s">
        <v>80</v>
      </c>
      <c r="DA1" t="s">
        <v>81</v>
      </c>
      <c r="DB1" t="s">
        <v>82</v>
      </c>
      <c r="DC1" t="s">
        <v>83</v>
      </c>
      <c r="DD1" s="31" t="s">
        <v>84</v>
      </c>
      <c r="DE1" t="s">
        <v>85</v>
      </c>
      <c r="DF1" t="s">
        <v>86</v>
      </c>
      <c r="DG1" t="s">
        <v>167</v>
      </c>
      <c r="DH1" t="s">
        <v>87</v>
      </c>
      <c r="DI1" t="s">
        <v>907</v>
      </c>
      <c r="DJ1" t="s">
        <v>908</v>
      </c>
      <c r="DK1" t="s">
        <v>909</v>
      </c>
      <c r="DL1" t="s">
        <v>9</v>
      </c>
      <c r="DM1" t="s">
        <v>910</v>
      </c>
      <c r="DN1" t="s">
        <v>911</v>
      </c>
      <c r="DO1" t="s">
        <v>696</v>
      </c>
      <c r="DP1" t="s">
        <v>697</v>
      </c>
      <c r="DQ1" t="s">
        <v>912</v>
      </c>
      <c r="DR1" t="s">
        <v>913</v>
      </c>
      <c r="DS1" t="s">
        <v>914</v>
      </c>
      <c r="DT1" t="s">
        <v>915</v>
      </c>
      <c r="DU1" t="s">
        <v>916</v>
      </c>
      <c r="DV1" t="s">
        <v>917</v>
      </c>
      <c r="DW1" t="s">
        <v>918</v>
      </c>
      <c r="DX1" t="s">
        <v>919</v>
      </c>
      <c r="DY1" t="s">
        <v>920</v>
      </c>
      <c r="DZ1" t="s">
        <v>921</v>
      </c>
      <c r="EA1" t="s">
        <v>922</v>
      </c>
    </row>
    <row r="2" spans="1:131" hidden="1" x14ac:dyDescent="0.4">
      <c r="A2" s="34">
        <v>36526</v>
      </c>
      <c r="B2" s="25">
        <v>36526</v>
      </c>
      <c r="C2" s="25">
        <v>36526</v>
      </c>
      <c r="D2" s="34">
        <v>36526</v>
      </c>
      <c r="E2" t="s">
        <v>994</v>
      </c>
      <c r="F2" t="s">
        <v>995</v>
      </c>
      <c r="G2" t="s">
        <v>994</v>
      </c>
      <c r="H2" t="s">
        <v>992</v>
      </c>
      <c r="I2" t="s">
        <v>993</v>
      </c>
      <c r="J2" t="s">
        <v>994</v>
      </c>
      <c r="K2" t="s">
        <v>993</v>
      </c>
      <c r="L2" t="s">
        <v>991</v>
      </c>
      <c r="M2" s="30">
        <v>-0.99999998999999995</v>
      </c>
      <c r="N2">
        <v>4.5</v>
      </c>
      <c r="P2" t="str">
        <f>IFERROR(MID(RADataTable[[#This Row],[RATemplate]],1,LEN(RADataTable[[#This Row],[RATemplate]])-8),"RA") &amp; " " &amp; RADataTable[[#This Row],[prop_id0]] &amp; " " &amp; RADataTable[[#This Row],[last0]]</f>
        <v>RA 1234567 PI last name for format.</v>
      </c>
      <c r="T2">
        <v>0</v>
      </c>
      <c r="U2">
        <v>0</v>
      </c>
      <c r="V2" s="34">
        <v>36526</v>
      </c>
      <c r="W2">
        <v>0</v>
      </c>
      <c r="X2" s="7" t="str">
        <f>HYPERLINK("https://www.ejacket.nsf.gov/ej/showProposal.do?Continue=Y&amp;ID="&amp;RADataTable[[#This Row],[prop_id0]],"eJ")</f>
        <v>eJ</v>
      </c>
      <c r="Y2" s="7" t="str">
        <f>HYPERLINK("mailto:"&amp;RADataTable[[#This Row],[email]]&amp;"&amp;subject=Your NSF Proposal:  "&amp;RADataTable[[#This Row],[Div]]&amp;" "&amp;RADataTable[[#This Row],[prop_id0]], RADataTable[[#This Row],[email]])</f>
        <v>Email of lead PI on the project</v>
      </c>
      <c r="Z2" s="7" t="str">
        <f>HYPERLINK("mailto:"&amp;RADataTable[[#This Row],[allPIemail]]&amp;"&amp;subject=NSF Proposal:  "&amp;RADataTable[[#This Row],[Div]]&amp;" "&amp;RADataTable[[#This Row],[prop_id0]], "PIs@")</f>
        <v>PIs@</v>
      </c>
      <c r="AA2" t="s">
        <v>994</v>
      </c>
      <c r="AB2" t="s">
        <v>997</v>
      </c>
      <c r="AC2" s="30" t="s">
        <v>1004</v>
      </c>
      <c r="AD2" t="s">
        <v>1005</v>
      </c>
      <c r="AE2" t="s">
        <v>1006</v>
      </c>
      <c r="AF2" s="36">
        <v>99999999</v>
      </c>
      <c r="AG2" s="36">
        <v>99999999</v>
      </c>
      <c r="AH2" s="24">
        <v>0</v>
      </c>
      <c r="AI2" t="s">
        <v>238</v>
      </c>
      <c r="AJ2" s="34">
        <v>36526</v>
      </c>
      <c r="AK2" t="s">
        <v>1000</v>
      </c>
      <c r="AL2" t="s">
        <v>1001</v>
      </c>
      <c r="AM2" t="s">
        <v>1002</v>
      </c>
      <c r="AN2" s="34">
        <v>36526</v>
      </c>
      <c r="AO2" s="24">
        <v>99</v>
      </c>
      <c r="AP2" t="s">
        <v>998</v>
      </c>
      <c r="AQ2" t="s">
        <v>1000</v>
      </c>
      <c r="AR2" s="35" t="s">
        <v>1001</v>
      </c>
      <c r="AS2" t="s">
        <v>1002</v>
      </c>
      <c r="AT2" s="34">
        <v>36526</v>
      </c>
      <c r="AU2" s="24">
        <v>99</v>
      </c>
      <c r="AV2" s="34" t="s">
        <v>998</v>
      </c>
      <c r="AW2" t="s">
        <v>1000</v>
      </c>
      <c r="AX2" s="34" t="s">
        <v>1001</v>
      </c>
      <c r="AY2">
        <v>99</v>
      </c>
      <c r="AZ2" t="s">
        <v>1002</v>
      </c>
      <c r="BA2" s="34">
        <v>36526</v>
      </c>
      <c r="BB2" t="s">
        <v>998</v>
      </c>
      <c r="BC2" t="s">
        <v>999</v>
      </c>
      <c r="BD2" s="36">
        <v>99999999</v>
      </c>
      <c r="BE2" s="36">
        <v>99999999</v>
      </c>
      <c r="BF2">
        <v>0</v>
      </c>
      <c r="BG2" s="34">
        <v>36526</v>
      </c>
      <c r="BH2">
        <v>36</v>
      </c>
      <c r="BI2" t="s">
        <v>1008</v>
      </c>
      <c r="BJ2" t="s">
        <v>1010</v>
      </c>
      <c r="BK2" t="s">
        <v>1011</v>
      </c>
      <c r="BL2" t="s">
        <v>1012</v>
      </c>
      <c r="BM2" s="8" t="s">
        <v>1014</v>
      </c>
      <c r="BN2" t="s">
        <v>1015</v>
      </c>
      <c r="BO2" t="s">
        <v>1016</v>
      </c>
      <c r="BP2" s="35" t="s">
        <v>1007</v>
      </c>
      <c r="BQ2" t="s">
        <v>997</v>
      </c>
      <c r="BR2" t="s">
        <v>1004</v>
      </c>
      <c r="BS2" t="s">
        <v>1005</v>
      </c>
      <c r="BT2" t="s">
        <v>1006</v>
      </c>
      <c r="BU2" s="35">
        <v>99999999</v>
      </c>
      <c r="BV2" s="35">
        <v>99999999</v>
      </c>
      <c r="BW2" t="s">
        <v>1007</v>
      </c>
      <c r="BX2" t="s">
        <v>997</v>
      </c>
      <c r="BY2" t="s">
        <v>1004</v>
      </c>
      <c r="BZ2" t="s">
        <v>1005</v>
      </c>
      <c r="CA2" s="35" t="s">
        <v>1006</v>
      </c>
      <c r="CB2" s="35">
        <v>99999999</v>
      </c>
      <c r="CC2">
        <v>99999999</v>
      </c>
      <c r="CD2" t="s">
        <v>1007</v>
      </c>
      <c r="CE2" t="s">
        <v>997</v>
      </c>
      <c r="CF2" t="s">
        <v>1004</v>
      </c>
      <c r="CG2" s="35" t="s">
        <v>1005</v>
      </c>
      <c r="CH2" s="35" t="s">
        <v>1006</v>
      </c>
      <c r="CI2">
        <v>99999999</v>
      </c>
      <c r="CJ2">
        <v>99999999</v>
      </c>
      <c r="CK2" t="s">
        <v>1007</v>
      </c>
      <c r="CL2" t="s">
        <v>997</v>
      </c>
      <c r="CM2" s="35" t="s">
        <v>1004</v>
      </c>
      <c r="CN2" s="35" t="s">
        <v>1005</v>
      </c>
      <c r="CO2" t="s">
        <v>1006</v>
      </c>
      <c r="CP2">
        <v>99999999</v>
      </c>
      <c r="CQ2">
        <v>99999999</v>
      </c>
      <c r="CR2" t="s">
        <v>1007</v>
      </c>
      <c r="CS2" s="35" t="s">
        <v>997</v>
      </c>
      <c r="CT2" s="35" t="s">
        <v>1004</v>
      </c>
      <c r="CU2" t="s">
        <v>1005</v>
      </c>
      <c r="CV2" t="s">
        <v>1006</v>
      </c>
      <c r="CW2">
        <v>99999999</v>
      </c>
      <c r="CX2">
        <v>99999999</v>
      </c>
      <c r="CY2" t="s">
        <v>1007</v>
      </c>
      <c r="CZ2" s="35" t="s">
        <v>997</v>
      </c>
      <c r="DA2" t="s">
        <v>1004</v>
      </c>
      <c r="DB2" t="s">
        <v>1005</v>
      </c>
      <c r="DC2" t="s">
        <v>1006</v>
      </c>
      <c r="DD2" s="34">
        <v>99999999</v>
      </c>
      <c r="DE2">
        <v>99999999</v>
      </c>
      <c r="DF2" t="s">
        <v>1007</v>
      </c>
      <c r="DG2" t="s">
        <v>1017</v>
      </c>
      <c r="DH2" t="s">
        <v>1018</v>
      </c>
      <c r="DI2" t="s">
        <v>996</v>
      </c>
      <c r="DJ2" t="s">
        <v>996</v>
      </c>
      <c r="DK2" t="s">
        <v>996</v>
      </c>
      <c r="DL2" t="s">
        <v>997</v>
      </c>
      <c r="DM2">
        <v>1</v>
      </c>
      <c r="DN2">
        <v>9</v>
      </c>
      <c r="DO2" t="s">
        <v>998</v>
      </c>
      <c r="DP2">
        <v>0</v>
      </c>
      <c r="DQ2" t="s">
        <v>1003</v>
      </c>
      <c r="DR2">
        <v>0</v>
      </c>
      <c r="DS2">
        <v>0</v>
      </c>
      <c r="DT2" t="s">
        <v>1003</v>
      </c>
      <c r="DU2">
        <v>0</v>
      </c>
      <c r="DV2">
        <v>0</v>
      </c>
      <c r="DW2" t="s">
        <v>1003</v>
      </c>
      <c r="DX2">
        <v>0</v>
      </c>
      <c r="DY2">
        <v>0</v>
      </c>
      <c r="DZ2" t="s">
        <v>1009</v>
      </c>
      <c r="EA2" t="s">
        <v>1013</v>
      </c>
    </row>
    <row r="3" spans="1:131" x14ac:dyDescent="0.4">
      <c r="A3" s="34">
        <v>43067.305104166669</v>
      </c>
      <c r="B3" s="25">
        <v>42933.820138888892</v>
      </c>
      <c r="D3" s="34"/>
      <c r="E3" s="34" t="s">
        <v>193</v>
      </c>
      <c r="F3" s="34" t="s">
        <v>191</v>
      </c>
      <c r="G3" s="34" t="s">
        <v>100</v>
      </c>
      <c r="H3" t="s">
        <v>279</v>
      </c>
      <c r="I3" t="s">
        <v>243</v>
      </c>
      <c r="J3" t="s">
        <v>712</v>
      </c>
      <c r="K3" t="s">
        <v>713</v>
      </c>
      <c r="L3" t="s">
        <v>711</v>
      </c>
      <c r="M3" s="30">
        <v>1.01</v>
      </c>
      <c r="N3">
        <v>8</v>
      </c>
      <c r="P3" s="24" t="str">
        <f>IFERROR(MID(RADataTable[[#This Row],[RATemplate]],1,LEN(RADataTable[[#This Row],[RATemplate]])-8),"RA") &amp; " " &amp; RADataTable[[#This Row],[prop_id0]] &amp; " " &amp; RADataTable[[#This Row],[last0]]</f>
        <v>RA 1749609 Lee</v>
      </c>
      <c r="T3">
        <v>4</v>
      </c>
      <c r="U3">
        <v>4</v>
      </c>
      <c r="V3" s="34">
        <v>43031.375694444447</v>
      </c>
      <c r="W3">
        <v>1</v>
      </c>
      <c r="X3" s="15" t="str">
        <f>HYPERLINK("https://www.ejacket.nsf.gov/ej/showProposal.do?Continue=Y&amp;ID="&amp;RADataTable[[#This Row],[prop_id0]],"eJ")</f>
        <v>eJ</v>
      </c>
      <c r="Y3" s="15" t="str">
        <f>HYPERLINK("mailto:"&amp;RADataTable[[#This Row],[email]]&amp;"&amp;subject=Your NSF Proposal:  "&amp;RADataTable[[#This Row],[Div]]&amp;" "&amp;RADataTable[[#This Row],[prop_id0]], RADataTable[[#This Row],[email]])</f>
        <v>yintat@uw.edu</v>
      </c>
      <c r="Z3" s="15" t="str">
        <f>HYPERLINK("mailto:"&amp;RADataTable[[#This Row],[allPIemail]]&amp;"&amp;subject=NSF Proposal:  "&amp;RADataTable[[#This Row],[Div]]&amp;" "&amp;RADataTable[[#This Row],[prop_id0]], "PIs@")</f>
        <v>PIs@</v>
      </c>
      <c r="AA3" t="s">
        <v>245</v>
      </c>
      <c r="AB3" t="s">
        <v>665</v>
      </c>
      <c r="AC3" s="30" t="s">
        <v>741</v>
      </c>
      <c r="AD3" t="s">
        <v>742</v>
      </c>
      <c r="AE3" t="s">
        <v>281</v>
      </c>
      <c r="AF3" s="36">
        <v>549841</v>
      </c>
      <c r="AG3" s="36">
        <v>549841</v>
      </c>
      <c r="AH3" s="24"/>
      <c r="AJ3" s="34"/>
      <c r="AK3" t="s">
        <v>923</v>
      </c>
      <c r="AL3" t="s">
        <v>282</v>
      </c>
      <c r="AM3" s="34" t="s">
        <v>925</v>
      </c>
      <c r="AN3" s="34">
        <v>43032</v>
      </c>
      <c r="AO3" s="24">
        <v>1</v>
      </c>
      <c r="AP3" t="s">
        <v>938</v>
      </c>
      <c r="AR3" s="35"/>
      <c r="AS3"/>
      <c r="AT3" s="34"/>
      <c r="AV3" s="34"/>
      <c r="AX3" s="34"/>
      <c r="AY3"/>
      <c r="BA3" s="34"/>
      <c r="BB3"/>
      <c r="BC3" t="s">
        <v>745</v>
      </c>
      <c r="BD3" s="36">
        <v>549841</v>
      </c>
      <c r="BE3" s="36">
        <v>549841</v>
      </c>
      <c r="BF3">
        <v>0</v>
      </c>
      <c r="BG3" s="34">
        <v>43175</v>
      </c>
      <c r="BH3">
        <v>60</v>
      </c>
      <c r="BI3" t="s">
        <v>283</v>
      </c>
      <c r="BJ3" t="s">
        <v>928</v>
      </c>
      <c r="BK3" t="s">
        <v>234</v>
      </c>
      <c r="BL3" t="s">
        <v>194</v>
      </c>
      <c r="BM3" s="8" t="s">
        <v>192</v>
      </c>
      <c r="BN3" t="s">
        <v>189</v>
      </c>
      <c r="BO3" t="s">
        <v>190</v>
      </c>
      <c r="BP3" s="35" t="s">
        <v>718</v>
      </c>
      <c r="BQ3"/>
      <c r="BU3" s="35"/>
      <c r="BV3" s="35"/>
      <c r="BX3"/>
      <c r="CA3" s="35"/>
      <c r="CB3" s="35"/>
      <c r="CC3"/>
      <c r="CG3" s="35"/>
      <c r="CH3" s="35"/>
      <c r="CK3"/>
      <c r="CM3" s="35"/>
      <c r="CN3" s="35"/>
      <c r="CQ3"/>
      <c r="CS3" s="35"/>
      <c r="CT3" s="35"/>
      <c r="CX3"/>
      <c r="CZ3" s="35"/>
      <c r="DD3" s="34"/>
      <c r="DG3" t="s">
        <v>743</v>
      </c>
      <c r="DH3" t="s">
        <v>939</v>
      </c>
      <c r="DI3" t="s">
        <v>280</v>
      </c>
      <c r="DL3" t="s">
        <v>665</v>
      </c>
      <c r="DM3">
        <v>6</v>
      </c>
      <c r="DN3">
        <v>9</v>
      </c>
      <c r="DO3" t="s">
        <v>744</v>
      </c>
      <c r="DQ3" t="s">
        <v>927</v>
      </c>
      <c r="DR3">
        <v>14</v>
      </c>
      <c r="DS3">
        <v>3</v>
      </c>
      <c r="DU3">
        <v>14</v>
      </c>
      <c r="DV3">
        <v>3</v>
      </c>
      <c r="DX3">
        <v>14</v>
      </c>
      <c r="DY3">
        <v>3</v>
      </c>
      <c r="DZ3" t="s">
        <v>246</v>
      </c>
      <c r="EA3" t="s">
        <v>929</v>
      </c>
    </row>
    <row r="4" spans="1:131" x14ac:dyDescent="0.4">
      <c r="A4" s="34">
        <v>43067.305104166669</v>
      </c>
      <c r="B4" s="25">
        <v>42933.820138888892</v>
      </c>
      <c r="D4" s="34"/>
      <c r="E4" s="34" t="s">
        <v>193</v>
      </c>
      <c r="F4" s="34" t="s">
        <v>191</v>
      </c>
      <c r="G4" s="34" t="s">
        <v>100</v>
      </c>
      <c r="H4" t="s">
        <v>279</v>
      </c>
      <c r="I4" t="s">
        <v>243</v>
      </c>
      <c r="J4" t="s">
        <v>712</v>
      </c>
      <c r="K4" t="s">
        <v>713</v>
      </c>
      <c r="L4" t="s">
        <v>711</v>
      </c>
      <c r="M4" s="30">
        <v>1.01</v>
      </c>
      <c r="N4">
        <v>8</v>
      </c>
      <c r="P4" s="24" t="str">
        <f>IFERROR(MID(RADataTable[[#This Row],[RATemplate]],1,LEN(RADataTable[[#This Row],[RATemplate]])-8),"RA") &amp; " " &amp; RADataTable[[#This Row],[prop_id0]] &amp; " " &amp; RADataTable[[#This Row],[last0]]</f>
        <v>RA 1749609 Lee</v>
      </c>
      <c r="T4">
        <v>4</v>
      </c>
      <c r="U4">
        <v>4</v>
      </c>
      <c r="V4" s="34">
        <v>43031.375694444447</v>
      </c>
      <c r="W4">
        <v>1</v>
      </c>
      <c r="X4" s="15" t="str">
        <f>HYPERLINK("https://www.ejacket.nsf.gov/ej/showProposal.do?Continue=Y&amp;ID="&amp;RADataTable[[#This Row],[prop_id0]],"eJ")</f>
        <v>eJ</v>
      </c>
      <c r="Y4" s="15" t="str">
        <f>HYPERLINK("mailto:"&amp;RADataTable[[#This Row],[email]]&amp;"&amp;subject=Your NSF Proposal:  "&amp;RADataTable[[#This Row],[Div]]&amp;" "&amp;RADataTable[[#This Row],[prop_id0]], RADataTable[[#This Row],[email]])</f>
        <v>yintat@uw.edu</v>
      </c>
      <c r="Z4" s="15" t="str">
        <f>HYPERLINK("mailto:"&amp;RADataTable[[#This Row],[allPIemail]]&amp;"&amp;subject=NSF Proposal:  "&amp;RADataTable[[#This Row],[Div]]&amp;" "&amp;RADataTable[[#This Row],[prop_id0]], "PIs@")</f>
        <v>PIs@</v>
      </c>
      <c r="AA4" t="s">
        <v>245</v>
      </c>
      <c r="AB4" t="s">
        <v>665</v>
      </c>
      <c r="AC4" s="30" t="s">
        <v>741</v>
      </c>
      <c r="AD4" t="s">
        <v>742</v>
      </c>
      <c r="AE4" t="s">
        <v>281</v>
      </c>
      <c r="AF4" s="36">
        <v>549841</v>
      </c>
      <c r="AG4" s="36">
        <v>549841</v>
      </c>
      <c r="AH4" s="24"/>
      <c r="AJ4" s="34"/>
      <c r="AK4" t="s">
        <v>923</v>
      </c>
      <c r="AL4" t="s">
        <v>282</v>
      </c>
      <c r="AM4" s="34" t="s">
        <v>925</v>
      </c>
      <c r="AN4" s="34">
        <v>43032</v>
      </c>
      <c r="AO4" s="24">
        <v>1</v>
      </c>
      <c r="AP4" t="s">
        <v>938</v>
      </c>
      <c r="AR4" s="35"/>
      <c r="AS4"/>
      <c r="AT4" s="34"/>
      <c r="AV4" s="34"/>
      <c r="AX4" s="34"/>
      <c r="AY4"/>
      <c r="BA4" s="34"/>
      <c r="BB4"/>
      <c r="BC4" t="s">
        <v>745</v>
      </c>
      <c r="BD4" s="36">
        <v>549841</v>
      </c>
      <c r="BE4" s="36">
        <v>549841</v>
      </c>
      <c r="BF4">
        <v>0</v>
      </c>
      <c r="BG4" s="34">
        <v>43175</v>
      </c>
      <c r="BH4">
        <v>60</v>
      </c>
      <c r="BI4" t="s">
        <v>283</v>
      </c>
      <c r="BJ4" t="s">
        <v>928</v>
      </c>
      <c r="BK4" t="s">
        <v>234</v>
      </c>
      <c r="BL4" t="s">
        <v>194</v>
      </c>
      <c r="BM4" s="8" t="s">
        <v>192</v>
      </c>
      <c r="BN4" t="s">
        <v>189</v>
      </c>
      <c r="BO4" t="s">
        <v>190</v>
      </c>
      <c r="BP4" s="35" t="s">
        <v>718</v>
      </c>
      <c r="BQ4"/>
      <c r="BU4" s="35"/>
      <c r="BV4" s="35"/>
      <c r="BX4"/>
      <c r="CA4" s="35"/>
      <c r="CB4" s="35"/>
      <c r="CC4"/>
      <c r="CG4" s="35"/>
      <c r="CH4" s="35"/>
      <c r="CK4"/>
      <c r="CM4" s="35"/>
      <c r="CN4" s="35"/>
      <c r="CQ4"/>
      <c r="CS4" s="35"/>
      <c r="CT4" s="35"/>
      <c r="CX4"/>
      <c r="CZ4" s="35"/>
      <c r="DD4" s="34"/>
      <c r="DG4" t="s">
        <v>743</v>
      </c>
      <c r="DH4" t="s">
        <v>939</v>
      </c>
      <c r="DI4" t="s">
        <v>280</v>
      </c>
      <c r="DL4" t="s">
        <v>665</v>
      </c>
      <c r="DM4">
        <v>6</v>
      </c>
      <c r="DN4">
        <v>9</v>
      </c>
      <c r="DO4" t="s">
        <v>744</v>
      </c>
      <c r="DQ4" t="s">
        <v>927</v>
      </c>
      <c r="DR4">
        <v>14</v>
      </c>
      <c r="DS4">
        <v>3</v>
      </c>
      <c r="DU4">
        <v>14</v>
      </c>
      <c r="DV4">
        <v>3</v>
      </c>
      <c r="DX4">
        <v>14</v>
      </c>
      <c r="DY4">
        <v>3</v>
      </c>
      <c r="DZ4" t="s">
        <v>246</v>
      </c>
      <c r="EA4" t="s">
        <v>929</v>
      </c>
    </row>
    <row r="5" spans="1:131" x14ac:dyDescent="0.4">
      <c r="A5" s="34">
        <v>43067.305104166669</v>
      </c>
      <c r="B5" s="25">
        <v>42933.820138888892</v>
      </c>
      <c r="D5" s="34"/>
      <c r="E5" s="34" t="s">
        <v>193</v>
      </c>
      <c r="F5" s="34" t="s">
        <v>191</v>
      </c>
      <c r="G5" s="34" t="s">
        <v>100</v>
      </c>
      <c r="H5" t="s">
        <v>279</v>
      </c>
      <c r="I5" t="s">
        <v>243</v>
      </c>
      <c r="J5" t="s">
        <v>712</v>
      </c>
      <c r="K5" t="s">
        <v>713</v>
      </c>
      <c r="L5" t="s">
        <v>711</v>
      </c>
      <c r="M5" s="30">
        <v>1.01</v>
      </c>
      <c r="N5">
        <v>8</v>
      </c>
      <c r="P5" s="24" t="str">
        <f>IFERROR(MID(RADataTable[[#This Row],[RATemplate]],1,LEN(RADataTable[[#This Row],[RATemplate]])-8),"RA") &amp; " " &amp; RADataTable[[#This Row],[prop_id0]] &amp; " " &amp; RADataTable[[#This Row],[last0]]</f>
        <v>RA 1749609 Lee</v>
      </c>
      <c r="T5">
        <v>4</v>
      </c>
      <c r="U5">
        <v>4</v>
      </c>
      <c r="V5" s="34">
        <v>43031.375694444447</v>
      </c>
      <c r="W5">
        <v>1</v>
      </c>
      <c r="X5" s="15" t="str">
        <f>HYPERLINK("https://www.ejacket.nsf.gov/ej/showProposal.do?Continue=Y&amp;ID="&amp;RADataTable[[#This Row],[prop_id0]],"eJ")</f>
        <v>eJ</v>
      </c>
      <c r="Y5" s="15" t="str">
        <f>HYPERLINK("mailto:"&amp;RADataTable[[#This Row],[email]]&amp;"&amp;subject=Your NSF Proposal:  "&amp;RADataTable[[#This Row],[Div]]&amp;" "&amp;RADataTable[[#This Row],[prop_id0]], RADataTable[[#This Row],[email]])</f>
        <v>yintat@uw.edu</v>
      </c>
      <c r="Z5" s="15" t="str">
        <f>HYPERLINK("mailto:"&amp;RADataTable[[#This Row],[allPIemail]]&amp;"&amp;subject=NSF Proposal:  "&amp;RADataTable[[#This Row],[Div]]&amp;" "&amp;RADataTable[[#This Row],[prop_id0]], "PIs@")</f>
        <v>PIs@</v>
      </c>
      <c r="AA5" t="s">
        <v>245</v>
      </c>
      <c r="AB5" t="s">
        <v>665</v>
      </c>
      <c r="AC5" s="30" t="s">
        <v>741</v>
      </c>
      <c r="AD5" t="s">
        <v>742</v>
      </c>
      <c r="AE5" t="s">
        <v>281</v>
      </c>
      <c r="AF5" s="36">
        <v>549841</v>
      </c>
      <c r="AG5" s="36">
        <v>549841</v>
      </c>
      <c r="AH5" s="24"/>
      <c r="AJ5" s="34"/>
      <c r="AK5" t="s">
        <v>923</v>
      </c>
      <c r="AL5" t="s">
        <v>282</v>
      </c>
      <c r="AM5" s="34" t="s">
        <v>925</v>
      </c>
      <c r="AN5" s="34">
        <v>43032</v>
      </c>
      <c r="AO5" s="24">
        <v>1</v>
      </c>
      <c r="AP5" t="s">
        <v>938</v>
      </c>
      <c r="AR5" s="35"/>
      <c r="AS5"/>
      <c r="AT5" s="34"/>
      <c r="AV5" s="34"/>
      <c r="AX5" s="34"/>
      <c r="AY5"/>
      <c r="BA5" s="34"/>
      <c r="BB5"/>
      <c r="BC5" t="s">
        <v>745</v>
      </c>
      <c r="BD5" s="36">
        <v>549841</v>
      </c>
      <c r="BE5" s="36">
        <v>549841</v>
      </c>
      <c r="BF5">
        <v>0</v>
      </c>
      <c r="BG5" s="34">
        <v>43175</v>
      </c>
      <c r="BH5">
        <v>60</v>
      </c>
      <c r="BI5" t="s">
        <v>283</v>
      </c>
      <c r="BJ5" t="s">
        <v>928</v>
      </c>
      <c r="BK5" t="s">
        <v>234</v>
      </c>
      <c r="BL5" t="s">
        <v>194</v>
      </c>
      <c r="BM5" s="8" t="s">
        <v>192</v>
      </c>
      <c r="BN5" t="s">
        <v>189</v>
      </c>
      <c r="BO5" t="s">
        <v>190</v>
      </c>
      <c r="BP5" s="35" t="s">
        <v>718</v>
      </c>
      <c r="BQ5"/>
      <c r="BU5" s="35"/>
      <c r="BV5" s="35"/>
      <c r="BX5"/>
      <c r="CA5" s="35"/>
      <c r="CB5" s="35"/>
      <c r="CC5"/>
      <c r="CG5" s="35"/>
      <c r="CH5" s="35"/>
      <c r="CK5"/>
      <c r="CM5" s="35"/>
      <c r="CN5" s="35"/>
      <c r="CQ5"/>
      <c r="CS5" s="35"/>
      <c r="CT5" s="35"/>
      <c r="CX5"/>
      <c r="CZ5" s="35"/>
      <c r="DD5" s="34"/>
      <c r="DG5" t="s">
        <v>743</v>
      </c>
      <c r="DH5" t="s">
        <v>939</v>
      </c>
      <c r="DI5" t="s">
        <v>280</v>
      </c>
      <c r="DL5" t="s">
        <v>665</v>
      </c>
      <c r="DM5">
        <v>6</v>
      </c>
      <c r="DN5">
        <v>9</v>
      </c>
      <c r="DO5" t="s">
        <v>744</v>
      </c>
      <c r="DQ5" t="s">
        <v>927</v>
      </c>
      <c r="DR5">
        <v>14</v>
      </c>
      <c r="DS5">
        <v>3</v>
      </c>
      <c r="DU5">
        <v>14</v>
      </c>
      <c r="DV5">
        <v>3</v>
      </c>
      <c r="DX5">
        <v>14</v>
      </c>
      <c r="DY5">
        <v>3</v>
      </c>
      <c r="DZ5" t="s">
        <v>246</v>
      </c>
      <c r="EA5" t="s">
        <v>929</v>
      </c>
    </row>
    <row r="6" spans="1:131" x14ac:dyDescent="0.4">
      <c r="A6" s="34">
        <v>43067.305104166669</v>
      </c>
      <c r="B6" s="25">
        <v>42933.820138888892</v>
      </c>
      <c r="D6" s="34"/>
      <c r="E6" s="34" t="s">
        <v>193</v>
      </c>
      <c r="F6" s="34" t="s">
        <v>191</v>
      </c>
      <c r="G6" s="34" t="s">
        <v>100</v>
      </c>
      <c r="H6" t="s">
        <v>279</v>
      </c>
      <c r="I6" t="s">
        <v>243</v>
      </c>
      <c r="J6" t="s">
        <v>712</v>
      </c>
      <c r="K6" t="s">
        <v>713</v>
      </c>
      <c r="L6" t="s">
        <v>711</v>
      </c>
      <c r="M6" s="30">
        <v>1.01</v>
      </c>
      <c r="N6">
        <v>8</v>
      </c>
      <c r="P6" s="24" t="str">
        <f>IFERROR(MID(RADataTable[[#This Row],[RATemplate]],1,LEN(RADataTable[[#This Row],[RATemplate]])-8),"RA") &amp; " " &amp; RADataTable[[#This Row],[prop_id0]] &amp; " " &amp; RADataTable[[#This Row],[last0]]</f>
        <v>RA 1749609 Lee</v>
      </c>
      <c r="T6">
        <v>4</v>
      </c>
      <c r="U6">
        <v>4</v>
      </c>
      <c r="V6" s="34">
        <v>43031.375694444447</v>
      </c>
      <c r="W6">
        <v>1</v>
      </c>
      <c r="X6" s="15" t="str">
        <f>HYPERLINK("https://www.ejacket.nsf.gov/ej/showProposal.do?Continue=Y&amp;ID="&amp;RADataTable[[#This Row],[prop_id0]],"eJ")</f>
        <v>eJ</v>
      </c>
      <c r="Y6" s="15" t="str">
        <f>HYPERLINK("mailto:"&amp;RADataTable[[#This Row],[email]]&amp;"&amp;subject=Your NSF Proposal:  "&amp;RADataTable[[#This Row],[Div]]&amp;" "&amp;RADataTable[[#This Row],[prop_id0]], RADataTable[[#This Row],[email]])</f>
        <v>yintat@uw.edu</v>
      </c>
      <c r="Z6" s="15" t="str">
        <f>HYPERLINK("mailto:"&amp;RADataTable[[#This Row],[allPIemail]]&amp;"&amp;subject=NSF Proposal:  "&amp;RADataTable[[#This Row],[Div]]&amp;" "&amp;RADataTable[[#This Row],[prop_id0]], "PIs@")</f>
        <v>PIs@</v>
      </c>
      <c r="AA6" t="s">
        <v>245</v>
      </c>
      <c r="AB6" t="s">
        <v>665</v>
      </c>
      <c r="AC6" s="30" t="s">
        <v>741</v>
      </c>
      <c r="AD6" t="s">
        <v>742</v>
      </c>
      <c r="AE6" t="s">
        <v>281</v>
      </c>
      <c r="AF6" s="36">
        <v>549841</v>
      </c>
      <c r="AG6" s="36">
        <v>549841</v>
      </c>
      <c r="AH6" s="24"/>
      <c r="AJ6" s="34"/>
      <c r="AK6" t="s">
        <v>923</v>
      </c>
      <c r="AL6" t="s">
        <v>282</v>
      </c>
      <c r="AM6" s="34" t="s">
        <v>925</v>
      </c>
      <c r="AN6" s="34">
        <v>43032</v>
      </c>
      <c r="AO6" s="24">
        <v>1</v>
      </c>
      <c r="AP6" t="s">
        <v>938</v>
      </c>
      <c r="AR6" s="35"/>
      <c r="AS6"/>
      <c r="AT6" s="34"/>
      <c r="AV6" s="34"/>
      <c r="AX6" s="34"/>
      <c r="AY6"/>
      <c r="BA6" s="34"/>
      <c r="BB6"/>
      <c r="BC6" t="s">
        <v>745</v>
      </c>
      <c r="BD6" s="36">
        <v>549841</v>
      </c>
      <c r="BE6" s="36">
        <v>549841</v>
      </c>
      <c r="BF6">
        <v>0</v>
      </c>
      <c r="BG6" s="34">
        <v>43175</v>
      </c>
      <c r="BH6">
        <v>60</v>
      </c>
      <c r="BI6" t="s">
        <v>283</v>
      </c>
      <c r="BJ6" t="s">
        <v>928</v>
      </c>
      <c r="BK6" t="s">
        <v>234</v>
      </c>
      <c r="BL6" t="s">
        <v>194</v>
      </c>
      <c r="BM6" s="8" t="s">
        <v>192</v>
      </c>
      <c r="BN6" t="s">
        <v>189</v>
      </c>
      <c r="BO6" t="s">
        <v>190</v>
      </c>
      <c r="BP6" s="35" t="s">
        <v>718</v>
      </c>
      <c r="BQ6"/>
      <c r="BU6" s="35"/>
      <c r="BV6" s="35"/>
      <c r="BX6"/>
      <c r="CA6" s="35"/>
      <c r="CB6" s="35"/>
      <c r="CC6"/>
      <c r="CG6" s="35"/>
      <c r="CH6" s="35"/>
      <c r="CK6"/>
      <c r="CM6" s="35"/>
      <c r="CN6" s="35"/>
      <c r="CQ6"/>
      <c r="CS6" s="35"/>
      <c r="CT6" s="35"/>
      <c r="CX6"/>
      <c r="CZ6" s="35"/>
      <c r="DD6" s="34"/>
      <c r="DG6" t="s">
        <v>743</v>
      </c>
      <c r="DH6" t="s">
        <v>939</v>
      </c>
      <c r="DI6" t="s">
        <v>280</v>
      </c>
      <c r="DL6" t="s">
        <v>665</v>
      </c>
      <c r="DM6">
        <v>6</v>
      </c>
      <c r="DN6">
        <v>9</v>
      </c>
      <c r="DO6" t="s">
        <v>744</v>
      </c>
      <c r="DQ6" t="s">
        <v>927</v>
      </c>
      <c r="DR6">
        <v>14</v>
      </c>
      <c r="DS6">
        <v>3</v>
      </c>
      <c r="DU6">
        <v>14</v>
      </c>
      <c r="DV6">
        <v>3</v>
      </c>
      <c r="DX6">
        <v>14</v>
      </c>
      <c r="DY6">
        <v>3</v>
      </c>
      <c r="DZ6" t="s">
        <v>246</v>
      </c>
      <c r="EA6" t="s">
        <v>929</v>
      </c>
    </row>
    <row r="7" spans="1:131" x14ac:dyDescent="0.4">
      <c r="A7" s="34">
        <v>43067.305104166669</v>
      </c>
      <c r="B7" s="25">
        <v>42933.820138888892</v>
      </c>
      <c r="D7" s="34"/>
      <c r="E7" s="34" t="s">
        <v>193</v>
      </c>
      <c r="F7" s="34" t="s">
        <v>191</v>
      </c>
      <c r="G7" s="34" t="s">
        <v>100</v>
      </c>
      <c r="H7" t="s">
        <v>279</v>
      </c>
      <c r="I7" t="s">
        <v>243</v>
      </c>
      <c r="J7" t="s">
        <v>712</v>
      </c>
      <c r="K7" t="s">
        <v>713</v>
      </c>
      <c r="L7" t="s">
        <v>711</v>
      </c>
      <c r="M7" s="30">
        <v>1.01</v>
      </c>
      <c r="N7">
        <v>8</v>
      </c>
      <c r="P7" s="24" t="str">
        <f>IFERROR(MID(RADataTable[[#This Row],[RATemplate]],1,LEN(RADataTable[[#This Row],[RATemplate]])-8),"RA") &amp; " " &amp; RADataTable[[#This Row],[prop_id0]] &amp; " " &amp; RADataTable[[#This Row],[last0]]</f>
        <v>RA 1749609 Lee</v>
      </c>
      <c r="T7">
        <v>4</v>
      </c>
      <c r="U7">
        <v>4</v>
      </c>
      <c r="V7" s="34">
        <v>43031.375694444447</v>
      </c>
      <c r="W7">
        <v>1</v>
      </c>
      <c r="X7" s="15" t="str">
        <f>HYPERLINK("https://www.ejacket.nsf.gov/ej/showProposal.do?Continue=Y&amp;ID="&amp;RADataTable[[#This Row],[prop_id0]],"eJ")</f>
        <v>eJ</v>
      </c>
      <c r="Y7" s="15" t="str">
        <f>HYPERLINK("mailto:"&amp;RADataTable[[#This Row],[email]]&amp;"&amp;subject=Your NSF Proposal:  "&amp;RADataTable[[#This Row],[Div]]&amp;" "&amp;RADataTable[[#This Row],[prop_id0]], RADataTable[[#This Row],[email]])</f>
        <v>yintat@uw.edu</v>
      </c>
      <c r="Z7" s="15" t="str">
        <f>HYPERLINK("mailto:"&amp;RADataTable[[#This Row],[allPIemail]]&amp;"&amp;subject=NSF Proposal:  "&amp;RADataTable[[#This Row],[Div]]&amp;" "&amp;RADataTable[[#This Row],[prop_id0]], "PIs@")</f>
        <v>PIs@</v>
      </c>
      <c r="AA7" t="s">
        <v>245</v>
      </c>
      <c r="AB7" t="s">
        <v>665</v>
      </c>
      <c r="AC7" s="30" t="s">
        <v>741</v>
      </c>
      <c r="AD7" t="s">
        <v>742</v>
      </c>
      <c r="AE7" t="s">
        <v>281</v>
      </c>
      <c r="AF7" s="36">
        <v>549841</v>
      </c>
      <c r="AG7" s="36">
        <v>549841</v>
      </c>
      <c r="AH7" s="24"/>
      <c r="AJ7" s="34"/>
      <c r="AK7" t="s">
        <v>923</v>
      </c>
      <c r="AL7" t="s">
        <v>282</v>
      </c>
      <c r="AM7" s="34" t="s">
        <v>925</v>
      </c>
      <c r="AN7" s="34">
        <v>43032</v>
      </c>
      <c r="AO7" s="24">
        <v>1</v>
      </c>
      <c r="AP7" t="s">
        <v>938</v>
      </c>
      <c r="AR7" s="35"/>
      <c r="AS7"/>
      <c r="AT7" s="34"/>
      <c r="AV7" s="34"/>
      <c r="AX7" s="34"/>
      <c r="AY7"/>
      <c r="BA7" s="34"/>
      <c r="BB7"/>
      <c r="BC7" t="s">
        <v>745</v>
      </c>
      <c r="BD7" s="36">
        <v>549841</v>
      </c>
      <c r="BE7" s="36">
        <v>549841</v>
      </c>
      <c r="BF7">
        <v>0</v>
      </c>
      <c r="BG7" s="34">
        <v>43175</v>
      </c>
      <c r="BH7">
        <v>60</v>
      </c>
      <c r="BI7" t="s">
        <v>283</v>
      </c>
      <c r="BJ7" t="s">
        <v>928</v>
      </c>
      <c r="BK7" t="s">
        <v>234</v>
      </c>
      <c r="BL7" t="s">
        <v>194</v>
      </c>
      <c r="BM7" s="8" t="s">
        <v>192</v>
      </c>
      <c r="BN7" t="s">
        <v>189</v>
      </c>
      <c r="BO7" t="s">
        <v>190</v>
      </c>
      <c r="BP7" s="35" t="s">
        <v>718</v>
      </c>
      <c r="BQ7"/>
      <c r="BU7" s="35"/>
      <c r="BV7" s="35"/>
      <c r="BX7"/>
      <c r="CA7" s="35"/>
      <c r="CB7" s="35"/>
      <c r="CC7"/>
      <c r="CG7" s="35"/>
      <c r="CH7" s="35"/>
      <c r="CK7"/>
      <c r="CM7" s="35"/>
      <c r="CN7" s="35"/>
      <c r="CQ7"/>
      <c r="CS7" s="35"/>
      <c r="CT7" s="35"/>
      <c r="CX7"/>
      <c r="CZ7" s="35"/>
      <c r="DD7" s="34"/>
      <c r="DG7" t="s">
        <v>743</v>
      </c>
      <c r="DH7" t="s">
        <v>939</v>
      </c>
      <c r="DI7" t="s">
        <v>280</v>
      </c>
      <c r="DL7" t="s">
        <v>665</v>
      </c>
      <c r="DM7">
        <v>6</v>
      </c>
      <c r="DN7">
        <v>9</v>
      </c>
      <c r="DO7" t="s">
        <v>744</v>
      </c>
      <c r="DQ7" t="s">
        <v>927</v>
      </c>
      <c r="DR7">
        <v>14</v>
      </c>
      <c r="DS7">
        <v>3</v>
      </c>
      <c r="DU7">
        <v>14</v>
      </c>
      <c r="DV7">
        <v>3</v>
      </c>
      <c r="DX7">
        <v>14</v>
      </c>
      <c r="DY7">
        <v>3</v>
      </c>
      <c r="DZ7" t="s">
        <v>246</v>
      </c>
      <c r="EA7" t="s">
        <v>929</v>
      </c>
    </row>
    <row r="8" spans="1:131" x14ac:dyDescent="0.4">
      <c r="A8" s="34">
        <v>43067.305104166669</v>
      </c>
      <c r="B8" s="25">
        <v>42933.820138888892</v>
      </c>
      <c r="D8" s="34"/>
      <c r="E8" s="34" t="s">
        <v>193</v>
      </c>
      <c r="F8" s="34" t="s">
        <v>191</v>
      </c>
      <c r="G8" s="34" t="s">
        <v>100</v>
      </c>
      <c r="H8" t="s">
        <v>279</v>
      </c>
      <c r="I8" t="s">
        <v>243</v>
      </c>
      <c r="J8" t="s">
        <v>712</v>
      </c>
      <c r="K8" t="s">
        <v>713</v>
      </c>
      <c r="L8" t="s">
        <v>711</v>
      </c>
      <c r="M8" s="30">
        <v>1.01</v>
      </c>
      <c r="N8">
        <v>8</v>
      </c>
      <c r="P8" s="24" t="str">
        <f>IFERROR(MID(RADataTable[[#This Row],[RATemplate]],1,LEN(RADataTable[[#This Row],[RATemplate]])-8),"RA") &amp; " " &amp; RADataTable[[#This Row],[prop_id0]] &amp; " " &amp; RADataTable[[#This Row],[last0]]</f>
        <v>RA 1749609 Lee</v>
      </c>
      <c r="T8">
        <v>4</v>
      </c>
      <c r="U8">
        <v>4</v>
      </c>
      <c r="V8" s="34">
        <v>43031.375694444447</v>
      </c>
      <c r="W8">
        <v>1</v>
      </c>
      <c r="X8" s="15" t="str">
        <f>HYPERLINK("https://www.ejacket.nsf.gov/ej/showProposal.do?Continue=Y&amp;ID="&amp;RADataTable[[#This Row],[prop_id0]],"eJ")</f>
        <v>eJ</v>
      </c>
      <c r="Y8" s="15" t="str">
        <f>HYPERLINK("mailto:"&amp;RADataTable[[#This Row],[email]]&amp;"&amp;subject=Your NSF Proposal:  "&amp;RADataTable[[#This Row],[Div]]&amp;" "&amp;RADataTable[[#This Row],[prop_id0]], RADataTable[[#This Row],[email]])</f>
        <v>yintat@uw.edu</v>
      </c>
      <c r="Z8" s="15" t="str">
        <f>HYPERLINK("mailto:"&amp;RADataTable[[#This Row],[allPIemail]]&amp;"&amp;subject=NSF Proposal:  "&amp;RADataTable[[#This Row],[Div]]&amp;" "&amp;RADataTable[[#This Row],[prop_id0]], "PIs@")</f>
        <v>PIs@</v>
      </c>
      <c r="AA8" t="s">
        <v>245</v>
      </c>
      <c r="AB8" t="s">
        <v>665</v>
      </c>
      <c r="AC8" s="30" t="s">
        <v>741</v>
      </c>
      <c r="AD8" t="s">
        <v>742</v>
      </c>
      <c r="AE8" t="s">
        <v>281</v>
      </c>
      <c r="AF8" s="36">
        <v>549841</v>
      </c>
      <c r="AG8" s="36">
        <v>549841</v>
      </c>
      <c r="AH8" s="24"/>
      <c r="AJ8" s="34"/>
      <c r="AK8" t="s">
        <v>923</v>
      </c>
      <c r="AL8" t="s">
        <v>282</v>
      </c>
      <c r="AM8" s="34" t="s">
        <v>925</v>
      </c>
      <c r="AN8" s="34">
        <v>43032</v>
      </c>
      <c r="AO8" s="24">
        <v>1</v>
      </c>
      <c r="AP8" t="s">
        <v>938</v>
      </c>
      <c r="AR8" s="35"/>
      <c r="AS8"/>
      <c r="AT8" s="34"/>
      <c r="AV8" s="34"/>
      <c r="AX8" s="34"/>
      <c r="AY8"/>
      <c r="BA8" s="34"/>
      <c r="BB8"/>
      <c r="BC8" t="s">
        <v>745</v>
      </c>
      <c r="BD8" s="36">
        <v>549841</v>
      </c>
      <c r="BE8" s="36">
        <v>549841</v>
      </c>
      <c r="BF8">
        <v>0</v>
      </c>
      <c r="BG8" s="34">
        <v>43175</v>
      </c>
      <c r="BH8">
        <v>60</v>
      </c>
      <c r="BI8" t="s">
        <v>283</v>
      </c>
      <c r="BJ8" t="s">
        <v>928</v>
      </c>
      <c r="BK8" t="s">
        <v>234</v>
      </c>
      <c r="BL8" t="s">
        <v>194</v>
      </c>
      <c r="BM8" s="8" t="s">
        <v>192</v>
      </c>
      <c r="BN8" t="s">
        <v>189</v>
      </c>
      <c r="BO8" t="s">
        <v>190</v>
      </c>
      <c r="BP8" s="35" t="s">
        <v>718</v>
      </c>
      <c r="BQ8"/>
      <c r="BU8" s="35"/>
      <c r="BV8" s="35"/>
      <c r="BX8"/>
      <c r="CA8" s="35"/>
      <c r="CB8" s="35"/>
      <c r="CC8"/>
      <c r="CG8" s="35"/>
      <c r="CH8" s="35"/>
      <c r="CK8"/>
      <c r="CM8" s="35"/>
      <c r="CN8" s="35"/>
      <c r="CQ8"/>
      <c r="CS8" s="35"/>
      <c r="CT8" s="35"/>
      <c r="CX8"/>
      <c r="CZ8" s="35"/>
      <c r="DD8" s="34"/>
      <c r="DG8" t="s">
        <v>743</v>
      </c>
      <c r="DH8" t="s">
        <v>939</v>
      </c>
      <c r="DI8" t="s">
        <v>280</v>
      </c>
      <c r="DL8" t="s">
        <v>665</v>
      </c>
      <c r="DM8">
        <v>6</v>
      </c>
      <c r="DN8">
        <v>9</v>
      </c>
      <c r="DO8" t="s">
        <v>744</v>
      </c>
      <c r="DQ8" t="s">
        <v>927</v>
      </c>
      <c r="DR8">
        <v>14</v>
      </c>
      <c r="DS8">
        <v>3</v>
      </c>
      <c r="DU8">
        <v>14</v>
      </c>
      <c r="DV8">
        <v>3</v>
      </c>
      <c r="DX8">
        <v>14</v>
      </c>
      <c r="DY8">
        <v>3</v>
      </c>
      <c r="DZ8" t="s">
        <v>246</v>
      </c>
      <c r="EA8" t="s">
        <v>929</v>
      </c>
    </row>
    <row r="9" spans="1:131" x14ac:dyDescent="0.4">
      <c r="A9" s="34">
        <v>43067.305104166669</v>
      </c>
      <c r="B9" s="25">
        <v>42933.820138888892</v>
      </c>
      <c r="D9" s="34"/>
      <c r="E9" s="34" t="s">
        <v>193</v>
      </c>
      <c r="F9" s="34" t="s">
        <v>191</v>
      </c>
      <c r="G9" s="34" t="s">
        <v>100</v>
      </c>
      <c r="H9" t="s">
        <v>279</v>
      </c>
      <c r="I9" t="s">
        <v>243</v>
      </c>
      <c r="J9" t="s">
        <v>712</v>
      </c>
      <c r="K9" t="s">
        <v>713</v>
      </c>
      <c r="L9" t="s">
        <v>711</v>
      </c>
      <c r="M9" s="30">
        <v>1.01</v>
      </c>
      <c r="N9">
        <v>8</v>
      </c>
      <c r="P9" s="24" t="str">
        <f>IFERROR(MID(RADataTable[[#This Row],[RATemplate]],1,LEN(RADataTable[[#This Row],[RATemplate]])-8),"RA") &amp; " " &amp; RADataTable[[#This Row],[prop_id0]] &amp; " " &amp; RADataTable[[#This Row],[last0]]</f>
        <v>RA 1749609 Lee</v>
      </c>
      <c r="T9">
        <v>4</v>
      </c>
      <c r="U9">
        <v>4</v>
      </c>
      <c r="V9" s="34">
        <v>43031.375694444447</v>
      </c>
      <c r="W9">
        <v>1</v>
      </c>
      <c r="X9" s="15" t="str">
        <f>HYPERLINK("https://www.ejacket.nsf.gov/ej/showProposal.do?Continue=Y&amp;ID="&amp;RADataTable[[#This Row],[prop_id0]],"eJ")</f>
        <v>eJ</v>
      </c>
      <c r="Y9" s="15" t="str">
        <f>HYPERLINK("mailto:"&amp;RADataTable[[#This Row],[email]]&amp;"&amp;subject=Your NSF Proposal:  "&amp;RADataTable[[#This Row],[Div]]&amp;" "&amp;RADataTable[[#This Row],[prop_id0]], RADataTable[[#This Row],[email]])</f>
        <v>yintat@uw.edu</v>
      </c>
      <c r="Z9" s="15" t="str">
        <f>HYPERLINK("mailto:"&amp;RADataTable[[#This Row],[allPIemail]]&amp;"&amp;subject=NSF Proposal:  "&amp;RADataTable[[#This Row],[Div]]&amp;" "&amp;RADataTable[[#This Row],[prop_id0]], "PIs@")</f>
        <v>PIs@</v>
      </c>
      <c r="AA9" t="s">
        <v>245</v>
      </c>
      <c r="AB9" t="s">
        <v>665</v>
      </c>
      <c r="AC9" s="30" t="s">
        <v>741</v>
      </c>
      <c r="AD9" t="s">
        <v>742</v>
      </c>
      <c r="AE9" t="s">
        <v>281</v>
      </c>
      <c r="AF9" s="36">
        <v>549841</v>
      </c>
      <c r="AG9" s="36">
        <v>549841</v>
      </c>
      <c r="AH9" s="24"/>
      <c r="AJ9" s="34"/>
      <c r="AK9" t="s">
        <v>923</v>
      </c>
      <c r="AL9" t="s">
        <v>282</v>
      </c>
      <c r="AM9" s="34" t="s">
        <v>925</v>
      </c>
      <c r="AN9" s="34">
        <v>43032</v>
      </c>
      <c r="AO9" s="24">
        <v>1</v>
      </c>
      <c r="AP9" t="s">
        <v>938</v>
      </c>
      <c r="AR9" s="35"/>
      <c r="AS9"/>
      <c r="AT9" s="34"/>
      <c r="AV9" s="34"/>
      <c r="AX9" s="34"/>
      <c r="AY9"/>
      <c r="BA9" s="34"/>
      <c r="BB9"/>
      <c r="BC9" t="s">
        <v>745</v>
      </c>
      <c r="BD9" s="36">
        <v>549841</v>
      </c>
      <c r="BE9" s="36">
        <v>549841</v>
      </c>
      <c r="BF9">
        <v>0</v>
      </c>
      <c r="BG9" s="34">
        <v>43175</v>
      </c>
      <c r="BH9">
        <v>60</v>
      </c>
      <c r="BI9" t="s">
        <v>283</v>
      </c>
      <c r="BJ9" t="s">
        <v>928</v>
      </c>
      <c r="BK9" t="s">
        <v>234</v>
      </c>
      <c r="BL9" t="s">
        <v>194</v>
      </c>
      <c r="BM9" s="8" t="s">
        <v>192</v>
      </c>
      <c r="BN9" t="s">
        <v>189</v>
      </c>
      <c r="BO9" t="s">
        <v>190</v>
      </c>
      <c r="BP9" s="35" t="s">
        <v>718</v>
      </c>
      <c r="BQ9"/>
      <c r="BU9" s="35"/>
      <c r="BV9" s="35"/>
      <c r="BX9"/>
      <c r="CA9" s="35"/>
      <c r="CB9" s="35"/>
      <c r="CC9"/>
      <c r="CG9" s="35"/>
      <c r="CH9" s="35"/>
      <c r="CK9"/>
      <c r="CM9" s="35"/>
      <c r="CN9" s="35"/>
      <c r="CQ9"/>
      <c r="CS9" s="35"/>
      <c r="CT9" s="35"/>
      <c r="CX9"/>
      <c r="CZ9" s="35"/>
      <c r="DD9" s="34"/>
      <c r="DG9" t="s">
        <v>743</v>
      </c>
      <c r="DH9" t="s">
        <v>939</v>
      </c>
      <c r="DI9" t="s">
        <v>280</v>
      </c>
      <c r="DL9" t="s">
        <v>665</v>
      </c>
      <c r="DM9">
        <v>6</v>
      </c>
      <c r="DN9">
        <v>9</v>
      </c>
      <c r="DO9" t="s">
        <v>744</v>
      </c>
      <c r="DQ9" t="s">
        <v>927</v>
      </c>
      <c r="DR9">
        <v>14</v>
      </c>
      <c r="DS9">
        <v>3</v>
      </c>
      <c r="DU9">
        <v>14</v>
      </c>
      <c r="DV9">
        <v>3</v>
      </c>
      <c r="DX9">
        <v>14</v>
      </c>
      <c r="DY9">
        <v>3</v>
      </c>
      <c r="DZ9" t="s">
        <v>246</v>
      </c>
      <c r="EA9" t="s">
        <v>929</v>
      </c>
    </row>
    <row r="10" spans="1:131" x14ac:dyDescent="0.4">
      <c r="A10" s="34">
        <v>43067.305104166669</v>
      </c>
      <c r="B10" s="25">
        <v>42933.820138888892</v>
      </c>
      <c r="D10" s="34"/>
      <c r="E10" s="34" t="s">
        <v>193</v>
      </c>
      <c r="F10" s="34" t="s">
        <v>191</v>
      </c>
      <c r="G10" s="34" t="s">
        <v>100</v>
      </c>
      <c r="H10" t="s">
        <v>279</v>
      </c>
      <c r="I10" t="s">
        <v>243</v>
      </c>
      <c r="J10" t="s">
        <v>712</v>
      </c>
      <c r="K10" t="s">
        <v>713</v>
      </c>
      <c r="L10" t="s">
        <v>711</v>
      </c>
      <c r="M10" s="30">
        <v>1.01</v>
      </c>
      <c r="N10">
        <v>8</v>
      </c>
      <c r="P10" s="24" t="str">
        <f>IFERROR(MID(RADataTable[[#This Row],[RATemplate]],1,LEN(RADataTable[[#This Row],[RATemplate]])-8),"RA") &amp; " " &amp; RADataTable[[#This Row],[prop_id0]] &amp; " " &amp; RADataTable[[#This Row],[last0]]</f>
        <v>RA 1749609 Lee</v>
      </c>
      <c r="T10">
        <v>4</v>
      </c>
      <c r="U10">
        <v>4</v>
      </c>
      <c r="V10" s="34">
        <v>43031.375694444447</v>
      </c>
      <c r="W10">
        <v>1</v>
      </c>
      <c r="X10" s="15" t="str">
        <f>HYPERLINK("https://www.ejacket.nsf.gov/ej/showProposal.do?Continue=Y&amp;ID="&amp;RADataTable[[#This Row],[prop_id0]],"eJ")</f>
        <v>eJ</v>
      </c>
      <c r="Y10" s="15" t="str">
        <f>HYPERLINK("mailto:"&amp;RADataTable[[#This Row],[email]]&amp;"&amp;subject=Your NSF Proposal:  "&amp;RADataTable[[#This Row],[Div]]&amp;" "&amp;RADataTable[[#This Row],[prop_id0]], RADataTable[[#This Row],[email]])</f>
        <v>yintat@uw.edu</v>
      </c>
      <c r="Z10" s="15" t="str">
        <f>HYPERLINK("mailto:"&amp;RADataTable[[#This Row],[allPIemail]]&amp;"&amp;subject=NSF Proposal:  "&amp;RADataTable[[#This Row],[Div]]&amp;" "&amp;RADataTable[[#This Row],[prop_id0]], "PIs@")</f>
        <v>PIs@</v>
      </c>
      <c r="AA10" t="s">
        <v>245</v>
      </c>
      <c r="AB10" t="s">
        <v>665</v>
      </c>
      <c r="AC10" s="30" t="s">
        <v>741</v>
      </c>
      <c r="AD10" t="s">
        <v>742</v>
      </c>
      <c r="AE10" t="s">
        <v>281</v>
      </c>
      <c r="AF10" s="36">
        <v>549841</v>
      </c>
      <c r="AG10" s="36">
        <v>549841</v>
      </c>
      <c r="AH10" s="24"/>
      <c r="AJ10" s="34"/>
      <c r="AK10" t="s">
        <v>923</v>
      </c>
      <c r="AL10" t="s">
        <v>282</v>
      </c>
      <c r="AM10" s="34" t="s">
        <v>925</v>
      </c>
      <c r="AN10" s="34">
        <v>43032</v>
      </c>
      <c r="AO10" s="24">
        <v>1</v>
      </c>
      <c r="AP10" t="s">
        <v>938</v>
      </c>
      <c r="AR10" s="35"/>
      <c r="AS10"/>
      <c r="AT10" s="34"/>
      <c r="AV10" s="34"/>
      <c r="AX10" s="34"/>
      <c r="AY10"/>
      <c r="BA10" s="34"/>
      <c r="BB10"/>
      <c r="BC10" t="s">
        <v>745</v>
      </c>
      <c r="BD10" s="36">
        <v>549841</v>
      </c>
      <c r="BE10" s="36">
        <v>549841</v>
      </c>
      <c r="BF10">
        <v>0</v>
      </c>
      <c r="BG10" s="34">
        <v>43175</v>
      </c>
      <c r="BH10">
        <v>60</v>
      </c>
      <c r="BI10" t="s">
        <v>283</v>
      </c>
      <c r="BJ10" t="s">
        <v>928</v>
      </c>
      <c r="BK10" t="s">
        <v>234</v>
      </c>
      <c r="BL10" t="s">
        <v>194</v>
      </c>
      <c r="BM10" s="8" t="s">
        <v>192</v>
      </c>
      <c r="BN10" t="s">
        <v>189</v>
      </c>
      <c r="BO10" t="s">
        <v>190</v>
      </c>
      <c r="BP10" s="35" t="s">
        <v>718</v>
      </c>
      <c r="BQ10"/>
      <c r="BU10" s="35"/>
      <c r="BV10" s="35"/>
      <c r="BX10"/>
      <c r="CA10" s="35"/>
      <c r="CB10" s="35"/>
      <c r="CC10"/>
      <c r="CG10" s="35"/>
      <c r="CH10" s="35"/>
      <c r="CK10"/>
      <c r="CM10" s="35"/>
      <c r="CN10" s="35"/>
      <c r="CQ10"/>
      <c r="CS10" s="35"/>
      <c r="CT10" s="35"/>
      <c r="CX10"/>
      <c r="CZ10" s="35"/>
      <c r="DD10" s="34"/>
      <c r="DG10" t="s">
        <v>743</v>
      </c>
      <c r="DH10" t="s">
        <v>939</v>
      </c>
      <c r="DI10" t="s">
        <v>280</v>
      </c>
      <c r="DL10" t="s">
        <v>665</v>
      </c>
      <c r="DM10">
        <v>6</v>
      </c>
      <c r="DN10">
        <v>9</v>
      </c>
      <c r="DO10" t="s">
        <v>744</v>
      </c>
      <c r="DQ10" t="s">
        <v>927</v>
      </c>
      <c r="DR10">
        <v>14</v>
      </c>
      <c r="DS10">
        <v>3</v>
      </c>
      <c r="DU10">
        <v>14</v>
      </c>
      <c r="DV10">
        <v>3</v>
      </c>
      <c r="DX10">
        <v>14</v>
      </c>
      <c r="DY10">
        <v>3</v>
      </c>
      <c r="DZ10" t="s">
        <v>246</v>
      </c>
      <c r="EA10" t="s">
        <v>929</v>
      </c>
    </row>
    <row r="11" spans="1:131" x14ac:dyDescent="0.4">
      <c r="A11" s="34">
        <v>43067.305104166669</v>
      </c>
      <c r="B11" s="25">
        <v>42933.820138888892</v>
      </c>
      <c r="D11" s="34"/>
      <c r="E11" s="34" t="s">
        <v>193</v>
      </c>
      <c r="F11" s="34" t="s">
        <v>191</v>
      </c>
      <c r="G11" s="34" t="s">
        <v>100</v>
      </c>
      <c r="H11" t="s">
        <v>279</v>
      </c>
      <c r="I11" t="s">
        <v>243</v>
      </c>
      <c r="J11" t="s">
        <v>712</v>
      </c>
      <c r="K11" t="s">
        <v>713</v>
      </c>
      <c r="L11" t="s">
        <v>711</v>
      </c>
      <c r="M11" s="30">
        <v>1.01</v>
      </c>
      <c r="N11">
        <v>8</v>
      </c>
      <c r="P11" s="24" t="str">
        <f>IFERROR(MID(RADataTable[[#This Row],[RATemplate]],1,LEN(RADataTable[[#This Row],[RATemplate]])-8),"RA") &amp; " " &amp; RADataTable[[#This Row],[prop_id0]] &amp; " " &amp; RADataTable[[#This Row],[last0]]</f>
        <v>RA 1749609 Lee</v>
      </c>
      <c r="T11">
        <v>4</v>
      </c>
      <c r="U11">
        <v>4</v>
      </c>
      <c r="V11" s="34">
        <v>43031.375694444447</v>
      </c>
      <c r="W11">
        <v>1</v>
      </c>
      <c r="X11" s="15" t="str">
        <f>HYPERLINK("https://www.ejacket.nsf.gov/ej/showProposal.do?Continue=Y&amp;ID="&amp;RADataTable[[#This Row],[prop_id0]],"eJ")</f>
        <v>eJ</v>
      </c>
      <c r="Y11" s="15" t="str">
        <f>HYPERLINK("mailto:"&amp;RADataTable[[#This Row],[email]]&amp;"&amp;subject=Your NSF Proposal:  "&amp;RADataTable[[#This Row],[Div]]&amp;" "&amp;RADataTable[[#This Row],[prop_id0]], RADataTable[[#This Row],[email]])</f>
        <v>yintat@uw.edu</v>
      </c>
      <c r="Z11" s="15" t="str">
        <f>HYPERLINK("mailto:"&amp;RADataTable[[#This Row],[allPIemail]]&amp;"&amp;subject=NSF Proposal:  "&amp;RADataTable[[#This Row],[Div]]&amp;" "&amp;RADataTable[[#This Row],[prop_id0]], "PIs@")</f>
        <v>PIs@</v>
      </c>
      <c r="AA11" t="s">
        <v>245</v>
      </c>
      <c r="AB11" t="s">
        <v>665</v>
      </c>
      <c r="AC11" s="30" t="s">
        <v>741</v>
      </c>
      <c r="AD11" t="s">
        <v>742</v>
      </c>
      <c r="AE11" t="s">
        <v>281</v>
      </c>
      <c r="AF11" s="36">
        <v>549841</v>
      </c>
      <c r="AG11" s="36">
        <v>549841</v>
      </c>
      <c r="AH11" s="24"/>
      <c r="AJ11" s="34"/>
      <c r="AK11" t="s">
        <v>923</v>
      </c>
      <c r="AL11" t="s">
        <v>282</v>
      </c>
      <c r="AM11" s="34" t="s">
        <v>925</v>
      </c>
      <c r="AN11" s="34">
        <v>43032</v>
      </c>
      <c r="AO11" s="24">
        <v>1</v>
      </c>
      <c r="AP11" t="s">
        <v>938</v>
      </c>
      <c r="AR11" s="35"/>
      <c r="AS11"/>
      <c r="AT11" s="34"/>
      <c r="AV11" s="34"/>
      <c r="AX11" s="34"/>
      <c r="AY11"/>
      <c r="BA11" s="34"/>
      <c r="BB11"/>
      <c r="BC11" t="s">
        <v>745</v>
      </c>
      <c r="BD11" s="36">
        <v>549841</v>
      </c>
      <c r="BE11" s="36">
        <v>549841</v>
      </c>
      <c r="BF11">
        <v>0</v>
      </c>
      <c r="BG11" s="34">
        <v>43175</v>
      </c>
      <c r="BH11">
        <v>60</v>
      </c>
      <c r="BI11" t="s">
        <v>283</v>
      </c>
      <c r="BJ11" t="s">
        <v>928</v>
      </c>
      <c r="BK11" t="s">
        <v>234</v>
      </c>
      <c r="BL11" t="s">
        <v>194</v>
      </c>
      <c r="BM11" s="8" t="s">
        <v>192</v>
      </c>
      <c r="BN11" t="s">
        <v>189</v>
      </c>
      <c r="BO11" t="s">
        <v>190</v>
      </c>
      <c r="BP11" s="35" t="s">
        <v>718</v>
      </c>
      <c r="BQ11"/>
      <c r="BU11" s="35"/>
      <c r="BV11" s="35"/>
      <c r="BX11"/>
      <c r="CA11" s="35"/>
      <c r="CB11" s="35"/>
      <c r="CC11"/>
      <c r="CG11" s="35"/>
      <c r="CH11" s="35"/>
      <c r="CK11"/>
      <c r="CM11" s="35"/>
      <c r="CN11" s="35"/>
      <c r="CQ11"/>
      <c r="CS11" s="35"/>
      <c r="CT11" s="35"/>
      <c r="CX11"/>
      <c r="CZ11" s="35"/>
      <c r="DD11" s="34"/>
      <c r="DG11" t="s">
        <v>743</v>
      </c>
      <c r="DH11" t="s">
        <v>939</v>
      </c>
      <c r="DI11" t="s">
        <v>280</v>
      </c>
      <c r="DL11" t="s">
        <v>665</v>
      </c>
      <c r="DM11">
        <v>6</v>
      </c>
      <c r="DN11">
        <v>9</v>
      </c>
      <c r="DO11" t="s">
        <v>744</v>
      </c>
      <c r="DQ11" t="s">
        <v>927</v>
      </c>
      <c r="DR11">
        <v>14</v>
      </c>
      <c r="DS11">
        <v>3</v>
      </c>
      <c r="DU11">
        <v>14</v>
      </c>
      <c r="DV11">
        <v>3</v>
      </c>
      <c r="DX11">
        <v>14</v>
      </c>
      <c r="DY11">
        <v>3</v>
      </c>
      <c r="DZ11" t="s">
        <v>246</v>
      </c>
      <c r="EA11" t="s">
        <v>929</v>
      </c>
    </row>
    <row r="12" spans="1:131" x14ac:dyDescent="0.4">
      <c r="A12" s="34">
        <v>43067.305104166669</v>
      </c>
      <c r="B12" s="25">
        <v>42933.820138888892</v>
      </c>
      <c r="D12" s="34"/>
      <c r="E12" s="34" t="s">
        <v>193</v>
      </c>
      <c r="F12" s="34" t="s">
        <v>191</v>
      </c>
      <c r="G12" s="34" t="s">
        <v>100</v>
      </c>
      <c r="H12" t="s">
        <v>279</v>
      </c>
      <c r="I12" t="s">
        <v>243</v>
      </c>
      <c r="J12" t="s">
        <v>712</v>
      </c>
      <c r="K12" t="s">
        <v>713</v>
      </c>
      <c r="L12" t="s">
        <v>711</v>
      </c>
      <c r="M12" s="30">
        <v>1.01</v>
      </c>
      <c r="N12">
        <v>8</v>
      </c>
      <c r="P12" s="24" t="str">
        <f>IFERROR(MID(RADataTable[[#This Row],[RATemplate]],1,LEN(RADataTable[[#This Row],[RATemplate]])-8),"RA") &amp; " " &amp; RADataTable[[#This Row],[prop_id0]] &amp; " " &amp; RADataTable[[#This Row],[last0]]</f>
        <v>RA 1749609 Lee</v>
      </c>
      <c r="T12">
        <v>4</v>
      </c>
      <c r="U12">
        <v>4</v>
      </c>
      <c r="V12" s="34">
        <v>43031.375694444447</v>
      </c>
      <c r="W12">
        <v>1</v>
      </c>
      <c r="X12" s="15" t="str">
        <f>HYPERLINK("https://www.ejacket.nsf.gov/ej/showProposal.do?Continue=Y&amp;ID="&amp;RADataTable[[#This Row],[prop_id0]],"eJ")</f>
        <v>eJ</v>
      </c>
      <c r="Y12" s="15" t="str">
        <f>HYPERLINK("mailto:"&amp;RADataTable[[#This Row],[email]]&amp;"&amp;subject=Your NSF Proposal:  "&amp;RADataTable[[#This Row],[Div]]&amp;" "&amp;RADataTable[[#This Row],[prop_id0]], RADataTable[[#This Row],[email]])</f>
        <v>yintat@uw.edu</v>
      </c>
      <c r="Z12" s="15" t="str">
        <f>HYPERLINK("mailto:"&amp;RADataTable[[#This Row],[allPIemail]]&amp;"&amp;subject=NSF Proposal:  "&amp;RADataTable[[#This Row],[Div]]&amp;" "&amp;RADataTable[[#This Row],[prop_id0]], "PIs@")</f>
        <v>PIs@</v>
      </c>
      <c r="AA12" t="s">
        <v>245</v>
      </c>
      <c r="AB12" t="s">
        <v>665</v>
      </c>
      <c r="AC12" s="30" t="s">
        <v>741</v>
      </c>
      <c r="AD12" t="s">
        <v>742</v>
      </c>
      <c r="AE12" t="s">
        <v>281</v>
      </c>
      <c r="AF12" s="36">
        <v>549841</v>
      </c>
      <c r="AG12" s="36">
        <v>549841</v>
      </c>
      <c r="AH12" s="24"/>
      <c r="AJ12" s="34"/>
      <c r="AK12" t="s">
        <v>923</v>
      </c>
      <c r="AL12" t="s">
        <v>282</v>
      </c>
      <c r="AM12" s="34" t="s">
        <v>925</v>
      </c>
      <c r="AN12" s="34">
        <v>43032</v>
      </c>
      <c r="AO12" s="24">
        <v>1</v>
      </c>
      <c r="AP12" t="s">
        <v>938</v>
      </c>
      <c r="AR12" s="35"/>
      <c r="AS12"/>
      <c r="AT12" s="34"/>
      <c r="AV12" s="34"/>
      <c r="AX12" s="34"/>
      <c r="AY12"/>
      <c r="BA12" s="34"/>
      <c r="BB12"/>
      <c r="BC12" t="s">
        <v>745</v>
      </c>
      <c r="BD12" s="36">
        <v>549841</v>
      </c>
      <c r="BE12" s="36">
        <v>549841</v>
      </c>
      <c r="BF12">
        <v>0</v>
      </c>
      <c r="BG12" s="34">
        <v>43175</v>
      </c>
      <c r="BH12">
        <v>60</v>
      </c>
      <c r="BI12" t="s">
        <v>283</v>
      </c>
      <c r="BJ12" t="s">
        <v>928</v>
      </c>
      <c r="BK12" t="s">
        <v>234</v>
      </c>
      <c r="BL12" t="s">
        <v>194</v>
      </c>
      <c r="BM12" s="8" t="s">
        <v>192</v>
      </c>
      <c r="BN12" t="s">
        <v>189</v>
      </c>
      <c r="BO12" t="s">
        <v>190</v>
      </c>
      <c r="BP12" s="35" t="s">
        <v>718</v>
      </c>
      <c r="BQ12"/>
      <c r="BU12" s="35"/>
      <c r="BV12" s="35"/>
      <c r="BX12"/>
      <c r="CA12" s="35"/>
      <c r="CB12" s="35"/>
      <c r="CC12"/>
      <c r="CG12" s="35"/>
      <c r="CH12" s="35"/>
      <c r="CK12"/>
      <c r="CM12" s="35"/>
      <c r="CN12" s="35"/>
      <c r="CQ12"/>
      <c r="CS12" s="35"/>
      <c r="CT12" s="35"/>
      <c r="CX12"/>
      <c r="CZ12" s="35"/>
      <c r="DD12" s="34"/>
      <c r="DG12" t="s">
        <v>743</v>
      </c>
      <c r="DH12" t="s">
        <v>939</v>
      </c>
      <c r="DI12" t="s">
        <v>280</v>
      </c>
      <c r="DL12" t="s">
        <v>665</v>
      </c>
      <c r="DM12">
        <v>6</v>
      </c>
      <c r="DN12">
        <v>9</v>
      </c>
      <c r="DO12" t="s">
        <v>744</v>
      </c>
      <c r="DQ12" t="s">
        <v>927</v>
      </c>
      <c r="DR12">
        <v>14</v>
      </c>
      <c r="DS12">
        <v>3</v>
      </c>
      <c r="DU12">
        <v>14</v>
      </c>
      <c r="DV12">
        <v>3</v>
      </c>
      <c r="DX12">
        <v>14</v>
      </c>
      <c r="DY12">
        <v>3</v>
      </c>
      <c r="DZ12" t="s">
        <v>246</v>
      </c>
      <c r="EA12" t="s">
        <v>929</v>
      </c>
    </row>
    <row r="13" spans="1:131" x14ac:dyDescent="0.4">
      <c r="A13" s="34">
        <v>43067.305104166669</v>
      </c>
      <c r="B13" s="25">
        <v>42933.820138888892</v>
      </c>
      <c r="D13" s="34"/>
      <c r="E13" s="34" t="s">
        <v>193</v>
      </c>
      <c r="F13" s="34" t="s">
        <v>191</v>
      </c>
      <c r="G13" s="34" t="s">
        <v>100</v>
      </c>
      <c r="H13" t="s">
        <v>279</v>
      </c>
      <c r="I13" t="s">
        <v>243</v>
      </c>
      <c r="J13" t="s">
        <v>712</v>
      </c>
      <c r="K13" t="s">
        <v>713</v>
      </c>
      <c r="L13" t="s">
        <v>711</v>
      </c>
      <c r="M13" s="30">
        <v>1.01</v>
      </c>
      <c r="N13">
        <v>8</v>
      </c>
      <c r="P13" s="24" t="str">
        <f>IFERROR(MID(RADataTable[[#This Row],[RATemplate]],1,LEN(RADataTable[[#This Row],[RATemplate]])-8),"RA") &amp; " " &amp; RADataTable[[#This Row],[prop_id0]] &amp; " " &amp; RADataTable[[#This Row],[last0]]</f>
        <v>RA 1749609 Lee</v>
      </c>
      <c r="T13">
        <v>4</v>
      </c>
      <c r="U13">
        <v>4</v>
      </c>
      <c r="V13" s="34">
        <v>43031.375694444447</v>
      </c>
      <c r="W13">
        <v>1</v>
      </c>
      <c r="X13" s="15" t="str">
        <f>HYPERLINK("https://www.ejacket.nsf.gov/ej/showProposal.do?Continue=Y&amp;ID="&amp;RADataTable[[#This Row],[prop_id0]],"eJ")</f>
        <v>eJ</v>
      </c>
      <c r="Y13" s="15" t="str">
        <f>HYPERLINK("mailto:"&amp;RADataTable[[#This Row],[email]]&amp;"&amp;subject=Your NSF Proposal:  "&amp;RADataTable[[#This Row],[Div]]&amp;" "&amp;RADataTable[[#This Row],[prop_id0]], RADataTable[[#This Row],[email]])</f>
        <v>yintat@uw.edu</v>
      </c>
      <c r="Z13" s="15" t="str">
        <f>HYPERLINK("mailto:"&amp;RADataTable[[#This Row],[allPIemail]]&amp;"&amp;subject=NSF Proposal:  "&amp;RADataTable[[#This Row],[Div]]&amp;" "&amp;RADataTable[[#This Row],[prop_id0]], "PIs@")</f>
        <v>PIs@</v>
      </c>
      <c r="AA13" t="s">
        <v>245</v>
      </c>
      <c r="AB13" t="s">
        <v>665</v>
      </c>
      <c r="AC13" s="30" t="s">
        <v>741</v>
      </c>
      <c r="AD13" t="s">
        <v>742</v>
      </c>
      <c r="AE13" t="s">
        <v>281</v>
      </c>
      <c r="AF13" s="36">
        <v>549841</v>
      </c>
      <c r="AG13" s="36">
        <v>549841</v>
      </c>
      <c r="AH13" s="24"/>
      <c r="AJ13" s="34"/>
      <c r="AK13" t="s">
        <v>923</v>
      </c>
      <c r="AL13" t="s">
        <v>282</v>
      </c>
      <c r="AM13" t="s">
        <v>925</v>
      </c>
      <c r="AN13" s="34">
        <v>43032</v>
      </c>
      <c r="AO13" s="24">
        <v>1</v>
      </c>
      <c r="AP13" t="s">
        <v>938</v>
      </c>
      <c r="AR13" s="35"/>
      <c r="AS13"/>
      <c r="AT13" s="34"/>
      <c r="AV13" s="34"/>
      <c r="AX13" s="34"/>
      <c r="AY13"/>
      <c r="BA13" s="34"/>
      <c r="BB13"/>
      <c r="BC13" t="s">
        <v>745</v>
      </c>
      <c r="BD13" s="36">
        <v>549841</v>
      </c>
      <c r="BE13" s="36">
        <v>549841</v>
      </c>
      <c r="BF13">
        <v>0</v>
      </c>
      <c r="BG13" s="34">
        <v>43175</v>
      </c>
      <c r="BH13">
        <v>60</v>
      </c>
      <c r="BI13" t="s">
        <v>283</v>
      </c>
      <c r="BJ13" t="s">
        <v>928</v>
      </c>
      <c r="BK13" t="s">
        <v>234</v>
      </c>
      <c r="BL13" t="s">
        <v>194</v>
      </c>
      <c r="BM13" s="8" t="s">
        <v>192</v>
      </c>
      <c r="BN13" t="s">
        <v>189</v>
      </c>
      <c r="BO13" t="s">
        <v>190</v>
      </c>
      <c r="BP13" s="35" t="s">
        <v>718</v>
      </c>
      <c r="BQ13"/>
      <c r="BU13" s="35"/>
      <c r="BV13" s="35"/>
      <c r="BX13"/>
      <c r="CA13" s="35"/>
      <c r="CB13" s="35"/>
      <c r="CC13"/>
      <c r="CG13" s="35"/>
      <c r="CH13" s="35"/>
      <c r="CK13"/>
      <c r="CM13" s="35"/>
      <c r="CN13" s="35"/>
      <c r="CQ13"/>
      <c r="CS13" s="35"/>
      <c r="CT13" s="35"/>
      <c r="CX13"/>
      <c r="CZ13" s="35"/>
      <c r="DD13" s="34"/>
      <c r="DG13" t="s">
        <v>743</v>
      </c>
      <c r="DH13" t="s">
        <v>939</v>
      </c>
      <c r="DI13" t="s">
        <v>280</v>
      </c>
      <c r="DL13" t="s">
        <v>665</v>
      </c>
      <c r="DM13">
        <v>6</v>
      </c>
      <c r="DN13">
        <v>9</v>
      </c>
      <c r="DO13" t="s">
        <v>744</v>
      </c>
      <c r="DQ13" t="s">
        <v>927</v>
      </c>
      <c r="DR13">
        <v>14</v>
      </c>
      <c r="DS13">
        <v>3</v>
      </c>
      <c r="DU13">
        <v>14</v>
      </c>
      <c r="DV13">
        <v>3</v>
      </c>
      <c r="DX13">
        <v>14</v>
      </c>
      <c r="DY13">
        <v>3</v>
      </c>
      <c r="DZ13" t="s">
        <v>246</v>
      </c>
      <c r="EA13" t="s">
        <v>929</v>
      </c>
    </row>
    <row r="14" spans="1:131" x14ac:dyDescent="0.4">
      <c r="A14" s="34">
        <v>43067.305104166669</v>
      </c>
      <c r="B14" s="25">
        <v>42933.820138888892</v>
      </c>
      <c r="D14" s="34"/>
      <c r="E14" s="34" t="s">
        <v>193</v>
      </c>
      <c r="F14" s="34" t="s">
        <v>191</v>
      </c>
      <c r="G14" s="34" t="s">
        <v>100</v>
      </c>
      <c r="H14" t="s">
        <v>279</v>
      </c>
      <c r="I14" t="s">
        <v>243</v>
      </c>
      <c r="J14" t="s">
        <v>712</v>
      </c>
      <c r="K14" t="s">
        <v>713</v>
      </c>
      <c r="L14" t="s">
        <v>711</v>
      </c>
      <c r="M14" s="30">
        <v>1.01</v>
      </c>
      <c r="N14">
        <v>8</v>
      </c>
      <c r="P14" s="24" t="str">
        <f>IFERROR(MID(RADataTable[[#This Row],[RATemplate]],1,LEN(RADataTable[[#This Row],[RATemplate]])-8),"RA") &amp; " " &amp; RADataTable[[#This Row],[prop_id0]] &amp; " " &amp; RADataTable[[#This Row],[last0]]</f>
        <v>RA 1749609 Lee</v>
      </c>
      <c r="T14">
        <v>4</v>
      </c>
      <c r="U14">
        <v>4</v>
      </c>
      <c r="V14" s="34">
        <v>43031.375694444447</v>
      </c>
      <c r="W14">
        <v>1</v>
      </c>
      <c r="X14" s="15" t="str">
        <f>HYPERLINK("https://www.ejacket.nsf.gov/ej/showProposal.do?Continue=Y&amp;ID="&amp;RADataTable[[#This Row],[prop_id0]],"eJ")</f>
        <v>eJ</v>
      </c>
      <c r="Y14" s="15" t="str">
        <f>HYPERLINK("mailto:"&amp;RADataTable[[#This Row],[email]]&amp;"&amp;subject=Your NSF Proposal:  "&amp;RADataTable[[#This Row],[Div]]&amp;" "&amp;RADataTable[[#This Row],[prop_id0]], RADataTable[[#This Row],[email]])</f>
        <v>yintat@uw.edu</v>
      </c>
      <c r="Z14" s="15" t="str">
        <f>HYPERLINK("mailto:"&amp;RADataTable[[#This Row],[allPIemail]]&amp;"&amp;subject=NSF Proposal:  "&amp;RADataTable[[#This Row],[Div]]&amp;" "&amp;RADataTable[[#This Row],[prop_id0]], "PIs@")</f>
        <v>PIs@</v>
      </c>
      <c r="AA14" t="s">
        <v>245</v>
      </c>
      <c r="AB14" t="s">
        <v>665</v>
      </c>
      <c r="AC14" s="30" t="s">
        <v>741</v>
      </c>
      <c r="AD14" t="s">
        <v>742</v>
      </c>
      <c r="AE14" t="s">
        <v>281</v>
      </c>
      <c r="AF14" s="36">
        <v>549841</v>
      </c>
      <c r="AG14" s="36">
        <v>549841</v>
      </c>
      <c r="AH14" s="24"/>
      <c r="AJ14" s="34"/>
      <c r="AK14" t="s">
        <v>923</v>
      </c>
      <c r="AL14" t="s">
        <v>282</v>
      </c>
      <c r="AM14" s="34" t="s">
        <v>925</v>
      </c>
      <c r="AN14" s="34">
        <v>43032</v>
      </c>
      <c r="AO14" s="24">
        <v>1</v>
      </c>
      <c r="AP14" t="s">
        <v>938</v>
      </c>
      <c r="AR14" s="35"/>
      <c r="AS14"/>
      <c r="AT14" s="34"/>
      <c r="AV14" s="34"/>
      <c r="AX14" s="34"/>
      <c r="AY14"/>
      <c r="BA14" s="34"/>
      <c r="BB14"/>
      <c r="BC14" t="s">
        <v>745</v>
      </c>
      <c r="BD14" s="36">
        <v>549841</v>
      </c>
      <c r="BE14" s="36">
        <v>549841</v>
      </c>
      <c r="BF14">
        <v>0</v>
      </c>
      <c r="BG14" s="34">
        <v>43175</v>
      </c>
      <c r="BH14">
        <v>60</v>
      </c>
      <c r="BI14" t="s">
        <v>283</v>
      </c>
      <c r="BJ14" t="s">
        <v>928</v>
      </c>
      <c r="BK14" t="s">
        <v>234</v>
      </c>
      <c r="BL14" t="s">
        <v>194</v>
      </c>
      <c r="BM14" s="8" t="s">
        <v>192</v>
      </c>
      <c r="BN14" t="s">
        <v>189</v>
      </c>
      <c r="BO14" t="s">
        <v>190</v>
      </c>
      <c r="BP14" s="35" t="s">
        <v>718</v>
      </c>
      <c r="BQ14"/>
      <c r="BU14" s="35"/>
      <c r="BV14" s="35"/>
      <c r="BX14"/>
      <c r="CA14" s="35"/>
      <c r="CB14" s="35"/>
      <c r="CC14"/>
      <c r="CG14" s="35"/>
      <c r="CH14" s="35"/>
      <c r="CK14"/>
      <c r="CM14" s="35"/>
      <c r="CN14" s="35"/>
      <c r="CQ14"/>
      <c r="CS14" s="35"/>
      <c r="CT14" s="35"/>
      <c r="CX14"/>
      <c r="CZ14" s="35"/>
      <c r="DD14" s="34"/>
      <c r="DG14" t="s">
        <v>743</v>
      </c>
      <c r="DH14" t="s">
        <v>939</v>
      </c>
      <c r="DI14" t="s">
        <v>280</v>
      </c>
      <c r="DL14" t="s">
        <v>665</v>
      </c>
      <c r="DM14">
        <v>6</v>
      </c>
      <c r="DN14">
        <v>9</v>
      </c>
      <c r="DO14" t="s">
        <v>744</v>
      </c>
      <c r="DQ14" t="s">
        <v>927</v>
      </c>
      <c r="DR14">
        <v>14</v>
      </c>
      <c r="DS14">
        <v>3</v>
      </c>
      <c r="DU14">
        <v>14</v>
      </c>
      <c r="DV14">
        <v>3</v>
      </c>
      <c r="DX14">
        <v>14</v>
      </c>
      <c r="DY14">
        <v>3</v>
      </c>
      <c r="DZ14" t="s">
        <v>246</v>
      </c>
      <c r="EA14" t="s">
        <v>929</v>
      </c>
    </row>
    <row r="15" spans="1:131" x14ac:dyDescent="0.4">
      <c r="A15" s="34">
        <v>43067.305104166669</v>
      </c>
      <c r="B15" s="25">
        <v>42933.820138888892</v>
      </c>
      <c r="D15" s="34"/>
      <c r="E15" s="34" t="s">
        <v>193</v>
      </c>
      <c r="F15" s="34" t="s">
        <v>191</v>
      </c>
      <c r="G15" s="34" t="s">
        <v>100</v>
      </c>
      <c r="H15" t="s">
        <v>279</v>
      </c>
      <c r="I15" t="s">
        <v>243</v>
      </c>
      <c r="J15" t="s">
        <v>712</v>
      </c>
      <c r="K15" t="s">
        <v>713</v>
      </c>
      <c r="L15" t="s">
        <v>711</v>
      </c>
      <c r="M15" s="30">
        <v>1.01</v>
      </c>
      <c r="N15">
        <v>8</v>
      </c>
      <c r="P15" s="24" t="str">
        <f>IFERROR(MID(RADataTable[[#This Row],[RATemplate]],1,LEN(RADataTable[[#This Row],[RATemplate]])-8),"RA") &amp; " " &amp; RADataTable[[#This Row],[prop_id0]] &amp; " " &amp; RADataTable[[#This Row],[last0]]</f>
        <v>RA 1749609 Lee</v>
      </c>
      <c r="T15">
        <v>4</v>
      </c>
      <c r="U15">
        <v>4</v>
      </c>
      <c r="V15" s="34">
        <v>43031.375694444447</v>
      </c>
      <c r="W15">
        <v>1</v>
      </c>
      <c r="X15" s="15" t="str">
        <f>HYPERLINK("https://www.ejacket.nsf.gov/ej/showProposal.do?Continue=Y&amp;ID="&amp;RADataTable[[#This Row],[prop_id0]],"eJ")</f>
        <v>eJ</v>
      </c>
      <c r="Y15" s="15" t="str">
        <f>HYPERLINK("mailto:"&amp;RADataTable[[#This Row],[email]]&amp;"&amp;subject=Your NSF Proposal:  "&amp;RADataTable[[#This Row],[Div]]&amp;" "&amp;RADataTable[[#This Row],[prop_id0]], RADataTable[[#This Row],[email]])</f>
        <v>yintat@uw.edu</v>
      </c>
      <c r="Z15" s="15" t="str">
        <f>HYPERLINK("mailto:"&amp;RADataTable[[#This Row],[allPIemail]]&amp;"&amp;subject=NSF Proposal:  "&amp;RADataTable[[#This Row],[Div]]&amp;" "&amp;RADataTable[[#This Row],[prop_id0]], "PIs@")</f>
        <v>PIs@</v>
      </c>
      <c r="AA15" t="s">
        <v>245</v>
      </c>
      <c r="AB15" t="s">
        <v>665</v>
      </c>
      <c r="AC15" s="30" t="s">
        <v>741</v>
      </c>
      <c r="AD15" t="s">
        <v>742</v>
      </c>
      <c r="AE15" t="s">
        <v>281</v>
      </c>
      <c r="AF15" s="36">
        <v>549841</v>
      </c>
      <c r="AG15" s="36">
        <v>549841</v>
      </c>
      <c r="AH15" s="24"/>
      <c r="AJ15" s="34"/>
      <c r="AK15" t="s">
        <v>923</v>
      </c>
      <c r="AL15" t="s">
        <v>282</v>
      </c>
      <c r="AM15" s="34" t="s">
        <v>925</v>
      </c>
      <c r="AN15" s="34">
        <v>43032</v>
      </c>
      <c r="AO15" s="24">
        <v>1</v>
      </c>
      <c r="AP15" t="s">
        <v>938</v>
      </c>
      <c r="AR15" s="35"/>
      <c r="AS15"/>
      <c r="AT15" s="34"/>
      <c r="AV15" s="34"/>
      <c r="AX15" s="34"/>
      <c r="AY15"/>
      <c r="BA15" s="34"/>
      <c r="BB15"/>
      <c r="BC15" t="s">
        <v>745</v>
      </c>
      <c r="BD15" s="36">
        <v>549841</v>
      </c>
      <c r="BE15" s="36">
        <v>549841</v>
      </c>
      <c r="BF15">
        <v>0</v>
      </c>
      <c r="BG15" s="34">
        <v>43175</v>
      </c>
      <c r="BH15">
        <v>60</v>
      </c>
      <c r="BI15" t="s">
        <v>283</v>
      </c>
      <c r="BJ15" t="s">
        <v>928</v>
      </c>
      <c r="BK15" t="s">
        <v>234</v>
      </c>
      <c r="BL15" t="s">
        <v>194</v>
      </c>
      <c r="BM15" s="8" t="s">
        <v>192</v>
      </c>
      <c r="BN15" t="s">
        <v>189</v>
      </c>
      <c r="BO15" t="s">
        <v>190</v>
      </c>
      <c r="BP15" s="35" t="s">
        <v>718</v>
      </c>
      <c r="BQ15"/>
      <c r="BU15" s="35"/>
      <c r="BV15" s="35"/>
      <c r="BX15"/>
      <c r="CA15" s="35"/>
      <c r="CB15" s="35"/>
      <c r="CC15"/>
      <c r="CG15" s="35"/>
      <c r="CH15" s="35"/>
      <c r="CK15"/>
      <c r="CM15" s="35"/>
      <c r="CN15" s="35"/>
      <c r="CQ15"/>
      <c r="CS15" s="35"/>
      <c r="CT15" s="35"/>
      <c r="CX15"/>
      <c r="CZ15" s="35"/>
      <c r="DD15" s="34"/>
      <c r="DG15" t="s">
        <v>743</v>
      </c>
      <c r="DH15" t="s">
        <v>939</v>
      </c>
      <c r="DI15" t="s">
        <v>280</v>
      </c>
      <c r="DL15" t="s">
        <v>665</v>
      </c>
      <c r="DM15">
        <v>6</v>
      </c>
      <c r="DN15">
        <v>9</v>
      </c>
      <c r="DO15" t="s">
        <v>744</v>
      </c>
      <c r="DQ15" t="s">
        <v>927</v>
      </c>
      <c r="DR15">
        <v>14</v>
      </c>
      <c r="DS15">
        <v>3</v>
      </c>
      <c r="DU15">
        <v>14</v>
      </c>
      <c r="DV15">
        <v>3</v>
      </c>
      <c r="DX15">
        <v>14</v>
      </c>
      <c r="DY15">
        <v>3</v>
      </c>
      <c r="DZ15" t="s">
        <v>246</v>
      </c>
      <c r="EA15" t="s">
        <v>929</v>
      </c>
    </row>
    <row r="16" spans="1:131" x14ac:dyDescent="0.4">
      <c r="A16" s="34">
        <v>43067.305104166669</v>
      </c>
      <c r="B16" s="25">
        <v>42933.820138888892</v>
      </c>
      <c r="D16" s="34"/>
      <c r="E16" s="34" t="s">
        <v>193</v>
      </c>
      <c r="F16" s="34" t="s">
        <v>191</v>
      </c>
      <c r="G16" s="34" t="s">
        <v>100</v>
      </c>
      <c r="H16" t="s">
        <v>279</v>
      </c>
      <c r="I16" t="s">
        <v>243</v>
      </c>
      <c r="J16" t="s">
        <v>712</v>
      </c>
      <c r="K16" t="s">
        <v>713</v>
      </c>
      <c r="L16" t="s">
        <v>711</v>
      </c>
      <c r="M16" s="30">
        <v>1.01</v>
      </c>
      <c r="N16">
        <v>8</v>
      </c>
      <c r="P16" s="24" t="str">
        <f>IFERROR(MID(RADataTable[[#This Row],[RATemplate]],1,LEN(RADataTable[[#This Row],[RATemplate]])-8),"RA") &amp; " " &amp; RADataTable[[#This Row],[prop_id0]] &amp; " " &amp; RADataTable[[#This Row],[last0]]</f>
        <v>RA 1749609 Lee</v>
      </c>
      <c r="T16">
        <v>4</v>
      </c>
      <c r="U16">
        <v>4</v>
      </c>
      <c r="V16" s="34">
        <v>43031.375694444447</v>
      </c>
      <c r="W16">
        <v>1</v>
      </c>
      <c r="X16" s="15" t="str">
        <f>HYPERLINK("https://www.ejacket.nsf.gov/ej/showProposal.do?Continue=Y&amp;ID="&amp;RADataTable[[#This Row],[prop_id0]],"eJ")</f>
        <v>eJ</v>
      </c>
      <c r="Y16" s="15" t="str">
        <f>HYPERLINK("mailto:"&amp;RADataTable[[#This Row],[email]]&amp;"&amp;subject=Your NSF Proposal:  "&amp;RADataTable[[#This Row],[Div]]&amp;" "&amp;RADataTable[[#This Row],[prop_id0]], RADataTable[[#This Row],[email]])</f>
        <v>yintat@uw.edu</v>
      </c>
      <c r="Z16" s="15" t="str">
        <f>HYPERLINK("mailto:"&amp;RADataTable[[#This Row],[allPIemail]]&amp;"&amp;subject=NSF Proposal:  "&amp;RADataTable[[#This Row],[Div]]&amp;" "&amp;RADataTable[[#This Row],[prop_id0]], "PIs@")</f>
        <v>PIs@</v>
      </c>
      <c r="AA16" t="s">
        <v>245</v>
      </c>
      <c r="AB16" t="s">
        <v>665</v>
      </c>
      <c r="AC16" s="30" t="s">
        <v>741</v>
      </c>
      <c r="AD16" t="s">
        <v>742</v>
      </c>
      <c r="AE16" t="s">
        <v>281</v>
      </c>
      <c r="AF16" s="36">
        <v>549841</v>
      </c>
      <c r="AG16" s="36">
        <v>549841</v>
      </c>
      <c r="AH16" s="24"/>
      <c r="AJ16" s="34"/>
      <c r="AK16" t="s">
        <v>923</v>
      </c>
      <c r="AL16" t="s">
        <v>282</v>
      </c>
      <c r="AM16" s="34" t="s">
        <v>925</v>
      </c>
      <c r="AN16" s="34">
        <v>43032</v>
      </c>
      <c r="AO16" s="24">
        <v>1</v>
      </c>
      <c r="AP16" t="s">
        <v>938</v>
      </c>
      <c r="AR16" s="35"/>
      <c r="AS16"/>
      <c r="AT16" s="34"/>
      <c r="AV16" s="34"/>
      <c r="AX16" s="34"/>
      <c r="AY16"/>
      <c r="BA16" s="34"/>
      <c r="BB16"/>
      <c r="BC16" t="s">
        <v>745</v>
      </c>
      <c r="BD16" s="36">
        <v>549841</v>
      </c>
      <c r="BE16" s="36">
        <v>549841</v>
      </c>
      <c r="BF16">
        <v>0</v>
      </c>
      <c r="BG16" s="34">
        <v>43175</v>
      </c>
      <c r="BH16">
        <v>60</v>
      </c>
      <c r="BI16" t="s">
        <v>283</v>
      </c>
      <c r="BJ16" t="s">
        <v>928</v>
      </c>
      <c r="BK16" t="s">
        <v>234</v>
      </c>
      <c r="BL16" t="s">
        <v>194</v>
      </c>
      <c r="BM16" s="8" t="s">
        <v>192</v>
      </c>
      <c r="BN16" t="s">
        <v>189</v>
      </c>
      <c r="BO16" t="s">
        <v>190</v>
      </c>
      <c r="BP16" s="35" t="s">
        <v>718</v>
      </c>
      <c r="BQ16"/>
      <c r="BU16" s="35"/>
      <c r="BV16" s="35"/>
      <c r="BX16"/>
      <c r="CA16" s="35"/>
      <c r="CB16" s="35"/>
      <c r="CC16"/>
      <c r="CG16" s="35"/>
      <c r="CH16" s="35"/>
      <c r="CK16"/>
      <c r="CM16" s="35"/>
      <c r="CN16" s="35"/>
      <c r="CQ16"/>
      <c r="CS16" s="35"/>
      <c r="CT16" s="35"/>
      <c r="CX16"/>
      <c r="CZ16" s="35"/>
      <c r="DD16" s="34"/>
      <c r="DG16" t="s">
        <v>743</v>
      </c>
      <c r="DH16" t="s">
        <v>939</v>
      </c>
      <c r="DI16" t="s">
        <v>280</v>
      </c>
      <c r="DL16" t="s">
        <v>665</v>
      </c>
      <c r="DM16">
        <v>6</v>
      </c>
      <c r="DN16">
        <v>9</v>
      </c>
      <c r="DO16" t="s">
        <v>744</v>
      </c>
      <c r="DQ16" t="s">
        <v>927</v>
      </c>
      <c r="DR16">
        <v>14</v>
      </c>
      <c r="DS16">
        <v>3</v>
      </c>
      <c r="DU16">
        <v>14</v>
      </c>
      <c r="DV16">
        <v>3</v>
      </c>
      <c r="DX16">
        <v>14</v>
      </c>
      <c r="DY16">
        <v>3</v>
      </c>
      <c r="DZ16" t="s">
        <v>246</v>
      </c>
      <c r="EA16" t="s">
        <v>929</v>
      </c>
    </row>
    <row r="17" spans="1:131" x14ac:dyDescent="0.4">
      <c r="A17" s="34">
        <v>43067.305104166669</v>
      </c>
      <c r="B17" s="25">
        <v>42933.820138888892</v>
      </c>
      <c r="D17" s="34"/>
      <c r="E17" s="34" t="s">
        <v>193</v>
      </c>
      <c r="F17" s="34" t="s">
        <v>191</v>
      </c>
      <c r="G17" s="34" t="s">
        <v>100</v>
      </c>
      <c r="H17" t="s">
        <v>279</v>
      </c>
      <c r="I17" t="s">
        <v>243</v>
      </c>
      <c r="J17" t="s">
        <v>712</v>
      </c>
      <c r="K17" t="s">
        <v>713</v>
      </c>
      <c r="L17" t="s">
        <v>711</v>
      </c>
      <c r="M17" s="30">
        <v>1.01</v>
      </c>
      <c r="N17">
        <v>8</v>
      </c>
      <c r="P17" s="24" t="str">
        <f>IFERROR(MID(RADataTable[[#This Row],[RATemplate]],1,LEN(RADataTable[[#This Row],[RATemplate]])-8),"RA") &amp; " " &amp; RADataTable[[#This Row],[prop_id0]] &amp; " " &amp; RADataTable[[#This Row],[last0]]</f>
        <v>RA 1749609 Lee</v>
      </c>
      <c r="T17">
        <v>4</v>
      </c>
      <c r="U17">
        <v>4</v>
      </c>
      <c r="V17" s="34">
        <v>43031.375694444447</v>
      </c>
      <c r="W17">
        <v>1</v>
      </c>
      <c r="X17" s="15" t="str">
        <f>HYPERLINK("https://www.ejacket.nsf.gov/ej/showProposal.do?Continue=Y&amp;ID="&amp;RADataTable[[#This Row],[prop_id0]],"eJ")</f>
        <v>eJ</v>
      </c>
      <c r="Y17" s="15" t="str">
        <f>HYPERLINK("mailto:"&amp;RADataTable[[#This Row],[email]]&amp;"&amp;subject=Your NSF Proposal:  "&amp;RADataTable[[#This Row],[Div]]&amp;" "&amp;RADataTable[[#This Row],[prop_id0]], RADataTable[[#This Row],[email]])</f>
        <v>yintat@uw.edu</v>
      </c>
      <c r="Z17" s="15" t="str">
        <f>HYPERLINK("mailto:"&amp;RADataTable[[#This Row],[allPIemail]]&amp;"&amp;subject=NSF Proposal:  "&amp;RADataTable[[#This Row],[Div]]&amp;" "&amp;RADataTable[[#This Row],[prop_id0]], "PIs@")</f>
        <v>PIs@</v>
      </c>
      <c r="AA17" t="s">
        <v>245</v>
      </c>
      <c r="AB17" t="s">
        <v>665</v>
      </c>
      <c r="AC17" s="30" t="s">
        <v>741</v>
      </c>
      <c r="AD17" t="s">
        <v>742</v>
      </c>
      <c r="AE17" t="s">
        <v>281</v>
      </c>
      <c r="AF17" s="36">
        <v>549841</v>
      </c>
      <c r="AG17" s="36">
        <v>549841</v>
      </c>
      <c r="AH17" s="24"/>
      <c r="AJ17" s="34"/>
      <c r="AK17" t="s">
        <v>923</v>
      </c>
      <c r="AL17" t="s">
        <v>282</v>
      </c>
      <c r="AM17" s="34" t="s">
        <v>925</v>
      </c>
      <c r="AN17" s="34">
        <v>43032</v>
      </c>
      <c r="AO17" s="24">
        <v>1</v>
      </c>
      <c r="AP17" t="s">
        <v>938</v>
      </c>
      <c r="AR17" s="35"/>
      <c r="AS17"/>
      <c r="AT17" s="34"/>
      <c r="AV17" s="34"/>
      <c r="AX17" s="34"/>
      <c r="AY17"/>
      <c r="BA17" s="34"/>
      <c r="BB17"/>
      <c r="BC17" t="s">
        <v>745</v>
      </c>
      <c r="BD17" s="36">
        <v>549841</v>
      </c>
      <c r="BE17" s="36">
        <v>549841</v>
      </c>
      <c r="BF17">
        <v>0</v>
      </c>
      <c r="BG17" s="34">
        <v>43175</v>
      </c>
      <c r="BH17">
        <v>60</v>
      </c>
      <c r="BI17" t="s">
        <v>283</v>
      </c>
      <c r="BJ17" t="s">
        <v>928</v>
      </c>
      <c r="BK17" t="s">
        <v>234</v>
      </c>
      <c r="BL17" t="s">
        <v>194</v>
      </c>
      <c r="BM17" s="8" t="s">
        <v>192</v>
      </c>
      <c r="BN17" t="s">
        <v>189</v>
      </c>
      <c r="BO17" t="s">
        <v>190</v>
      </c>
      <c r="BP17" s="35" t="s">
        <v>718</v>
      </c>
      <c r="BQ17"/>
      <c r="BU17" s="35"/>
      <c r="BV17" s="35"/>
      <c r="BX17"/>
      <c r="CA17" s="35"/>
      <c r="CB17" s="35"/>
      <c r="CC17"/>
      <c r="CG17" s="35"/>
      <c r="CH17" s="35"/>
      <c r="CK17"/>
      <c r="CM17" s="35"/>
      <c r="CN17" s="35"/>
      <c r="CQ17"/>
      <c r="CS17" s="35"/>
      <c r="CT17" s="35"/>
      <c r="CX17"/>
      <c r="CZ17" s="35"/>
      <c r="DD17" s="34"/>
      <c r="DG17" t="s">
        <v>743</v>
      </c>
      <c r="DH17" t="s">
        <v>939</v>
      </c>
      <c r="DI17" t="s">
        <v>280</v>
      </c>
      <c r="DL17" t="s">
        <v>665</v>
      </c>
      <c r="DM17">
        <v>6</v>
      </c>
      <c r="DN17">
        <v>9</v>
      </c>
      <c r="DO17" t="s">
        <v>744</v>
      </c>
      <c r="DQ17" t="s">
        <v>927</v>
      </c>
      <c r="DR17">
        <v>14</v>
      </c>
      <c r="DS17">
        <v>3</v>
      </c>
      <c r="DU17">
        <v>14</v>
      </c>
      <c r="DV17">
        <v>3</v>
      </c>
      <c r="DX17">
        <v>14</v>
      </c>
      <c r="DY17">
        <v>3</v>
      </c>
      <c r="DZ17" t="s">
        <v>246</v>
      </c>
      <c r="EA17" t="s">
        <v>929</v>
      </c>
    </row>
    <row r="18" spans="1:131" x14ac:dyDescent="0.4">
      <c r="A18" s="34">
        <v>43067.305104166669</v>
      </c>
      <c r="B18" s="25">
        <v>42933.820138888892</v>
      </c>
      <c r="D18" s="34"/>
      <c r="E18" s="34" t="s">
        <v>193</v>
      </c>
      <c r="F18" s="34" t="s">
        <v>191</v>
      </c>
      <c r="G18" s="34" t="s">
        <v>100</v>
      </c>
      <c r="H18" t="s">
        <v>279</v>
      </c>
      <c r="I18" t="s">
        <v>243</v>
      </c>
      <c r="J18" t="s">
        <v>712</v>
      </c>
      <c r="K18" t="s">
        <v>713</v>
      </c>
      <c r="L18" t="s">
        <v>711</v>
      </c>
      <c r="M18" s="30">
        <v>1.01</v>
      </c>
      <c r="N18">
        <v>8</v>
      </c>
      <c r="P18" s="24" t="str">
        <f>IFERROR(MID(RADataTable[[#This Row],[RATemplate]],1,LEN(RADataTable[[#This Row],[RATemplate]])-8),"RA") &amp; " " &amp; RADataTable[[#This Row],[prop_id0]] &amp; " " &amp; RADataTable[[#This Row],[last0]]</f>
        <v>RA 1749609 Lee</v>
      </c>
      <c r="T18">
        <v>4</v>
      </c>
      <c r="U18">
        <v>4</v>
      </c>
      <c r="V18" s="34">
        <v>43031.375694444447</v>
      </c>
      <c r="W18">
        <v>1</v>
      </c>
      <c r="X18" s="15" t="str">
        <f>HYPERLINK("https://www.ejacket.nsf.gov/ej/showProposal.do?Continue=Y&amp;ID="&amp;RADataTable[[#This Row],[prop_id0]],"eJ")</f>
        <v>eJ</v>
      </c>
      <c r="Y18" s="15" t="str">
        <f>HYPERLINK("mailto:"&amp;RADataTable[[#This Row],[email]]&amp;"&amp;subject=Your NSF Proposal:  "&amp;RADataTable[[#This Row],[Div]]&amp;" "&amp;RADataTable[[#This Row],[prop_id0]], RADataTable[[#This Row],[email]])</f>
        <v>yintat@uw.edu</v>
      </c>
      <c r="Z18" s="15" t="str">
        <f>HYPERLINK("mailto:"&amp;RADataTable[[#This Row],[allPIemail]]&amp;"&amp;subject=NSF Proposal:  "&amp;RADataTable[[#This Row],[Div]]&amp;" "&amp;RADataTable[[#This Row],[prop_id0]], "PIs@")</f>
        <v>PIs@</v>
      </c>
      <c r="AA18" t="s">
        <v>245</v>
      </c>
      <c r="AB18" t="s">
        <v>665</v>
      </c>
      <c r="AC18" s="30" t="s">
        <v>741</v>
      </c>
      <c r="AD18" t="s">
        <v>742</v>
      </c>
      <c r="AE18" t="s">
        <v>281</v>
      </c>
      <c r="AF18" s="36">
        <v>549841</v>
      </c>
      <c r="AG18" s="36">
        <v>549841</v>
      </c>
      <c r="AH18" s="24"/>
      <c r="AJ18" s="34"/>
      <c r="AK18" t="s">
        <v>923</v>
      </c>
      <c r="AL18" t="s">
        <v>282</v>
      </c>
      <c r="AM18" s="34" t="s">
        <v>925</v>
      </c>
      <c r="AN18" s="34">
        <v>43032</v>
      </c>
      <c r="AO18" s="24">
        <v>1</v>
      </c>
      <c r="AP18" t="s">
        <v>938</v>
      </c>
      <c r="AR18" s="35"/>
      <c r="AS18"/>
      <c r="AT18" s="34"/>
      <c r="AV18" s="34"/>
      <c r="AX18" s="34"/>
      <c r="AY18"/>
      <c r="BA18" s="34"/>
      <c r="BB18"/>
      <c r="BC18" t="s">
        <v>745</v>
      </c>
      <c r="BD18" s="36">
        <v>549841</v>
      </c>
      <c r="BE18" s="36">
        <v>549841</v>
      </c>
      <c r="BF18">
        <v>0</v>
      </c>
      <c r="BG18" s="34">
        <v>43175</v>
      </c>
      <c r="BH18">
        <v>60</v>
      </c>
      <c r="BI18" t="s">
        <v>283</v>
      </c>
      <c r="BJ18" t="s">
        <v>928</v>
      </c>
      <c r="BK18" t="s">
        <v>234</v>
      </c>
      <c r="BL18" t="s">
        <v>194</v>
      </c>
      <c r="BM18" s="8" t="s">
        <v>192</v>
      </c>
      <c r="BN18" t="s">
        <v>189</v>
      </c>
      <c r="BO18" t="s">
        <v>190</v>
      </c>
      <c r="BP18" s="35" t="s">
        <v>718</v>
      </c>
      <c r="BQ18"/>
      <c r="BU18" s="35"/>
      <c r="BV18" s="35"/>
      <c r="BX18"/>
      <c r="CA18" s="35"/>
      <c r="CB18" s="35"/>
      <c r="CC18"/>
      <c r="CG18" s="35"/>
      <c r="CH18" s="35"/>
      <c r="CK18"/>
      <c r="CM18" s="35"/>
      <c r="CN18" s="35"/>
      <c r="CQ18"/>
      <c r="CS18" s="35"/>
      <c r="CT18" s="35"/>
      <c r="CX18"/>
      <c r="CZ18" s="35"/>
      <c r="DD18" s="34"/>
      <c r="DG18" t="s">
        <v>743</v>
      </c>
      <c r="DH18" t="s">
        <v>939</v>
      </c>
      <c r="DI18" t="s">
        <v>280</v>
      </c>
      <c r="DL18" t="s">
        <v>665</v>
      </c>
      <c r="DM18">
        <v>6</v>
      </c>
      <c r="DN18">
        <v>9</v>
      </c>
      <c r="DO18" t="s">
        <v>744</v>
      </c>
      <c r="DQ18" t="s">
        <v>927</v>
      </c>
      <c r="DR18">
        <v>14</v>
      </c>
      <c r="DS18">
        <v>3</v>
      </c>
      <c r="DU18">
        <v>14</v>
      </c>
      <c r="DV18">
        <v>3</v>
      </c>
      <c r="DX18">
        <v>14</v>
      </c>
      <c r="DY18">
        <v>3</v>
      </c>
      <c r="DZ18" t="s">
        <v>246</v>
      </c>
      <c r="EA18" t="s">
        <v>929</v>
      </c>
    </row>
    <row r="19" spans="1:131" x14ac:dyDescent="0.4">
      <c r="A19" s="34">
        <v>43067.305104166669</v>
      </c>
      <c r="B19" s="25">
        <v>42933.820138888892</v>
      </c>
      <c r="D19" s="34"/>
      <c r="E19" s="34" t="s">
        <v>193</v>
      </c>
      <c r="F19" s="34" t="s">
        <v>191</v>
      </c>
      <c r="G19" s="34" t="s">
        <v>100</v>
      </c>
      <c r="H19" t="s">
        <v>279</v>
      </c>
      <c r="I19" t="s">
        <v>243</v>
      </c>
      <c r="J19" t="s">
        <v>712</v>
      </c>
      <c r="K19" t="s">
        <v>713</v>
      </c>
      <c r="L19" t="s">
        <v>711</v>
      </c>
      <c r="M19" s="30">
        <v>1.01</v>
      </c>
      <c r="N19">
        <v>8</v>
      </c>
      <c r="P19" s="24" t="str">
        <f>IFERROR(MID(RADataTable[[#This Row],[RATemplate]],1,LEN(RADataTable[[#This Row],[RATemplate]])-8),"RA") &amp; " " &amp; RADataTable[[#This Row],[prop_id0]] &amp; " " &amp; RADataTable[[#This Row],[last0]]</f>
        <v>RA 1749609 Lee</v>
      </c>
      <c r="T19">
        <v>4</v>
      </c>
      <c r="U19">
        <v>4</v>
      </c>
      <c r="V19" s="34">
        <v>43031.375694444447</v>
      </c>
      <c r="W19">
        <v>1</v>
      </c>
      <c r="X19" s="15" t="str">
        <f>HYPERLINK("https://www.ejacket.nsf.gov/ej/showProposal.do?Continue=Y&amp;ID="&amp;RADataTable[[#This Row],[prop_id0]],"eJ")</f>
        <v>eJ</v>
      </c>
      <c r="Y19" s="15" t="str">
        <f>HYPERLINK("mailto:"&amp;RADataTable[[#This Row],[email]]&amp;"&amp;subject=Your NSF Proposal:  "&amp;RADataTable[[#This Row],[Div]]&amp;" "&amp;RADataTable[[#This Row],[prop_id0]], RADataTable[[#This Row],[email]])</f>
        <v>yintat@uw.edu</v>
      </c>
      <c r="Z19" s="15" t="str">
        <f>HYPERLINK("mailto:"&amp;RADataTable[[#This Row],[allPIemail]]&amp;"&amp;subject=NSF Proposal:  "&amp;RADataTable[[#This Row],[Div]]&amp;" "&amp;RADataTable[[#This Row],[prop_id0]], "PIs@")</f>
        <v>PIs@</v>
      </c>
      <c r="AA19" t="s">
        <v>245</v>
      </c>
      <c r="AB19" t="s">
        <v>665</v>
      </c>
      <c r="AC19" s="30" t="s">
        <v>741</v>
      </c>
      <c r="AD19" t="s">
        <v>742</v>
      </c>
      <c r="AE19" t="s">
        <v>281</v>
      </c>
      <c r="AF19" s="36">
        <v>549841</v>
      </c>
      <c r="AG19" s="36">
        <v>549841</v>
      </c>
      <c r="AH19" s="24"/>
      <c r="AJ19" s="34"/>
      <c r="AK19" t="s">
        <v>923</v>
      </c>
      <c r="AL19" t="s">
        <v>282</v>
      </c>
      <c r="AM19" s="34" t="s">
        <v>925</v>
      </c>
      <c r="AN19" s="34">
        <v>43032</v>
      </c>
      <c r="AO19" s="24">
        <v>1</v>
      </c>
      <c r="AP19" t="s">
        <v>938</v>
      </c>
      <c r="AR19" s="35"/>
      <c r="AS19"/>
      <c r="AT19" s="34"/>
      <c r="AV19" s="34"/>
      <c r="AX19" s="34"/>
      <c r="AY19"/>
      <c r="BA19" s="34"/>
      <c r="BB19"/>
      <c r="BC19" t="s">
        <v>745</v>
      </c>
      <c r="BD19" s="36">
        <v>549841</v>
      </c>
      <c r="BE19" s="36">
        <v>549841</v>
      </c>
      <c r="BF19">
        <v>0</v>
      </c>
      <c r="BG19" s="34">
        <v>43175</v>
      </c>
      <c r="BH19">
        <v>60</v>
      </c>
      <c r="BI19" t="s">
        <v>283</v>
      </c>
      <c r="BJ19" t="s">
        <v>928</v>
      </c>
      <c r="BK19" t="s">
        <v>234</v>
      </c>
      <c r="BL19" t="s">
        <v>194</v>
      </c>
      <c r="BM19" s="8" t="s">
        <v>192</v>
      </c>
      <c r="BN19" t="s">
        <v>189</v>
      </c>
      <c r="BO19" t="s">
        <v>190</v>
      </c>
      <c r="BP19" s="35" t="s">
        <v>718</v>
      </c>
      <c r="BQ19"/>
      <c r="BU19" s="35"/>
      <c r="BV19" s="35"/>
      <c r="BX19"/>
      <c r="CA19" s="35"/>
      <c r="CB19" s="35"/>
      <c r="CC19"/>
      <c r="CG19" s="35"/>
      <c r="CH19" s="35"/>
      <c r="CK19"/>
      <c r="CM19" s="35"/>
      <c r="CN19" s="35"/>
      <c r="CQ19"/>
      <c r="CS19" s="35"/>
      <c r="CT19" s="35"/>
      <c r="CX19"/>
      <c r="CZ19" s="35"/>
      <c r="DD19" s="34"/>
      <c r="DG19" t="s">
        <v>743</v>
      </c>
      <c r="DH19" t="s">
        <v>939</v>
      </c>
      <c r="DI19" t="s">
        <v>280</v>
      </c>
      <c r="DL19" t="s">
        <v>665</v>
      </c>
      <c r="DM19">
        <v>6</v>
      </c>
      <c r="DN19">
        <v>9</v>
      </c>
      <c r="DO19" t="s">
        <v>744</v>
      </c>
      <c r="DQ19" t="s">
        <v>927</v>
      </c>
      <c r="DR19">
        <v>14</v>
      </c>
      <c r="DS19">
        <v>3</v>
      </c>
      <c r="DU19">
        <v>14</v>
      </c>
      <c r="DV19">
        <v>3</v>
      </c>
      <c r="DX19">
        <v>14</v>
      </c>
      <c r="DY19">
        <v>3</v>
      </c>
      <c r="DZ19" t="s">
        <v>246</v>
      </c>
      <c r="EA19" t="s">
        <v>929</v>
      </c>
    </row>
    <row r="20" spans="1:131" x14ac:dyDescent="0.4">
      <c r="A20" s="34">
        <v>43067.305104166669</v>
      </c>
      <c r="B20" s="25">
        <v>42933.820138888892</v>
      </c>
      <c r="D20" s="34"/>
      <c r="E20" s="34" t="s">
        <v>193</v>
      </c>
      <c r="F20" s="34" t="s">
        <v>191</v>
      </c>
      <c r="G20" s="34" t="s">
        <v>100</v>
      </c>
      <c r="H20" t="s">
        <v>279</v>
      </c>
      <c r="I20" t="s">
        <v>243</v>
      </c>
      <c r="J20" t="s">
        <v>712</v>
      </c>
      <c r="K20" t="s">
        <v>713</v>
      </c>
      <c r="L20" t="s">
        <v>711</v>
      </c>
      <c r="M20" s="30">
        <v>1.01</v>
      </c>
      <c r="N20">
        <v>8</v>
      </c>
      <c r="P20" s="24" t="str">
        <f>IFERROR(MID(RADataTable[[#This Row],[RATemplate]],1,LEN(RADataTable[[#This Row],[RATemplate]])-8),"RA") &amp; " " &amp; RADataTable[[#This Row],[prop_id0]] &amp; " " &amp; RADataTable[[#This Row],[last0]]</f>
        <v>RA 1749609 Lee</v>
      </c>
      <c r="T20">
        <v>4</v>
      </c>
      <c r="U20">
        <v>4</v>
      </c>
      <c r="V20" s="34">
        <v>43031.375694444447</v>
      </c>
      <c r="W20">
        <v>1</v>
      </c>
      <c r="X20" s="15" t="str">
        <f>HYPERLINK("https://www.ejacket.nsf.gov/ej/showProposal.do?Continue=Y&amp;ID="&amp;RADataTable[[#This Row],[prop_id0]],"eJ")</f>
        <v>eJ</v>
      </c>
      <c r="Y20" s="15" t="str">
        <f>HYPERLINK("mailto:"&amp;RADataTable[[#This Row],[email]]&amp;"&amp;subject=Your NSF Proposal:  "&amp;RADataTable[[#This Row],[Div]]&amp;" "&amp;RADataTable[[#This Row],[prop_id0]], RADataTable[[#This Row],[email]])</f>
        <v>yintat@uw.edu</v>
      </c>
      <c r="Z20" s="15" t="str">
        <f>HYPERLINK("mailto:"&amp;RADataTable[[#This Row],[allPIemail]]&amp;"&amp;subject=NSF Proposal:  "&amp;RADataTable[[#This Row],[Div]]&amp;" "&amp;RADataTable[[#This Row],[prop_id0]], "PIs@")</f>
        <v>PIs@</v>
      </c>
      <c r="AA20" t="s">
        <v>245</v>
      </c>
      <c r="AB20" t="s">
        <v>665</v>
      </c>
      <c r="AC20" s="30" t="s">
        <v>741</v>
      </c>
      <c r="AD20" t="s">
        <v>742</v>
      </c>
      <c r="AE20" t="s">
        <v>281</v>
      </c>
      <c r="AF20" s="36">
        <v>549841</v>
      </c>
      <c r="AG20" s="36">
        <v>549841</v>
      </c>
      <c r="AH20" s="24"/>
      <c r="AJ20" s="34"/>
      <c r="AK20" t="s">
        <v>923</v>
      </c>
      <c r="AL20" t="s">
        <v>282</v>
      </c>
      <c r="AM20" s="34" t="s">
        <v>925</v>
      </c>
      <c r="AN20" s="34">
        <v>43032</v>
      </c>
      <c r="AO20" s="24">
        <v>1</v>
      </c>
      <c r="AP20" t="s">
        <v>938</v>
      </c>
      <c r="AR20" s="35"/>
      <c r="AS20"/>
      <c r="AT20" s="34"/>
      <c r="AV20" s="34"/>
      <c r="AX20" s="34"/>
      <c r="AY20"/>
      <c r="BA20" s="34"/>
      <c r="BB20"/>
      <c r="BC20" t="s">
        <v>745</v>
      </c>
      <c r="BD20" s="36">
        <v>549841</v>
      </c>
      <c r="BE20" s="36">
        <v>549841</v>
      </c>
      <c r="BF20">
        <v>0</v>
      </c>
      <c r="BG20" s="34">
        <v>43175</v>
      </c>
      <c r="BH20">
        <v>60</v>
      </c>
      <c r="BI20" t="s">
        <v>283</v>
      </c>
      <c r="BJ20" t="s">
        <v>928</v>
      </c>
      <c r="BK20" t="s">
        <v>234</v>
      </c>
      <c r="BL20" t="s">
        <v>194</v>
      </c>
      <c r="BM20" s="8" t="s">
        <v>192</v>
      </c>
      <c r="BN20" t="s">
        <v>189</v>
      </c>
      <c r="BO20" t="s">
        <v>190</v>
      </c>
      <c r="BP20" s="35" t="s">
        <v>718</v>
      </c>
      <c r="BQ20"/>
      <c r="BU20" s="35"/>
      <c r="BV20" s="35"/>
      <c r="BX20"/>
      <c r="CA20" s="35"/>
      <c r="CB20" s="35"/>
      <c r="CC20"/>
      <c r="CG20" s="35"/>
      <c r="CH20" s="35"/>
      <c r="CK20"/>
      <c r="CM20" s="35"/>
      <c r="CN20" s="35"/>
      <c r="CQ20"/>
      <c r="CS20" s="35"/>
      <c r="CT20" s="35"/>
      <c r="CX20"/>
      <c r="CZ20" s="35"/>
      <c r="DD20" s="34"/>
      <c r="DG20" t="s">
        <v>743</v>
      </c>
      <c r="DH20" t="s">
        <v>939</v>
      </c>
      <c r="DI20" t="s">
        <v>280</v>
      </c>
      <c r="DL20" t="s">
        <v>665</v>
      </c>
      <c r="DM20">
        <v>6</v>
      </c>
      <c r="DN20">
        <v>9</v>
      </c>
      <c r="DO20" t="s">
        <v>744</v>
      </c>
      <c r="DQ20" t="s">
        <v>927</v>
      </c>
      <c r="DR20">
        <v>14</v>
      </c>
      <c r="DS20">
        <v>3</v>
      </c>
      <c r="DU20">
        <v>14</v>
      </c>
      <c r="DV20">
        <v>3</v>
      </c>
      <c r="DX20">
        <v>14</v>
      </c>
      <c r="DY20">
        <v>3</v>
      </c>
      <c r="DZ20" t="s">
        <v>246</v>
      </c>
      <c r="EA20" t="s">
        <v>929</v>
      </c>
    </row>
    <row r="21" spans="1:131" x14ac:dyDescent="0.4">
      <c r="A21" s="34">
        <v>43067.305104166669</v>
      </c>
      <c r="B21" s="25">
        <v>42933.820138888892</v>
      </c>
      <c r="D21" s="34"/>
      <c r="E21" s="34" t="s">
        <v>193</v>
      </c>
      <c r="F21" s="34" t="s">
        <v>191</v>
      </c>
      <c r="G21" s="34" t="s">
        <v>100</v>
      </c>
      <c r="H21" t="s">
        <v>279</v>
      </c>
      <c r="I21" t="s">
        <v>243</v>
      </c>
      <c r="J21" t="s">
        <v>712</v>
      </c>
      <c r="K21" t="s">
        <v>713</v>
      </c>
      <c r="L21" t="s">
        <v>711</v>
      </c>
      <c r="M21" s="30">
        <v>1.01</v>
      </c>
      <c r="N21">
        <v>8</v>
      </c>
      <c r="P21" s="24" t="str">
        <f>IFERROR(MID(RADataTable[[#This Row],[RATemplate]],1,LEN(RADataTable[[#This Row],[RATemplate]])-8),"RA") &amp; " " &amp; RADataTable[[#This Row],[prop_id0]] &amp; " " &amp; RADataTable[[#This Row],[last0]]</f>
        <v>RA 1749609 Lee</v>
      </c>
      <c r="T21">
        <v>4</v>
      </c>
      <c r="U21">
        <v>4</v>
      </c>
      <c r="V21" s="34">
        <v>43031.375694444447</v>
      </c>
      <c r="W21">
        <v>1</v>
      </c>
      <c r="X21" s="15" t="str">
        <f>HYPERLINK("https://www.ejacket.nsf.gov/ej/showProposal.do?Continue=Y&amp;ID="&amp;RADataTable[[#This Row],[prop_id0]],"eJ")</f>
        <v>eJ</v>
      </c>
      <c r="Y21" s="15" t="str">
        <f>HYPERLINK("mailto:"&amp;RADataTable[[#This Row],[email]]&amp;"&amp;subject=Your NSF Proposal:  "&amp;RADataTable[[#This Row],[Div]]&amp;" "&amp;RADataTable[[#This Row],[prop_id0]], RADataTable[[#This Row],[email]])</f>
        <v>yintat@uw.edu</v>
      </c>
      <c r="Z21" s="15" t="str">
        <f>HYPERLINK("mailto:"&amp;RADataTable[[#This Row],[allPIemail]]&amp;"&amp;subject=NSF Proposal:  "&amp;RADataTable[[#This Row],[Div]]&amp;" "&amp;RADataTable[[#This Row],[prop_id0]], "PIs@")</f>
        <v>PIs@</v>
      </c>
      <c r="AA21" t="s">
        <v>245</v>
      </c>
      <c r="AB21" t="s">
        <v>665</v>
      </c>
      <c r="AC21" s="30" t="s">
        <v>741</v>
      </c>
      <c r="AD21" t="s">
        <v>742</v>
      </c>
      <c r="AE21" t="s">
        <v>281</v>
      </c>
      <c r="AF21" s="36">
        <v>549841</v>
      </c>
      <c r="AG21" s="36">
        <v>549841</v>
      </c>
      <c r="AH21" s="24"/>
      <c r="AJ21" s="34"/>
      <c r="AK21" t="s">
        <v>923</v>
      </c>
      <c r="AL21" t="s">
        <v>282</v>
      </c>
      <c r="AM21" s="34" t="s">
        <v>925</v>
      </c>
      <c r="AN21" s="34">
        <v>43032</v>
      </c>
      <c r="AO21" s="24">
        <v>1</v>
      </c>
      <c r="AP21" t="s">
        <v>938</v>
      </c>
      <c r="AR21" s="35"/>
      <c r="AS21"/>
      <c r="AT21" s="34"/>
      <c r="AV21" s="34"/>
      <c r="AX21" s="34"/>
      <c r="AY21"/>
      <c r="BA21" s="34"/>
      <c r="BB21"/>
      <c r="BC21" t="s">
        <v>745</v>
      </c>
      <c r="BD21" s="36">
        <v>549841</v>
      </c>
      <c r="BE21" s="36">
        <v>549841</v>
      </c>
      <c r="BF21">
        <v>0</v>
      </c>
      <c r="BG21" s="34">
        <v>43175</v>
      </c>
      <c r="BH21">
        <v>60</v>
      </c>
      <c r="BI21" t="s">
        <v>283</v>
      </c>
      <c r="BJ21" t="s">
        <v>928</v>
      </c>
      <c r="BK21" t="s">
        <v>234</v>
      </c>
      <c r="BL21" t="s">
        <v>194</v>
      </c>
      <c r="BM21" s="8" t="s">
        <v>192</v>
      </c>
      <c r="BN21" t="s">
        <v>189</v>
      </c>
      <c r="BO21" t="s">
        <v>190</v>
      </c>
      <c r="BP21" s="35" t="s">
        <v>718</v>
      </c>
      <c r="BQ21"/>
      <c r="BU21" s="35"/>
      <c r="BV21" s="35"/>
      <c r="BX21"/>
      <c r="CA21" s="35"/>
      <c r="CB21" s="35"/>
      <c r="CC21"/>
      <c r="CG21" s="35"/>
      <c r="CH21" s="35"/>
      <c r="CK21"/>
      <c r="CM21" s="35"/>
      <c r="CN21" s="35"/>
      <c r="CQ21"/>
      <c r="CS21" s="35"/>
      <c r="CT21" s="35"/>
      <c r="CX21"/>
      <c r="CZ21" s="35"/>
      <c r="DD21" s="34"/>
      <c r="DG21" t="s">
        <v>743</v>
      </c>
      <c r="DH21" t="s">
        <v>939</v>
      </c>
      <c r="DI21" t="s">
        <v>280</v>
      </c>
      <c r="DL21" t="s">
        <v>665</v>
      </c>
      <c r="DM21">
        <v>6</v>
      </c>
      <c r="DN21">
        <v>9</v>
      </c>
      <c r="DO21" t="s">
        <v>744</v>
      </c>
      <c r="DQ21" t="s">
        <v>927</v>
      </c>
      <c r="DR21">
        <v>14</v>
      </c>
      <c r="DS21">
        <v>3</v>
      </c>
      <c r="DU21">
        <v>14</v>
      </c>
      <c r="DV21">
        <v>3</v>
      </c>
      <c r="DX21">
        <v>14</v>
      </c>
      <c r="DY21">
        <v>3</v>
      </c>
      <c r="DZ21" t="s">
        <v>246</v>
      </c>
      <c r="EA21" t="s">
        <v>929</v>
      </c>
    </row>
    <row r="22" spans="1:131" x14ac:dyDescent="0.4">
      <c r="A22" s="34">
        <v>43067.305104166669</v>
      </c>
      <c r="B22" s="25">
        <v>42933.820138888892</v>
      </c>
      <c r="D22" s="34"/>
      <c r="E22" s="34" t="s">
        <v>193</v>
      </c>
      <c r="F22" s="34" t="s">
        <v>191</v>
      </c>
      <c r="G22" s="34" t="s">
        <v>100</v>
      </c>
      <c r="H22" t="s">
        <v>279</v>
      </c>
      <c r="I22" t="s">
        <v>243</v>
      </c>
      <c r="J22" t="s">
        <v>712</v>
      </c>
      <c r="K22" t="s">
        <v>713</v>
      </c>
      <c r="L22" t="s">
        <v>711</v>
      </c>
      <c r="M22" s="30">
        <v>1.01</v>
      </c>
      <c r="N22">
        <v>8</v>
      </c>
      <c r="P22" s="24" t="str">
        <f>IFERROR(MID(RADataTable[[#This Row],[RATemplate]],1,LEN(RADataTable[[#This Row],[RATemplate]])-8),"RA") &amp; " " &amp; RADataTable[[#This Row],[prop_id0]] &amp; " " &amp; RADataTable[[#This Row],[last0]]</f>
        <v>RA 1749609 Lee</v>
      </c>
      <c r="T22">
        <v>4</v>
      </c>
      <c r="U22">
        <v>4</v>
      </c>
      <c r="V22" s="34">
        <v>43031.375694444447</v>
      </c>
      <c r="W22">
        <v>1</v>
      </c>
      <c r="X22" s="15" t="str">
        <f>HYPERLINK("https://www.ejacket.nsf.gov/ej/showProposal.do?Continue=Y&amp;ID="&amp;RADataTable[[#This Row],[prop_id0]],"eJ")</f>
        <v>eJ</v>
      </c>
      <c r="Y22" s="15" t="str">
        <f>HYPERLINK("mailto:"&amp;RADataTable[[#This Row],[email]]&amp;"&amp;subject=Your NSF Proposal:  "&amp;RADataTable[[#This Row],[Div]]&amp;" "&amp;RADataTable[[#This Row],[prop_id0]], RADataTable[[#This Row],[email]])</f>
        <v>yintat@uw.edu</v>
      </c>
      <c r="Z22" s="15" t="str">
        <f>HYPERLINK("mailto:"&amp;RADataTable[[#This Row],[allPIemail]]&amp;"&amp;subject=NSF Proposal:  "&amp;RADataTable[[#This Row],[Div]]&amp;" "&amp;RADataTable[[#This Row],[prop_id0]], "PIs@")</f>
        <v>PIs@</v>
      </c>
      <c r="AA22" t="s">
        <v>245</v>
      </c>
      <c r="AB22" t="s">
        <v>665</v>
      </c>
      <c r="AC22" s="30" t="s">
        <v>741</v>
      </c>
      <c r="AD22" t="s">
        <v>742</v>
      </c>
      <c r="AE22" t="s">
        <v>281</v>
      </c>
      <c r="AF22" s="36">
        <v>549841</v>
      </c>
      <c r="AG22" s="36">
        <v>549841</v>
      </c>
      <c r="AH22" s="24"/>
      <c r="AJ22" s="34"/>
      <c r="AK22" t="s">
        <v>923</v>
      </c>
      <c r="AL22" t="s">
        <v>282</v>
      </c>
      <c r="AM22" s="34" t="s">
        <v>925</v>
      </c>
      <c r="AN22" s="34">
        <v>43032</v>
      </c>
      <c r="AO22" s="24">
        <v>1</v>
      </c>
      <c r="AP22" t="s">
        <v>938</v>
      </c>
      <c r="AR22" s="35"/>
      <c r="AS22"/>
      <c r="AT22" s="34"/>
      <c r="AV22" s="34"/>
      <c r="AX22" s="34"/>
      <c r="AY22"/>
      <c r="BA22" s="34"/>
      <c r="BB22"/>
      <c r="BC22" t="s">
        <v>745</v>
      </c>
      <c r="BD22" s="36">
        <v>549841</v>
      </c>
      <c r="BE22" s="36">
        <v>549841</v>
      </c>
      <c r="BF22">
        <v>0</v>
      </c>
      <c r="BG22" s="34">
        <v>43175</v>
      </c>
      <c r="BH22">
        <v>60</v>
      </c>
      <c r="BI22" t="s">
        <v>283</v>
      </c>
      <c r="BJ22" t="s">
        <v>928</v>
      </c>
      <c r="BK22" t="s">
        <v>234</v>
      </c>
      <c r="BL22" t="s">
        <v>194</v>
      </c>
      <c r="BM22" s="8" t="s">
        <v>192</v>
      </c>
      <c r="BN22" t="s">
        <v>189</v>
      </c>
      <c r="BO22" t="s">
        <v>190</v>
      </c>
      <c r="BP22" s="35" t="s">
        <v>718</v>
      </c>
      <c r="BQ22"/>
      <c r="BU22" s="35"/>
      <c r="BV22" s="35"/>
      <c r="BX22"/>
      <c r="CA22" s="35"/>
      <c r="CB22" s="35"/>
      <c r="CC22"/>
      <c r="CG22" s="35"/>
      <c r="CH22" s="35"/>
      <c r="CK22"/>
      <c r="CM22" s="35"/>
      <c r="CN22" s="35"/>
      <c r="CQ22"/>
      <c r="CS22" s="35"/>
      <c r="CT22" s="35"/>
      <c r="CX22"/>
      <c r="CZ22" s="35"/>
      <c r="DD22" s="34"/>
      <c r="DG22" t="s">
        <v>743</v>
      </c>
      <c r="DH22" t="s">
        <v>939</v>
      </c>
      <c r="DI22" t="s">
        <v>280</v>
      </c>
      <c r="DL22" t="s">
        <v>665</v>
      </c>
      <c r="DM22">
        <v>6</v>
      </c>
      <c r="DN22">
        <v>9</v>
      </c>
      <c r="DO22" t="s">
        <v>744</v>
      </c>
      <c r="DQ22" t="s">
        <v>927</v>
      </c>
      <c r="DR22">
        <v>14</v>
      </c>
      <c r="DS22">
        <v>3</v>
      </c>
      <c r="DU22">
        <v>14</v>
      </c>
      <c r="DV22">
        <v>3</v>
      </c>
      <c r="DX22">
        <v>14</v>
      </c>
      <c r="DY22">
        <v>3</v>
      </c>
      <c r="DZ22" t="s">
        <v>246</v>
      </c>
      <c r="EA22" t="s">
        <v>929</v>
      </c>
    </row>
    <row r="23" spans="1:131" x14ac:dyDescent="0.4">
      <c r="A23" s="34">
        <v>43067.305104166669</v>
      </c>
      <c r="B23" s="25">
        <v>42933.820138888892</v>
      </c>
      <c r="D23" s="34"/>
      <c r="E23" s="34" t="s">
        <v>193</v>
      </c>
      <c r="F23" s="34" t="s">
        <v>191</v>
      </c>
      <c r="G23" s="34" t="s">
        <v>100</v>
      </c>
      <c r="H23" t="s">
        <v>279</v>
      </c>
      <c r="I23" t="s">
        <v>243</v>
      </c>
      <c r="J23" t="s">
        <v>712</v>
      </c>
      <c r="K23" t="s">
        <v>713</v>
      </c>
      <c r="L23" t="s">
        <v>711</v>
      </c>
      <c r="M23" s="30">
        <v>1.01</v>
      </c>
      <c r="N23">
        <v>8</v>
      </c>
      <c r="P23" s="24" t="str">
        <f>IFERROR(MID(RADataTable[[#This Row],[RATemplate]],1,LEN(RADataTable[[#This Row],[RATemplate]])-8),"RA") &amp; " " &amp; RADataTable[[#This Row],[prop_id0]] &amp; " " &amp; RADataTable[[#This Row],[last0]]</f>
        <v>RA 1749609 Lee</v>
      </c>
      <c r="T23">
        <v>4</v>
      </c>
      <c r="U23">
        <v>4</v>
      </c>
      <c r="V23" s="34">
        <v>43031.375694444447</v>
      </c>
      <c r="W23">
        <v>1</v>
      </c>
      <c r="X23" s="15" t="str">
        <f>HYPERLINK("https://www.ejacket.nsf.gov/ej/showProposal.do?Continue=Y&amp;ID="&amp;RADataTable[[#This Row],[prop_id0]],"eJ")</f>
        <v>eJ</v>
      </c>
      <c r="Y23" s="15" t="str">
        <f>HYPERLINK("mailto:"&amp;RADataTable[[#This Row],[email]]&amp;"&amp;subject=Your NSF Proposal:  "&amp;RADataTable[[#This Row],[Div]]&amp;" "&amp;RADataTable[[#This Row],[prop_id0]], RADataTable[[#This Row],[email]])</f>
        <v>yintat@uw.edu</v>
      </c>
      <c r="Z23" s="15" t="str">
        <f>HYPERLINK("mailto:"&amp;RADataTable[[#This Row],[allPIemail]]&amp;"&amp;subject=NSF Proposal:  "&amp;RADataTable[[#This Row],[Div]]&amp;" "&amp;RADataTable[[#This Row],[prop_id0]], "PIs@")</f>
        <v>PIs@</v>
      </c>
      <c r="AA23" t="s">
        <v>245</v>
      </c>
      <c r="AB23" t="s">
        <v>665</v>
      </c>
      <c r="AC23" s="30" t="s">
        <v>741</v>
      </c>
      <c r="AD23" t="s">
        <v>742</v>
      </c>
      <c r="AE23" t="s">
        <v>281</v>
      </c>
      <c r="AF23" s="36">
        <v>549841</v>
      </c>
      <c r="AG23" s="36">
        <v>549841</v>
      </c>
      <c r="AH23" s="24"/>
      <c r="AJ23" s="34"/>
      <c r="AK23" t="s">
        <v>923</v>
      </c>
      <c r="AL23" t="s">
        <v>282</v>
      </c>
      <c r="AM23" s="34" t="s">
        <v>925</v>
      </c>
      <c r="AN23" s="34">
        <v>43032</v>
      </c>
      <c r="AO23" s="24">
        <v>1</v>
      </c>
      <c r="AP23" t="s">
        <v>938</v>
      </c>
      <c r="AR23" s="35"/>
      <c r="AS23"/>
      <c r="AT23" s="34"/>
      <c r="AV23" s="34"/>
      <c r="AX23" s="34"/>
      <c r="AY23"/>
      <c r="BA23" s="34"/>
      <c r="BB23"/>
      <c r="BC23" t="s">
        <v>745</v>
      </c>
      <c r="BD23" s="36">
        <v>549841</v>
      </c>
      <c r="BE23" s="36">
        <v>549841</v>
      </c>
      <c r="BF23">
        <v>0</v>
      </c>
      <c r="BG23" s="34">
        <v>43175</v>
      </c>
      <c r="BH23">
        <v>60</v>
      </c>
      <c r="BI23" t="s">
        <v>283</v>
      </c>
      <c r="BJ23" t="s">
        <v>928</v>
      </c>
      <c r="BK23" t="s">
        <v>234</v>
      </c>
      <c r="BL23" t="s">
        <v>194</v>
      </c>
      <c r="BM23" s="8" t="s">
        <v>192</v>
      </c>
      <c r="BN23" t="s">
        <v>189</v>
      </c>
      <c r="BO23" t="s">
        <v>190</v>
      </c>
      <c r="BP23" s="35" t="s">
        <v>718</v>
      </c>
      <c r="BQ23"/>
      <c r="BU23" s="35"/>
      <c r="BV23" s="35"/>
      <c r="BX23"/>
      <c r="CA23" s="35"/>
      <c r="CB23" s="35"/>
      <c r="CC23"/>
      <c r="CG23" s="35"/>
      <c r="CH23" s="35"/>
      <c r="CK23"/>
      <c r="CM23" s="35"/>
      <c r="CN23" s="35"/>
      <c r="CQ23"/>
      <c r="CS23" s="35"/>
      <c r="CT23" s="35"/>
      <c r="CX23"/>
      <c r="CZ23" s="35"/>
      <c r="DD23" s="34"/>
      <c r="DG23" t="s">
        <v>743</v>
      </c>
      <c r="DH23" t="s">
        <v>939</v>
      </c>
      <c r="DI23" t="s">
        <v>280</v>
      </c>
      <c r="DL23" t="s">
        <v>665</v>
      </c>
      <c r="DM23">
        <v>6</v>
      </c>
      <c r="DN23">
        <v>9</v>
      </c>
      <c r="DO23" t="s">
        <v>744</v>
      </c>
      <c r="DQ23" t="s">
        <v>927</v>
      </c>
      <c r="DR23">
        <v>14</v>
      </c>
      <c r="DS23">
        <v>3</v>
      </c>
      <c r="DU23">
        <v>14</v>
      </c>
      <c r="DV23">
        <v>3</v>
      </c>
      <c r="DX23">
        <v>14</v>
      </c>
      <c r="DY23">
        <v>3</v>
      </c>
      <c r="DZ23" t="s">
        <v>246</v>
      </c>
      <c r="EA23" t="s">
        <v>929</v>
      </c>
    </row>
    <row r="24" spans="1:131" x14ac:dyDescent="0.4">
      <c r="A24" s="34">
        <v>43067.305104166669</v>
      </c>
      <c r="B24" s="25">
        <v>42933.820138888892</v>
      </c>
      <c r="D24" s="34"/>
      <c r="E24" s="34" t="s">
        <v>193</v>
      </c>
      <c r="F24" s="34" t="s">
        <v>191</v>
      </c>
      <c r="G24" s="34" t="s">
        <v>100</v>
      </c>
      <c r="H24" t="s">
        <v>279</v>
      </c>
      <c r="I24" t="s">
        <v>243</v>
      </c>
      <c r="J24" t="s">
        <v>712</v>
      </c>
      <c r="K24" t="s">
        <v>713</v>
      </c>
      <c r="L24" t="s">
        <v>711</v>
      </c>
      <c r="M24" s="30">
        <v>1.01</v>
      </c>
      <c r="N24">
        <v>8</v>
      </c>
      <c r="P24" s="24" t="str">
        <f>IFERROR(MID(RADataTable[[#This Row],[RATemplate]],1,LEN(RADataTable[[#This Row],[RATemplate]])-8),"RA") &amp; " " &amp; RADataTable[[#This Row],[prop_id0]] &amp; " " &amp; RADataTable[[#This Row],[last0]]</f>
        <v>RA 1749609 Lee</v>
      </c>
      <c r="T24">
        <v>4</v>
      </c>
      <c r="U24">
        <v>4</v>
      </c>
      <c r="V24" s="34">
        <v>43031.375694444447</v>
      </c>
      <c r="W24">
        <v>1</v>
      </c>
      <c r="X24" s="15" t="str">
        <f>HYPERLINK("https://www.ejacket.nsf.gov/ej/showProposal.do?Continue=Y&amp;ID="&amp;RADataTable[[#This Row],[prop_id0]],"eJ")</f>
        <v>eJ</v>
      </c>
      <c r="Y24" s="15" t="str">
        <f>HYPERLINK("mailto:"&amp;RADataTable[[#This Row],[email]]&amp;"&amp;subject=Your NSF Proposal:  "&amp;RADataTable[[#This Row],[Div]]&amp;" "&amp;RADataTable[[#This Row],[prop_id0]], RADataTable[[#This Row],[email]])</f>
        <v>yintat@uw.edu</v>
      </c>
      <c r="Z24" s="15" t="str">
        <f>HYPERLINK("mailto:"&amp;RADataTable[[#This Row],[allPIemail]]&amp;"&amp;subject=NSF Proposal:  "&amp;RADataTable[[#This Row],[Div]]&amp;" "&amp;RADataTable[[#This Row],[prop_id0]], "PIs@")</f>
        <v>PIs@</v>
      </c>
      <c r="AA24" t="s">
        <v>245</v>
      </c>
      <c r="AB24" t="s">
        <v>665</v>
      </c>
      <c r="AC24" s="30" t="s">
        <v>741</v>
      </c>
      <c r="AD24" t="s">
        <v>742</v>
      </c>
      <c r="AE24" t="s">
        <v>281</v>
      </c>
      <c r="AF24" s="36">
        <v>549841</v>
      </c>
      <c r="AG24" s="36">
        <v>549841</v>
      </c>
      <c r="AH24" s="24"/>
      <c r="AJ24" s="34"/>
      <c r="AK24" t="s">
        <v>923</v>
      </c>
      <c r="AL24" t="s">
        <v>282</v>
      </c>
      <c r="AM24" s="34" t="s">
        <v>925</v>
      </c>
      <c r="AN24" s="34">
        <v>43032</v>
      </c>
      <c r="AO24" s="24">
        <v>1</v>
      </c>
      <c r="AP24" t="s">
        <v>938</v>
      </c>
      <c r="AR24" s="35"/>
      <c r="AS24"/>
      <c r="AT24" s="34"/>
      <c r="AV24" s="34"/>
      <c r="AX24" s="34"/>
      <c r="AY24"/>
      <c r="BA24" s="34"/>
      <c r="BB24"/>
      <c r="BC24" t="s">
        <v>745</v>
      </c>
      <c r="BD24" s="36">
        <v>549841</v>
      </c>
      <c r="BE24" s="36">
        <v>549841</v>
      </c>
      <c r="BF24">
        <v>0</v>
      </c>
      <c r="BG24" s="34">
        <v>43175</v>
      </c>
      <c r="BH24">
        <v>60</v>
      </c>
      <c r="BI24" t="s">
        <v>283</v>
      </c>
      <c r="BJ24" t="s">
        <v>928</v>
      </c>
      <c r="BK24" t="s">
        <v>234</v>
      </c>
      <c r="BL24" t="s">
        <v>194</v>
      </c>
      <c r="BM24" s="8" t="s">
        <v>192</v>
      </c>
      <c r="BN24" t="s">
        <v>189</v>
      </c>
      <c r="BO24" t="s">
        <v>190</v>
      </c>
      <c r="BP24" s="35" t="s">
        <v>718</v>
      </c>
      <c r="BQ24"/>
      <c r="BU24" s="35"/>
      <c r="BV24" s="35"/>
      <c r="BX24"/>
      <c r="CA24" s="35"/>
      <c r="CB24" s="35"/>
      <c r="CC24"/>
      <c r="CG24" s="35"/>
      <c r="CH24" s="35"/>
      <c r="CK24"/>
      <c r="CM24" s="35"/>
      <c r="CN24" s="35"/>
      <c r="CQ24"/>
      <c r="CS24" s="35"/>
      <c r="CT24" s="35"/>
      <c r="CX24"/>
      <c r="CZ24" s="35"/>
      <c r="DD24" s="34"/>
      <c r="DG24" t="s">
        <v>743</v>
      </c>
      <c r="DH24" t="s">
        <v>939</v>
      </c>
      <c r="DI24" t="s">
        <v>280</v>
      </c>
      <c r="DL24" t="s">
        <v>665</v>
      </c>
      <c r="DM24">
        <v>6</v>
      </c>
      <c r="DN24">
        <v>9</v>
      </c>
      <c r="DO24" t="s">
        <v>744</v>
      </c>
      <c r="DQ24" t="s">
        <v>927</v>
      </c>
      <c r="DR24">
        <v>14</v>
      </c>
      <c r="DS24">
        <v>3</v>
      </c>
      <c r="DU24">
        <v>14</v>
      </c>
      <c r="DV24">
        <v>3</v>
      </c>
      <c r="DX24">
        <v>14</v>
      </c>
      <c r="DY24">
        <v>3</v>
      </c>
      <c r="DZ24" t="s">
        <v>246</v>
      </c>
      <c r="EA24" t="s">
        <v>929</v>
      </c>
    </row>
    <row r="25" spans="1:131" x14ac:dyDescent="0.4">
      <c r="A25" s="34">
        <v>43067.305104166669</v>
      </c>
      <c r="B25" s="25">
        <v>42933.820138888892</v>
      </c>
      <c r="D25" s="34"/>
      <c r="E25" s="34" t="s">
        <v>193</v>
      </c>
      <c r="F25" s="34" t="s">
        <v>191</v>
      </c>
      <c r="G25" s="34" t="s">
        <v>100</v>
      </c>
      <c r="H25" t="s">
        <v>279</v>
      </c>
      <c r="I25" t="s">
        <v>243</v>
      </c>
      <c r="J25" t="s">
        <v>712</v>
      </c>
      <c r="K25" t="s">
        <v>713</v>
      </c>
      <c r="L25" t="s">
        <v>711</v>
      </c>
      <c r="M25" s="30">
        <v>1.01</v>
      </c>
      <c r="N25">
        <v>8</v>
      </c>
      <c r="P25" s="24" t="str">
        <f>IFERROR(MID(RADataTable[[#This Row],[RATemplate]],1,LEN(RADataTable[[#This Row],[RATemplate]])-8),"RA") &amp; " " &amp; RADataTable[[#This Row],[prop_id0]] &amp; " " &amp; RADataTable[[#This Row],[last0]]</f>
        <v>RA 1749609 Lee</v>
      </c>
      <c r="T25">
        <v>4</v>
      </c>
      <c r="U25">
        <v>4</v>
      </c>
      <c r="V25" s="34">
        <v>43031.375694444447</v>
      </c>
      <c r="W25">
        <v>1</v>
      </c>
      <c r="X25" s="15" t="str">
        <f>HYPERLINK("https://www.ejacket.nsf.gov/ej/showProposal.do?Continue=Y&amp;ID="&amp;RADataTable[[#This Row],[prop_id0]],"eJ")</f>
        <v>eJ</v>
      </c>
      <c r="Y25" s="15" t="str">
        <f>HYPERLINK("mailto:"&amp;RADataTable[[#This Row],[email]]&amp;"&amp;subject=Your NSF Proposal:  "&amp;RADataTable[[#This Row],[Div]]&amp;" "&amp;RADataTable[[#This Row],[prop_id0]], RADataTable[[#This Row],[email]])</f>
        <v>yintat@uw.edu</v>
      </c>
      <c r="Z25" s="15" t="str">
        <f>HYPERLINK("mailto:"&amp;RADataTable[[#This Row],[allPIemail]]&amp;"&amp;subject=NSF Proposal:  "&amp;RADataTable[[#This Row],[Div]]&amp;" "&amp;RADataTable[[#This Row],[prop_id0]], "PIs@")</f>
        <v>PIs@</v>
      </c>
      <c r="AA25" t="s">
        <v>245</v>
      </c>
      <c r="AB25" t="s">
        <v>665</v>
      </c>
      <c r="AC25" s="30" t="s">
        <v>741</v>
      </c>
      <c r="AD25" t="s">
        <v>742</v>
      </c>
      <c r="AE25" t="s">
        <v>281</v>
      </c>
      <c r="AF25" s="36">
        <v>549841</v>
      </c>
      <c r="AG25" s="36">
        <v>549841</v>
      </c>
      <c r="AH25" s="24"/>
      <c r="AJ25" s="34"/>
      <c r="AK25" t="s">
        <v>923</v>
      </c>
      <c r="AL25" t="s">
        <v>282</v>
      </c>
      <c r="AM25" s="34" t="s">
        <v>925</v>
      </c>
      <c r="AN25" s="34">
        <v>43032</v>
      </c>
      <c r="AO25" s="24">
        <v>1</v>
      </c>
      <c r="AP25" t="s">
        <v>938</v>
      </c>
      <c r="AR25" s="35"/>
      <c r="AS25"/>
      <c r="AT25" s="34"/>
      <c r="AV25" s="34"/>
      <c r="AX25" s="34"/>
      <c r="AY25"/>
      <c r="BA25" s="34"/>
      <c r="BB25"/>
      <c r="BC25" t="s">
        <v>745</v>
      </c>
      <c r="BD25" s="36">
        <v>549841</v>
      </c>
      <c r="BE25" s="36">
        <v>549841</v>
      </c>
      <c r="BF25">
        <v>0</v>
      </c>
      <c r="BG25" s="34">
        <v>43175</v>
      </c>
      <c r="BH25">
        <v>60</v>
      </c>
      <c r="BI25" t="s">
        <v>283</v>
      </c>
      <c r="BJ25" t="s">
        <v>928</v>
      </c>
      <c r="BK25" t="s">
        <v>234</v>
      </c>
      <c r="BL25" t="s">
        <v>194</v>
      </c>
      <c r="BM25" s="8" t="s">
        <v>192</v>
      </c>
      <c r="BN25" t="s">
        <v>189</v>
      </c>
      <c r="BO25" t="s">
        <v>190</v>
      </c>
      <c r="BP25" s="35" t="s">
        <v>718</v>
      </c>
      <c r="BQ25"/>
      <c r="BU25" s="35"/>
      <c r="BV25" s="35"/>
      <c r="BX25"/>
      <c r="CA25" s="35"/>
      <c r="CB25" s="35"/>
      <c r="CC25"/>
      <c r="CG25" s="35"/>
      <c r="CH25" s="35"/>
      <c r="CK25"/>
      <c r="CM25" s="35"/>
      <c r="CN25" s="35"/>
      <c r="CQ25"/>
      <c r="CS25" s="35"/>
      <c r="CT25" s="35"/>
      <c r="CX25"/>
      <c r="CZ25" s="35"/>
      <c r="DD25" s="34"/>
      <c r="DG25" t="s">
        <v>743</v>
      </c>
      <c r="DH25" t="s">
        <v>939</v>
      </c>
      <c r="DI25" t="s">
        <v>280</v>
      </c>
      <c r="DL25" t="s">
        <v>665</v>
      </c>
      <c r="DM25">
        <v>6</v>
      </c>
      <c r="DN25">
        <v>9</v>
      </c>
      <c r="DO25" t="s">
        <v>744</v>
      </c>
      <c r="DQ25" t="s">
        <v>927</v>
      </c>
      <c r="DR25">
        <v>14</v>
      </c>
      <c r="DS25">
        <v>3</v>
      </c>
      <c r="DU25">
        <v>14</v>
      </c>
      <c r="DV25">
        <v>3</v>
      </c>
      <c r="DX25">
        <v>14</v>
      </c>
      <c r="DY25">
        <v>3</v>
      </c>
      <c r="DZ25" t="s">
        <v>246</v>
      </c>
      <c r="EA25" t="s">
        <v>929</v>
      </c>
    </row>
    <row r="26" spans="1:131" x14ac:dyDescent="0.4">
      <c r="A26" s="34">
        <v>43067.305104166669</v>
      </c>
      <c r="B26" s="25">
        <v>42933.820138888892</v>
      </c>
      <c r="D26" s="34"/>
      <c r="E26" s="34" t="s">
        <v>193</v>
      </c>
      <c r="F26" s="34" t="s">
        <v>191</v>
      </c>
      <c r="G26" s="34" t="s">
        <v>100</v>
      </c>
      <c r="H26" t="s">
        <v>279</v>
      </c>
      <c r="I26" t="s">
        <v>243</v>
      </c>
      <c r="J26" t="s">
        <v>712</v>
      </c>
      <c r="K26" t="s">
        <v>713</v>
      </c>
      <c r="L26" t="s">
        <v>711</v>
      </c>
      <c r="M26" s="30">
        <v>1.01</v>
      </c>
      <c r="N26">
        <v>8</v>
      </c>
      <c r="P26" s="24" t="str">
        <f>IFERROR(MID(RADataTable[[#This Row],[RATemplate]],1,LEN(RADataTable[[#This Row],[RATemplate]])-8),"RA") &amp; " " &amp; RADataTable[[#This Row],[prop_id0]] &amp; " " &amp; RADataTable[[#This Row],[last0]]</f>
        <v>RA 1749609 Lee</v>
      </c>
      <c r="T26">
        <v>4</v>
      </c>
      <c r="U26">
        <v>4</v>
      </c>
      <c r="V26" s="34">
        <v>43031.375694444447</v>
      </c>
      <c r="W26">
        <v>1</v>
      </c>
      <c r="X26" s="15" t="str">
        <f>HYPERLINK("https://www.ejacket.nsf.gov/ej/showProposal.do?Continue=Y&amp;ID="&amp;RADataTable[[#This Row],[prop_id0]],"eJ")</f>
        <v>eJ</v>
      </c>
      <c r="Y26" s="15" t="str">
        <f>HYPERLINK("mailto:"&amp;RADataTable[[#This Row],[email]]&amp;"&amp;subject=Your NSF Proposal:  "&amp;RADataTable[[#This Row],[Div]]&amp;" "&amp;RADataTable[[#This Row],[prop_id0]], RADataTable[[#This Row],[email]])</f>
        <v>yintat@uw.edu</v>
      </c>
      <c r="Z26" s="15" t="str">
        <f>HYPERLINK("mailto:"&amp;RADataTable[[#This Row],[allPIemail]]&amp;"&amp;subject=NSF Proposal:  "&amp;RADataTable[[#This Row],[Div]]&amp;" "&amp;RADataTable[[#This Row],[prop_id0]], "PIs@")</f>
        <v>PIs@</v>
      </c>
      <c r="AA26" t="s">
        <v>245</v>
      </c>
      <c r="AB26" t="s">
        <v>665</v>
      </c>
      <c r="AC26" s="30" t="s">
        <v>741</v>
      </c>
      <c r="AD26" t="s">
        <v>742</v>
      </c>
      <c r="AE26" t="s">
        <v>281</v>
      </c>
      <c r="AF26" s="36">
        <v>549841</v>
      </c>
      <c r="AG26" s="36">
        <v>549841</v>
      </c>
      <c r="AH26" s="24"/>
      <c r="AJ26" s="34"/>
      <c r="AK26" t="s">
        <v>923</v>
      </c>
      <c r="AL26" t="s">
        <v>282</v>
      </c>
      <c r="AM26" s="34" t="s">
        <v>925</v>
      </c>
      <c r="AN26" s="34">
        <v>43032</v>
      </c>
      <c r="AO26" s="24">
        <v>1</v>
      </c>
      <c r="AP26" t="s">
        <v>938</v>
      </c>
      <c r="AR26" s="35"/>
      <c r="AS26"/>
      <c r="AT26" s="34"/>
      <c r="AV26" s="34"/>
      <c r="AX26" s="34"/>
      <c r="AY26"/>
      <c r="BA26" s="34"/>
      <c r="BB26"/>
      <c r="BC26" t="s">
        <v>745</v>
      </c>
      <c r="BD26" s="36">
        <v>549841</v>
      </c>
      <c r="BE26" s="36">
        <v>549841</v>
      </c>
      <c r="BF26">
        <v>0</v>
      </c>
      <c r="BG26" s="34">
        <v>43175</v>
      </c>
      <c r="BH26">
        <v>60</v>
      </c>
      <c r="BI26" t="s">
        <v>283</v>
      </c>
      <c r="BJ26" t="s">
        <v>928</v>
      </c>
      <c r="BK26" t="s">
        <v>234</v>
      </c>
      <c r="BL26" t="s">
        <v>194</v>
      </c>
      <c r="BM26" s="8" t="s">
        <v>192</v>
      </c>
      <c r="BN26" t="s">
        <v>189</v>
      </c>
      <c r="BO26" t="s">
        <v>190</v>
      </c>
      <c r="BP26" s="35" t="s">
        <v>718</v>
      </c>
      <c r="BQ26"/>
      <c r="BU26" s="35"/>
      <c r="BV26" s="35"/>
      <c r="BX26"/>
      <c r="CA26" s="35"/>
      <c r="CB26" s="35"/>
      <c r="CC26"/>
      <c r="CG26" s="35"/>
      <c r="CH26" s="35"/>
      <c r="CK26"/>
      <c r="CM26" s="35"/>
      <c r="CN26" s="35"/>
      <c r="CQ26"/>
      <c r="CS26" s="35"/>
      <c r="CT26" s="35"/>
      <c r="CX26"/>
      <c r="CZ26" s="35"/>
      <c r="DD26" s="34"/>
      <c r="DG26" t="s">
        <v>743</v>
      </c>
      <c r="DH26" t="s">
        <v>939</v>
      </c>
      <c r="DI26" t="s">
        <v>280</v>
      </c>
      <c r="DL26" t="s">
        <v>665</v>
      </c>
      <c r="DM26">
        <v>6</v>
      </c>
      <c r="DN26">
        <v>9</v>
      </c>
      <c r="DO26" t="s">
        <v>744</v>
      </c>
      <c r="DQ26" t="s">
        <v>927</v>
      </c>
      <c r="DR26">
        <v>14</v>
      </c>
      <c r="DS26">
        <v>3</v>
      </c>
      <c r="DU26">
        <v>14</v>
      </c>
      <c r="DV26">
        <v>3</v>
      </c>
      <c r="DX26">
        <v>14</v>
      </c>
      <c r="DY26">
        <v>3</v>
      </c>
      <c r="DZ26" t="s">
        <v>246</v>
      </c>
      <c r="EA26" t="s">
        <v>929</v>
      </c>
    </row>
    <row r="27" spans="1:131" x14ac:dyDescent="0.4">
      <c r="A27" s="34">
        <v>43067.305104166669</v>
      </c>
      <c r="B27" s="25">
        <v>42933.820138888892</v>
      </c>
      <c r="D27" s="34"/>
      <c r="E27" s="34" t="s">
        <v>193</v>
      </c>
      <c r="F27" s="34" t="s">
        <v>191</v>
      </c>
      <c r="G27" s="34" t="s">
        <v>100</v>
      </c>
      <c r="H27" t="s">
        <v>279</v>
      </c>
      <c r="I27" t="s">
        <v>243</v>
      </c>
      <c r="J27" t="s">
        <v>712</v>
      </c>
      <c r="K27" t="s">
        <v>713</v>
      </c>
      <c r="L27" t="s">
        <v>711</v>
      </c>
      <c r="M27" s="30">
        <v>1.01</v>
      </c>
      <c r="N27">
        <v>8</v>
      </c>
      <c r="P27" s="24" t="str">
        <f>IFERROR(MID(RADataTable[[#This Row],[RATemplate]],1,LEN(RADataTable[[#This Row],[RATemplate]])-8),"RA") &amp; " " &amp; RADataTable[[#This Row],[prop_id0]] &amp; " " &amp; RADataTable[[#This Row],[last0]]</f>
        <v>RA 1749609 Lee</v>
      </c>
      <c r="T27">
        <v>4</v>
      </c>
      <c r="U27">
        <v>4</v>
      </c>
      <c r="V27" s="34">
        <v>43031.375694444447</v>
      </c>
      <c r="W27">
        <v>1</v>
      </c>
      <c r="X27" s="15" t="str">
        <f>HYPERLINK("https://www.ejacket.nsf.gov/ej/showProposal.do?Continue=Y&amp;ID="&amp;RADataTable[[#This Row],[prop_id0]],"eJ")</f>
        <v>eJ</v>
      </c>
      <c r="Y27" s="15" t="str">
        <f>HYPERLINK("mailto:"&amp;RADataTable[[#This Row],[email]]&amp;"&amp;subject=Your NSF Proposal:  "&amp;RADataTable[[#This Row],[Div]]&amp;" "&amp;RADataTable[[#This Row],[prop_id0]], RADataTable[[#This Row],[email]])</f>
        <v>yintat@uw.edu</v>
      </c>
      <c r="Z27" s="15" t="str">
        <f>HYPERLINK("mailto:"&amp;RADataTable[[#This Row],[allPIemail]]&amp;"&amp;subject=NSF Proposal:  "&amp;RADataTable[[#This Row],[Div]]&amp;" "&amp;RADataTable[[#This Row],[prop_id0]], "PIs@")</f>
        <v>PIs@</v>
      </c>
      <c r="AA27" t="s">
        <v>245</v>
      </c>
      <c r="AB27" t="s">
        <v>665</v>
      </c>
      <c r="AC27" s="30" t="s">
        <v>741</v>
      </c>
      <c r="AD27" t="s">
        <v>742</v>
      </c>
      <c r="AE27" t="s">
        <v>281</v>
      </c>
      <c r="AF27" s="36">
        <v>549841</v>
      </c>
      <c r="AG27" s="36">
        <v>549841</v>
      </c>
      <c r="AH27" s="24"/>
      <c r="AJ27" s="34"/>
      <c r="AK27" t="s">
        <v>923</v>
      </c>
      <c r="AL27" t="s">
        <v>282</v>
      </c>
      <c r="AM27" s="34" t="s">
        <v>925</v>
      </c>
      <c r="AN27" s="34">
        <v>43032</v>
      </c>
      <c r="AO27" s="24">
        <v>1</v>
      </c>
      <c r="AP27" t="s">
        <v>938</v>
      </c>
      <c r="AR27" s="35"/>
      <c r="AS27"/>
      <c r="AT27" s="34"/>
      <c r="AV27" s="34"/>
      <c r="AX27" s="34"/>
      <c r="AY27"/>
      <c r="BA27" s="34"/>
      <c r="BB27"/>
      <c r="BC27" t="s">
        <v>745</v>
      </c>
      <c r="BD27" s="36">
        <v>549841</v>
      </c>
      <c r="BE27" s="36">
        <v>549841</v>
      </c>
      <c r="BF27">
        <v>0</v>
      </c>
      <c r="BG27" s="34">
        <v>43175</v>
      </c>
      <c r="BH27">
        <v>60</v>
      </c>
      <c r="BI27" t="s">
        <v>283</v>
      </c>
      <c r="BJ27" t="s">
        <v>928</v>
      </c>
      <c r="BK27" t="s">
        <v>234</v>
      </c>
      <c r="BL27" t="s">
        <v>194</v>
      </c>
      <c r="BM27" s="8" t="s">
        <v>192</v>
      </c>
      <c r="BN27" t="s">
        <v>189</v>
      </c>
      <c r="BO27" t="s">
        <v>190</v>
      </c>
      <c r="BP27" s="35" t="s">
        <v>718</v>
      </c>
      <c r="BQ27"/>
      <c r="BU27" s="35"/>
      <c r="BV27" s="35"/>
      <c r="BX27"/>
      <c r="CA27" s="35"/>
      <c r="CB27" s="35"/>
      <c r="CC27"/>
      <c r="CG27" s="35"/>
      <c r="CH27" s="35"/>
      <c r="CK27"/>
      <c r="CM27" s="35"/>
      <c r="CN27" s="35"/>
      <c r="CQ27"/>
      <c r="CS27" s="35"/>
      <c r="CT27" s="35"/>
      <c r="CX27"/>
      <c r="CZ27" s="35"/>
      <c r="DD27" s="34"/>
      <c r="DG27" t="s">
        <v>743</v>
      </c>
      <c r="DH27" t="s">
        <v>939</v>
      </c>
      <c r="DI27" t="s">
        <v>280</v>
      </c>
      <c r="DL27" t="s">
        <v>665</v>
      </c>
      <c r="DM27">
        <v>6</v>
      </c>
      <c r="DN27">
        <v>9</v>
      </c>
      <c r="DO27" t="s">
        <v>744</v>
      </c>
      <c r="DQ27" t="s">
        <v>927</v>
      </c>
      <c r="DR27">
        <v>14</v>
      </c>
      <c r="DS27">
        <v>3</v>
      </c>
      <c r="DU27">
        <v>14</v>
      </c>
      <c r="DV27">
        <v>3</v>
      </c>
      <c r="DX27">
        <v>14</v>
      </c>
      <c r="DY27">
        <v>3</v>
      </c>
      <c r="DZ27" t="s">
        <v>246</v>
      </c>
      <c r="EA27" t="s">
        <v>929</v>
      </c>
    </row>
    <row r="28" spans="1:131" x14ac:dyDescent="0.4">
      <c r="A28" s="34">
        <v>43067.305104166669</v>
      </c>
      <c r="B28" s="25">
        <v>42933.820138888892</v>
      </c>
      <c r="D28" s="34"/>
      <c r="E28" s="34" t="s">
        <v>193</v>
      </c>
      <c r="F28" s="34" t="s">
        <v>191</v>
      </c>
      <c r="G28" s="34" t="s">
        <v>100</v>
      </c>
      <c r="H28" t="s">
        <v>279</v>
      </c>
      <c r="I28" t="s">
        <v>243</v>
      </c>
      <c r="J28" t="s">
        <v>712</v>
      </c>
      <c r="K28" t="s">
        <v>713</v>
      </c>
      <c r="L28" t="s">
        <v>711</v>
      </c>
      <c r="M28" s="30">
        <v>1.01</v>
      </c>
      <c r="N28">
        <v>8</v>
      </c>
      <c r="P28" s="24" t="str">
        <f>IFERROR(MID(RADataTable[[#This Row],[RATemplate]],1,LEN(RADataTable[[#This Row],[RATemplate]])-8),"RA") &amp; " " &amp; RADataTable[[#This Row],[prop_id0]] &amp; " " &amp; RADataTable[[#This Row],[last0]]</f>
        <v>RA 1749609 Lee</v>
      </c>
      <c r="T28">
        <v>4</v>
      </c>
      <c r="U28">
        <v>4</v>
      </c>
      <c r="V28" s="34">
        <v>43031.375694444447</v>
      </c>
      <c r="W28">
        <v>1</v>
      </c>
      <c r="X28" s="15" t="str">
        <f>HYPERLINK("https://www.ejacket.nsf.gov/ej/showProposal.do?Continue=Y&amp;ID="&amp;RADataTable[[#This Row],[prop_id0]],"eJ")</f>
        <v>eJ</v>
      </c>
      <c r="Y28" s="15" t="str">
        <f>HYPERLINK("mailto:"&amp;RADataTable[[#This Row],[email]]&amp;"&amp;subject=Your NSF Proposal:  "&amp;RADataTable[[#This Row],[Div]]&amp;" "&amp;RADataTable[[#This Row],[prop_id0]], RADataTable[[#This Row],[email]])</f>
        <v>yintat@uw.edu</v>
      </c>
      <c r="Z28" s="15" t="str">
        <f>HYPERLINK("mailto:"&amp;RADataTable[[#This Row],[allPIemail]]&amp;"&amp;subject=NSF Proposal:  "&amp;RADataTable[[#This Row],[Div]]&amp;" "&amp;RADataTable[[#This Row],[prop_id0]], "PIs@")</f>
        <v>PIs@</v>
      </c>
      <c r="AA28" t="s">
        <v>245</v>
      </c>
      <c r="AB28" t="s">
        <v>665</v>
      </c>
      <c r="AC28" s="30" t="s">
        <v>741</v>
      </c>
      <c r="AD28" t="s">
        <v>742</v>
      </c>
      <c r="AE28" t="s">
        <v>281</v>
      </c>
      <c r="AF28" s="36">
        <v>549841</v>
      </c>
      <c r="AG28" s="36">
        <v>549841</v>
      </c>
      <c r="AH28" s="24"/>
      <c r="AJ28" s="34"/>
      <c r="AK28" t="s">
        <v>923</v>
      </c>
      <c r="AL28" t="s">
        <v>282</v>
      </c>
      <c r="AM28" s="34" t="s">
        <v>925</v>
      </c>
      <c r="AN28" s="34">
        <v>43032</v>
      </c>
      <c r="AO28" s="24">
        <v>1</v>
      </c>
      <c r="AP28" t="s">
        <v>938</v>
      </c>
      <c r="AR28" s="35"/>
      <c r="AS28"/>
      <c r="AT28" s="34"/>
      <c r="AV28" s="34"/>
      <c r="AX28" s="34"/>
      <c r="AY28"/>
      <c r="BA28" s="34"/>
      <c r="BB28"/>
      <c r="BC28" t="s">
        <v>745</v>
      </c>
      <c r="BD28" s="36">
        <v>549841</v>
      </c>
      <c r="BE28" s="36">
        <v>549841</v>
      </c>
      <c r="BF28">
        <v>0</v>
      </c>
      <c r="BG28" s="34">
        <v>43175</v>
      </c>
      <c r="BH28">
        <v>60</v>
      </c>
      <c r="BI28" t="s">
        <v>283</v>
      </c>
      <c r="BJ28" t="s">
        <v>928</v>
      </c>
      <c r="BK28" t="s">
        <v>234</v>
      </c>
      <c r="BL28" t="s">
        <v>194</v>
      </c>
      <c r="BM28" s="8" t="s">
        <v>192</v>
      </c>
      <c r="BN28" t="s">
        <v>189</v>
      </c>
      <c r="BO28" t="s">
        <v>190</v>
      </c>
      <c r="BP28" s="35" t="s">
        <v>718</v>
      </c>
      <c r="BQ28"/>
      <c r="BU28" s="35"/>
      <c r="BV28" s="35"/>
      <c r="BX28"/>
      <c r="CA28" s="35"/>
      <c r="CB28" s="35"/>
      <c r="CC28"/>
      <c r="CG28" s="35"/>
      <c r="CH28" s="35"/>
      <c r="CK28"/>
      <c r="CM28" s="35"/>
      <c r="CN28" s="35"/>
      <c r="CQ28"/>
      <c r="CS28" s="35"/>
      <c r="CT28" s="35"/>
      <c r="CX28"/>
      <c r="CZ28" s="35"/>
      <c r="DD28" s="34"/>
      <c r="DG28" t="s">
        <v>743</v>
      </c>
      <c r="DH28" t="s">
        <v>939</v>
      </c>
      <c r="DI28" t="s">
        <v>280</v>
      </c>
      <c r="DL28" t="s">
        <v>665</v>
      </c>
      <c r="DM28">
        <v>6</v>
      </c>
      <c r="DN28">
        <v>9</v>
      </c>
      <c r="DO28" t="s">
        <v>744</v>
      </c>
      <c r="DQ28" t="s">
        <v>927</v>
      </c>
      <c r="DR28">
        <v>14</v>
      </c>
      <c r="DS28">
        <v>3</v>
      </c>
      <c r="DU28">
        <v>14</v>
      </c>
      <c r="DV28">
        <v>3</v>
      </c>
      <c r="DX28">
        <v>14</v>
      </c>
      <c r="DY28">
        <v>3</v>
      </c>
      <c r="DZ28" t="s">
        <v>246</v>
      </c>
      <c r="EA28" t="s">
        <v>929</v>
      </c>
    </row>
    <row r="29" spans="1:131" x14ac:dyDescent="0.4">
      <c r="A29" s="34">
        <v>43067.305104166669</v>
      </c>
      <c r="B29" s="25">
        <v>42933.820138888892</v>
      </c>
      <c r="D29" s="34"/>
      <c r="E29" s="34" t="s">
        <v>193</v>
      </c>
      <c r="F29" s="34" t="s">
        <v>191</v>
      </c>
      <c r="G29" s="34" t="s">
        <v>100</v>
      </c>
      <c r="H29" t="s">
        <v>279</v>
      </c>
      <c r="I29" t="s">
        <v>243</v>
      </c>
      <c r="J29" t="s">
        <v>712</v>
      </c>
      <c r="K29" t="s">
        <v>713</v>
      </c>
      <c r="L29" t="s">
        <v>711</v>
      </c>
      <c r="M29" s="30">
        <v>1.01</v>
      </c>
      <c r="N29">
        <v>8</v>
      </c>
      <c r="P29" s="24" t="str">
        <f>IFERROR(MID(RADataTable[[#This Row],[RATemplate]],1,LEN(RADataTable[[#This Row],[RATemplate]])-8),"RA") &amp; " " &amp; RADataTable[[#This Row],[prop_id0]] &amp; " " &amp; RADataTable[[#This Row],[last0]]</f>
        <v>RA 1749609 Lee</v>
      </c>
      <c r="T29">
        <v>4</v>
      </c>
      <c r="U29">
        <v>4</v>
      </c>
      <c r="V29" s="34">
        <v>43031.375694444447</v>
      </c>
      <c r="W29">
        <v>1</v>
      </c>
      <c r="X29" s="15" t="str">
        <f>HYPERLINK("https://www.ejacket.nsf.gov/ej/showProposal.do?Continue=Y&amp;ID="&amp;RADataTable[[#This Row],[prop_id0]],"eJ")</f>
        <v>eJ</v>
      </c>
      <c r="Y29" s="15" t="str">
        <f>HYPERLINK("mailto:"&amp;RADataTable[[#This Row],[email]]&amp;"&amp;subject=Your NSF Proposal:  "&amp;RADataTable[[#This Row],[Div]]&amp;" "&amp;RADataTable[[#This Row],[prop_id0]], RADataTable[[#This Row],[email]])</f>
        <v>yintat@uw.edu</v>
      </c>
      <c r="Z29" s="15" t="str">
        <f>HYPERLINK("mailto:"&amp;RADataTable[[#This Row],[allPIemail]]&amp;"&amp;subject=NSF Proposal:  "&amp;RADataTable[[#This Row],[Div]]&amp;" "&amp;RADataTable[[#This Row],[prop_id0]], "PIs@")</f>
        <v>PIs@</v>
      </c>
      <c r="AA29" t="s">
        <v>245</v>
      </c>
      <c r="AB29" t="s">
        <v>665</v>
      </c>
      <c r="AC29" s="30" t="s">
        <v>741</v>
      </c>
      <c r="AD29" t="s">
        <v>742</v>
      </c>
      <c r="AE29" t="s">
        <v>281</v>
      </c>
      <c r="AF29" s="36">
        <v>549841</v>
      </c>
      <c r="AG29" s="36">
        <v>549841</v>
      </c>
      <c r="AH29" s="24"/>
      <c r="AJ29" s="34"/>
      <c r="AK29" t="s">
        <v>923</v>
      </c>
      <c r="AL29" t="s">
        <v>282</v>
      </c>
      <c r="AM29" s="34" t="s">
        <v>925</v>
      </c>
      <c r="AN29" s="34">
        <v>43032</v>
      </c>
      <c r="AO29" s="24">
        <v>1</v>
      </c>
      <c r="AP29" t="s">
        <v>938</v>
      </c>
      <c r="AR29" s="35"/>
      <c r="AS29"/>
      <c r="AT29" s="34"/>
      <c r="AV29" s="34"/>
      <c r="AX29" s="34"/>
      <c r="AY29"/>
      <c r="BA29" s="34"/>
      <c r="BB29"/>
      <c r="BC29" t="s">
        <v>745</v>
      </c>
      <c r="BD29" s="36">
        <v>549841</v>
      </c>
      <c r="BE29" s="36">
        <v>549841</v>
      </c>
      <c r="BF29">
        <v>0</v>
      </c>
      <c r="BG29" s="34">
        <v>43175</v>
      </c>
      <c r="BH29">
        <v>60</v>
      </c>
      <c r="BI29" t="s">
        <v>283</v>
      </c>
      <c r="BJ29" t="s">
        <v>928</v>
      </c>
      <c r="BK29" t="s">
        <v>234</v>
      </c>
      <c r="BL29" t="s">
        <v>194</v>
      </c>
      <c r="BM29" s="8" t="s">
        <v>192</v>
      </c>
      <c r="BN29" t="s">
        <v>189</v>
      </c>
      <c r="BO29" t="s">
        <v>190</v>
      </c>
      <c r="BP29" s="35" t="s">
        <v>718</v>
      </c>
      <c r="BQ29"/>
      <c r="BU29" s="35"/>
      <c r="BV29" s="35"/>
      <c r="BX29"/>
      <c r="CA29" s="35"/>
      <c r="CB29" s="35"/>
      <c r="CC29"/>
      <c r="CG29" s="35"/>
      <c r="CH29" s="35"/>
      <c r="CK29"/>
      <c r="CM29" s="35"/>
      <c r="CN29" s="35"/>
      <c r="CQ29"/>
      <c r="CS29" s="35"/>
      <c r="CT29" s="35"/>
      <c r="CX29"/>
      <c r="CZ29" s="35"/>
      <c r="DD29" s="34"/>
      <c r="DG29" t="s">
        <v>743</v>
      </c>
      <c r="DH29" t="s">
        <v>939</v>
      </c>
      <c r="DI29" t="s">
        <v>280</v>
      </c>
      <c r="DL29" t="s">
        <v>665</v>
      </c>
      <c r="DM29">
        <v>6</v>
      </c>
      <c r="DN29">
        <v>9</v>
      </c>
      <c r="DO29" t="s">
        <v>744</v>
      </c>
      <c r="DQ29" t="s">
        <v>927</v>
      </c>
      <c r="DR29">
        <v>14</v>
      </c>
      <c r="DS29">
        <v>3</v>
      </c>
      <c r="DU29">
        <v>14</v>
      </c>
      <c r="DV29">
        <v>3</v>
      </c>
      <c r="DX29">
        <v>14</v>
      </c>
      <c r="DY29">
        <v>3</v>
      </c>
      <c r="DZ29" t="s">
        <v>246</v>
      </c>
      <c r="EA29" t="s">
        <v>929</v>
      </c>
    </row>
    <row r="30" spans="1:131" x14ac:dyDescent="0.4">
      <c r="A30" s="34">
        <v>43067.305104166669</v>
      </c>
      <c r="B30" s="25">
        <v>42933.820138888892</v>
      </c>
      <c r="D30" s="34"/>
      <c r="E30" s="34" t="s">
        <v>193</v>
      </c>
      <c r="F30" s="34" t="s">
        <v>191</v>
      </c>
      <c r="G30" s="34" t="s">
        <v>100</v>
      </c>
      <c r="H30" t="s">
        <v>279</v>
      </c>
      <c r="I30" t="s">
        <v>243</v>
      </c>
      <c r="J30" t="s">
        <v>712</v>
      </c>
      <c r="K30" t="s">
        <v>713</v>
      </c>
      <c r="L30" t="s">
        <v>711</v>
      </c>
      <c r="M30" s="30">
        <v>1.01</v>
      </c>
      <c r="N30">
        <v>8</v>
      </c>
      <c r="P30" s="24" t="str">
        <f>IFERROR(MID(RADataTable[[#This Row],[RATemplate]],1,LEN(RADataTable[[#This Row],[RATemplate]])-8),"RA") &amp; " " &amp; RADataTable[[#This Row],[prop_id0]] &amp; " " &amp; RADataTable[[#This Row],[last0]]</f>
        <v>RA 1749609 Lee</v>
      </c>
      <c r="T30">
        <v>4</v>
      </c>
      <c r="U30">
        <v>4</v>
      </c>
      <c r="V30" s="34">
        <v>43031.375694444447</v>
      </c>
      <c r="W30">
        <v>1</v>
      </c>
      <c r="X30" s="15" t="str">
        <f>HYPERLINK("https://www.ejacket.nsf.gov/ej/showProposal.do?Continue=Y&amp;ID="&amp;RADataTable[[#This Row],[prop_id0]],"eJ")</f>
        <v>eJ</v>
      </c>
      <c r="Y30" s="15" t="str">
        <f>HYPERLINK("mailto:"&amp;RADataTable[[#This Row],[email]]&amp;"&amp;subject=Your NSF Proposal:  "&amp;RADataTable[[#This Row],[Div]]&amp;" "&amp;RADataTable[[#This Row],[prop_id0]], RADataTable[[#This Row],[email]])</f>
        <v>yintat@uw.edu</v>
      </c>
      <c r="Z30" s="15" t="str">
        <f>HYPERLINK("mailto:"&amp;RADataTable[[#This Row],[allPIemail]]&amp;"&amp;subject=NSF Proposal:  "&amp;RADataTable[[#This Row],[Div]]&amp;" "&amp;RADataTable[[#This Row],[prop_id0]], "PIs@")</f>
        <v>PIs@</v>
      </c>
      <c r="AA30" t="s">
        <v>245</v>
      </c>
      <c r="AB30" t="s">
        <v>665</v>
      </c>
      <c r="AC30" s="30" t="s">
        <v>741</v>
      </c>
      <c r="AD30" t="s">
        <v>742</v>
      </c>
      <c r="AE30" t="s">
        <v>281</v>
      </c>
      <c r="AF30" s="36">
        <v>549841</v>
      </c>
      <c r="AG30" s="36">
        <v>549841</v>
      </c>
      <c r="AH30" s="24"/>
      <c r="AJ30" s="34"/>
      <c r="AK30" t="s">
        <v>923</v>
      </c>
      <c r="AL30" t="s">
        <v>282</v>
      </c>
      <c r="AM30" s="34" t="s">
        <v>925</v>
      </c>
      <c r="AN30" s="34">
        <v>43032</v>
      </c>
      <c r="AO30" s="24">
        <v>1</v>
      </c>
      <c r="AP30" t="s">
        <v>938</v>
      </c>
      <c r="AR30" s="35"/>
      <c r="AS30"/>
      <c r="AT30" s="34"/>
      <c r="AV30" s="34"/>
      <c r="AX30" s="34"/>
      <c r="AY30"/>
      <c r="BA30" s="34"/>
      <c r="BB30"/>
      <c r="BC30" t="s">
        <v>745</v>
      </c>
      <c r="BD30" s="36">
        <v>549841</v>
      </c>
      <c r="BE30" s="36">
        <v>549841</v>
      </c>
      <c r="BF30">
        <v>0</v>
      </c>
      <c r="BG30" s="34">
        <v>43175</v>
      </c>
      <c r="BH30">
        <v>60</v>
      </c>
      <c r="BI30" t="s">
        <v>283</v>
      </c>
      <c r="BJ30" t="s">
        <v>928</v>
      </c>
      <c r="BK30" t="s">
        <v>234</v>
      </c>
      <c r="BL30" t="s">
        <v>194</v>
      </c>
      <c r="BM30" s="8" t="s">
        <v>192</v>
      </c>
      <c r="BN30" t="s">
        <v>189</v>
      </c>
      <c r="BO30" t="s">
        <v>190</v>
      </c>
      <c r="BP30" s="35" t="s">
        <v>718</v>
      </c>
      <c r="BQ30"/>
      <c r="BU30" s="35"/>
      <c r="BV30" s="35"/>
      <c r="BX30"/>
      <c r="CA30" s="35"/>
      <c r="CB30" s="35"/>
      <c r="CC30"/>
      <c r="CG30" s="35"/>
      <c r="CH30" s="35"/>
      <c r="CK30"/>
      <c r="CM30" s="35"/>
      <c r="CN30" s="35"/>
      <c r="CQ30"/>
      <c r="CS30" s="35"/>
      <c r="CT30" s="35"/>
      <c r="CX30"/>
      <c r="CZ30" s="35"/>
      <c r="DD30" s="34"/>
      <c r="DG30" t="s">
        <v>743</v>
      </c>
      <c r="DH30" t="s">
        <v>939</v>
      </c>
      <c r="DI30" t="s">
        <v>280</v>
      </c>
      <c r="DL30" t="s">
        <v>665</v>
      </c>
      <c r="DM30">
        <v>6</v>
      </c>
      <c r="DN30">
        <v>9</v>
      </c>
      <c r="DO30" t="s">
        <v>744</v>
      </c>
      <c r="DQ30" t="s">
        <v>927</v>
      </c>
      <c r="DR30">
        <v>14</v>
      </c>
      <c r="DS30">
        <v>3</v>
      </c>
      <c r="DU30">
        <v>14</v>
      </c>
      <c r="DV30">
        <v>3</v>
      </c>
      <c r="DX30">
        <v>14</v>
      </c>
      <c r="DY30">
        <v>3</v>
      </c>
      <c r="DZ30" t="s">
        <v>246</v>
      </c>
      <c r="EA30" t="s">
        <v>929</v>
      </c>
    </row>
    <row r="31" spans="1:131" x14ac:dyDescent="0.4">
      <c r="A31" s="34">
        <v>43067.305104166669</v>
      </c>
      <c r="B31" s="25">
        <v>42933.820138888892</v>
      </c>
      <c r="D31" s="34"/>
      <c r="E31" s="34" t="s">
        <v>193</v>
      </c>
      <c r="F31" s="34" t="s">
        <v>191</v>
      </c>
      <c r="G31" s="34" t="s">
        <v>100</v>
      </c>
      <c r="H31" t="s">
        <v>279</v>
      </c>
      <c r="I31" t="s">
        <v>243</v>
      </c>
      <c r="J31" t="s">
        <v>712</v>
      </c>
      <c r="K31" t="s">
        <v>713</v>
      </c>
      <c r="L31" t="s">
        <v>711</v>
      </c>
      <c r="M31" s="30">
        <v>1.01</v>
      </c>
      <c r="N31">
        <v>8</v>
      </c>
      <c r="P31" s="24" t="str">
        <f>IFERROR(MID(RADataTable[[#This Row],[RATemplate]],1,LEN(RADataTable[[#This Row],[RATemplate]])-8),"RA") &amp; " " &amp; RADataTable[[#This Row],[prop_id0]] &amp; " " &amp; RADataTable[[#This Row],[last0]]</f>
        <v>RA 1749609 Lee</v>
      </c>
      <c r="T31">
        <v>4</v>
      </c>
      <c r="U31">
        <v>4</v>
      </c>
      <c r="V31" s="34">
        <v>43031.375694444447</v>
      </c>
      <c r="W31">
        <v>1</v>
      </c>
      <c r="X31" s="15" t="str">
        <f>HYPERLINK("https://www.ejacket.nsf.gov/ej/showProposal.do?Continue=Y&amp;ID="&amp;RADataTable[[#This Row],[prop_id0]],"eJ")</f>
        <v>eJ</v>
      </c>
      <c r="Y31" s="15" t="str">
        <f>HYPERLINK("mailto:"&amp;RADataTable[[#This Row],[email]]&amp;"&amp;subject=Your NSF Proposal:  "&amp;RADataTable[[#This Row],[Div]]&amp;" "&amp;RADataTable[[#This Row],[prop_id0]], RADataTable[[#This Row],[email]])</f>
        <v>yintat@uw.edu</v>
      </c>
      <c r="Z31" s="15" t="str">
        <f>HYPERLINK("mailto:"&amp;RADataTable[[#This Row],[allPIemail]]&amp;"&amp;subject=NSF Proposal:  "&amp;RADataTable[[#This Row],[Div]]&amp;" "&amp;RADataTable[[#This Row],[prop_id0]], "PIs@")</f>
        <v>PIs@</v>
      </c>
      <c r="AA31" t="s">
        <v>245</v>
      </c>
      <c r="AB31" t="s">
        <v>665</v>
      </c>
      <c r="AC31" s="30" t="s">
        <v>741</v>
      </c>
      <c r="AD31" t="s">
        <v>742</v>
      </c>
      <c r="AE31" t="s">
        <v>281</v>
      </c>
      <c r="AF31" s="36">
        <v>549841</v>
      </c>
      <c r="AG31" s="36">
        <v>549841</v>
      </c>
      <c r="AH31" s="24"/>
      <c r="AJ31" s="34"/>
      <c r="AK31" t="s">
        <v>923</v>
      </c>
      <c r="AL31" t="s">
        <v>282</v>
      </c>
      <c r="AM31" s="34" t="s">
        <v>925</v>
      </c>
      <c r="AN31" s="34">
        <v>43032</v>
      </c>
      <c r="AO31" s="24">
        <v>1</v>
      </c>
      <c r="AP31" t="s">
        <v>938</v>
      </c>
      <c r="AR31" s="35"/>
      <c r="AS31"/>
      <c r="AT31" s="34"/>
      <c r="AV31" s="34"/>
      <c r="AX31" s="34"/>
      <c r="AY31"/>
      <c r="BA31" s="34"/>
      <c r="BB31"/>
      <c r="BC31" t="s">
        <v>745</v>
      </c>
      <c r="BD31" s="36">
        <v>549841</v>
      </c>
      <c r="BE31" s="36">
        <v>549841</v>
      </c>
      <c r="BF31">
        <v>0</v>
      </c>
      <c r="BG31" s="34">
        <v>43175</v>
      </c>
      <c r="BH31">
        <v>60</v>
      </c>
      <c r="BI31" t="s">
        <v>283</v>
      </c>
      <c r="BJ31" t="s">
        <v>928</v>
      </c>
      <c r="BK31" t="s">
        <v>234</v>
      </c>
      <c r="BL31" t="s">
        <v>194</v>
      </c>
      <c r="BM31" s="8" t="s">
        <v>192</v>
      </c>
      <c r="BN31" t="s">
        <v>189</v>
      </c>
      <c r="BO31" t="s">
        <v>190</v>
      </c>
      <c r="BP31" s="35" t="s">
        <v>718</v>
      </c>
      <c r="BQ31"/>
      <c r="BU31" s="35"/>
      <c r="BV31" s="35"/>
      <c r="BX31"/>
      <c r="CA31" s="35"/>
      <c r="CB31" s="35"/>
      <c r="CC31"/>
      <c r="CG31" s="35"/>
      <c r="CH31" s="35"/>
      <c r="CK31"/>
      <c r="CM31" s="35"/>
      <c r="CN31" s="35"/>
      <c r="CQ31"/>
      <c r="CS31" s="35"/>
      <c r="CT31" s="35"/>
      <c r="CX31"/>
      <c r="CZ31" s="35"/>
      <c r="DD31" s="34"/>
      <c r="DG31" t="s">
        <v>743</v>
      </c>
      <c r="DH31" t="s">
        <v>939</v>
      </c>
      <c r="DI31" t="s">
        <v>280</v>
      </c>
      <c r="DL31" t="s">
        <v>665</v>
      </c>
      <c r="DM31">
        <v>6</v>
      </c>
      <c r="DN31">
        <v>9</v>
      </c>
      <c r="DO31" t="s">
        <v>744</v>
      </c>
      <c r="DQ31" t="s">
        <v>927</v>
      </c>
      <c r="DR31">
        <v>14</v>
      </c>
      <c r="DS31">
        <v>3</v>
      </c>
      <c r="DU31">
        <v>14</v>
      </c>
      <c r="DV31">
        <v>3</v>
      </c>
      <c r="DX31">
        <v>14</v>
      </c>
      <c r="DY31">
        <v>3</v>
      </c>
      <c r="DZ31" t="s">
        <v>246</v>
      </c>
      <c r="EA31" t="s">
        <v>929</v>
      </c>
    </row>
    <row r="32" spans="1:131" x14ac:dyDescent="0.4">
      <c r="A32" s="34">
        <v>43067.305104166669</v>
      </c>
      <c r="B32" s="25">
        <v>42933.820138888892</v>
      </c>
      <c r="D32" s="34"/>
      <c r="E32" s="34" t="s">
        <v>193</v>
      </c>
      <c r="F32" s="34" t="s">
        <v>191</v>
      </c>
      <c r="G32" s="34" t="s">
        <v>100</v>
      </c>
      <c r="H32" t="s">
        <v>279</v>
      </c>
      <c r="I32" t="s">
        <v>243</v>
      </c>
      <c r="J32" t="s">
        <v>712</v>
      </c>
      <c r="K32" t="s">
        <v>713</v>
      </c>
      <c r="L32" t="s">
        <v>711</v>
      </c>
      <c r="M32" s="30">
        <v>1.01</v>
      </c>
      <c r="N32">
        <v>8</v>
      </c>
      <c r="P32" s="24" t="str">
        <f>IFERROR(MID(RADataTable[[#This Row],[RATemplate]],1,LEN(RADataTable[[#This Row],[RATemplate]])-8),"RA") &amp; " " &amp; RADataTable[[#This Row],[prop_id0]] &amp; " " &amp; RADataTable[[#This Row],[last0]]</f>
        <v>RA 1749609 Lee</v>
      </c>
      <c r="T32">
        <v>4</v>
      </c>
      <c r="U32">
        <v>4</v>
      </c>
      <c r="V32" s="34">
        <v>43031.375694444447</v>
      </c>
      <c r="W32">
        <v>1</v>
      </c>
      <c r="X32" s="15" t="str">
        <f>HYPERLINK("https://www.ejacket.nsf.gov/ej/showProposal.do?Continue=Y&amp;ID="&amp;RADataTable[[#This Row],[prop_id0]],"eJ")</f>
        <v>eJ</v>
      </c>
      <c r="Y32" s="15" t="str">
        <f>HYPERLINK("mailto:"&amp;RADataTable[[#This Row],[email]]&amp;"&amp;subject=Your NSF Proposal:  "&amp;RADataTable[[#This Row],[Div]]&amp;" "&amp;RADataTable[[#This Row],[prop_id0]], RADataTable[[#This Row],[email]])</f>
        <v>yintat@uw.edu</v>
      </c>
      <c r="Z32" s="15" t="str">
        <f>HYPERLINK("mailto:"&amp;RADataTable[[#This Row],[allPIemail]]&amp;"&amp;subject=NSF Proposal:  "&amp;RADataTable[[#This Row],[Div]]&amp;" "&amp;RADataTable[[#This Row],[prop_id0]], "PIs@")</f>
        <v>PIs@</v>
      </c>
      <c r="AA32" t="s">
        <v>245</v>
      </c>
      <c r="AB32" t="s">
        <v>665</v>
      </c>
      <c r="AC32" s="30" t="s">
        <v>741</v>
      </c>
      <c r="AD32" t="s">
        <v>742</v>
      </c>
      <c r="AE32" t="s">
        <v>281</v>
      </c>
      <c r="AF32" s="36">
        <v>549841</v>
      </c>
      <c r="AG32" s="36">
        <v>549841</v>
      </c>
      <c r="AH32" s="24"/>
      <c r="AJ32" s="34"/>
      <c r="AK32" t="s">
        <v>923</v>
      </c>
      <c r="AL32" t="s">
        <v>282</v>
      </c>
      <c r="AM32" s="34" t="s">
        <v>925</v>
      </c>
      <c r="AN32" s="34">
        <v>43032</v>
      </c>
      <c r="AO32" s="24">
        <v>1</v>
      </c>
      <c r="AP32" t="s">
        <v>938</v>
      </c>
      <c r="AR32" s="35"/>
      <c r="AS32"/>
      <c r="AT32" s="34"/>
      <c r="AV32" s="34"/>
      <c r="AX32" s="34"/>
      <c r="AY32"/>
      <c r="BA32" s="34"/>
      <c r="BB32"/>
      <c r="BC32" t="s">
        <v>745</v>
      </c>
      <c r="BD32" s="36">
        <v>549841</v>
      </c>
      <c r="BE32" s="36">
        <v>549841</v>
      </c>
      <c r="BF32">
        <v>0</v>
      </c>
      <c r="BG32" s="34">
        <v>43175</v>
      </c>
      <c r="BH32">
        <v>60</v>
      </c>
      <c r="BI32" t="s">
        <v>283</v>
      </c>
      <c r="BJ32" t="s">
        <v>928</v>
      </c>
      <c r="BK32" t="s">
        <v>234</v>
      </c>
      <c r="BL32" t="s">
        <v>194</v>
      </c>
      <c r="BM32" s="8" t="s">
        <v>192</v>
      </c>
      <c r="BN32" t="s">
        <v>189</v>
      </c>
      <c r="BO32" t="s">
        <v>190</v>
      </c>
      <c r="BP32" s="35" t="s">
        <v>718</v>
      </c>
      <c r="BQ32"/>
      <c r="BU32" s="35"/>
      <c r="BV32" s="35"/>
      <c r="BX32"/>
      <c r="CA32" s="35"/>
      <c r="CB32" s="35"/>
      <c r="CC32"/>
      <c r="CG32" s="35"/>
      <c r="CH32" s="35"/>
      <c r="CK32"/>
      <c r="CM32" s="35"/>
      <c r="CN32" s="35"/>
      <c r="CQ32"/>
      <c r="CS32" s="35"/>
      <c r="CT32" s="35"/>
      <c r="CX32"/>
      <c r="CZ32" s="35"/>
      <c r="DD32" s="34"/>
      <c r="DG32" t="s">
        <v>743</v>
      </c>
      <c r="DH32" t="s">
        <v>939</v>
      </c>
      <c r="DI32" t="s">
        <v>280</v>
      </c>
      <c r="DL32" t="s">
        <v>665</v>
      </c>
      <c r="DM32">
        <v>6</v>
      </c>
      <c r="DN32">
        <v>9</v>
      </c>
      <c r="DO32" t="s">
        <v>744</v>
      </c>
      <c r="DQ32" t="s">
        <v>927</v>
      </c>
      <c r="DR32">
        <v>14</v>
      </c>
      <c r="DS32">
        <v>3</v>
      </c>
      <c r="DU32">
        <v>14</v>
      </c>
      <c r="DV32">
        <v>3</v>
      </c>
      <c r="DX32">
        <v>14</v>
      </c>
      <c r="DY32">
        <v>3</v>
      </c>
      <c r="DZ32" t="s">
        <v>246</v>
      </c>
      <c r="EA32" t="s">
        <v>929</v>
      </c>
    </row>
    <row r="33" spans="1:131" x14ac:dyDescent="0.4">
      <c r="A33" s="34">
        <v>43067.305104166669</v>
      </c>
      <c r="B33" s="25">
        <v>42933.820138888892</v>
      </c>
      <c r="D33" s="34"/>
      <c r="E33" s="34" t="s">
        <v>193</v>
      </c>
      <c r="F33" s="34" t="s">
        <v>191</v>
      </c>
      <c r="G33" s="34" t="s">
        <v>100</v>
      </c>
      <c r="H33" t="s">
        <v>279</v>
      </c>
      <c r="I33" t="s">
        <v>243</v>
      </c>
      <c r="J33" t="s">
        <v>712</v>
      </c>
      <c r="K33" t="s">
        <v>713</v>
      </c>
      <c r="L33" t="s">
        <v>711</v>
      </c>
      <c r="M33" s="30">
        <v>1.01</v>
      </c>
      <c r="N33">
        <v>8</v>
      </c>
      <c r="P33" s="24" t="str">
        <f>IFERROR(MID(RADataTable[[#This Row],[RATemplate]],1,LEN(RADataTable[[#This Row],[RATemplate]])-8),"RA") &amp; " " &amp; RADataTable[[#This Row],[prop_id0]] &amp; " " &amp; RADataTable[[#This Row],[last0]]</f>
        <v>RA 1749609 Lee</v>
      </c>
      <c r="T33">
        <v>4</v>
      </c>
      <c r="U33">
        <v>4</v>
      </c>
      <c r="V33" s="34">
        <v>43031.375694444447</v>
      </c>
      <c r="W33">
        <v>1</v>
      </c>
      <c r="X33" s="15" t="str">
        <f>HYPERLINK("https://www.ejacket.nsf.gov/ej/showProposal.do?Continue=Y&amp;ID="&amp;RADataTable[[#This Row],[prop_id0]],"eJ")</f>
        <v>eJ</v>
      </c>
      <c r="Y33" s="15" t="str">
        <f>HYPERLINK("mailto:"&amp;RADataTable[[#This Row],[email]]&amp;"&amp;subject=Your NSF Proposal:  "&amp;RADataTable[[#This Row],[Div]]&amp;" "&amp;RADataTable[[#This Row],[prop_id0]], RADataTable[[#This Row],[email]])</f>
        <v>yintat@uw.edu</v>
      </c>
      <c r="Z33" s="15" t="str">
        <f>HYPERLINK("mailto:"&amp;RADataTable[[#This Row],[allPIemail]]&amp;"&amp;subject=NSF Proposal:  "&amp;RADataTable[[#This Row],[Div]]&amp;" "&amp;RADataTable[[#This Row],[prop_id0]], "PIs@")</f>
        <v>PIs@</v>
      </c>
      <c r="AA33" t="s">
        <v>245</v>
      </c>
      <c r="AB33" t="s">
        <v>665</v>
      </c>
      <c r="AC33" s="30" t="s">
        <v>741</v>
      </c>
      <c r="AD33" t="s">
        <v>742</v>
      </c>
      <c r="AE33" t="s">
        <v>281</v>
      </c>
      <c r="AF33" s="36">
        <v>549841</v>
      </c>
      <c r="AG33" s="36">
        <v>549841</v>
      </c>
      <c r="AH33" s="24"/>
      <c r="AJ33" s="34"/>
      <c r="AK33" t="s">
        <v>923</v>
      </c>
      <c r="AL33" t="s">
        <v>282</v>
      </c>
      <c r="AM33" s="34" t="s">
        <v>925</v>
      </c>
      <c r="AN33" s="34">
        <v>43032</v>
      </c>
      <c r="AO33" s="24">
        <v>1</v>
      </c>
      <c r="AP33" t="s">
        <v>938</v>
      </c>
      <c r="AR33" s="35"/>
      <c r="AS33"/>
      <c r="AT33" s="34"/>
      <c r="AV33" s="34"/>
      <c r="AX33" s="34"/>
      <c r="AY33"/>
      <c r="BA33" s="34"/>
      <c r="BB33"/>
      <c r="BC33" t="s">
        <v>745</v>
      </c>
      <c r="BD33" s="36">
        <v>549841</v>
      </c>
      <c r="BE33" s="36">
        <v>549841</v>
      </c>
      <c r="BF33">
        <v>0</v>
      </c>
      <c r="BG33" s="34">
        <v>43175</v>
      </c>
      <c r="BH33">
        <v>60</v>
      </c>
      <c r="BI33" t="s">
        <v>283</v>
      </c>
      <c r="BJ33" t="s">
        <v>928</v>
      </c>
      <c r="BK33" t="s">
        <v>234</v>
      </c>
      <c r="BL33" t="s">
        <v>194</v>
      </c>
      <c r="BM33" s="8" t="s">
        <v>192</v>
      </c>
      <c r="BN33" t="s">
        <v>189</v>
      </c>
      <c r="BO33" t="s">
        <v>190</v>
      </c>
      <c r="BP33" s="35" t="s">
        <v>718</v>
      </c>
      <c r="BQ33"/>
      <c r="BU33" s="35"/>
      <c r="BV33" s="35"/>
      <c r="BX33"/>
      <c r="CA33" s="35"/>
      <c r="CB33" s="35"/>
      <c r="CC33"/>
      <c r="CG33" s="35"/>
      <c r="CH33" s="35"/>
      <c r="CK33"/>
      <c r="CM33" s="35"/>
      <c r="CN33" s="35"/>
      <c r="CQ33"/>
      <c r="CS33" s="35"/>
      <c r="CT33" s="35"/>
      <c r="CX33"/>
      <c r="CZ33" s="35"/>
      <c r="DD33" s="34"/>
      <c r="DG33" t="s">
        <v>743</v>
      </c>
      <c r="DH33" t="s">
        <v>939</v>
      </c>
      <c r="DI33" t="s">
        <v>280</v>
      </c>
      <c r="DL33" t="s">
        <v>665</v>
      </c>
      <c r="DM33">
        <v>6</v>
      </c>
      <c r="DN33">
        <v>9</v>
      </c>
      <c r="DO33" t="s">
        <v>744</v>
      </c>
      <c r="DQ33" t="s">
        <v>927</v>
      </c>
      <c r="DR33">
        <v>14</v>
      </c>
      <c r="DS33">
        <v>3</v>
      </c>
      <c r="DU33">
        <v>14</v>
      </c>
      <c r="DV33">
        <v>3</v>
      </c>
      <c r="DX33">
        <v>14</v>
      </c>
      <c r="DY33">
        <v>3</v>
      </c>
      <c r="DZ33" t="s">
        <v>246</v>
      </c>
      <c r="EA33" t="s">
        <v>929</v>
      </c>
    </row>
    <row r="34" spans="1:131" x14ac:dyDescent="0.4">
      <c r="A34" s="34">
        <v>43067.305104166669</v>
      </c>
      <c r="B34" s="25">
        <v>42935.488888888889</v>
      </c>
      <c r="D34" s="34"/>
      <c r="E34" s="34" t="s">
        <v>193</v>
      </c>
      <c r="F34" s="34" t="s">
        <v>191</v>
      </c>
      <c r="G34" s="34" t="s">
        <v>100</v>
      </c>
      <c r="H34" t="s">
        <v>279</v>
      </c>
      <c r="I34" t="s">
        <v>243</v>
      </c>
      <c r="J34" t="s">
        <v>712</v>
      </c>
      <c r="K34" t="s">
        <v>729</v>
      </c>
      <c r="L34" t="s">
        <v>711</v>
      </c>
      <c r="M34" s="30">
        <v>1.01</v>
      </c>
      <c r="N34">
        <v>7.5</v>
      </c>
      <c r="P34" s="24" t="str">
        <f>IFERROR(MID(RADataTable[[#This Row],[RATemplate]],1,LEN(RADataTable[[#This Row],[RATemplate]])-8),"RA") &amp; " " &amp; RADataTable[[#This Row],[prop_id0]] &amp; " " &amp; RADataTable[[#This Row],[last0]]</f>
        <v>RA 1750333 Ene</v>
      </c>
      <c r="T34">
        <v>4</v>
      </c>
      <c r="U34">
        <v>4</v>
      </c>
      <c r="V34" s="34">
        <v>43032.52847222222</v>
      </c>
      <c r="W34">
        <v>1</v>
      </c>
      <c r="X34" s="15" t="str">
        <f>HYPERLINK("https://www.ejacket.nsf.gov/ej/showProposal.do?Continue=Y&amp;ID="&amp;RADataTable[[#This Row],[prop_id0]],"eJ")</f>
        <v>eJ</v>
      </c>
      <c r="Y34" s="15" t="str">
        <f>HYPERLINK("mailto:"&amp;RADataTable[[#This Row],[email]]&amp;"&amp;subject=Your NSF Proposal:  "&amp;RADataTable[[#This Row],[Div]]&amp;" "&amp;RADataTable[[#This Row],[prop_id0]], RADataTable[[#This Row],[email]])</f>
        <v>aene@bu.edu</v>
      </c>
      <c r="Z34" s="15" t="str">
        <f>HYPERLINK("mailto:"&amp;RADataTable[[#This Row],[allPIemail]]&amp;"&amp;subject=NSF Proposal:  "&amp;RADataTable[[#This Row],[Div]]&amp;" "&amp;RADataTable[[#This Row],[prop_id0]], "PIs@")</f>
        <v>PIs@</v>
      </c>
      <c r="AA34" t="s">
        <v>245</v>
      </c>
      <c r="AB34" t="s">
        <v>676</v>
      </c>
      <c r="AC34" s="30" t="s">
        <v>806</v>
      </c>
      <c r="AD34" t="s">
        <v>807</v>
      </c>
      <c r="AE34" t="s">
        <v>808</v>
      </c>
      <c r="AF34" s="36">
        <v>507423</v>
      </c>
      <c r="AG34" s="36">
        <v>507423</v>
      </c>
      <c r="AH34" s="24"/>
      <c r="AJ34" s="34"/>
      <c r="AK34" t="s">
        <v>923</v>
      </c>
      <c r="AL34" t="s">
        <v>282</v>
      </c>
      <c r="AM34" s="34" t="s">
        <v>925</v>
      </c>
      <c r="AN34" s="34">
        <v>43032</v>
      </c>
      <c r="AO34" s="24">
        <v>1</v>
      </c>
      <c r="AP34" t="s">
        <v>960</v>
      </c>
      <c r="AR34" s="35"/>
      <c r="AS34"/>
      <c r="AT34" s="34"/>
      <c r="AV34" s="34"/>
      <c r="AX34" s="34"/>
      <c r="AY34"/>
      <c r="BA34" s="34"/>
      <c r="BB34"/>
      <c r="BC34" t="s">
        <v>811</v>
      </c>
      <c r="BD34" s="36">
        <v>507423</v>
      </c>
      <c r="BE34" s="36">
        <v>507423</v>
      </c>
      <c r="BF34">
        <v>0</v>
      </c>
      <c r="BG34" s="34">
        <v>43101</v>
      </c>
      <c r="BH34">
        <v>60</v>
      </c>
      <c r="BI34" t="s">
        <v>283</v>
      </c>
      <c r="BJ34" t="s">
        <v>928</v>
      </c>
      <c r="BK34" t="s">
        <v>934</v>
      </c>
      <c r="BL34" t="s">
        <v>194</v>
      </c>
      <c r="BM34" s="8" t="s">
        <v>192</v>
      </c>
      <c r="BN34" t="s">
        <v>189</v>
      </c>
      <c r="BO34" t="s">
        <v>190</v>
      </c>
      <c r="BP34" s="35" t="s">
        <v>718</v>
      </c>
      <c r="BQ34"/>
      <c r="BU34" s="35"/>
      <c r="BV34" s="35"/>
      <c r="BX34"/>
      <c r="CA34" s="35"/>
      <c r="CB34" s="35"/>
      <c r="CC34"/>
      <c r="CG34" s="35"/>
      <c r="CH34" s="35"/>
      <c r="CK34"/>
      <c r="CM34" s="35"/>
      <c r="CN34" s="35"/>
      <c r="CQ34"/>
      <c r="CS34" s="35"/>
      <c r="CT34" s="35"/>
      <c r="CX34"/>
      <c r="CZ34" s="35"/>
      <c r="DD34" s="34"/>
      <c r="DG34" t="s">
        <v>809</v>
      </c>
      <c r="DH34" t="s">
        <v>961</v>
      </c>
      <c r="DI34" t="s">
        <v>280</v>
      </c>
      <c r="DL34" t="s">
        <v>676</v>
      </c>
      <c r="DM34">
        <v>5</v>
      </c>
      <c r="DN34">
        <v>9</v>
      </c>
      <c r="DO34" t="s">
        <v>810</v>
      </c>
      <c r="DQ34" t="s">
        <v>927</v>
      </c>
      <c r="DR34">
        <v>14</v>
      </c>
      <c r="DS34">
        <v>1</v>
      </c>
      <c r="DU34">
        <v>14</v>
      </c>
      <c r="DV34">
        <v>1</v>
      </c>
      <c r="DX34">
        <v>14</v>
      </c>
      <c r="DY34">
        <v>1</v>
      </c>
      <c r="DZ34" t="s">
        <v>246</v>
      </c>
      <c r="EA34" t="s">
        <v>929</v>
      </c>
    </row>
    <row r="35" spans="1:131" x14ac:dyDescent="0.4">
      <c r="A35" s="34">
        <v>43067.305104166669</v>
      </c>
      <c r="B35" s="25">
        <v>42935.488888888889</v>
      </c>
      <c r="D35" s="34"/>
      <c r="E35" s="34" t="s">
        <v>193</v>
      </c>
      <c r="F35" s="34" t="s">
        <v>191</v>
      </c>
      <c r="G35" s="34" t="s">
        <v>100</v>
      </c>
      <c r="H35" t="s">
        <v>279</v>
      </c>
      <c r="I35" t="s">
        <v>243</v>
      </c>
      <c r="J35" t="s">
        <v>712</v>
      </c>
      <c r="K35" t="s">
        <v>729</v>
      </c>
      <c r="L35" t="s">
        <v>711</v>
      </c>
      <c r="M35" s="30">
        <v>1.01</v>
      </c>
      <c r="N35">
        <v>7.5</v>
      </c>
      <c r="P35" s="24" t="str">
        <f>IFERROR(MID(RADataTable[[#This Row],[RATemplate]],1,LEN(RADataTable[[#This Row],[RATemplate]])-8),"RA") &amp; " " &amp; RADataTable[[#This Row],[prop_id0]] &amp; " " &amp; RADataTable[[#This Row],[last0]]</f>
        <v>RA 1750333 Ene</v>
      </c>
      <c r="T35">
        <v>4</v>
      </c>
      <c r="U35">
        <v>4</v>
      </c>
      <c r="V35" s="34">
        <v>43032.52847222222</v>
      </c>
      <c r="W35">
        <v>1</v>
      </c>
      <c r="X35" s="15" t="str">
        <f>HYPERLINK("https://www.ejacket.nsf.gov/ej/showProposal.do?Continue=Y&amp;ID="&amp;RADataTable[[#This Row],[prop_id0]],"eJ")</f>
        <v>eJ</v>
      </c>
      <c r="Y35" s="15" t="str">
        <f>HYPERLINK("mailto:"&amp;RADataTable[[#This Row],[email]]&amp;"&amp;subject=Your NSF Proposal:  "&amp;RADataTable[[#This Row],[Div]]&amp;" "&amp;RADataTable[[#This Row],[prop_id0]], RADataTable[[#This Row],[email]])</f>
        <v>aene@bu.edu</v>
      </c>
      <c r="Z35" s="15" t="str">
        <f>HYPERLINK("mailto:"&amp;RADataTable[[#This Row],[allPIemail]]&amp;"&amp;subject=NSF Proposal:  "&amp;RADataTable[[#This Row],[Div]]&amp;" "&amp;RADataTable[[#This Row],[prop_id0]], "PIs@")</f>
        <v>PIs@</v>
      </c>
      <c r="AA35" t="s">
        <v>245</v>
      </c>
      <c r="AB35" t="s">
        <v>676</v>
      </c>
      <c r="AC35" s="30" t="s">
        <v>806</v>
      </c>
      <c r="AD35" t="s">
        <v>807</v>
      </c>
      <c r="AE35" t="s">
        <v>808</v>
      </c>
      <c r="AF35" s="36">
        <v>507423</v>
      </c>
      <c r="AG35" s="36">
        <v>507423</v>
      </c>
      <c r="AH35" s="24"/>
      <c r="AJ35" s="34"/>
      <c r="AK35" t="s">
        <v>923</v>
      </c>
      <c r="AL35" t="s">
        <v>282</v>
      </c>
      <c r="AM35" s="34" t="s">
        <v>925</v>
      </c>
      <c r="AN35" s="34">
        <v>43032</v>
      </c>
      <c r="AO35" s="24">
        <v>1</v>
      </c>
      <c r="AP35" t="s">
        <v>960</v>
      </c>
      <c r="AR35" s="35"/>
      <c r="AS35"/>
      <c r="AT35" s="34"/>
      <c r="AV35" s="34"/>
      <c r="AX35" s="34"/>
      <c r="AY35"/>
      <c r="BA35" s="34"/>
      <c r="BB35"/>
      <c r="BC35" t="s">
        <v>811</v>
      </c>
      <c r="BD35" s="36">
        <v>507423</v>
      </c>
      <c r="BE35" s="36">
        <v>507423</v>
      </c>
      <c r="BF35">
        <v>0</v>
      </c>
      <c r="BG35" s="34">
        <v>43101</v>
      </c>
      <c r="BH35">
        <v>60</v>
      </c>
      <c r="BI35" t="s">
        <v>283</v>
      </c>
      <c r="BJ35" t="s">
        <v>928</v>
      </c>
      <c r="BK35" t="s">
        <v>934</v>
      </c>
      <c r="BL35" t="s">
        <v>194</v>
      </c>
      <c r="BM35" s="8" t="s">
        <v>192</v>
      </c>
      <c r="BN35" t="s">
        <v>189</v>
      </c>
      <c r="BO35" t="s">
        <v>190</v>
      </c>
      <c r="BP35" s="35" t="s">
        <v>718</v>
      </c>
      <c r="BQ35"/>
      <c r="BU35" s="35"/>
      <c r="BV35" s="35"/>
      <c r="BX35"/>
      <c r="CA35" s="35"/>
      <c r="CB35" s="35"/>
      <c r="CC35"/>
      <c r="CG35" s="35"/>
      <c r="CH35" s="35"/>
      <c r="CK35"/>
      <c r="CM35" s="35"/>
      <c r="CN35" s="35"/>
      <c r="CQ35"/>
      <c r="CS35" s="35"/>
      <c r="CT35" s="35"/>
      <c r="CX35"/>
      <c r="CZ35" s="35"/>
      <c r="DD35" s="34"/>
      <c r="DG35" t="s">
        <v>809</v>
      </c>
      <c r="DH35" t="s">
        <v>961</v>
      </c>
      <c r="DI35" t="s">
        <v>280</v>
      </c>
      <c r="DL35" t="s">
        <v>676</v>
      </c>
      <c r="DM35">
        <v>5</v>
      </c>
      <c r="DN35">
        <v>9</v>
      </c>
      <c r="DO35" t="s">
        <v>810</v>
      </c>
      <c r="DQ35" t="s">
        <v>927</v>
      </c>
      <c r="DR35">
        <v>14</v>
      </c>
      <c r="DS35">
        <v>1</v>
      </c>
      <c r="DU35">
        <v>14</v>
      </c>
      <c r="DV35">
        <v>1</v>
      </c>
      <c r="DX35">
        <v>14</v>
      </c>
      <c r="DY35">
        <v>1</v>
      </c>
      <c r="DZ35" t="s">
        <v>246</v>
      </c>
      <c r="EA35" t="s">
        <v>929</v>
      </c>
    </row>
    <row r="36" spans="1:131" x14ac:dyDescent="0.4">
      <c r="A36" s="34">
        <v>43067.305104166669</v>
      </c>
      <c r="B36" s="25">
        <v>42935.488888888889</v>
      </c>
      <c r="D36" s="34"/>
      <c r="E36" s="34" t="s">
        <v>193</v>
      </c>
      <c r="F36" s="34" t="s">
        <v>191</v>
      </c>
      <c r="G36" s="34" t="s">
        <v>100</v>
      </c>
      <c r="H36" t="s">
        <v>279</v>
      </c>
      <c r="I36" t="s">
        <v>243</v>
      </c>
      <c r="J36" t="s">
        <v>712</v>
      </c>
      <c r="K36" t="s">
        <v>729</v>
      </c>
      <c r="L36" t="s">
        <v>711</v>
      </c>
      <c r="M36" s="30">
        <v>1.01</v>
      </c>
      <c r="N36">
        <v>7.5</v>
      </c>
      <c r="P36" s="24" t="str">
        <f>IFERROR(MID(RADataTable[[#This Row],[RATemplate]],1,LEN(RADataTable[[#This Row],[RATemplate]])-8),"RA") &amp; " " &amp; RADataTable[[#This Row],[prop_id0]] &amp; " " &amp; RADataTable[[#This Row],[last0]]</f>
        <v>RA 1750333 Ene</v>
      </c>
      <c r="T36">
        <v>4</v>
      </c>
      <c r="U36">
        <v>4</v>
      </c>
      <c r="V36" s="34">
        <v>43032.52847222222</v>
      </c>
      <c r="W36">
        <v>1</v>
      </c>
      <c r="X36" s="15" t="str">
        <f>HYPERLINK("https://www.ejacket.nsf.gov/ej/showProposal.do?Continue=Y&amp;ID="&amp;RADataTable[[#This Row],[prop_id0]],"eJ")</f>
        <v>eJ</v>
      </c>
      <c r="Y36" s="15" t="str">
        <f>HYPERLINK("mailto:"&amp;RADataTable[[#This Row],[email]]&amp;"&amp;subject=Your NSF Proposal:  "&amp;RADataTable[[#This Row],[Div]]&amp;" "&amp;RADataTable[[#This Row],[prop_id0]], RADataTable[[#This Row],[email]])</f>
        <v>aene@bu.edu</v>
      </c>
      <c r="Z36" s="15" t="str">
        <f>HYPERLINK("mailto:"&amp;RADataTable[[#This Row],[allPIemail]]&amp;"&amp;subject=NSF Proposal:  "&amp;RADataTable[[#This Row],[Div]]&amp;" "&amp;RADataTable[[#This Row],[prop_id0]], "PIs@")</f>
        <v>PIs@</v>
      </c>
      <c r="AA36" t="s">
        <v>245</v>
      </c>
      <c r="AB36" t="s">
        <v>676</v>
      </c>
      <c r="AC36" s="30" t="s">
        <v>806</v>
      </c>
      <c r="AD36" t="s">
        <v>807</v>
      </c>
      <c r="AE36" t="s">
        <v>808</v>
      </c>
      <c r="AF36" s="36">
        <v>507423</v>
      </c>
      <c r="AG36" s="36">
        <v>507423</v>
      </c>
      <c r="AH36" s="24"/>
      <c r="AJ36" s="34"/>
      <c r="AK36" t="s">
        <v>923</v>
      </c>
      <c r="AL36" t="s">
        <v>282</v>
      </c>
      <c r="AM36" s="34" t="s">
        <v>925</v>
      </c>
      <c r="AN36" s="34">
        <v>43032</v>
      </c>
      <c r="AO36" s="24">
        <v>1</v>
      </c>
      <c r="AP36" t="s">
        <v>960</v>
      </c>
      <c r="AR36" s="35"/>
      <c r="AS36"/>
      <c r="AT36" s="34"/>
      <c r="AV36" s="34"/>
      <c r="AX36" s="34"/>
      <c r="AY36"/>
      <c r="BA36" s="34"/>
      <c r="BB36"/>
      <c r="BC36" t="s">
        <v>811</v>
      </c>
      <c r="BD36" s="36">
        <v>507423</v>
      </c>
      <c r="BE36" s="36">
        <v>507423</v>
      </c>
      <c r="BF36">
        <v>0</v>
      </c>
      <c r="BG36" s="34">
        <v>43101</v>
      </c>
      <c r="BH36">
        <v>60</v>
      </c>
      <c r="BI36" t="s">
        <v>283</v>
      </c>
      <c r="BJ36" t="s">
        <v>928</v>
      </c>
      <c r="BK36" t="s">
        <v>934</v>
      </c>
      <c r="BL36" t="s">
        <v>194</v>
      </c>
      <c r="BM36" s="8" t="s">
        <v>192</v>
      </c>
      <c r="BN36" t="s">
        <v>189</v>
      </c>
      <c r="BO36" t="s">
        <v>190</v>
      </c>
      <c r="BP36" s="35" t="s">
        <v>718</v>
      </c>
      <c r="BQ36"/>
      <c r="BU36" s="35"/>
      <c r="BV36" s="35"/>
      <c r="BX36"/>
      <c r="CA36" s="35"/>
      <c r="CB36" s="35"/>
      <c r="CC36"/>
      <c r="CG36" s="35"/>
      <c r="CH36" s="35"/>
      <c r="CK36"/>
      <c r="CM36" s="35"/>
      <c r="CN36" s="35"/>
      <c r="CQ36"/>
      <c r="CS36" s="35"/>
      <c r="CT36" s="35"/>
      <c r="CX36"/>
      <c r="CZ36" s="35"/>
      <c r="DD36" s="34"/>
      <c r="DG36" t="s">
        <v>809</v>
      </c>
      <c r="DH36" t="s">
        <v>961</v>
      </c>
      <c r="DI36" t="s">
        <v>280</v>
      </c>
      <c r="DL36" t="s">
        <v>676</v>
      </c>
      <c r="DM36">
        <v>5</v>
      </c>
      <c r="DN36">
        <v>9</v>
      </c>
      <c r="DO36" t="s">
        <v>810</v>
      </c>
      <c r="DQ36" t="s">
        <v>927</v>
      </c>
      <c r="DR36">
        <v>14</v>
      </c>
      <c r="DS36">
        <v>1</v>
      </c>
      <c r="DU36">
        <v>14</v>
      </c>
      <c r="DV36">
        <v>1</v>
      </c>
      <c r="DX36">
        <v>14</v>
      </c>
      <c r="DY36">
        <v>1</v>
      </c>
      <c r="DZ36" t="s">
        <v>246</v>
      </c>
      <c r="EA36" t="s">
        <v>929</v>
      </c>
    </row>
    <row r="37" spans="1:131" x14ac:dyDescent="0.4">
      <c r="A37" s="34">
        <v>43067.305104166669</v>
      </c>
      <c r="B37" s="25">
        <v>42935.488888888889</v>
      </c>
      <c r="D37" s="34"/>
      <c r="E37" s="34" t="s">
        <v>193</v>
      </c>
      <c r="F37" s="34" t="s">
        <v>191</v>
      </c>
      <c r="G37" s="34" t="s">
        <v>100</v>
      </c>
      <c r="H37" t="s">
        <v>279</v>
      </c>
      <c r="I37" t="s">
        <v>243</v>
      </c>
      <c r="J37" t="s">
        <v>712</v>
      </c>
      <c r="K37" t="s">
        <v>729</v>
      </c>
      <c r="L37" t="s">
        <v>711</v>
      </c>
      <c r="M37" s="30">
        <v>1.01</v>
      </c>
      <c r="N37">
        <v>7.5</v>
      </c>
      <c r="P37" s="24" t="str">
        <f>IFERROR(MID(RADataTable[[#This Row],[RATemplate]],1,LEN(RADataTable[[#This Row],[RATemplate]])-8),"RA") &amp; " " &amp; RADataTable[[#This Row],[prop_id0]] &amp; " " &amp; RADataTable[[#This Row],[last0]]</f>
        <v>RA 1750333 Ene</v>
      </c>
      <c r="T37">
        <v>4</v>
      </c>
      <c r="U37">
        <v>4</v>
      </c>
      <c r="V37" s="34">
        <v>43032.52847222222</v>
      </c>
      <c r="W37">
        <v>1</v>
      </c>
      <c r="X37" s="15" t="str">
        <f>HYPERLINK("https://www.ejacket.nsf.gov/ej/showProposal.do?Continue=Y&amp;ID="&amp;RADataTable[[#This Row],[prop_id0]],"eJ")</f>
        <v>eJ</v>
      </c>
      <c r="Y37" s="15" t="str">
        <f>HYPERLINK("mailto:"&amp;RADataTable[[#This Row],[email]]&amp;"&amp;subject=Your NSF Proposal:  "&amp;RADataTable[[#This Row],[Div]]&amp;" "&amp;RADataTable[[#This Row],[prop_id0]], RADataTable[[#This Row],[email]])</f>
        <v>aene@bu.edu</v>
      </c>
      <c r="Z37" s="15" t="str">
        <f>HYPERLINK("mailto:"&amp;RADataTable[[#This Row],[allPIemail]]&amp;"&amp;subject=NSF Proposal:  "&amp;RADataTable[[#This Row],[Div]]&amp;" "&amp;RADataTable[[#This Row],[prop_id0]], "PIs@")</f>
        <v>PIs@</v>
      </c>
      <c r="AA37" t="s">
        <v>245</v>
      </c>
      <c r="AB37" t="s">
        <v>676</v>
      </c>
      <c r="AC37" s="30" t="s">
        <v>806</v>
      </c>
      <c r="AD37" t="s">
        <v>807</v>
      </c>
      <c r="AE37" t="s">
        <v>808</v>
      </c>
      <c r="AF37" s="36">
        <v>507423</v>
      </c>
      <c r="AG37" s="36">
        <v>507423</v>
      </c>
      <c r="AH37" s="24"/>
      <c r="AJ37" s="34"/>
      <c r="AK37" t="s">
        <v>923</v>
      </c>
      <c r="AL37" t="s">
        <v>282</v>
      </c>
      <c r="AM37" s="34" t="s">
        <v>925</v>
      </c>
      <c r="AN37" s="34">
        <v>43032</v>
      </c>
      <c r="AO37" s="24">
        <v>1</v>
      </c>
      <c r="AP37" t="s">
        <v>960</v>
      </c>
      <c r="AR37" s="35"/>
      <c r="AS37"/>
      <c r="AT37" s="34"/>
      <c r="AV37" s="34"/>
      <c r="AX37" s="34"/>
      <c r="AY37"/>
      <c r="BA37" s="34"/>
      <c r="BB37"/>
      <c r="BC37" t="s">
        <v>811</v>
      </c>
      <c r="BD37" s="36">
        <v>507423</v>
      </c>
      <c r="BE37" s="36">
        <v>507423</v>
      </c>
      <c r="BF37">
        <v>0</v>
      </c>
      <c r="BG37" s="34">
        <v>43101</v>
      </c>
      <c r="BH37">
        <v>60</v>
      </c>
      <c r="BI37" t="s">
        <v>283</v>
      </c>
      <c r="BJ37" t="s">
        <v>928</v>
      </c>
      <c r="BK37" t="s">
        <v>934</v>
      </c>
      <c r="BL37" t="s">
        <v>194</v>
      </c>
      <c r="BM37" s="8" t="s">
        <v>192</v>
      </c>
      <c r="BN37" t="s">
        <v>189</v>
      </c>
      <c r="BO37" t="s">
        <v>190</v>
      </c>
      <c r="BP37" s="35" t="s">
        <v>718</v>
      </c>
      <c r="BQ37"/>
      <c r="BU37" s="35"/>
      <c r="BV37" s="35"/>
      <c r="BX37"/>
      <c r="CA37" s="35"/>
      <c r="CB37" s="35"/>
      <c r="CC37"/>
      <c r="CG37" s="35"/>
      <c r="CH37" s="35"/>
      <c r="CK37"/>
      <c r="CM37" s="35"/>
      <c r="CN37" s="35"/>
      <c r="CQ37"/>
      <c r="CS37" s="35"/>
      <c r="CT37" s="35"/>
      <c r="CX37"/>
      <c r="CZ37" s="35"/>
      <c r="DD37" s="34"/>
      <c r="DG37" t="s">
        <v>809</v>
      </c>
      <c r="DH37" t="s">
        <v>961</v>
      </c>
      <c r="DI37" t="s">
        <v>280</v>
      </c>
      <c r="DL37" t="s">
        <v>676</v>
      </c>
      <c r="DM37">
        <v>5</v>
      </c>
      <c r="DN37">
        <v>9</v>
      </c>
      <c r="DO37" t="s">
        <v>810</v>
      </c>
      <c r="DQ37" t="s">
        <v>927</v>
      </c>
      <c r="DR37">
        <v>14</v>
      </c>
      <c r="DS37">
        <v>1</v>
      </c>
      <c r="DU37">
        <v>14</v>
      </c>
      <c r="DV37">
        <v>1</v>
      </c>
      <c r="DX37">
        <v>14</v>
      </c>
      <c r="DY37">
        <v>1</v>
      </c>
      <c r="DZ37" t="s">
        <v>246</v>
      </c>
      <c r="EA37" t="s">
        <v>929</v>
      </c>
    </row>
    <row r="38" spans="1:131" x14ac:dyDescent="0.4">
      <c r="A38" s="34">
        <v>43067.305104166669</v>
      </c>
      <c r="B38" s="25">
        <v>42935.488888888889</v>
      </c>
      <c r="D38" s="34"/>
      <c r="E38" s="34" t="s">
        <v>193</v>
      </c>
      <c r="F38" s="34" t="s">
        <v>191</v>
      </c>
      <c r="G38" s="34" t="s">
        <v>100</v>
      </c>
      <c r="H38" t="s">
        <v>279</v>
      </c>
      <c r="I38" t="s">
        <v>243</v>
      </c>
      <c r="J38" t="s">
        <v>712</v>
      </c>
      <c r="K38" t="s">
        <v>729</v>
      </c>
      <c r="L38" t="s">
        <v>711</v>
      </c>
      <c r="M38" s="30">
        <v>1.01</v>
      </c>
      <c r="N38">
        <v>7.5</v>
      </c>
      <c r="P38" s="24" t="str">
        <f>IFERROR(MID(RADataTable[[#This Row],[RATemplate]],1,LEN(RADataTable[[#This Row],[RATemplate]])-8),"RA") &amp; " " &amp; RADataTable[[#This Row],[prop_id0]] &amp; " " &amp; RADataTable[[#This Row],[last0]]</f>
        <v>RA 1750333 Ene</v>
      </c>
      <c r="T38">
        <v>4</v>
      </c>
      <c r="U38">
        <v>4</v>
      </c>
      <c r="V38" s="34">
        <v>43032.52847222222</v>
      </c>
      <c r="W38">
        <v>1</v>
      </c>
      <c r="X38" s="15" t="str">
        <f>HYPERLINK("https://www.ejacket.nsf.gov/ej/showProposal.do?Continue=Y&amp;ID="&amp;RADataTable[[#This Row],[prop_id0]],"eJ")</f>
        <v>eJ</v>
      </c>
      <c r="Y38" s="15" t="str">
        <f>HYPERLINK("mailto:"&amp;RADataTable[[#This Row],[email]]&amp;"&amp;subject=Your NSF Proposal:  "&amp;RADataTable[[#This Row],[Div]]&amp;" "&amp;RADataTable[[#This Row],[prop_id0]], RADataTable[[#This Row],[email]])</f>
        <v>aene@bu.edu</v>
      </c>
      <c r="Z38" s="15" t="str">
        <f>HYPERLINK("mailto:"&amp;RADataTable[[#This Row],[allPIemail]]&amp;"&amp;subject=NSF Proposal:  "&amp;RADataTable[[#This Row],[Div]]&amp;" "&amp;RADataTable[[#This Row],[prop_id0]], "PIs@")</f>
        <v>PIs@</v>
      </c>
      <c r="AA38" t="s">
        <v>245</v>
      </c>
      <c r="AB38" t="s">
        <v>676</v>
      </c>
      <c r="AC38" s="30" t="s">
        <v>806</v>
      </c>
      <c r="AD38" t="s">
        <v>807</v>
      </c>
      <c r="AE38" t="s">
        <v>808</v>
      </c>
      <c r="AF38" s="36">
        <v>507423</v>
      </c>
      <c r="AG38" s="36">
        <v>507423</v>
      </c>
      <c r="AH38" s="24"/>
      <c r="AJ38" s="34"/>
      <c r="AK38" t="s">
        <v>923</v>
      </c>
      <c r="AL38" t="s">
        <v>282</v>
      </c>
      <c r="AM38" s="34" t="s">
        <v>925</v>
      </c>
      <c r="AN38" s="34">
        <v>43032</v>
      </c>
      <c r="AO38" s="24">
        <v>1</v>
      </c>
      <c r="AP38" t="s">
        <v>960</v>
      </c>
      <c r="AR38" s="35"/>
      <c r="AS38"/>
      <c r="AT38" s="34"/>
      <c r="AV38" s="34"/>
      <c r="AX38" s="34"/>
      <c r="AY38"/>
      <c r="BA38" s="34"/>
      <c r="BB38"/>
      <c r="BC38" t="s">
        <v>811</v>
      </c>
      <c r="BD38" s="36">
        <v>507423</v>
      </c>
      <c r="BE38" s="36">
        <v>507423</v>
      </c>
      <c r="BF38">
        <v>0</v>
      </c>
      <c r="BG38" s="34">
        <v>43101</v>
      </c>
      <c r="BH38">
        <v>60</v>
      </c>
      <c r="BI38" t="s">
        <v>283</v>
      </c>
      <c r="BJ38" t="s">
        <v>928</v>
      </c>
      <c r="BK38" t="s">
        <v>934</v>
      </c>
      <c r="BL38" t="s">
        <v>194</v>
      </c>
      <c r="BM38" s="8" t="s">
        <v>192</v>
      </c>
      <c r="BN38" t="s">
        <v>189</v>
      </c>
      <c r="BO38" t="s">
        <v>190</v>
      </c>
      <c r="BP38" s="35" t="s">
        <v>718</v>
      </c>
      <c r="BQ38"/>
      <c r="BU38" s="35"/>
      <c r="BV38" s="35"/>
      <c r="BX38"/>
      <c r="CA38" s="35"/>
      <c r="CB38" s="35"/>
      <c r="CC38"/>
      <c r="CG38" s="35"/>
      <c r="CH38" s="35"/>
      <c r="CK38"/>
      <c r="CM38" s="35"/>
      <c r="CN38" s="35"/>
      <c r="CQ38"/>
      <c r="CS38" s="35"/>
      <c r="CT38" s="35"/>
      <c r="CX38"/>
      <c r="CZ38" s="35"/>
      <c r="DD38" s="34"/>
      <c r="DG38" t="s">
        <v>809</v>
      </c>
      <c r="DH38" t="s">
        <v>961</v>
      </c>
      <c r="DI38" t="s">
        <v>280</v>
      </c>
      <c r="DL38" t="s">
        <v>676</v>
      </c>
      <c r="DM38">
        <v>5</v>
      </c>
      <c r="DN38">
        <v>9</v>
      </c>
      <c r="DO38" t="s">
        <v>810</v>
      </c>
      <c r="DQ38" t="s">
        <v>927</v>
      </c>
      <c r="DR38">
        <v>14</v>
      </c>
      <c r="DS38">
        <v>1</v>
      </c>
      <c r="DU38">
        <v>14</v>
      </c>
      <c r="DV38">
        <v>1</v>
      </c>
      <c r="DX38">
        <v>14</v>
      </c>
      <c r="DY38">
        <v>1</v>
      </c>
      <c r="DZ38" t="s">
        <v>246</v>
      </c>
      <c r="EA38" t="s">
        <v>929</v>
      </c>
    </row>
    <row r="39" spans="1:131" x14ac:dyDescent="0.4">
      <c r="A39" s="34">
        <v>43067.305104166669</v>
      </c>
      <c r="B39" s="25">
        <v>42935.488888888889</v>
      </c>
      <c r="D39" s="34"/>
      <c r="E39" s="34" t="s">
        <v>193</v>
      </c>
      <c r="F39" s="34" t="s">
        <v>191</v>
      </c>
      <c r="G39" s="34" t="s">
        <v>100</v>
      </c>
      <c r="H39" t="s">
        <v>279</v>
      </c>
      <c r="I39" t="s">
        <v>243</v>
      </c>
      <c r="J39" t="s">
        <v>712</v>
      </c>
      <c r="K39" t="s">
        <v>729</v>
      </c>
      <c r="L39" t="s">
        <v>711</v>
      </c>
      <c r="M39" s="30">
        <v>1.01</v>
      </c>
      <c r="N39">
        <v>7.5</v>
      </c>
      <c r="P39" s="24" t="str">
        <f>IFERROR(MID(RADataTable[[#This Row],[RATemplate]],1,LEN(RADataTable[[#This Row],[RATemplate]])-8),"RA") &amp; " " &amp; RADataTable[[#This Row],[prop_id0]] &amp; " " &amp; RADataTable[[#This Row],[last0]]</f>
        <v>RA 1750333 Ene</v>
      </c>
      <c r="T39">
        <v>4</v>
      </c>
      <c r="U39">
        <v>4</v>
      </c>
      <c r="V39" s="34">
        <v>43032.52847222222</v>
      </c>
      <c r="W39">
        <v>1</v>
      </c>
      <c r="X39" s="15" t="str">
        <f>HYPERLINK("https://www.ejacket.nsf.gov/ej/showProposal.do?Continue=Y&amp;ID="&amp;RADataTable[[#This Row],[prop_id0]],"eJ")</f>
        <v>eJ</v>
      </c>
      <c r="Y39" s="15" t="str">
        <f>HYPERLINK("mailto:"&amp;RADataTable[[#This Row],[email]]&amp;"&amp;subject=Your NSF Proposal:  "&amp;RADataTable[[#This Row],[Div]]&amp;" "&amp;RADataTable[[#This Row],[prop_id0]], RADataTable[[#This Row],[email]])</f>
        <v>aene@bu.edu</v>
      </c>
      <c r="Z39" s="15" t="str">
        <f>HYPERLINK("mailto:"&amp;RADataTable[[#This Row],[allPIemail]]&amp;"&amp;subject=NSF Proposal:  "&amp;RADataTable[[#This Row],[Div]]&amp;" "&amp;RADataTable[[#This Row],[prop_id0]], "PIs@")</f>
        <v>PIs@</v>
      </c>
      <c r="AA39" t="s">
        <v>245</v>
      </c>
      <c r="AB39" t="s">
        <v>676</v>
      </c>
      <c r="AC39" s="30" t="s">
        <v>806</v>
      </c>
      <c r="AD39" t="s">
        <v>807</v>
      </c>
      <c r="AE39" t="s">
        <v>808</v>
      </c>
      <c r="AF39" s="36">
        <v>507423</v>
      </c>
      <c r="AG39" s="36">
        <v>507423</v>
      </c>
      <c r="AH39" s="24"/>
      <c r="AJ39" s="34"/>
      <c r="AK39" t="s">
        <v>923</v>
      </c>
      <c r="AL39" t="s">
        <v>282</v>
      </c>
      <c r="AM39" s="34" t="s">
        <v>925</v>
      </c>
      <c r="AN39" s="34">
        <v>43032</v>
      </c>
      <c r="AO39" s="24">
        <v>1</v>
      </c>
      <c r="AP39" t="s">
        <v>960</v>
      </c>
      <c r="AR39" s="35"/>
      <c r="AS39"/>
      <c r="AT39" s="34"/>
      <c r="AV39" s="34"/>
      <c r="AX39" s="34"/>
      <c r="AY39"/>
      <c r="BA39" s="34"/>
      <c r="BB39"/>
      <c r="BC39" t="s">
        <v>811</v>
      </c>
      <c r="BD39" s="36">
        <v>507423</v>
      </c>
      <c r="BE39" s="36">
        <v>507423</v>
      </c>
      <c r="BF39">
        <v>0</v>
      </c>
      <c r="BG39" s="34">
        <v>43101</v>
      </c>
      <c r="BH39">
        <v>60</v>
      </c>
      <c r="BI39" t="s">
        <v>283</v>
      </c>
      <c r="BJ39" t="s">
        <v>928</v>
      </c>
      <c r="BK39" t="s">
        <v>934</v>
      </c>
      <c r="BL39" t="s">
        <v>194</v>
      </c>
      <c r="BM39" s="8" t="s">
        <v>192</v>
      </c>
      <c r="BN39" t="s">
        <v>189</v>
      </c>
      <c r="BO39" t="s">
        <v>190</v>
      </c>
      <c r="BP39" s="35" t="s">
        <v>718</v>
      </c>
      <c r="BQ39"/>
      <c r="BU39" s="35"/>
      <c r="BV39" s="35"/>
      <c r="BX39"/>
      <c r="CA39" s="35"/>
      <c r="CB39" s="35"/>
      <c r="CC39"/>
      <c r="CG39" s="35"/>
      <c r="CH39" s="35"/>
      <c r="CK39"/>
      <c r="CM39" s="35"/>
      <c r="CN39" s="35"/>
      <c r="CQ39"/>
      <c r="CS39" s="35"/>
      <c r="CT39" s="35"/>
      <c r="CX39"/>
      <c r="CZ39" s="35"/>
      <c r="DD39" s="34"/>
      <c r="DG39" t="s">
        <v>809</v>
      </c>
      <c r="DH39" t="s">
        <v>961</v>
      </c>
      <c r="DI39" t="s">
        <v>280</v>
      </c>
      <c r="DL39" t="s">
        <v>676</v>
      </c>
      <c r="DM39">
        <v>5</v>
      </c>
      <c r="DN39">
        <v>9</v>
      </c>
      <c r="DO39" t="s">
        <v>810</v>
      </c>
      <c r="DQ39" t="s">
        <v>927</v>
      </c>
      <c r="DR39">
        <v>14</v>
      </c>
      <c r="DS39">
        <v>1</v>
      </c>
      <c r="DU39">
        <v>14</v>
      </c>
      <c r="DV39">
        <v>1</v>
      </c>
      <c r="DX39">
        <v>14</v>
      </c>
      <c r="DY39">
        <v>1</v>
      </c>
      <c r="DZ39" t="s">
        <v>246</v>
      </c>
      <c r="EA39" t="s">
        <v>929</v>
      </c>
    </row>
    <row r="40" spans="1:131" x14ac:dyDescent="0.4">
      <c r="A40" s="34">
        <v>43067.305104166669</v>
      </c>
      <c r="B40" s="25">
        <v>42935.488888888889</v>
      </c>
      <c r="D40" s="34"/>
      <c r="E40" s="34" t="s">
        <v>193</v>
      </c>
      <c r="F40" s="34" t="s">
        <v>191</v>
      </c>
      <c r="G40" s="34" t="s">
        <v>100</v>
      </c>
      <c r="H40" t="s">
        <v>279</v>
      </c>
      <c r="I40" t="s">
        <v>243</v>
      </c>
      <c r="J40" t="s">
        <v>712</v>
      </c>
      <c r="K40" t="s">
        <v>729</v>
      </c>
      <c r="L40" t="s">
        <v>711</v>
      </c>
      <c r="M40" s="30">
        <v>1.01</v>
      </c>
      <c r="N40">
        <v>7.5</v>
      </c>
      <c r="P40" s="24" t="str">
        <f>IFERROR(MID(RADataTable[[#This Row],[RATemplate]],1,LEN(RADataTable[[#This Row],[RATemplate]])-8),"RA") &amp; " " &amp; RADataTable[[#This Row],[prop_id0]] &amp; " " &amp; RADataTable[[#This Row],[last0]]</f>
        <v>RA 1750333 Ene</v>
      </c>
      <c r="T40">
        <v>4</v>
      </c>
      <c r="U40">
        <v>4</v>
      </c>
      <c r="V40" s="34">
        <v>43032.52847222222</v>
      </c>
      <c r="W40">
        <v>1</v>
      </c>
      <c r="X40" s="15" t="str">
        <f>HYPERLINK("https://www.ejacket.nsf.gov/ej/showProposal.do?Continue=Y&amp;ID="&amp;RADataTable[[#This Row],[prop_id0]],"eJ")</f>
        <v>eJ</v>
      </c>
      <c r="Y40" s="15" t="str">
        <f>HYPERLINK("mailto:"&amp;RADataTable[[#This Row],[email]]&amp;"&amp;subject=Your NSF Proposal:  "&amp;RADataTable[[#This Row],[Div]]&amp;" "&amp;RADataTable[[#This Row],[prop_id0]], RADataTable[[#This Row],[email]])</f>
        <v>aene@bu.edu</v>
      </c>
      <c r="Z40" s="15" t="str">
        <f>HYPERLINK("mailto:"&amp;RADataTable[[#This Row],[allPIemail]]&amp;"&amp;subject=NSF Proposal:  "&amp;RADataTable[[#This Row],[Div]]&amp;" "&amp;RADataTable[[#This Row],[prop_id0]], "PIs@")</f>
        <v>PIs@</v>
      </c>
      <c r="AA40" t="s">
        <v>245</v>
      </c>
      <c r="AB40" t="s">
        <v>676</v>
      </c>
      <c r="AC40" s="30" t="s">
        <v>806</v>
      </c>
      <c r="AD40" t="s">
        <v>807</v>
      </c>
      <c r="AE40" t="s">
        <v>808</v>
      </c>
      <c r="AF40" s="36">
        <v>507423</v>
      </c>
      <c r="AG40" s="36">
        <v>507423</v>
      </c>
      <c r="AH40" s="24"/>
      <c r="AJ40" s="34"/>
      <c r="AK40" t="s">
        <v>923</v>
      </c>
      <c r="AL40" t="s">
        <v>282</v>
      </c>
      <c r="AM40" s="34" t="s">
        <v>925</v>
      </c>
      <c r="AN40" s="34">
        <v>43032</v>
      </c>
      <c r="AO40" s="24">
        <v>1</v>
      </c>
      <c r="AP40" t="s">
        <v>960</v>
      </c>
      <c r="AR40" s="35"/>
      <c r="AS40"/>
      <c r="AT40" s="34"/>
      <c r="AV40" s="34"/>
      <c r="AX40" s="34"/>
      <c r="AY40"/>
      <c r="BA40" s="34"/>
      <c r="BB40"/>
      <c r="BC40" t="s">
        <v>811</v>
      </c>
      <c r="BD40" s="36">
        <v>507423</v>
      </c>
      <c r="BE40" s="36">
        <v>507423</v>
      </c>
      <c r="BF40">
        <v>0</v>
      </c>
      <c r="BG40" s="34">
        <v>43101</v>
      </c>
      <c r="BH40">
        <v>60</v>
      </c>
      <c r="BI40" t="s">
        <v>283</v>
      </c>
      <c r="BJ40" t="s">
        <v>928</v>
      </c>
      <c r="BK40" t="s">
        <v>934</v>
      </c>
      <c r="BL40" t="s">
        <v>194</v>
      </c>
      <c r="BM40" s="8" t="s">
        <v>192</v>
      </c>
      <c r="BN40" t="s">
        <v>189</v>
      </c>
      <c r="BO40" t="s">
        <v>190</v>
      </c>
      <c r="BP40" s="35" t="s">
        <v>718</v>
      </c>
      <c r="BQ40"/>
      <c r="BU40" s="35"/>
      <c r="BV40" s="35"/>
      <c r="BX40"/>
      <c r="CA40" s="35"/>
      <c r="CB40" s="35"/>
      <c r="CC40"/>
      <c r="CG40" s="35"/>
      <c r="CH40" s="35"/>
      <c r="CK40"/>
      <c r="CM40" s="35"/>
      <c r="CN40" s="35"/>
      <c r="CQ40"/>
      <c r="CS40" s="35"/>
      <c r="CT40" s="35"/>
      <c r="CX40"/>
      <c r="CZ40" s="35"/>
      <c r="DD40" s="34"/>
      <c r="DG40" t="s">
        <v>809</v>
      </c>
      <c r="DH40" t="s">
        <v>961</v>
      </c>
      <c r="DI40" t="s">
        <v>280</v>
      </c>
      <c r="DL40" t="s">
        <v>676</v>
      </c>
      <c r="DM40">
        <v>5</v>
      </c>
      <c r="DN40">
        <v>9</v>
      </c>
      <c r="DO40" t="s">
        <v>810</v>
      </c>
      <c r="DQ40" t="s">
        <v>927</v>
      </c>
      <c r="DR40">
        <v>14</v>
      </c>
      <c r="DS40">
        <v>1</v>
      </c>
      <c r="DU40">
        <v>14</v>
      </c>
      <c r="DV40">
        <v>1</v>
      </c>
      <c r="DX40">
        <v>14</v>
      </c>
      <c r="DY40">
        <v>1</v>
      </c>
      <c r="DZ40" t="s">
        <v>246</v>
      </c>
      <c r="EA40" t="s">
        <v>929</v>
      </c>
    </row>
    <row r="41" spans="1:131" x14ac:dyDescent="0.4">
      <c r="A41" s="34">
        <v>43067.305104166669</v>
      </c>
      <c r="B41" s="25">
        <v>42935.488888888889</v>
      </c>
      <c r="D41" s="34"/>
      <c r="E41" s="34" t="s">
        <v>193</v>
      </c>
      <c r="F41" s="34" t="s">
        <v>191</v>
      </c>
      <c r="G41" s="34" t="s">
        <v>100</v>
      </c>
      <c r="H41" t="s">
        <v>279</v>
      </c>
      <c r="I41" t="s">
        <v>243</v>
      </c>
      <c r="J41" t="s">
        <v>712</v>
      </c>
      <c r="K41" t="s">
        <v>729</v>
      </c>
      <c r="L41" t="s">
        <v>711</v>
      </c>
      <c r="M41" s="30">
        <v>1.01</v>
      </c>
      <c r="N41">
        <v>7.5</v>
      </c>
      <c r="P41" s="24" t="str">
        <f>IFERROR(MID(RADataTable[[#This Row],[RATemplate]],1,LEN(RADataTable[[#This Row],[RATemplate]])-8),"RA") &amp; " " &amp; RADataTable[[#This Row],[prop_id0]] &amp; " " &amp; RADataTable[[#This Row],[last0]]</f>
        <v>RA 1750333 Ene</v>
      </c>
      <c r="T41">
        <v>4</v>
      </c>
      <c r="U41">
        <v>4</v>
      </c>
      <c r="V41" s="34">
        <v>43032.52847222222</v>
      </c>
      <c r="W41">
        <v>1</v>
      </c>
      <c r="X41" s="15" t="str">
        <f>HYPERLINK("https://www.ejacket.nsf.gov/ej/showProposal.do?Continue=Y&amp;ID="&amp;RADataTable[[#This Row],[prop_id0]],"eJ")</f>
        <v>eJ</v>
      </c>
      <c r="Y41" s="15" t="str">
        <f>HYPERLINK("mailto:"&amp;RADataTable[[#This Row],[email]]&amp;"&amp;subject=Your NSF Proposal:  "&amp;RADataTable[[#This Row],[Div]]&amp;" "&amp;RADataTable[[#This Row],[prop_id0]], RADataTable[[#This Row],[email]])</f>
        <v>aene@bu.edu</v>
      </c>
      <c r="Z41" s="15" t="str">
        <f>HYPERLINK("mailto:"&amp;RADataTable[[#This Row],[allPIemail]]&amp;"&amp;subject=NSF Proposal:  "&amp;RADataTable[[#This Row],[Div]]&amp;" "&amp;RADataTable[[#This Row],[prop_id0]], "PIs@")</f>
        <v>PIs@</v>
      </c>
      <c r="AA41" t="s">
        <v>245</v>
      </c>
      <c r="AB41" t="s">
        <v>676</v>
      </c>
      <c r="AC41" s="30" t="s">
        <v>806</v>
      </c>
      <c r="AD41" t="s">
        <v>807</v>
      </c>
      <c r="AE41" t="s">
        <v>808</v>
      </c>
      <c r="AF41" s="36">
        <v>507423</v>
      </c>
      <c r="AG41" s="36">
        <v>507423</v>
      </c>
      <c r="AH41" s="24"/>
      <c r="AJ41" s="34"/>
      <c r="AK41" t="s">
        <v>923</v>
      </c>
      <c r="AL41" t="s">
        <v>282</v>
      </c>
      <c r="AM41" s="34" t="s">
        <v>925</v>
      </c>
      <c r="AN41" s="34">
        <v>43032</v>
      </c>
      <c r="AO41" s="24">
        <v>1</v>
      </c>
      <c r="AP41" t="s">
        <v>960</v>
      </c>
      <c r="AR41" s="35"/>
      <c r="AS41"/>
      <c r="AT41" s="34"/>
      <c r="AV41" s="34"/>
      <c r="AX41" s="34"/>
      <c r="AY41"/>
      <c r="BA41" s="34"/>
      <c r="BB41"/>
      <c r="BC41" t="s">
        <v>811</v>
      </c>
      <c r="BD41" s="36">
        <v>507423</v>
      </c>
      <c r="BE41" s="36">
        <v>507423</v>
      </c>
      <c r="BF41">
        <v>0</v>
      </c>
      <c r="BG41" s="34">
        <v>43101</v>
      </c>
      <c r="BH41">
        <v>60</v>
      </c>
      <c r="BI41" t="s">
        <v>283</v>
      </c>
      <c r="BJ41" t="s">
        <v>928</v>
      </c>
      <c r="BK41" t="s">
        <v>934</v>
      </c>
      <c r="BL41" t="s">
        <v>194</v>
      </c>
      <c r="BM41" s="8" t="s">
        <v>192</v>
      </c>
      <c r="BN41" t="s">
        <v>189</v>
      </c>
      <c r="BO41" t="s">
        <v>190</v>
      </c>
      <c r="BP41" s="35" t="s">
        <v>718</v>
      </c>
      <c r="BQ41"/>
      <c r="BU41" s="35"/>
      <c r="BV41" s="35"/>
      <c r="BX41"/>
      <c r="CA41" s="35"/>
      <c r="CB41" s="35"/>
      <c r="CC41"/>
      <c r="CG41" s="35"/>
      <c r="CH41" s="35"/>
      <c r="CK41"/>
      <c r="CM41" s="35"/>
      <c r="CN41" s="35"/>
      <c r="CQ41"/>
      <c r="CS41" s="35"/>
      <c r="CT41" s="35"/>
      <c r="CX41"/>
      <c r="CZ41" s="35"/>
      <c r="DD41" s="34"/>
      <c r="DG41" t="s">
        <v>809</v>
      </c>
      <c r="DH41" t="s">
        <v>961</v>
      </c>
      <c r="DI41" t="s">
        <v>280</v>
      </c>
      <c r="DL41" t="s">
        <v>676</v>
      </c>
      <c r="DM41">
        <v>5</v>
      </c>
      <c r="DN41">
        <v>9</v>
      </c>
      <c r="DO41" t="s">
        <v>810</v>
      </c>
      <c r="DQ41" t="s">
        <v>927</v>
      </c>
      <c r="DR41">
        <v>14</v>
      </c>
      <c r="DS41">
        <v>1</v>
      </c>
      <c r="DU41">
        <v>14</v>
      </c>
      <c r="DV41">
        <v>1</v>
      </c>
      <c r="DX41">
        <v>14</v>
      </c>
      <c r="DY41">
        <v>1</v>
      </c>
      <c r="DZ41" t="s">
        <v>246</v>
      </c>
      <c r="EA41" t="s">
        <v>929</v>
      </c>
    </row>
    <row r="42" spans="1:131" x14ac:dyDescent="0.4">
      <c r="A42" s="34">
        <v>43067.305104166669</v>
      </c>
      <c r="B42" s="25">
        <v>42935.488888888889</v>
      </c>
      <c r="D42" s="34"/>
      <c r="E42" s="34" t="s">
        <v>193</v>
      </c>
      <c r="F42" s="34" t="s">
        <v>191</v>
      </c>
      <c r="G42" s="34" t="s">
        <v>100</v>
      </c>
      <c r="H42" t="s">
        <v>279</v>
      </c>
      <c r="I42" t="s">
        <v>243</v>
      </c>
      <c r="J42" t="s">
        <v>712</v>
      </c>
      <c r="K42" t="s">
        <v>729</v>
      </c>
      <c r="L42" t="s">
        <v>711</v>
      </c>
      <c r="M42" s="30">
        <v>1.01</v>
      </c>
      <c r="N42">
        <v>7.5</v>
      </c>
      <c r="P42" s="24" t="str">
        <f>IFERROR(MID(RADataTable[[#This Row],[RATemplate]],1,LEN(RADataTable[[#This Row],[RATemplate]])-8),"RA") &amp; " " &amp; RADataTable[[#This Row],[prop_id0]] &amp; " " &amp; RADataTable[[#This Row],[last0]]</f>
        <v>RA 1750333 Ene</v>
      </c>
      <c r="T42">
        <v>4</v>
      </c>
      <c r="U42">
        <v>4</v>
      </c>
      <c r="V42" s="34">
        <v>43032.52847222222</v>
      </c>
      <c r="W42">
        <v>1</v>
      </c>
      <c r="X42" s="15" t="str">
        <f>HYPERLINK("https://www.ejacket.nsf.gov/ej/showProposal.do?Continue=Y&amp;ID="&amp;RADataTable[[#This Row],[prop_id0]],"eJ")</f>
        <v>eJ</v>
      </c>
      <c r="Y42" s="15" t="str">
        <f>HYPERLINK("mailto:"&amp;RADataTable[[#This Row],[email]]&amp;"&amp;subject=Your NSF Proposal:  "&amp;RADataTable[[#This Row],[Div]]&amp;" "&amp;RADataTable[[#This Row],[prop_id0]], RADataTable[[#This Row],[email]])</f>
        <v>aene@bu.edu</v>
      </c>
      <c r="Z42" s="15" t="str">
        <f>HYPERLINK("mailto:"&amp;RADataTable[[#This Row],[allPIemail]]&amp;"&amp;subject=NSF Proposal:  "&amp;RADataTable[[#This Row],[Div]]&amp;" "&amp;RADataTable[[#This Row],[prop_id0]], "PIs@")</f>
        <v>PIs@</v>
      </c>
      <c r="AA42" t="s">
        <v>245</v>
      </c>
      <c r="AB42" t="s">
        <v>676</v>
      </c>
      <c r="AC42" s="30" t="s">
        <v>806</v>
      </c>
      <c r="AD42" t="s">
        <v>807</v>
      </c>
      <c r="AE42" t="s">
        <v>808</v>
      </c>
      <c r="AF42" s="36">
        <v>507423</v>
      </c>
      <c r="AG42" s="36">
        <v>507423</v>
      </c>
      <c r="AH42" s="24"/>
      <c r="AJ42" s="34"/>
      <c r="AK42" t="s">
        <v>923</v>
      </c>
      <c r="AL42" t="s">
        <v>282</v>
      </c>
      <c r="AM42" s="34" t="s">
        <v>925</v>
      </c>
      <c r="AN42" s="34">
        <v>43032</v>
      </c>
      <c r="AO42" s="24">
        <v>1</v>
      </c>
      <c r="AP42" t="s">
        <v>960</v>
      </c>
      <c r="AR42" s="35"/>
      <c r="AS42"/>
      <c r="AT42" s="34"/>
      <c r="AV42" s="34"/>
      <c r="AX42" s="34"/>
      <c r="AY42"/>
      <c r="BA42" s="34"/>
      <c r="BB42"/>
      <c r="BC42" t="s">
        <v>811</v>
      </c>
      <c r="BD42" s="36">
        <v>507423</v>
      </c>
      <c r="BE42" s="36">
        <v>507423</v>
      </c>
      <c r="BF42">
        <v>0</v>
      </c>
      <c r="BG42" s="34">
        <v>43101</v>
      </c>
      <c r="BH42">
        <v>60</v>
      </c>
      <c r="BI42" t="s">
        <v>283</v>
      </c>
      <c r="BJ42" t="s">
        <v>928</v>
      </c>
      <c r="BK42" t="s">
        <v>934</v>
      </c>
      <c r="BL42" t="s">
        <v>194</v>
      </c>
      <c r="BM42" s="8" t="s">
        <v>192</v>
      </c>
      <c r="BN42" t="s">
        <v>189</v>
      </c>
      <c r="BO42" t="s">
        <v>190</v>
      </c>
      <c r="BP42" s="35" t="s">
        <v>718</v>
      </c>
      <c r="BQ42"/>
      <c r="BU42" s="35"/>
      <c r="BV42" s="35"/>
      <c r="BX42"/>
      <c r="CA42" s="35"/>
      <c r="CB42" s="35"/>
      <c r="CC42"/>
      <c r="CG42" s="35"/>
      <c r="CH42" s="35"/>
      <c r="CK42"/>
      <c r="CM42" s="35"/>
      <c r="CN42" s="35"/>
      <c r="CQ42"/>
      <c r="CS42" s="35"/>
      <c r="CT42" s="35"/>
      <c r="CX42"/>
      <c r="CZ42" s="35"/>
      <c r="DD42" s="34"/>
      <c r="DG42" t="s">
        <v>809</v>
      </c>
      <c r="DH42" t="s">
        <v>961</v>
      </c>
      <c r="DI42" t="s">
        <v>280</v>
      </c>
      <c r="DL42" t="s">
        <v>676</v>
      </c>
      <c r="DM42">
        <v>5</v>
      </c>
      <c r="DN42">
        <v>9</v>
      </c>
      <c r="DO42" t="s">
        <v>810</v>
      </c>
      <c r="DQ42" t="s">
        <v>927</v>
      </c>
      <c r="DR42">
        <v>14</v>
      </c>
      <c r="DS42">
        <v>1</v>
      </c>
      <c r="DU42">
        <v>14</v>
      </c>
      <c r="DV42">
        <v>1</v>
      </c>
      <c r="DX42">
        <v>14</v>
      </c>
      <c r="DY42">
        <v>1</v>
      </c>
      <c r="DZ42" t="s">
        <v>246</v>
      </c>
      <c r="EA42" t="s">
        <v>929</v>
      </c>
    </row>
    <row r="43" spans="1:131" x14ac:dyDescent="0.4">
      <c r="A43" s="34">
        <v>43067.305104166669</v>
      </c>
      <c r="B43" s="25">
        <v>42935.488888888889</v>
      </c>
      <c r="D43" s="34"/>
      <c r="E43" s="34" t="s">
        <v>193</v>
      </c>
      <c r="F43" s="34" t="s">
        <v>191</v>
      </c>
      <c r="G43" s="34" t="s">
        <v>100</v>
      </c>
      <c r="H43" t="s">
        <v>279</v>
      </c>
      <c r="I43" t="s">
        <v>243</v>
      </c>
      <c r="J43" t="s">
        <v>712</v>
      </c>
      <c r="K43" t="s">
        <v>729</v>
      </c>
      <c r="L43" t="s">
        <v>711</v>
      </c>
      <c r="M43" s="30">
        <v>1.01</v>
      </c>
      <c r="N43">
        <v>7.5</v>
      </c>
      <c r="P43" s="24" t="str">
        <f>IFERROR(MID(RADataTable[[#This Row],[RATemplate]],1,LEN(RADataTable[[#This Row],[RATemplate]])-8),"RA") &amp; " " &amp; RADataTable[[#This Row],[prop_id0]] &amp; " " &amp; RADataTable[[#This Row],[last0]]</f>
        <v>RA 1750333 Ene</v>
      </c>
      <c r="T43">
        <v>4</v>
      </c>
      <c r="U43">
        <v>4</v>
      </c>
      <c r="V43" s="34">
        <v>43032.52847222222</v>
      </c>
      <c r="W43">
        <v>1</v>
      </c>
      <c r="X43" s="15" t="str">
        <f>HYPERLINK("https://www.ejacket.nsf.gov/ej/showProposal.do?Continue=Y&amp;ID="&amp;RADataTable[[#This Row],[prop_id0]],"eJ")</f>
        <v>eJ</v>
      </c>
      <c r="Y43" s="15" t="str">
        <f>HYPERLINK("mailto:"&amp;RADataTable[[#This Row],[email]]&amp;"&amp;subject=Your NSF Proposal:  "&amp;RADataTable[[#This Row],[Div]]&amp;" "&amp;RADataTable[[#This Row],[prop_id0]], RADataTable[[#This Row],[email]])</f>
        <v>aene@bu.edu</v>
      </c>
      <c r="Z43" s="15" t="str">
        <f>HYPERLINK("mailto:"&amp;RADataTable[[#This Row],[allPIemail]]&amp;"&amp;subject=NSF Proposal:  "&amp;RADataTable[[#This Row],[Div]]&amp;" "&amp;RADataTable[[#This Row],[prop_id0]], "PIs@")</f>
        <v>PIs@</v>
      </c>
      <c r="AA43" t="s">
        <v>245</v>
      </c>
      <c r="AB43" t="s">
        <v>676</v>
      </c>
      <c r="AC43" s="30" t="s">
        <v>806</v>
      </c>
      <c r="AD43" t="s">
        <v>807</v>
      </c>
      <c r="AE43" t="s">
        <v>808</v>
      </c>
      <c r="AF43" s="36">
        <v>507423</v>
      </c>
      <c r="AG43" s="36">
        <v>507423</v>
      </c>
      <c r="AH43" s="24"/>
      <c r="AJ43" s="34"/>
      <c r="AK43" t="s">
        <v>923</v>
      </c>
      <c r="AL43" t="s">
        <v>282</v>
      </c>
      <c r="AM43" s="34" t="s">
        <v>925</v>
      </c>
      <c r="AN43" s="34">
        <v>43032</v>
      </c>
      <c r="AO43" s="24">
        <v>1</v>
      </c>
      <c r="AP43" t="s">
        <v>960</v>
      </c>
      <c r="AR43" s="35"/>
      <c r="AS43"/>
      <c r="AT43" s="34"/>
      <c r="AV43" s="34"/>
      <c r="AX43" s="34"/>
      <c r="AY43"/>
      <c r="BA43" s="34"/>
      <c r="BB43"/>
      <c r="BC43" t="s">
        <v>811</v>
      </c>
      <c r="BD43" s="36">
        <v>507423</v>
      </c>
      <c r="BE43" s="36">
        <v>507423</v>
      </c>
      <c r="BF43">
        <v>0</v>
      </c>
      <c r="BG43" s="34">
        <v>43101</v>
      </c>
      <c r="BH43">
        <v>60</v>
      </c>
      <c r="BI43" t="s">
        <v>283</v>
      </c>
      <c r="BJ43" t="s">
        <v>928</v>
      </c>
      <c r="BK43" t="s">
        <v>934</v>
      </c>
      <c r="BL43" t="s">
        <v>194</v>
      </c>
      <c r="BM43" s="8" t="s">
        <v>192</v>
      </c>
      <c r="BN43" t="s">
        <v>189</v>
      </c>
      <c r="BO43" t="s">
        <v>190</v>
      </c>
      <c r="BP43" s="35" t="s">
        <v>718</v>
      </c>
      <c r="BQ43"/>
      <c r="BU43" s="35"/>
      <c r="BV43" s="35"/>
      <c r="BX43"/>
      <c r="CA43" s="35"/>
      <c r="CB43" s="35"/>
      <c r="CC43"/>
      <c r="CG43" s="35"/>
      <c r="CH43" s="35"/>
      <c r="CK43"/>
      <c r="CM43" s="35"/>
      <c r="CN43" s="35"/>
      <c r="CQ43"/>
      <c r="CS43" s="35"/>
      <c r="CT43" s="35"/>
      <c r="CX43"/>
      <c r="CZ43" s="35"/>
      <c r="DD43" s="34"/>
      <c r="DG43" t="s">
        <v>809</v>
      </c>
      <c r="DH43" t="s">
        <v>961</v>
      </c>
      <c r="DI43" t="s">
        <v>280</v>
      </c>
      <c r="DL43" t="s">
        <v>676</v>
      </c>
      <c r="DM43">
        <v>5</v>
      </c>
      <c r="DN43">
        <v>9</v>
      </c>
      <c r="DO43" t="s">
        <v>810</v>
      </c>
      <c r="DQ43" t="s">
        <v>927</v>
      </c>
      <c r="DR43">
        <v>14</v>
      </c>
      <c r="DS43">
        <v>1</v>
      </c>
      <c r="DU43">
        <v>14</v>
      </c>
      <c r="DV43">
        <v>1</v>
      </c>
      <c r="DX43">
        <v>14</v>
      </c>
      <c r="DY43">
        <v>1</v>
      </c>
      <c r="DZ43" t="s">
        <v>246</v>
      </c>
      <c r="EA43" t="s">
        <v>929</v>
      </c>
    </row>
    <row r="44" spans="1:131" x14ac:dyDescent="0.4">
      <c r="A44" s="34">
        <v>43067.305104166669</v>
      </c>
      <c r="B44" s="25">
        <v>42935.488888888889</v>
      </c>
      <c r="D44" s="34"/>
      <c r="E44" s="34" t="s">
        <v>193</v>
      </c>
      <c r="F44" s="34" t="s">
        <v>191</v>
      </c>
      <c r="G44" s="34" t="s">
        <v>100</v>
      </c>
      <c r="H44" t="s">
        <v>279</v>
      </c>
      <c r="I44" t="s">
        <v>243</v>
      </c>
      <c r="J44" t="s">
        <v>712</v>
      </c>
      <c r="K44" t="s">
        <v>729</v>
      </c>
      <c r="L44" t="s">
        <v>711</v>
      </c>
      <c r="M44" s="30">
        <v>1.01</v>
      </c>
      <c r="N44">
        <v>7.5</v>
      </c>
      <c r="P44" s="24" t="str">
        <f>IFERROR(MID(RADataTable[[#This Row],[RATemplate]],1,LEN(RADataTable[[#This Row],[RATemplate]])-8),"RA") &amp; " " &amp; RADataTable[[#This Row],[prop_id0]] &amp; " " &amp; RADataTable[[#This Row],[last0]]</f>
        <v>RA 1750333 Ene</v>
      </c>
      <c r="T44">
        <v>4</v>
      </c>
      <c r="U44">
        <v>4</v>
      </c>
      <c r="V44" s="34">
        <v>43032.52847222222</v>
      </c>
      <c r="W44">
        <v>1</v>
      </c>
      <c r="X44" s="15" t="str">
        <f>HYPERLINK("https://www.ejacket.nsf.gov/ej/showProposal.do?Continue=Y&amp;ID="&amp;RADataTable[[#This Row],[prop_id0]],"eJ")</f>
        <v>eJ</v>
      </c>
      <c r="Y44" s="15" t="str">
        <f>HYPERLINK("mailto:"&amp;RADataTable[[#This Row],[email]]&amp;"&amp;subject=Your NSF Proposal:  "&amp;RADataTable[[#This Row],[Div]]&amp;" "&amp;RADataTable[[#This Row],[prop_id0]], RADataTable[[#This Row],[email]])</f>
        <v>aene@bu.edu</v>
      </c>
      <c r="Z44" s="15" t="str">
        <f>HYPERLINK("mailto:"&amp;RADataTable[[#This Row],[allPIemail]]&amp;"&amp;subject=NSF Proposal:  "&amp;RADataTable[[#This Row],[Div]]&amp;" "&amp;RADataTable[[#This Row],[prop_id0]], "PIs@")</f>
        <v>PIs@</v>
      </c>
      <c r="AA44" t="s">
        <v>245</v>
      </c>
      <c r="AB44" t="s">
        <v>676</v>
      </c>
      <c r="AC44" s="30" t="s">
        <v>806</v>
      </c>
      <c r="AD44" t="s">
        <v>807</v>
      </c>
      <c r="AE44" t="s">
        <v>808</v>
      </c>
      <c r="AF44" s="36">
        <v>507423</v>
      </c>
      <c r="AG44" s="36">
        <v>507423</v>
      </c>
      <c r="AH44" s="24"/>
      <c r="AJ44" s="34"/>
      <c r="AK44" t="s">
        <v>923</v>
      </c>
      <c r="AL44" t="s">
        <v>282</v>
      </c>
      <c r="AM44" s="34" t="s">
        <v>925</v>
      </c>
      <c r="AN44" s="34">
        <v>43032</v>
      </c>
      <c r="AO44" s="24">
        <v>1</v>
      </c>
      <c r="AP44" t="s">
        <v>960</v>
      </c>
      <c r="AR44" s="35"/>
      <c r="AS44"/>
      <c r="AT44" s="34"/>
      <c r="AV44" s="34"/>
      <c r="AX44" s="34"/>
      <c r="AY44"/>
      <c r="BA44" s="34"/>
      <c r="BB44"/>
      <c r="BC44" t="s">
        <v>811</v>
      </c>
      <c r="BD44" s="36">
        <v>507423</v>
      </c>
      <c r="BE44" s="36">
        <v>507423</v>
      </c>
      <c r="BF44">
        <v>0</v>
      </c>
      <c r="BG44" s="34">
        <v>43101</v>
      </c>
      <c r="BH44">
        <v>60</v>
      </c>
      <c r="BI44" t="s">
        <v>283</v>
      </c>
      <c r="BJ44" t="s">
        <v>928</v>
      </c>
      <c r="BK44" t="s">
        <v>934</v>
      </c>
      <c r="BL44" t="s">
        <v>194</v>
      </c>
      <c r="BM44" s="8" t="s">
        <v>192</v>
      </c>
      <c r="BN44" t="s">
        <v>189</v>
      </c>
      <c r="BO44" t="s">
        <v>190</v>
      </c>
      <c r="BP44" s="35" t="s">
        <v>718</v>
      </c>
      <c r="BQ44"/>
      <c r="BU44" s="35"/>
      <c r="BV44" s="35"/>
      <c r="BX44"/>
      <c r="CA44" s="35"/>
      <c r="CB44" s="35"/>
      <c r="CC44"/>
      <c r="CG44" s="35"/>
      <c r="CH44" s="35"/>
      <c r="CK44"/>
      <c r="CM44" s="35"/>
      <c r="CN44" s="35"/>
      <c r="CQ44"/>
      <c r="CS44" s="35"/>
      <c r="CT44" s="35"/>
      <c r="CX44"/>
      <c r="CZ44" s="35"/>
      <c r="DD44" s="34"/>
      <c r="DG44" t="s">
        <v>809</v>
      </c>
      <c r="DH44" t="s">
        <v>961</v>
      </c>
      <c r="DI44" t="s">
        <v>280</v>
      </c>
      <c r="DL44" t="s">
        <v>676</v>
      </c>
      <c r="DM44">
        <v>5</v>
      </c>
      <c r="DN44">
        <v>9</v>
      </c>
      <c r="DO44" t="s">
        <v>810</v>
      </c>
      <c r="DQ44" t="s">
        <v>927</v>
      </c>
      <c r="DR44">
        <v>14</v>
      </c>
      <c r="DS44">
        <v>1</v>
      </c>
      <c r="DU44">
        <v>14</v>
      </c>
      <c r="DV44">
        <v>1</v>
      </c>
      <c r="DX44">
        <v>14</v>
      </c>
      <c r="DY44">
        <v>1</v>
      </c>
      <c r="DZ44" t="s">
        <v>246</v>
      </c>
      <c r="EA44" t="s">
        <v>929</v>
      </c>
    </row>
    <row r="45" spans="1:131" x14ac:dyDescent="0.4">
      <c r="A45" s="34">
        <v>43067.305104166669</v>
      </c>
      <c r="B45" s="25">
        <v>42935.488888888889</v>
      </c>
      <c r="D45" s="34"/>
      <c r="E45" s="34" t="s">
        <v>193</v>
      </c>
      <c r="F45" s="34" t="s">
        <v>191</v>
      </c>
      <c r="G45" s="34" t="s">
        <v>100</v>
      </c>
      <c r="H45" t="s">
        <v>279</v>
      </c>
      <c r="I45" t="s">
        <v>243</v>
      </c>
      <c r="J45" t="s">
        <v>712</v>
      </c>
      <c r="K45" t="s">
        <v>729</v>
      </c>
      <c r="L45" t="s">
        <v>711</v>
      </c>
      <c r="M45" s="30">
        <v>1.01</v>
      </c>
      <c r="N45">
        <v>7.5</v>
      </c>
      <c r="P45" s="24" t="str">
        <f>IFERROR(MID(RADataTable[[#This Row],[RATemplate]],1,LEN(RADataTable[[#This Row],[RATemplate]])-8),"RA") &amp; " " &amp; RADataTable[[#This Row],[prop_id0]] &amp; " " &amp; RADataTable[[#This Row],[last0]]</f>
        <v>RA 1750333 Ene</v>
      </c>
      <c r="T45">
        <v>4</v>
      </c>
      <c r="U45">
        <v>4</v>
      </c>
      <c r="V45" s="34">
        <v>43032.52847222222</v>
      </c>
      <c r="W45">
        <v>1</v>
      </c>
      <c r="X45" s="15" t="str">
        <f>HYPERLINK("https://www.ejacket.nsf.gov/ej/showProposal.do?Continue=Y&amp;ID="&amp;RADataTable[[#This Row],[prop_id0]],"eJ")</f>
        <v>eJ</v>
      </c>
      <c r="Y45" s="15" t="str">
        <f>HYPERLINK("mailto:"&amp;RADataTable[[#This Row],[email]]&amp;"&amp;subject=Your NSF Proposal:  "&amp;RADataTable[[#This Row],[Div]]&amp;" "&amp;RADataTable[[#This Row],[prop_id0]], RADataTable[[#This Row],[email]])</f>
        <v>aene@bu.edu</v>
      </c>
      <c r="Z45" s="15" t="str">
        <f>HYPERLINK("mailto:"&amp;RADataTable[[#This Row],[allPIemail]]&amp;"&amp;subject=NSF Proposal:  "&amp;RADataTable[[#This Row],[Div]]&amp;" "&amp;RADataTable[[#This Row],[prop_id0]], "PIs@")</f>
        <v>PIs@</v>
      </c>
      <c r="AA45" t="s">
        <v>245</v>
      </c>
      <c r="AB45" t="s">
        <v>676</v>
      </c>
      <c r="AC45" s="30" t="s">
        <v>806</v>
      </c>
      <c r="AD45" t="s">
        <v>807</v>
      </c>
      <c r="AE45" t="s">
        <v>808</v>
      </c>
      <c r="AF45" s="36">
        <v>507423</v>
      </c>
      <c r="AG45" s="36">
        <v>507423</v>
      </c>
      <c r="AH45" s="24"/>
      <c r="AJ45" s="34"/>
      <c r="AK45" t="s">
        <v>923</v>
      </c>
      <c r="AL45" t="s">
        <v>282</v>
      </c>
      <c r="AM45" s="34" t="s">
        <v>925</v>
      </c>
      <c r="AN45" s="34">
        <v>43032</v>
      </c>
      <c r="AO45" s="24">
        <v>1</v>
      </c>
      <c r="AP45" t="s">
        <v>960</v>
      </c>
      <c r="AR45" s="35"/>
      <c r="AS45"/>
      <c r="AT45" s="34"/>
      <c r="AV45" s="34"/>
      <c r="AX45" s="34"/>
      <c r="AY45"/>
      <c r="BA45" s="34"/>
      <c r="BB45"/>
      <c r="BC45" t="s">
        <v>811</v>
      </c>
      <c r="BD45" s="36">
        <v>507423</v>
      </c>
      <c r="BE45" s="36">
        <v>507423</v>
      </c>
      <c r="BF45">
        <v>0</v>
      </c>
      <c r="BG45" s="34">
        <v>43101</v>
      </c>
      <c r="BH45">
        <v>60</v>
      </c>
      <c r="BI45" t="s">
        <v>283</v>
      </c>
      <c r="BJ45" t="s">
        <v>928</v>
      </c>
      <c r="BK45" t="s">
        <v>934</v>
      </c>
      <c r="BL45" t="s">
        <v>194</v>
      </c>
      <c r="BM45" s="8" t="s">
        <v>192</v>
      </c>
      <c r="BN45" t="s">
        <v>189</v>
      </c>
      <c r="BO45" t="s">
        <v>190</v>
      </c>
      <c r="BP45" s="35" t="s">
        <v>718</v>
      </c>
      <c r="BQ45"/>
      <c r="BU45" s="35"/>
      <c r="BV45" s="35"/>
      <c r="BX45"/>
      <c r="CA45" s="35"/>
      <c r="CB45" s="35"/>
      <c r="CC45"/>
      <c r="CG45" s="35"/>
      <c r="CH45" s="35"/>
      <c r="CK45"/>
      <c r="CM45" s="35"/>
      <c r="CN45" s="35"/>
      <c r="CQ45"/>
      <c r="CS45" s="35"/>
      <c r="CT45" s="35"/>
      <c r="CX45"/>
      <c r="CZ45" s="35"/>
      <c r="DD45" s="34"/>
      <c r="DG45" t="s">
        <v>809</v>
      </c>
      <c r="DH45" t="s">
        <v>961</v>
      </c>
      <c r="DI45" t="s">
        <v>280</v>
      </c>
      <c r="DL45" t="s">
        <v>676</v>
      </c>
      <c r="DM45">
        <v>5</v>
      </c>
      <c r="DN45">
        <v>9</v>
      </c>
      <c r="DO45" t="s">
        <v>810</v>
      </c>
      <c r="DQ45" t="s">
        <v>927</v>
      </c>
      <c r="DR45">
        <v>14</v>
      </c>
      <c r="DS45">
        <v>1</v>
      </c>
      <c r="DU45">
        <v>14</v>
      </c>
      <c r="DV45">
        <v>1</v>
      </c>
      <c r="DX45">
        <v>14</v>
      </c>
      <c r="DY45">
        <v>1</v>
      </c>
      <c r="DZ45" t="s">
        <v>246</v>
      </c>
      <c r="EA45" t="s">
        <v>929</v>
      </c>
    </row>
    <row r="46" spans="1:131" x14ac:dyDescent="0.4">
      <c r="A46" s="34">
        <v>43067.305104166669</v>
      </c>
      <c r="B46" s="25">
        <v>42935.488888888889</v>
      </c>
      <c r="D46" s="34"/>
      <c r="E46" s="34" t="s">
        <v>193</v>
      </c>
      <c r="F46" s="34" t="s">
        <v>191</v>
      </c>
      <c r="G46" s="34" t="s">
        <v>100</v>
      </c>
      <c r="H46" t="s">
        <v>279</v>
      </c>
      <c r="I46" t="s">
        <v>243</v>
      </c>
      <c r="J46" t="s">
        <v>712</v>
      </c>
      <c r="K46" t="s">
        <v>729</v>
      </c>
      <c r="L46" t="s">
        <v>711</v>
      </c>
      <c r="M46" s="30">
        <v>1.01</v>
      </c>
      <c r="N46">
        <v>7.5</v>
      </c>
      <c r="P46" s="24" t="str">
        <f>IFERROR(MID(RADataTable[[#This Row],[RATemplate]],1,LEN(RADataTable[[#This Row],[RATemplate]])-8),"RA") &amp; " " &amp; RADataTable[[#This Row],[prop_id0]] &amp; " " &amp; RADataTable[[#This Row],[last0]]</f>
        <v>RA 1750333 Ene</v>
      </c>
      <c r="T46">
        <v>4</v>
      </c>
      <c r="U46">
        <v>4</v>
      </c>
      <c r="V46" s="34">
        <v>43032.52847222222</v>
      </c>
      <c r="W46">
        <v>1</v>
      </c>
      <c r="X46" s="15" t="str">
        <f>HYPERLINK("https://www.ejacket.nsf.gov/ej/showProposal.do?Continue=Y&amp;ID="&amp;RADataTable[[#This Row],[prop_id0]],"eJ")</f>
        <v>eJ</v>
      </c>
      <c r="Y46" s="15" t="str">
        <f>HYPERLINK("mailto:"&amp;RADataTable[[#This Row],[email]]&amp;"&amp;subject=Your NSF Proposal:  "&amp;RADataTable[[#This Row],[Div]]&amp;" "&amp;RADataTable[[#This Row],[prop_id0]], RADataTable[[#This Row],[email]])</f>
        <v>aene@bu.edu</v>
      </c>
      <c r="Z46" s="15" t="str">
        <f>HYPERLINK("mailto:"&amp;RADataTable[[#This Row],[allPIemail]]&amp;"&amp;subject=NSF Proposal:  "&amp;RADataTable[[#This Row],[Div]]&amp;" "&amp;RADataTable[[#This Row],[prop_id0]], "PIs@")</f>
        <v>PIs@</v>
      </c>
      <c r="AA46" t="s">
        <v>245</v>
      </c>
      <c r="AB46" t="s">
        <v>676</v>
      </c>
      <c r="AC46" s="30" t="s">
        <v>806</v>
      </c>
      <c r="AD46" t="s">
        <v>807</v>
      </c>
      <c r="AE46" t="s">
        <v>808</v>
      </c>
      <c r="AF46" s="36">
        <v>507423</v>
      </c>
      <c r="AG46" s="36">
        <v>507423</v>
      </c>
      <c r="AH46" s="24"/>
      <c r="AJ46" s="34"/>
      <c r="AK46" t="s">
        <v>923</v>
      </c>
      <c r="AL46" t="s">
        <v>282</v>
      </c>
      <c r="AM46" s="34" t="s">
        <v>925</v>
      </c>
      <c r="AN46" s="34">
        <v>43032</v>
      </c>
      <c r="AO46" s="24">
        <v>1</v>
      </c>
      <c r="AP46" t="s">
        <v>960</v>
      </c>
      <c r="AR46" s="35"/>
      <c r="AS46"/>
      <c r="AT46" s="34"/>
      <c r="AV46" s="34"/>
      <c r="AX46" s="34"/>
      <c r="AY46"/>
      <c r="BA46" s="34"/>
      <c r="BB46"/>
      <c r="BC46" t="s">
        <v>811</v>
      </c>
      <c r="BD46" s="36">
        <v>507423</v>
      </c>
      <c r="BE46" s="36">
        <v>507423</v>
      </c>
      <c r="BF46">
        <v>0</v>
      </c>
      <c r="BG46" s="34">
        <v>43101</v>
      </c>
      <c r="BH46">
        <v>60</v>
      </c>
      <c r="BI46" t="s">
        <v>283</v>
      </c>
      <c r="BJ46" t="s">
        <v>928</v>
      </c>
      <c r="BK46" t="s">
        <v>934</v>
      </c>
      <c r="BL46" t="s">
        <v>194</v>
      </c>
      <c r="BM46" s="8" t="s">
        <v>192</v>
      </c>
      <c r="BN46" t="s">
        <v>189</v>
      </c>
      <c r="BO46" t="s">
        <v>190</v>
      </c>
      <c r="BP46" s="35" t="s">
        <v>718</v>
      </c>
      <c r="BQ46"/>
      <c r="BU46" s="35"/>
      <c r="BV46" s="35"/>
      <c r="BX46"/>
      <c r="CA46" s="35"/>
      <c r="CB46" s="35"/>
      <c r="CC46"/>
      <c r="CG46" s="35"/>
      <c r="CH46" s="35"/>
      <c r="CK46"/>
      <c r="CM46" s="35"/>
      <c r="CN46" s="35"/>
      <c r="CQ46"/>
      <c r="CS46" s="35"/>
      <c r="CT46" s="35"/>
      <c r="CX46"/>
      <c r="CZ46" s="35"/>
      <c r="DD46" s="34"/>
      <c r="DG46" t="s">
        <v>809</v>
      </c>
      <c r="DH46" t="s">
        <v>961</v>
      </c>
      <c r="DI46" t="s">
        <v>280</v>
      </c>
      <c r="DL46" t="s">
        <v>676</v>
      </c>
      <c r="DM46">
        <v>5</v>
      </c>
      <c r="DN46">
        <v>9</v>
      </c>
      <c r="DO46" t="s">
        <v>810</v>
      </c>
      <c r="DQ46" t="s">
        <v>927</v>
      </c>
      <c r="DR46">
        <v>14</v>
      </c>
      <c r="DS46">
        <v>1</v>
      </c>
      <c r="DU46">
        <v>14</v>
      </c>
      <c r="DV46">
        <v>1</v>
      </c>
      <c r="DX46">
        <v>14</v>
      </c>
      <c r="DY46">
        <v>1</v>
      </c>
      <c r="DZ46" t="s">
        <v>246</v>
      </c>
      <c r="EA46" t="s">
        <v>929</v>
      </c>
    </row>
    <row r="47" spans="1:131" x14ac:dyDescent="0.4">
      <c r="A47" s="34">
        <v>43067.305104166669</v>
      </c>
      <c r="B47" s="25">
        <v>42935.488888888889</v>
      </c>
      <c r="D47" s="34"/>
      <c r="E47" s="34" t="s">
        <v>193</v>
      </c>
      <c r="F47" s="34" t="s">
        <v>191</v>
      </c>
      <c r="G47" s="34" t="s">
        <v>100</v>
      </c>
      <c r="H47" t="s">
        <v>279</v>
      </c>
      <c r="I47" t="s">
        <v>243</v>
      </c>
      <c r="J47" t="s">
        <v>712</v>
      </c>
      <c r="K47" t="s">
        <v>729</v>
      </c>
      <c r="L47" t="s">
        <v>711</v>
      </c>
      <c r="M47" s="30">
        <v>1.01</v>
      </c>
      <c r="N47">
        <v>7.5</v>
      </c>
      <c r="P47" s="24" t="str">
        <f>IFERROR(MID(RADataTable[[#This Row],[RATemplate]],1,LEN(RADataTable[[#This Row],[RATemplate]])-8),"RA") &amp; " " &amp; RADataTable[[#This Row],[prop_id0]] &amp; " " &amp; RADataTable[[#This Row],[last0]]</f>
        <v>RA 1750333 Ene</v>
      </c>
      <c r="T47">
        <v>4</v>
      </c>
      <c r="U47">
        <v>4</v>
      </c>
      <c r="V47" s="34">
        <v>43032.52847222222</v>
      </c>
      <c r="W47">
        <v>1</v>
      </c>
      <c r="X47" s="15" t="str">
        <f>HYPERLINK("https://www.ejacket.nsf.gov/ej/showProposal.do?Continue=Y&amp;ID="&amp;RADataTable[[#This Row],[prop_id0]],"eJ")</f>
        <v>eJ</v>
      </c>
      <c r="Y47" s="15" t="str">
        <f>HYPERLINK("mailto:"&amp;RADataTable[[#This Row],[email]]&amp;"&amp;subject=Your NSF Proposal:  "&amp;RADataTable[[#This Row],[Div]]&amp;" "&amp;RADataTable[[#This Row],[prop_id0]], RADataTable[[#This Row],[email]])</f>
        <v>aene@bu.edu</v>
      </c>
      <c r="Z47" s="15" t="str">
        <f>HYPERLINK("mailto:"&amp;RADataTable[[#This Row],[allPIemail]]&amp;"&amp;subject=NSF Proposal:  "&amp;RADataTable[[#This Row],[Div]]&amp;" "&amp;RADataTable[[#This Row],[prop_id0]], "PIs@")</f>
        <v>PIs@</v>
      </c>
      <c r="AA47" t="s">
        <v>245</v>
      </c>
      <c r="AB47" t="s">
        <v>676</v>
      </c>
      <c r="AC47" s="30" t="s">
        <v>806</v>
      </c>
      <c r="AD47" t="s">
        <v>807</v>
      </c>
      <c r="AE47" t="s">
        <v>808</v>
      </c>
      <c r="AF47" s="36">
        <v>507423</v>
      </c>
      <c r="AG47" s="36">
        <v>507423</v>
      </c>
      <c r="AH47" s="24"/>
      <c r="AJ47" s="34"/>
      <c r="AK47" t="s">
        <v>923</v>
      </c>
      <c r="AL47" t="s">
        <v>282</v>
      </c>
      <c r="AM47" s="34" t="s">
        <v>925</v>
      </c>
      <c r="AN47" s="34">
        <v>43032</v>
      </c>
      <c r="AO47" s="24">
        <v>1</v>
      </c>
      <c r="AP47" t="s">
        <v>960</v>
      </c>
      <c r="AR47" s="35"/>
      <c r="AS47"/>
      <c r="AT47" s="34"/>
      <c r="AV47" s="34"/>
      <c r="AX47" s="34"/>
      <c r="AY47"/>
      <c r="BA47" s="34"/>
      <c r="BB47"/>
      <c r="BC47" t="s">
        <v>811</v>
      </c>
      <c r="BD47" s="36">
        <v>507423</v>
      </c>
      <c r="BE47" s="36">
        <v>507423</v>
      </c>
      <c r="BF47">
        <v>0</v>
      </c>
      <c r="BG47" s="34">
        <v>43101</v>
      </c>
      <c r="BH47">
        <v>60</v>
      </c>
      <c r="BI47" t="s">
        <v>283</v>
      </c>
      <c r="BJ47" t="s">
        <v>928</v>
      </c>
      <c r="BK47" t="s">
        <v>934</v>
      </c>
      <c r="BL47" t="s">
        <v>194</v>
      </c>
      <c r="BM47" s="8" t="s">
        <v>192</v>
      </c>
      <c r="BN47" t="s">
        <v>189</v>
      </c>
      <c r="BO47" t="s">
        <v>190</v>
      </c>
      <c r="BP47" s="35" t="s">
        <v>718</v>
      </c>
      <c r="BQ47"/>
      <c r="BU47" s="35"/>
      <c r="BV47" s="35"/>
      <c r="BX47"/>
      <c r="CA47" s="35"/>
      <c r="CB47" s="35"/>
      <c r="CC47"/>
      <c r="CG47" s="35"/>
      <c r="CH47" s="35"/>
      <c r="CK47"/>
      <c r="CM47" s="35"/>
      <c r="CN47" s="35"/>
      <c r="CQ47"/>
      <c r="CS47" s="35"/>
      <c r="CT47" s="35"/>
      <c r="CX47"/>
      <c r="CZ47" s="35"/>
      <c r="DD47" s="34"/>
      <c r="DG47" t="s">
        <v>809</v>
      </c>
      <c r="DH47" t="s">
        <v>961</v>
      </c>
      <c r="DI47" t="s">
        <v>280</v>
      </c>
      <c r="DL47" t="s">
        <v>676</v>
      </c>
      <c r="DM47">
        <v>5</v>
      </c>
      <c r="DN47">
        <v>9</v>
      </c>
      <c r="DO47" t="s">
        <v>810</v>
      </c>
      <c r="DQ47" t="s">
        <v>927</v>
      </c>
      <c r="DR47">
        <v>14</v>
      </c>
      <c r="DS47">
        <v>1</v>
      </c>
      <c r="DU47">
        <v>14</v>
      </c>
      <c r="DV47">
        <v>1</v>
      </c>
      <c r="DX47">
        <v>14</v>
      </c>
      <c r="DY47">
        <v>1</v>
      </c>
      <c r="DZ47" t="s">
        <v>246</v>
      </c>
      <c r="EA47" t="s">
        <v>929</v>
      </c>
    </row>
    <row r="48" spans="1:131" x14ac:dyDescent="0.4">
      <c r="A48" s="34">
        <v>43067.305104166669</v>
      </c>
      <c r="B48" s="25">
        <v>42935.488888888889</v>
      </c>
      <c r="D48" s="34"/>
      <c r="E48" s="34" t="s">
        <v>193</v>
      </c>
      <c r="F48" s="34" t="s">
        <v>191</v>
      </c>
      <c r="G48" s="34" t="s">
        <v>100</v>
      </c>
      <c r="H48" t="s">
        <v>279</v>
      </c>
      <c r="I48" t="s">
        <v>243</v>
      </c>
      <c r="J48" t="s">
        <v>712</v>
      </c>
      <c r="K48" t="s">
        <v>729</v>
      </c>
      <c r="L48" t="s">
        <v>711</v>
      </c>
      <c r="M48" s="30">
        <v>1.01</v>
      </c>
      <c r="N48">
        <v>7.5</v>
      </c>
      <c r="P48" s="24" t="str">
        <f>IFERROR(MID(RADataTable[[#This Row],[RATemplate]],1,LEN(RADataTable[[#This Row],[RATemplate]])-8),"RA") &amp; " " &amp; RADataTable[[#This Row],[prop_id0]] &amp; " " &amp; RADataTable[[#This Row],[last0]]</f>
        <v>RA 1750333 Ene</v>
      </c>
      <c r="T48">
        <v>4</v>
      </c>
      <c r="U48">
        <v>4</v>
      </c>
      <c r="V48" s="34">
        <v>43032.52847222222</v>
      </c>
      <c r="W48">
        <v>1</v>
      </c>
      <c r="X48" s="15" t="str">
        <f>HYPERLINK("https://www.ejacket.nsf.gov/ej/showProposal.do?Continue=Y&amp;ID="&amp;RADataTable[[#This Row],[prop_id0]],"eJ")</f>
        <v>eJ</v>
      </c>
      <c r="Y48" s="15" t="str">
        <f>HYPERLINK("mailto:"&amp;RADataTable[[#This Row],[email]]&amp;"&amp;subject=Your NSF Proposal:  "&amp;RADataTable[[#This Row],[Div]]&amp;" "&amp;RADataTable[[#This Row],[prop_id0]], RADataTable[[#This Row],[email]])</f>
        <v>aene@bu.edu</v>
      </c>
      <c r="Z48" s="15" t="str">
        <f>HYPERLINK("mailto:"&amp;RADataTable[[#This Row],[allPIemail]]&amp;"&amp;subject=NSF Proposal:  "&amp;RADataTable[[#This Row],[Div]]&amp;" "&amp;RADataTable[[#This Row],[prop_id0]], "PIs@")</f>
        <v>PIs@</v>
      </c>
      <c r="AA48" t="s">
        <v>245</v>
      </c>
      <c r="AB48" t="s">
        <v>676</v>
      </c>
      <c r="AC48" s="30" t="s">
        <v>806</v>
      </c>
      <c r="AD48" t="s">
        <v>807</v>
      </c>
      <c r="AE48" t="s">
        <v>808</v>
      </c>
      <c r="AF48" s="36">
        <v>507423</v>
      </c>
      <c r="AG48" s="36">
        <v>507423</v>
      </c>
      <c r="AH48" s="24"/>
      <c r="AJ48" s="34"/>
      <c r="AK48" t="s">
        <v>923</v>
      </c>
      <c r="AL48" t="s">
        <v>282</v>
      </c>
      <c r="AM48" s="34" t="s">
        <v>925</v>
      </c>
      <c r="AN48" s="34">
        <v>43032</v>
      </c>
      <c r="AO48" s="24">
        <v>1</v>
      </c>
      <c r="AP48" t="s">
        <v>960</v>
      </c>
      <c r="AR48" s="35"/>
      <c r="AS48"/>
      <c r="AT48" s="34"/>
      <c r="AV48" s="34"/>
      <c r="AX48" s="34"/>
      <c r="AY48"/>
      <c r="BA48" s="34"/>
      <c r="BB48"/>
      <c r="BC48" t="s">
        <v>811</v>
      </c>
      <c r="BD48" s="36">
        <v>507423</v>
      </c>
      <c r="BE48" s="36">
        <v>507423</v>
      </c>
      <c r="BF48">
        <v>0</v>
      </c>
      <c r="BG48" s="34">
        <v>43101</v>
      </c>
      <c r="BH48">
        <v>60</v>
      </c>
      <c r="BI48" t="s">
        <v>283</v>
      </c>
      <c r="BJ48" t="s">
        <v>928</v>
      </c>
      <c r="BK48" t="s">
        <v>934</v>
      </c>
      <c r="BL48" t="s">
        <v>194</v>
      </c>
      <c r="BM48" s="8" t="s">
        <v>192</v>
      </c>
      <c r="BN48" t="s">
        <v>189</v>
      </c>
      <c r="BO48" t="s">
        <v>190</v>
      </c>
      <c r="BP48" s="35" t="s">
        <v>718</v>
      </c>
      <c r="BQ48"/>
      <c r="BU48" s="35"/>
      <c r="BV48" s="35"/>
      <c r="BX48"/>
      <c r="CA48" s="35"/>
      <c r="CB48" s="35"/>
      <c r="CC48"/>
      <c r="CG48" s="35"/>
      <c r="CH48" s="35"/>
      <c r="CK48"/>
      <c r="CM48" s="35"/>
      <c r="CN48" s="35"/>
      <c r="CQ48"/>
      <c r="CS48" s="35"/>
      <c r="CT48" s="35"/>
      <c r="CX48"/>
      <c r="CZ48" s="35"/>
      <c r="DD48" s="34"/>
      <c r="DG48" t="s">
        <v>809</v>
      </c>
      <c r="DH48" t="s">
        <v>961</v>
      </c>
      <c r="DI48" t="s">
        <v>280</v>
      </c>
      <c r="DL48" t="s">
        <v>676</v>
      </c>
      <c r="DM48">
        <v>5</v>
      </c>
      <c r="DN48">
        <v>9</v>
      </c>
      <c r="DO48" t="s">
        <v>810</v>
      </c>
      <c r="DQ48" t="s">
        <v>927</v>
      </c>
      <c r="DR48">
        <v>14</v>
      </c>
      <c r="DS48">
        <v>1</v>
      </c>
      <c r="DU48">
        <v>14</v>
      </c>
      <c r="DV48">
        <v>1</v>
      </c>
      <c r="DX48">
        <v>14</v>
      </c>
      <c r="DY48">
        <v>1</v>
      </c>
      <c r="DZ48" t="s">
        <v>246</v>
      </c>
      <c r="EA48" t="s">
        <v>929</v>
      </c>
    </row>
    <row r="49" spans="1:131" x14ac:dyDescent="0.4">
      <c r="A49" s="34">
        <v>43067.305104166669</v>
      </c>
      <c r="B49" s="25">
        <v>42935.488888888889</v>
      </c>
      <c r="D49" s="34"/>
      <c r="E49" s="34" t="s">
        <v>193</v>
      </c>
      <c r="F49" s="34" t="s">
        <v>191</v>
      </c>
      <c r="G49" s="34" t="s">
        <v>100</v>
      </c>
      <c r="H49" t="s">
        <v>279</v>
      </c>
      <c r="I49" t="s">
        <v>243</v>
      </c>
      <c r="J49" t="s">
        <v>712</v>
      </c>
      <c r="K49" t="s">
        <v>729</v>
      </c>
      <c r="L49" t="s">
        <v>711</v>
      </c>
      <c r="M49" s="30">
        <v>1.01</v>
      </c>
      <c r="N49">
        <v>7.5</v>
      </c>
      <c r="P49" s="24" t="str">
        <f>IFERROR(MID(RADataTable[[#This Row],[RATemplate]],1,LEN(RADataTable[[#This Row],[RATemplate]])-8),"RA") &amp; " " &amp; RADataTable[[#This Row],[prop_id0]] &amp; " " &amp; RADataTable[[#This Row],[last0]]</f>
        <v>RA 1750333 Ene</v>
      </c>
      <c r="T49">
        <v>4</v>
      </c>
      <c r="U49">
        <v>4</v>
      </c>
      <c r="V49" s="34">
        <v>43032.52847222222</v>
      </c>
      <c r="W49">
        <v>1</v>
      </c>
      <c r="X49" s="15" t="str">
        <f>HYPERLINK("https://www.ejacket.nsf.gov/ej/showProposal.do?Continue=Y&amp;ID="&amp;RADataTable[[#This Row],[prop_id0]],"eJ")</f>
        <v>eJ</v>
      </c>
      <c r="Y49" s="15" t="str">
        <f>HYPERLINK("mailto:"&amp;RADataTable[[#This Row],[email]]&amp;"&amp;subject=Your NSF Proposal:  "&amp;RADataTable[[#This Row],[Div]]&amp;" "&amp;RADataTable[[#This Row],[prop_id0]], RADataTable[[#This Row],[email]])</f>
        <v>aene@bu.edu</v>
      </c>
      <c r="Z49" s="15" t="str">
        <f>HYPERLINK("mailto:"&amp;RADataTable[[#This Row],[allPIemail]]&amp;"&amp;subject=NSF Proposal:  "&amp;RADataTable[[#This Row],[Div]]&amp;" "&amp;RADataTable[[#This Row],[prop_id0]], "PIs@")</f>
        <v>PIs@</v>
      </c>
      <c r="AA49" t="s">
        <v>245</v>
      </c>
      <c r="AB49" t="s">
        <v>676</v>
      </c>
      <c r="AC49" s="30" t="s">
        <v>806</v>
      </c>
      <c r="AD49" t="s">
        <v>807</v>
      </c>
      <c r="AE49" t="s">
        <v>808</v>
      </c>
      <c r="AF49" s="36">
        <v>507423</v>
      </c>
      <c r="AG49" s="36">
        <v>507423</v>
      </c>
      <c r="AH49" s="24"/>
      <c r="AJ49" s="34"/>
      <c r="AK49" t="s">
        <v>923</v>
      </c>
      <c r="AL49" t="s">
        <v>282</v>
      </c>
      <c r="AM49" s="34" t="s">
        <v>925</v>
      </c>
      <c r="AN49" s="34">
        <v>43032</v>
      </c>
      <c r="AO49" s="24">
        <v>1</v>
      </c>
      <c r="AP49" t="s">
        <v>960</v>
      </c>
      <c r="AR49" s="35"/>
      <c r="AS49"/>
      <c r="AT49" s="34"/>
      <c r="AV49" s="34"/>
      <c r="AX49" s="34"/>
      <c r="AY49"/>
      <c r="BA49" s="34"/>
      <c r="BB49"/>
      <c r="BC49" t="s">
        <v>811</v>
      </c>
      <c r="BD49" s="36">
        <v>507423</v>
      </c>
      <c r="BE49" s="36">
        <v>507423</v>
      </c>
      <c r="BF49">
        <v>0</v>
      </c>
      <c r="BG49" s="34">
        <v>43101</v>
      </c>
      <c r="BH49">
        <v>60</v>
      </c>
      <c r="BI49" t="s">
        <v>283</v>
      </c>
      <c r="BJ49" t="s">
        <v>928</v>
      </c>
      <c r="BK49" t="s">
        <v>934</v>
      </c>
      <c r="BL49" t="s">
        <v>194</v>
      </c>
      <c r="BM49" s="8" t="s">
        <v>192</v>
      </c>
      <c r="BN49" t="s">
        <v>189</v>
      </c>
      <c r="BO49" t="s">
        <v>190</v>
      </c>
      <c r="BP49" s="35" t="s">
        <v>718</v>
      </c>
      <c r="BQ49"/>
      <c r="BU49" s="35"/>
      <c r="BV49" s="35"/>
      <c r="BX49"/>
      <c r="CA49" s="35"/>
      <c r="CB49" s="35"/>
      <c r="CC49"/>
      <c r="CG49" s="35"/>
      <c r="CH49" s="35"/>
      <c r="CK49"/>
      <c r="CM49" s="35"/>
      <c r="CN49" s="35"/>
      <c r="CQ49"/>
      <c r="CS49" s="35"/>
      <c r="CT49" s="35"/>
      <c r="CX49"/>
      <c r="CZ49" s="35"/>
      <c r="DD49" s="34"/>
      <c r="DG49" t="s">
        <v>809</v>
      </c>
      <c r="DH49" t="s">
        <v>961</v>
      </c>
      <c r="DI49" t="s">
        <v>280</v>
      </c>
      <c r="DL49" t="s">
        <v>676</v>
      </c>
      <c r="DM49">
        <v>5</v>
      </c>
      <c r="DN49">
        <v>9</v>
      </c>
      <c r="DO49" t="s">
        <v>810</v>
      </c>
      <c r="DQ49" t="s">
        <v>927</v>
      </c>
      <c r="DR49">
        <v>14</v>
      </c>
      <c r="DS49">
        <v>1</v>
      </c>
      <c r="DU49">
        <v>14</v>
      </c>
      <c r="DV49">
        <v>1</v>
      </c>
      <c r="DX49">
        <v>14</v>
      </c>
      <c r="DY49">
        <v>1</v>
      </c>
      <c r="DZ49" t="s">
        <v>246</v>
      </c>
      <c r="EA49" t="s">
        <v>929</v>
      </c>
    </row>
    <row r="50" spans="1:131" x14ac:dyDescent="0.4">
      <c r="A50" s="34">
        <v>43067.305104166669</v>
      </c>
      <c r="B50" s="25">
        <v>42935.488888888889</v>
      </c>
      <c r="D50" s="34"/>
      <c r="E50" s="34" t="s">
        <v>193</v>
      </c>
      <c r="F50" s="34" t="s">
        <v>191</v>
      </c>
      <c r="G50" s="34" t="s">
        <v>100</v>
      </c>
      <c r="H50" t="s">
        <v>279</v>
      </c>
      <c r="I50" t="s">
        <v>243</v>
      </c>
      <c r="J50" t="s">
        <v>712</v>
      </c>
      <c r="K50" t="s">
        <v>729</v>
      </c>
      <c r="L50" t="s">
        <v>711</v>
      </c>
      <c r="M50" s="30">
        <v>1.01</v>
      </c>
      <c r="N50">
        <v>7.5</v>
      </c>
      <c r="P50" s="24" t="str">
        <f>IFERROR(MID(RADataTable[[#This Row],[RATemplate]],1,LEN(RADataTable[[#This Row],[RATemplate]])-8),"RA") &amp; " " &amp; RADataTable[[#This Row],[prop_id0]] &amp; " " &amp; RADataTable[[#This Row],[last0]]</f>
        <v>RA 1750333 Ene</v>
      </c>
      <c r="T50">
        <v>4</v>
      </c>
      <c r="U50">
        <v>4</v>
      </c>
      <c r="V50" s="34">
        <v>43032.52847222222</v>
      </c>
      <c r="W50">
        <v>1</v>
      </c>
      <c r="X50" s="15" t="str">
        <f>HYPERLINK("https://www.ejacket.nsf.gov/ej/showProposal.do?Continue=Y&amp;ID="&amp;RADataTable[[#This Row],[prop_id0]],"eJ")</f>
        <v>eJ</v>
      </c>
      <c r="Y50" s="15" t="str">
        <f>HYPERLINK("mailto:"&amp;RADataTable[[#This Row],[email]]&amp;"&amp;subject=Your NSF Proposal:  "&amp;RADataTable[[#This Row],[Div]]&amp;" "&amp;RADataTable[[#This Row],[prop_id0]], RADataTable[[#This Row],[email]])</f>
        <v>aene@bu.edu</v>
      </c>
      <c r="Z50" s="15" t="str">
        <f>HYPERLINK("mailto:"&amp;RADataTable[[#This Row],[allPIemail]]&amp;"&amp;subject=NSF Proposal:  "&amp;RADataTable[[#This Row],[Div]]&amp;" "&amp;RADataTable[[#This Row],[prop_id0]], "PIs@")</f>
        <v>PIs@</v>
      </c>
      <c r="AA50" t="s">
        <v>245</v>
      </c>
      <c r="AB50" t="s">
        <v>676</v>
      </c>
      <c r="AC50" s="30" t="s">
        <v>806</v>
      </c>
      <c r="AD50" t="s">
        <v>807</v>
      </c>
      <c r="AE50" t="s">
        <v>808</v>
      </c>
      <c r="AF50" s="36">
        <v>507423</v>
      </c>
      <c r="AG50" s="36">
        <v>507423</v>
      </c>
      <c r="AH50" s="24"/>
      <c r="AJ50" s="34"/>
      <c r="AK50" t="s">
        <v>923</v>
      </c>
      <c r="AL50" t="s">
        <v>282</v>
      </c>
      <c r="AM50" s="34" t="s">
        <v>925</v>
      </c>
      <c r="AN50" s="34">
        <v>43032</v>
      </c>
      <c r="AO50" s="24">
        <v>1</v>
      </c>
      <c r="AP50" t="s">
        <v>960</v>
      </c>
      <c r="AR50" s="35"/>
      <c r="AS50"/>
      <c r="AT50" s="34"/>
      <c r="AV50" s="34"/>
      <c r="AX50" s="34"/>
      <c r="AY50"/>
      <c r="BA50" s="34"/>
      <c r="BB50"/>
      <c r="BC50" t="s">
        <v>811</v>
      </c>
      <c r="BD50" s="36">
        <v>507423</v>
      </c>
      <c r="BE50" s="36">
        <v>507423</v>
      </c>
      <c r="BF50">
        <v>0</v>
      </c>
      <c r="BG50" s="34">
        <v>43101</v>
      </c>
      <c r="BH50">
        <v>60</v>
      </c>
      <c r="BI50" t="s">
        <v>283</v>
      </c>
      <c r="BJ50" t="s">
        <v>928</v>
      </c>
      <c r="BK50" t="s">
        <v>934</v>
      </c>
      <c r="BL50" t="s">
        <v>194</v>
      </c>
      <c r="BM50" s="8" t="s">
        <v>192</v>
      </c>
      <c r="BN50" t="s">
        <v>189</v>
      </c>
      <c r="BO50" t="s">
        <v>190</v>
      </c>
      <c r="BP50" s="35" t="s">
        <v>718</v>
      </c>
      <c r="BQ50"/>
      <c r="BU50" s="35"/>
      <c r="BV50" s="35"/>
      <c r="BX50"/>
      <c r="CA50" s="35"/>
      <c r="CB50" s="35"/>
      <c r="CC50"/>
      <c r="CG50" s="35"/>
      <c r="CH50" s="35"/>
      <c r="CK50"/>
      <c r="CM50" s="35"/>
      <c r="CN50" s="35"/>
      <c r="CQ50"/>
      <c r="CS50" s="35"/>
      <c r="CT50" s="35"/>
      <c r="CX50"/>
      <c r="CZ50" s="35"/>
      <c r="DD50" s="34"/>
      <c r="DG50" t="s">
        <v>809</v>
      </c>
      <c r="DH50" t="s">
        <v>961</v>
      </c>
      <c r="DI50" t="s">
        <v>280</v>
      </c>
      <c r="DL50" t="s">
        <v>676</v>
      </c>
      <c r="DM50">
        <v>5</v>
      </c>
      <c r="DN50">
        <v>9</v>
      </c>
      <c r="DO50" t="s">
        <v>810</v>
      </c>
      <c r="DQ50" t="s">
        <v>927</v>
      </c>
      <c r="DR50">
        <v>14</v>
      </c>
      <c r="DS50">
        <v>1</v>
      </c>
      <c r="DU50">
        <v>14</v>
      </c>
      <c r="DV50">
        <v>1</v>
      </c>
      <c r="DX50">
        <v>14</v>
      </c>
      <c r="DY50">
        <v>1</v>
      </c>
      <c r="DZ50" t="s">
        <v>246</v>
      </c>
      <c r="EA50" t="s">
        <v>929</v>
      </c>
    </row>
    <row r="51" spans="1:131" x14ac:dyDescent="0.4">
      <c r="A51" s="34">
        <v>43067.305104166669</v>
      </c>
      <c r="B51" s="25">
        <v>42935.488888888889</v>
      </c>
      <c r="D51" s="34"/>
      <c r="E51" s="34" t="s">
        <v>193</v>
      </c>
      <c r="F51" s="34" t="s">
        <v>191</v>
      </c>
      <c r="G51" s="34" t="s">
        <v>100</v>
      </c>
      <c r="H51" t="s">
        <v>279</v>
      </c>
      <c r="I51" t="s">
        <v>243</v>
      </c>
      <c r="J51" t="s">
        <v>712</v>
      </c>
      <c r="K51" t="s">
        <v>729</v>
      </c>
      <c r="L51" t="s">
        <v>711</v>
      </c>
      <c r="M51" s="30">
        <v>1.01</v>
      </c>
      <c r="N51">
        <v>7.5</v>
      </c>
      <c r="P51" s="24" t="str">
        <f>IFERROR(MID(RADataTable[[#This Row],[RATemplate]],1,LEN(RADataTable[[#This Row],[RATemplate]])-8),"RA") &amp; " " &amp; RADataTable[[#This Row],[prop_id0]] &amp; " " &amp; RADataTable[[#This Row],[last0]]</f>
        <v>RA 1750333 Ene</v>
      </c>
      <c r="T51">
        <v>4</v>
      </c>
      <c r="U51">
        <v>4</v>
      </c>
      <c r="V51" s="34">
        <v>43032.52847222222</v>
      </c>
      <c r="W51">
        <v>1</v>
      </c>
      <c r="X51" s="15" t="str">
        <f>HYPERLINK("https://www.ejacket.nsf.gov/ej/showProposal.do?Continue=Y&amp;ID="&amp;RADataTable[[#This Row],[prop_id0]],"eJ")</f>
        <v>eJ</v>
      </c>
      <c r="Y51" s="15" t="str">
        <f>HYPERLINK("mailto:"&amp;RADataTable[[#This Row],[email]]&amp;"&amp;subject=Your NSF Proposal:  "&amp;RADataTable[[#This Row],[Div]]&amp;" "&amp;RADataTable[[#This Row],[prop_id0]], RADataTable[[#This Row],[email]])</f>
        <v>aene@bu.edu</v>
      </c>
      <c r="Z51" s="15" t="str">
        <f>HYPERLINK("mailto:"&amp;RADataTable[[#This Row],[allPIemail]]&amp;"&amp;subject=NSF Proposal:  "&amp;RADataTable[[#This Row],[Div]]&amp;" "&amp;RADataTable[[#This Row],[prop_id0]], "PIs@")</f>
        <v>PIs@</v>
      </c>
      <c r="AA51" t="s">
        <v>245</v>
      </c>
      <c r="AB51" t="s">
        <v>676</v>
      </c>
      <c r="AC51" s="30" t="s">
        <v>806</v>
      </c>
      <c r="AD51" t="s">
        <v>807</v>
      </c>
      <c r="AE51" t="s">
        <v>808</v>
      </c>
      <c r="AF51" s="36">
        <v>507423</v>
      </c>
      <c r="AG51" s="36">
        <v>507423</v>
      </c>
      <c r="AH51" s="24"/>
      <c r="AJ51" s="34"/>
      <c r="AK51" t="s">
        <v>923</v>
      </c>
      <c r="AL51" t="s">
        <v>282</v>
      </c>
      <c r="AM51" s="34" t="s">
        <v>925</v>
      </c>
      <c r="AN51" s="34">
        <v>43032</v>
      </c>
      <c r="AO51" s="24">
        <v>1</v>
      </c>
      <c r="AP51" t="s">
        <v>960</v>
      </c>
      <c r="AR51" s="35"/>
      <c r="AS51"/>
      <c r="AT51" s="34"/>
      <c r="AV51" s="34"/>
      <c r="AX51" s="34"/>
      <c r="AY51"/>
      <c r="BA51" s="34"/>
      <c r="BB51"/>
      <c r="BC51" t="s">
        <v>811</v>
      </c>
      <c r="BD51" s="36">
        <v>507423</v>
      </c>
      <c r="BE51" s="36">
        <v>507423</v>
      </c>
      <c r="BF51">
        <v>0</v>
      </c>
      <c r="BG51" s="34">
        <v>43101</v>
      </c>
      <c r="BH51">
        <v>60</v>
      </c>
      <c r="BI51" t="s">
        <v>283</v>
      </c>
      <c r="BJ51" t="s">
        <v>928</v>
      </c>
      <c r="BK51" t="s">
        <v>934</v>
      </c>
      <c r="BL51" t="s">
        <v>194</v>
      </c>
      <c r="BM51" s="8" t="s">
        <v>192</v>
      </c>
      <c r="BN51" t="s">
        <v>189</v>
      </c>
      <c r="BO51" t="s">
        <v>190</v>
      </c>
      <c r="BP51" s="35" t="s">
        <v>718</v>
      </c>
      <c r="BQ51"/>
      <c r="BU51" s="35"/>
      <c r="BV51" s="35"/>
      <c r="BX51"/>
      <c r="CA51" s="35"/>
      <c r="CB51" s="35"/>
      <c r="CC51"/>
      <c r="CG51" s="35"/>
      <c r="CH51" s="35"/>
      <c r="CK51"/>
      <c r="CM51" s="35"/>
      <c r="CN51" s="35"/>
      <c r="CQ51"/>
      <c r="CS51" s="35"/>
      <c r="CT51" s="35"/>
      <c r="CX51"/>
      <c r="CZ51" s="35"/>
      <c r="DD51" s="34"/>
      <c r="DG51" t="s">
        <v>809</v>
      </c>
      <c r="DH51" t="s">
        <v>961</v>
      </c>
      <c r="DI51" t="s">
        <v>280</v>
      </c>
      <c r="DL51" t="s">
        <v>676</v>
      </c>
      <c r="DM51">
        <v>5</v>
      </c>
      <c r="DN51">
        <v>9</v>
      </c>
      <c r="DO51" t="s">
        <v>810</v>
      </c>
      <c r="DQ51" t="s">
        <v>927</v>
      </c>
      <c r="DR51">
        <v>14</v>
      </c>
      <c r="DS51">
        <v>1</v>
      </c>
      <c r="DU51">
        <v>14</v>
      </c>
      <c r="DV51">
        <v>1</v>
      </c>
      <c r="DX51">
        <v>14</v>
      </c>
      <c r="DY51">
        <v>1</v>
      </c>
      <c r="DZ51" t="s">
        <v>246</v>
      </c>
      <c r="EA51" t="s">
        <v>929</v>
      </c>
    </row>
    <row r="52" spans="1:131" x14ac:dyDescent="0.4">
      <c r="A52" s="34">
        <v>43067.305104166669</v>
      </c>
      <c r="B52" s="25">
        <v>42935.488888888889</v>
      </c>
      <c r="D52" s="34"/>
      <c r="E52" s="34" t="s">
        <v>193</v>
      </c>
      <c r="F52" s="34" t="s">
        <v>191</v>
      </c>
      <c r="G52" s="34" t="s">
        <v>100</v>
      </c>
      <c r="H52" t="s">
        <v>279</v>
      </c>
      <c r="I52" t="s">
        <v>243</v>
      </c>
      <c r="J52" t="s">
        <v>712</v>
      </c>
      <c r="K52" t="s">
        <v>729</v>
      </c>
      <c r="L52" t="s">
        <v>711</v>
      </c>
      <c r="M52" s="30">
        <v>1.01</v>
      </c>
      <c r="N52">
        <v>7.5</v>
      </c>
      <c r="P52" s="24" t="str">
        <f>IFERROR(MID(RADataTable[[#This Row],[RATemplate]],1,LEN(RADataTable[[#This Row],[RATemplate]])-8),"RA") &amp; " " &amp; RADataTable[[#This Row],[prop_id0]] &amp; " " &amp; RADataTable[[#This Row],[last0]]</f>
        <v>RA 1750333 Ene</v>
      </c>
      <c r="T52">
        <v>4</v>
      </c>
      <c r="U52">
        <v>4</v>
      </c>
      <c r="V52" s="34">
        <v>43032.52847222222</v>
      </c>
      <c r="W52">
        <v>1</v>
      </c>
      <c r="X52" s="15" t="str">
        <f>HYPERLINK("https://www.ejacket.nsf.gov/ej/showProposal.do?Continue=Y&amp;ID="&amp;RADataTable[[#This Row],[prop_id0]],"eJ")</f>
        <v>eJ</v>
      </c>
      <c r="Y52" s="15" t="str">
        <f>HYPERLINK("mailto:"&amp;RADataTable[[#This Row],[email]]&amp;"&amp;subject=Your NSF Proposal:  "&amp;RADataTable[[#This Row],[Div]]&amp;" "&amp;RADataTable[[#This Row],[prop_id0]], RADataTable[[#This Row],[email]])</f>
        <v>aene@bu.edu</v>
      </c>
      <c r="Z52" s="15" t="str">
        <f>HYPERLINK("mailto:"&amp;RADataTable[[#This Row],[allPIemail]]&amp;"&amp;subject=NSF Proposal:  "&amp;RADataTable[[#This Row],[Div]]&amp;" "&amp;RADataTable[[#This Row],[prop_id0]], "PIs@")</f>
        <v>PIs@</v>
      </c>
      <c r="AA52" t="s">
        <v>245</v>
      </c>
      <c r="AB52" t="s">
        <v>676</v>
      </c>
      <c r="AC52" s="30" t="s">
        <v>806</v>
      </c>
      <c r="AD52" t="s">
        <v>807</v>
      </c>
      <c r="AE52" t="s">
        <v>808</v>
      </c>
      <c r="AF52" s="36">
        <v>507423</v>
      </c>
      <c r="AG52" s="36">
        <v>507423</v>
      </c>
      <c r="AH52" s="24"/>
      <c r="AJ52" s="34"/>
      <c r="AK52" t="s">
        <v>923</v>
      </c>
      <c r="AL52" t="s">
        <v>282</v>
      </c>
      <c r="AM52" s="34" t="s">
        <v>925</v>
      </c>
      <c r="AN52" s="34">
        <v>43032</v>
      </c>
      <c r="AO52" s="24">
        <v>1</v>
      </c>
      <c r="AP52" t="s">
        <v>960</v>
      </c>
      <c r="AR52" s="35"/>
      <c r="AS52"/>
      <c r="AT52" s="34"/>
      <c r="AV52" s="34"/>
      <c r="AX52" s="34"/>
      <c r="AY52"/>
      <c r="BA52" s="34"/>
      <c r="BB52"/>
      <c r="BC52" t="s">
        <v>811</v>
      </c>
      <c r="BD52" s="36">
        <v>507423</v>
      </c>
      <c r="BE52" s="36">
        <v>507423</v>
      </c>
      <c r="BF52">
        <v>0</v>
      </c>
      <c r="BG52" s="34">
        <v>43101</v>
      </c>
      <c r="BH52">
        <v>60</v>
      </c>
      <c r="BI52" t="s">
        <v>283</v>
      </c>
      <c r="BJ52" t="s">
        <v>928</v>
      </c>
      <c r="BK52" t="s">
        <v>934</v>
      </c>
      <c r="BL52" t="s">
        <v>194</v>
      </c>
      <c r="BM52" s="8" t="s">
        <v>192</v>
      </c>
      <c r="BN52" t="s">
        <v>189</v>
      </c>
      <c r="BO52" t="s">
        <v>190</v>
      </c>
      <c r="BP52" s="35" t="s">
        <v>718</v>
      </c>
      <c r="BQ52"/>
      <c r="BU52" s="35"/>
      <c r="BV52" s="35"/>
      <c r="BX52"/>
      <c r="CA52" s="35"/>
      <c r="CB52" s="35"/>
      <c r="CC52"/>
      <c r="CG52" s="35"/>
      <c r="CH52" s="35"/>
      <c r="CK52"/>
      <c r="CM52" s="35"/>
      <c r="CN52" s="35"/>
      <c r="CQ52"/>
      <c r="CS52" s="35"/>
      <c r="CT52" s="35"/>
      <c r="CX52"/>
      <c r="CZ52" s="35"/>
      <c r="DD52" s="34"/>
      <c r="DG52" t="s">
        <v>809</v>
      </c>
      <c r="DH52" t="s">
        <v>961</v>
      </c>
      <c r="DI52" t="s">
        <v>280</v>
      </c>
      <c r="DL52" t="s">
        <v>676</v>
      </c>
      <c r="DM52">
        <v>5</v>
      </c>
      <c r="DN52">
        <v>9</v>
      </c>
      <c r="DO52" t="s">
        <v>810</v>
      </c>
      <c r="DQ52" t="s">
        <v>927</v>
      </c>
      <c r="DR52">
        <v>14</v>
      </c>
      <c r="DS52">
        <v>1</v>
      </c>
      <c r="DU52">
        <v>14</v>
      </c>
      <c r="DV52">
        <v>1</v>
      </c>
      <c r="DX52">
        <v>14</v>
      </c>
      <c r="DY52">
        <v>1</v>
      </c>
      <c r="DZ52" t="s">
        <v>246</v>
      </c>
      <c r="EA52" t="s">
        <v>929</v>
      </c>
    </row>
    <row r="53" spans="1:131" x14ac:dyDescent="0.4">
      <c r="A53" s="34">
        <v>43067.305104166669</v>
      </c>
      <c r="B53" s="25">
        <v>42935.488888888889</v>
      </c>
      <c r="D53" s="34"/>
      <c r="E53" s="34" t="s">
        <v>193</v>
      </c>
      <c r="F53" s="34" t="s">
        <v>191</v>
      </c>
      <c r="G53" s="34" t="s">
        <v>100</v>
      </c>
      <c r="H53" t="s">
        <v>279</v>
      </c>
      <c r="I53" t="s">
        <v>243</v>
      </c>
      <c r="J53" t="s">
        <v>712</v>
      </c>
      <c r="K53" t="s">
        <v>729</v>
      </c>
      <c r="L53" t="s">
        <v>711</v>
      </c>
      <c r="M53" s="30">
        <v>1.01</v>
      </c>
      <c r="N53">
        <v>7.5</v>
      </c>
      <c r="P53" s="24" t="str">
        <f>IFERROR(MID(RADataTable[[#This Row],[RATemplate]],1,LEN(RADataTable[[#This Row],[RATemplate]])-8),"RA") &amp; " " &amp; RADataTable[[#This Row],[prop_id0]] &amp; " " &amp; RADataTable[[#This Row],[last0]]</f>
        <v>RA 1750333 Ene</v>
      </c>
      <c r="T53">
        <v>4</v>
      </c>
      <c r="U53">
        <v>4</v>
      </c>
      <c r="V53" s="34">
        <v>43032.52847222222</v>
      </c>
      <c r="W53">
        <v>1</v>
      </c>
      <c r="X53" s="15" t="str">
        <f>HYPERLINK("https://www.ejacket.nsf.gov/ej/showProposal.do?Continue=Y&amp;ID="&amp;RADataTable[[#This Row],[prop_id0]],"eJ")</f>
        <v>eJ</v>
      </c>
      <c r="Y53" s="15" t="str">
        <f>HYPERLINK("mailto:"&amp;RADataTable[[#This Row],[email]]&amp;"&amp;subject=Your NSF Proposal:  "&amp;RADataTable[[#This Row],[Div]]&amp;" "&amp;RADataTable[[#This Row],[prop_id0]], RADataTable[[#This Row],[email]])</f>
        <v>aene@bu.edu</v>
      </c>
      <c r="Z53" s="15" t="str">
        <f>HYPERLINK("mailto:"&amp;RADataTable[[#This Row],[allPIemail]]&amp;"&amp;subject=NSF Proposal:  "&amp;RADataTable[[#This Row],[Div]]&amp;" "&amp;RADataTable[[#This Row],[prop_id0]], "PIs@")</f>
        <v>PIs@</v>
      </c>
      <c r="AA53" t="s">
        <v>245</v>
      </c>
      <c r="AB53" t="s">
        <v>676</v>
      </c>
      <c r="AC53" s="30" t="s">
        <v>806</v>
      </c>
      <c r="AD53" t="s">
        <v>807</v>
      </c>
      <c r="AE53" t="s">
        <v>808</v>
      </c>
      <c r="AF53" s="36">
        <v>507423</v>
      </c>
      <c r="AG53" s="36">
        <v>507423</v>
      </c>
      <c r="AH53" s="24"/>
      <c r="AJ53" s="34"/>
      <c r="AK53" t="s">
        <v>923</v>
      </c>
      <c r="AL53" t="s">
        <v>282</v>
      </c>
      <c r="AM53" s="34" t="s">
        <v>925</v>
      </c>
      <c r="AN53" s="34">
        <v>43032</v>
      </c>
      <c r="AO53" s="24">
        <v>1</v>
      </c>
      <c r="AP53" t="s">
        <v>960</v>
      </c>
      <c r="AR53" s="35"/>
      <c r="AS53"/>
      <c r="AT53" s="34"/>
      <c r="AV53" s="34"/>
      <c r="AX53" s="34"/>
      <c r="AY53"/>
      <c r="BA53" s="34"/>
      <c r="BB53"/>
      <c r="BC53" t="s">
        <v>811</v>
      </c>
      <c r="BD53" s="36">
        <v>507423</v>
      </c>
      <c r="BE53" s="36">
        <v>507423</v>
      </c>
      <c r="BF53">
        <v>0</v>
      </c>
      <c r="BG53" s="34">
        <v>43101</v>
      </c>
      <c r="BH53">
        <v>60</v>
      </c>
      <c r="BI53" t="s">
        <v>283</v>
      </c>
      <c r="BJ53" t="s">
        <v>928</v>
      </c>
      <c r="BK53" t="s">
        <v>934</v>
      </c>
      <c r="BL53" t="s">
        <v>194</v>
      </c>
      <c r="BM53" s="8" t="s">
        <v>192</v>
      </c>
      <c r="BN53" t="s">
        <v>189</v>
      </c>
      <c r="BO53" t="s">
        <v>190</v>
      </c>
      <c r="BP53" s="35" t="s">
        <v>718</v>
      </c>
      <c r="BQ53"/>
      <c r="BU53" s="35"/>
      <c r="BV53" s="35"/>
      <c r="BX53"/>
      <c r="CA53" s="35"/>
      <c r="CB53" s="35"/>
      <c r="CC53"/>
      <c r="CG53" s="35"/>
      <c r="CH53" s="35"/>
      <c r="CK53"/>
      <c r="CM53" s="35"/>
      <c r="CN53" s="35"/>
      <c r="CQ53"/>
      <c r="CS53" s="35"/>
      <c r="CT53" s="35"/>
      <c r="CX53"/>
      <c r="CZ53" s="35"/>
      <c r="DD53" s="34"/>
      <c r="DG53" t="s">
        <v>809</v>
      </c>
      <c r="DH53" t="s">
        <v>961</v>
      </c>
      <c r="DI53" t="s">
        <v>280</v>
      </c>
      <c r="DL53" t="s">
        <v>676</v>
      </c>
      <c r="DM53">
        <v>5</v>
      </c>
      <c r="DN53">
        <v>9</v>
      </c>
      <c r="DO53" t="s">
        <v>810</v>
      </c>
      <c r="DQ53" t="s">
        <v>927</v>
      </c>
      <c r="DR53">
        <v>14</v>
      </c>
      <c r="DS53">
        <v>1</v>
      </c>
      <c r="DU53">
        <v>14</v>
      </c>
      <c r="DV53">
        <v>1</v>
      </c>
      <c r="DX53">
        <v>14</v>
      </c>
      <c r="DY53">
        <v>1</v>
      </c>
      <c r="DZ53" t="s">
        <v>246</v>
      </c>
      <c r="EA53" t="s">
        <v>929</v>
      </c>
    </row>
    <row r="54" spans="1:131" x14ac:dyDescent="0.4">
      <c r="A54" s="34">
        <v>43067.305104166669</v>
      </c>
      <c r="B54" s="25">
        <v>42935.488888888889</v>
      </c>
      <c r="D54" s="34"/>
      <c r="E54" s="34" t="s">
        <v>193</v>
      </c>
      <c r="F54" s="34" t="s">
        <v>191</v>
      </c>
      <c r="G54" s="34" t="s">
        <v>100</v>
      </c>
      <c r="H54" t="s">
        <v>279</v>
      </c>
      <c r="I54" t="s">
        <v>243</v>
      </c>
      <c r="J54" t="s">
        <v>712</v>
      </c>
      <c r="K54" t="s">
        <v>729</v>
      </c>
      <c r="L54" t="s">
        <v>711</v>
      </c>
      <c r="M54" s="30">
        <v>1.01</v>
      </c>
      <c r="N54">
        <v>7.5</v>
      </c>
      <c r="P54" s="24" t="str">
        <f>IFERROR(MID(RADataTable[[#This Row],[RATemplate]],1,LEN(RADataTable[[#This Row],[RATemplate]])-8),"RA") &amp; " " &amp; RADataTable[[#This Row],[prop_id0]] &amp; " " &amp; RADataTable[[#This Row],[last0]]</f>
        <v>RA 1750333 Ene</v>
      </c>
      <c r="T54">
        <v>4</v>
      </c>
      <c r="U54">
        <v>4</v>
      </c>
      <c r="V54" s="34">
        <v>43032.52847222222</v>
      </c>
      <c r="W54">
        <v>1</v>
      </c>
      <c r="X54" s="15" t="str">
        <f>HYPERLINK("https://www.ejacket.nsf.gov/ej/showProposal.do?Continue=Y&amp;ID="&amp;RADataTable[[#This Row],[prop_id0]],"eJ")</f>
        <v>eJ</v>
      </c>
      <c r="Y54" s="15" t="str">
        <f>HYPERLINK("mailto:"&amp;RADataTable[[#This Row],[email]]&amp;"&amp;subject=Your NSF Proposal:  "&amp;RADataTable[[#This Row],[Div]]&amp;" "&amp;RADataTable[[#This Row],[prop_id0]], RADataTable[[#This Row],[email]])</f>
        <v>aene@bu.edu</v>
      </c>
      <c r="Z54" s="15" t="str">
        <f>HYPERLINK("mailto:"&amp;RADataTable[[#This Row],[allPIemail]]&amp;"&amp;subject=NSF Proposal:  "&amp;RADataTable[[#This Row],[Div]]&amp;" "&amp;RADataTable[[#This Row],[prop_id0]], "PIs@")</f>
        <v>PIs@</v>
      </c>
      <c r="AA54" t="s">
        <v>245</v>
      </c>
      <c r="AB54" t="s">
        <v>676</v>
      </c>
      <c r="AC54" s="30" t="s">
        <v>806</v>
      </c>
      <c r="AD54" t="s">
        <v>807</v>
      </c>
      <c r="AE54" t="s">
        <v>808</v>
      </c>
      <c r="AF54" s="36">
        <v>507423</v>
      </c>
      <c r="AG54" s="36">
        <v>507423</v>
      </c>
      <c r="AH54" s="24"/>
      <c r="AJ54" s="34"/>
      <c r="AK54" t="s">
        <v>923</v>
      </c>
      <c r="AL54" t="s">
        <v>282</v>
      </c>
      <c r="AM54" s="34" t="s">
        <v>925</v>
      </c>
      <c r="AN54" s="34">
        <v>43032</v>
      </c>
      <c r="AO54" s="24">
        <v>1</v>
      </c>
      <c r="AP54" t="s">
        <v>960</v>
      </c>
      <c r="AR54" s="35"/>
      <c r="AS54"/>
      <c r="AT54" s="34"/>
      <c r="AV54" s="34"/>
      <c r="AX54" s="34"/>
      <c r="AY54"/>
      <c r="BA54" s="34"/>
      <c r="BB54"/>
      <c r="BC54" t="s">
        <v>811</v>
      </c>
      <c r="BD54" s="36">
        <v>507423</v>
      </c>
      <c r="BE54" s="36">
        <v>507423</v>
      </c>
      <c r="BF54">
        <v>0</v>
      </c>
      <c r="BG54" s="34">
        <v>43101</v>
      </c>
      <c r="BH54">
        <v>60</v>
      </c>
      <c r="BI54" t="s">
        <v>283</v>
      </c>
      <c r="BJ54" t="s">
        <v>928</v>
      </c>
      <c r="BK54" t="s">
        <v>934</v>
      </c>
      <c r="BL54" t="s">
        <v>194</v>
      </c>
      <c r="BM54" s="8" t="s">
        <v>192</v>
      </c>
      <c r="BN54" t="s">
        <v>189</v>
      </c>
      <c r="BO54" t="s">
        <v>190</v>
      </c>
      <c r="BP54" s="35" t="s">
        <v>718</v>
      </c>
      <c r="BQ54"/>
      <c r="BU54" s="35"/>
      <c r="BV54" s="35"/>
      <c r="BX54"/>
      <c r="CA54" s="35"/>
      <c r="CB54" s="35"/>
      <c r="CC54"/>
      <c r="CG54" s="35"/>
      <c r="CH54" s="35"/>
      <c r="CK54"/>
      <c r="CM54" s="35"/>
      <c r="CN54" s="35"/>
      <c r="CQ54"/>
      <c r="CS54" s="35"/>
      <c r="CT54" s="35"/>
      <c r="CX54"/>
      <c r="CZ54" s="35"/>
      <c r="DD54" s="34"/>
      <c r="DG54" t="s">
        <v>809</v>
      </c>
      <c r="DH54" t="s">
        <v>961</v>
      </c>
      <c r="DI54" t="s">
        <v>280</v>
      </c>
      <c r="DL54" t="s">
        <v>676</v>
      </c>
      <c r="DM54">
        <v>5</v>
      </c>
      <c r="DN54">
        <v>9</v>
      </c>
      <c r="DO54" t="s">
        <v>810</v>
      </c>
      <c r="DQ54" t="s">
        <v>927</v>
      </c>
      <c r="DR54">
        <v>14</v>
      </c>
      <c r="DS54">
        <v>1</v>
      </c>
      <c r="DU54">
        <v>14</v>
      </c>
      <c r="DV54">
        <v>1</v>
      </c>
      <c r="DX54">
        <v>14</v>
      </c>
      <c r="DY54">
        <v>1</v>
      </c>
      <c r="DZ54" t="s">
        <v>246</v>
      </c>
      <c r="EA54" t="s">
        <v>929</v>
      </c>
    </row>
    <row r="55" spans="1:131" x14ac:dyDescent="0.4">
      <c r="A55" s="34">
        <v>43067.305104166669</v>
      </c>
      <c r="B55" s="25">
        <v>42935.488888888889</v>
      </c>
      <c r="D55" s="34"/>
      <c r="E55" s="34" t="s">
        <v>193</v>
      </c>
      <c r="F55" s="34" t="s">
        <v>191</v>
      </c>
      <c r="G55" s="34" t="s">
        <v>100</v>
      </c>
      <c r="H55" t="s">
        <v>279</v>
      </c>
      <c r="I55" t="s">
        <v>243</v>
      </c>
      <c r="J55" t="s">
        <v>712</v>
      </c>
      <c r="K55" t="s">
        <v>729</v>
      </c>
      <c r="L55" t="s">
        <v>711</v>
      </c>
      <c r="M55" s="30">
        <v>1.01</v>
      </c>
      <c r="N55">
        <v>7.5</v>
      </c>
      <c r="P55" s="24" t="str">
        <f>IFERROR(MID(RADataTable[[#This Row],[RATemplate]],1,LEN(RADataTable[[#This Row],[RATemplate]])-8),"RA") &amp; " " &amp; RADataTable[[#This Row],[prop_id0]] &amp; " " &amp; RADataTable[[#This Row],[last0]]</f>
        <v>RA 1750333 Ene</v>
      </c>
      <c r="T55">
        <v>4</v>
      </c>
      <c r="U55">
        <v>4</v>
      </c>
      <c r="V55" s="34">
        <v>43032.52847222222</v>
      </c>
      <c r="W55">
        <v>1</v>
      </c>
      <c r="X55" s="15" t="str">
        <f>HYPERLINK("https://www.ejacket.nsf.gov/ej/showProposal.do?Continue=Y&amp;ID="&amp;RADataTable[[#This Row],[prop_id0]],"eJ")</f>
        <v>eJ</v>
      </c>
      <c r="Y55" s="15" t="str">
        <f>HYPERLINK("mailto:"&amp;RADataTable[[#This Row],[email]]&amp;"&amp;subject=Your NSF Proposal:  "&amp;RADataTable[[#This Row],[Div]]&amp;" "&amp;RADataTable[[#This Row],[prop_id0]], RADataTable[[#This Row],[email]])</f>
        <v>aene@bu.edu</v>
      </c>
      <c r="Z55" s="15" t="str">
        <f>HYPERLINK("mailto:"&amp;RADataTable[[#This Row],[allPIemail]]&amp;"&amp;subject=NSF Proposal:  "&amp;RADataTable[[#This Row],[Div]]&amp;" "&amp;RADataTable[[#This Row],[prop_id0]], "PIs@")</f>
        <v>PIs@</v>
      </c>
      <c r="AA55" t="s">
        <v>245</v>
      </c>
      <c r="AB55" t="s">
        <v>676</v>
      </c>
      <c r="AC55" s="30" t="s">
        <v>806</v>
      </c>
      <c r="AD55" t="s">
        <v>807</v>
      </c>
      <c r="AE55" t="s">
        <v>808</v>
      </c>
      <c r="AF55" s="36">
        <v>507423</v>
      </c>
      <c r="AG55" s="36">
        <v>507423</v>
      </c>
      <c r="AH55" s="24"/>
      <c r="AJ55" s="34"/>
      <c r="AK55" t="s">
        <v>923</v>
      </c>
      <c r="AL55" t="s">
        <v>282</v>
      </c>
      <c r="AM55" s="34" t="s">
        <v>925</v>
      </c>
      <c r="AN55" s="34">
        <v>43032</v>
      </c>
      <c r="AO55" s="24">
        <v>1</v>
      </c>
      <c r="AP55" t="s">
        <v>960</v>
      </c>
      <c r="AR55" s="35"/>
      <c r="AS55"/>
      <c r="AT55" s="34"/>
      <c r="AV55" s="34"/>
      <c r="AX55" s="34"/>
      <c r="AY55"/>
      <c r="BA55" s="34"/>
      <c r="BB55"/>
      <c r="BC55" t="s">
        <v>811</v>
      </c>
      <c r="BD55" s="36">
        <v>507423</v>
      </c>
      <c r="BE55" s="36">
        <v>507423</v>
      </c>
      <c r="BF55">
        <v>0</v>
      </c>
      <c r="BG55" s="34">
        <v>43101</v>
      </c>
      <c r="BH55">
        <v>60</v>
      </c>
      <c r="BI55" t="s">
        <v>283</v>
      </c>
      <c r="BJ55" t="s">
        <v>928</v>
      </c>
      <c r="BK55" t="s">
        <v>934</v>
      </c>
      <c r="BL55" t="s">
        <v>194</v>
      </c>
      <c r="BM55" s="8" t="s">
        <v>192</v>
      </c>
      <c r="BN55" t="s">
        <v>189</v>
      </c>
      <c r="BO55" t="s">
        <v>190</v>
      </c>
      <c r="BP55" s="35" t="s">
        <v>718</v>
      </c>
      <c r="BQ55"/>
      <c r="BU55" s="35"/>
      <c r="BV55" s="35"/>
      <c r="BX55"/>
      <c r="CA55" s="35"/>
      <c r="CB55" s="35"/>
      <c r="CC55"/>
      <c r="CG55" s="35"/>
      <c r="CH55" s="35"/>
      <c r="CK55"/>
      <c r="CM55" s="35"/>
      <c r="CN55" s="35"/>
      <c r="CQ55"/>
      <c r="CS55" s="35"/>
      <c r="CT55" s="35"/>
      <c r="CX55"/>
      <c r="CZ55" s="35"/>
      <c r="DD55" s="34"/>
      <c r="DG55" t="s">
        <v>809</v>
      </c>
      <c r="DH55" t="s">
        <v>961</v>
      </c>
      <c r="DI55" t="s">
        <v>280</v>
      </c>
      <c r="DL55" t="s">
        <v>676</v>
      </c>
      <c r="DM55">
        <v>5</v>
      </c>
      <c r="DN55">
        <v>9</v>
      </c>
      <c r="DO55" t="s">
        <v>810</v>
      </c>
      <c r="DQ55" t="s">
        <v>927</v>
      </c>
      <c r="DR55">
        <v>14</v>
      </c>
      <c r="DS55">
        <v>1</v>
      </c>
      <c r="DU55">
        <v>14</v>
      </c>
      <c r="DV55">
        <v>1</v>
      </c>
      <c r="DX55">
        <v>14</v>
      </c>
      <c r="DY55">
        <v>1</v>
      </c>
      <c r="DZ55" t="s">
        <v>246</v>
      </c>
      <c r="EA55" t="s">
        <v>929</v>
      </c>
    </row>
    <row r="56" spans="1:131" x14ac:dyDescent="0.4">
      <c r="A56" s="34">
        <v>43067.305104166669</v>
      </c>
      <c r="B56" s="25">
        <v>42935.488888888889</v>
      </c>
      <c r="D56" s="34"/>
      <c r="E56" s="34" t="s">
        <v>193</v>
      </c>
      <c r="F56" s="34" t="s">
        <v>191</v>
      </c>
      <c r="G56" s="34" t="s">
        <v>100</v>
      </c>
      <c r="H56" t="s">
        <v>279</v>
      </c>
      <c r="I56" t="s">
        <v>243</v>
      </c>
      <c r="J56" t="s">
        <v>712</v>
      </c>
      <c r="K56" t="s">
        <v>729</v>
      </c>
      <c r="L56" t="s">
        <v>711</v>
      </c>
      <c r="M56" s="30">
        <v>1.01</v>
      </c>
      <c r="N56">
        <v>7.5</v>
      </c>
      <c r="P56" s="24" t="str">
        <f>IFERROR(MID(RADataTable[[#This Row],[RATemplate]],1,LEN(RADataTable[[#This Row],[RATemplate]])-8),"RA") &amp; " " &amp; RADataTable[[#This Row],[prop_id0]] &amp; " " &amp; RADataTable[[#This Row],[last0]]</f>
        <v>RA 1750333 Ene</v>
      </c>
      <c r="T56">
        <v>4</v>
      </c>
      <c r="U56">
        <v>4</v>
      </c>
      <c r="V56" s="34">
        <v>43032.52847222222</v>
      </c>
      <c r="W56">
        <v>1</v>
      </c>
      <c r="X56" s="15" t="str">
        <f>HYPERLINK("https://www.ejacket.nsf.gov/ej/showProposal.do?Continue=Y&amp;ID="&amp;RADataTable[[#This Row],[prop_id0]],"eJ")</f>
        <v>eJ</v>
      </c>
      <c r="Y56" s="15" t="str">
        <f>HYPERLINK("mailto:"&amp;RADataTable[[#This Row],[email]]&amp;"&amp;subject=Your NSF Proposal:  "&amp;RADataTable[[#This Row],[Div]]&amp;" "&amp;RADataTable[[#This Row],[prop_id0]], RADataTable[[#This Row],[email]])</f>
        <v>aene@bu.edu</v>
      </c>
      <c r="Z56" s="15" t="str">
        <f>HYPERLINK("mailto:"&amp;RADataTable[[#This Row],[allPIemail]]&amp;"&amp;subject=NSF Proposal:  "&amp;RADataTable[[#This Row],[Div]]&amp;" "&amp;RADataTable[[#This Row],[prop_id0]], "PIs@")</f>
        <v>PIs@</v>
      </c>
      <c r="AA56" t="s">
        <v>245</v>
      </c>
      <c r="AB56" t="s">
        <v>676</v>
      </c>
      <c r="AC56" s="30" t="s">
        <v>806</v>
      </c>
      <c r="AD56" t="s">
        <v>807</v>
      </c>
      <c r="AE56" t="s">
        <v>808</v>
      </c>
      <c r="AF56" s="36">
        <v>507423</v>
      </c>
      <c r="AG56" s="36">
        <v>507423</v>
      </c>
      <c r="AH56" s="24"/>
      <c r="AJ56" s="34"/>
      <c r="AK56" t="s">
        <v>923</v>
      </c>
      <c r="AL56" t="s">
        <v>282</v>
      </c>
      <c r="AM56" s="34" t="s">
        <v>925</v>
      </c>
      <c r="AN56" s="34">
        <v>43032</v>
      </c>
      <c r="AO56" s="24">
        <v>1</v>
      </c>
      <c r="AP56" t="s">
        <v>960</v>
      </c>
      <c r="AR56" s="35"/>
      <c r="AS56"/>
      <c r="AT56" s="34"/>
      <c r="AV56" s="34"/>
      <c r="AX56" s="34"/>
      <c r="AY56"/>
      <c r="BA56" s="34"/>
      <c r="BB56"/>
      <c r="BC56" t="s">
        <v>811</v>
      </c>
      <c r="BD56" s="36">
        <v>507423</v>
      </c>
      <c r="BE56" s="36">
        <v>507423</v>
      </c>
      <c r="BF56">
        <v>0</v>
      </c>
      <c r="BG56" s="34">
        <v>43101</v>
      </c>
      <c r="BH56">
        <v>60</v>
      </c>
      <c r="BI56" t="s">
        <v>283</v>
      </c>
      <c r="BJ56" t="s">
        <v>928</v>
      </c>
      <c r="BK56" t="s">
        <v>934</v>
      </c>
      <c r="BL56" t="s">
        <v>194</v>
      </c>
      <c r="BM56" s="8" t="s">
        <v>192</v>
      </c>
      <c r="BN56" t="s">
        <v>189</v>
      </c>
      <c r="BO56" t="s">
        <v>190</v>
      </c>
      <c r="BP56" s="35" t="s">
        <v>718</v>
      </c>
      <c r="BQ56"/>
      <c r="BU56" s="35"/>
      <c r="BV56" s="35"/>
      <c r="BX56"/>
      <c r="CA56" s="35"/>
      <c r="CB56" s="35"/>
      <c r="CC56"/>
      <c r="CG56" s="35"/>
      <c r="CH56" s="35"/>
      <c r="CK56"/>
      <c r="CM56" s="35"/>
      <c r="CN56" s="35"/>
      <c r="CQ56"/>
      <c r="CS56" s="35"/>
      <c r="CT56" s="35"/>
      <c r="CX56"/>
      <c r="CZ56" s="35"/>
      <c r="DD56" s="34"/>
      <c r="DG56" t="s">
        <v>809</v>
      </c>
      <c r="DH56" t="s">
        <v>961</v>
      </c>
      <c r="DI56" t="s">
        <v>280</v>
      </c>
      <c r="DL56" t="s">
        <v>676</v>
      </c>
      <c r="DM56">
        <v>5</v>
      </c>
      <c r="DN56">
        <v>9</v>
      </c>
      <c r="DO56" t="s">
        <v>810</v>
      </c>
      <c r="DQ56" t="s">
        <v>927</v>
      </c>
      <c r="DR56">
        <v>14</v>
      </c>
      <c r="DS56">
        <v>1</v>
      </c>
      <c r="DU56">
        <v>14</v>
      </c>
      <c r="DV56">
        <v>1</v>
      </c>
      <c r="DX56">
        <v>14</v>
      </c>
      <c r="DY56">
        <v>1</v>
      </c>
      <c r="DZ56" t="s">
        <v>246</v>
      </c>
      <c r="EA56" t="s">
        <v>929</v>
      </c>
    </row>
    <row r="57" spans="1:131" x14ac:dyDescent="0.4">
      <c r="A57" s="34">
        <v>43067.305104166669</v>
      </c>
      <c r="B57" s="25">
        <v>42935.488888888889</v>
      </c>
      <c r="D57" s="34"/>
      <c r="E57" s="34" t="s">
        <v>193</v>
      </c>
      <c r="F57" s="34" t="s">
        <v>191</v>
      </c>
      <c r="G57" s="34" t="s">
        <v>100</v>
      </c>
      <c r="H57" t="s">
        <v>279</v>
      </c>
      <c r="I57" t="s">
        <v>243</v>
      </c>
      <c r="J57" t="s">
        <v>712</v>
      </c>
      <c r="K57" t="s">
        <v>729</v>
      </c>
      <c r="L57" t="s">
        <v>711</v>
      </c>
      <c r="M57" s="30">
        <v>1.01</v>
      </c>
      <c r="N57">
        <v>7.5</v>
      </c>
      <c r="P57" s="24" t="str">
        <f>IFERROR(MID(RADataTable[[#This Row],[RATemplate]],1,LEN(RADataTable[[#This Row],[RATemplate]])-8),"RA") &amp; " " &amp; RADataTable[[#This Row],[prop_id0]] &amp; " " &amp; RADataTable[[#This Row],[last0]]</f>
        <v>RA 1750333 Ene</v>
      </c>
      <c r="T57">
        <v>4</v>
      </c>
      <c r="U57">
        <v>4</v>
      </c>
      <c r="V57" s="34">
        <v>43032.52847222222</v>
      </c>
      <c r="W57">
        <v>1</v>
      </c>
      <c r="X57" s="15" t="str">
        <f>HYPERLINK("https://www.ejacket.nsf.gov/ej/showProposal.do?Continue=Y&amp;ID="&amp;RADataTable[[#This Row],[prop_id0]],"eJ")</f>
        <v>eJ</v>
      </c>
      <c r="Y57" s="15" t="str">
        <f>HYPERLINK("mailto:"&amp;RADataTable[[#This Row],[email]]&amp;"&amp;subject=Your NSF Proposal:  "&amp;RADataTable[[#This Row],[Div]]&amp;" "&amp;RADataTable[[#This Row],[prop_id0]], RADataTable[[#This Row],[email]])</f>
        <v>aene@bu.edu</v>
      </c>
      <c r="Z57" s="15" t="str">
        <f>HYPERLINK("mailto:"&amp;RADataTable[[#This Row],[allPIemail]]&amp;"&amp;subject=NSF Proposal:  "&amp;RADataTable[[#This Row],[Div]]&amp;" "&amp;RADataTable[[#This Row],[prop_id0]], "PIs@")</f>
        <v>PIs@</v>
      </c>
      <c r="AA57" t="s">
        <v>245</v>
      </c>
      <c r="AB57" t="s">
        <v>676</v>
      </c>
      <c r="AC57" s="30" t="s">
        <v>806</v>
      </c>
      <c r="AD57" t="s">
        <v>807</v>
      </c>
      <c r="AE57" t="s">
        <v>808</v>
      </c>
      <c r="AF57" s="36">
        <v>507423</v>
      </c>
      <c r="AG57" s="36">
        <v>507423</v>
      </c>
      <c r="AH57" s="24"/>
      <c r="AJ57" s="34"/>
      <c r="AK57" t="s">
        <v>923</v>
      </c>
      <c r="AL57" t="s">
        <v>282</v>
      </c>
      <c r="AM57" s="34" t="s">
        <v>925</v>
      </c>
      <c r="AN57" s="34">
        <v>43032</v>
      </c>
      <c r="AO57" s="24">
        <v>1</v>
      </c>
      <c r="AP57" t="s">
        <v>960</v>
      </c>
      <c r="AR57" s="35"/>
      <c r="AS57"/>
      <c r="AT57" s="34"/>
      <c r="AV57" s="34"/>
      <c r="AX57" s="34"/>
      <c r="AY57"/>
      <c r="BA57" s="34"/>
      <c r="BB57"/>
      <c r="BC57" t="s">
        <v>811</v>
      </c>
      <c r="BD57" s="36">
        <v>507423</v>
      </c>
      <c r="BE57" s="36">
        <v>507423</v>
      </c>
      <c r="BF57">
        <v>0</v>
      </c>
      <c r="BG57" s="34">
        <v>43101</v>
      </c>
      <c r="BH57">
        <v>60</v>
      </c>
      <c r="BI57" t="s">
        <v>283</v>
      </c>
      <c r="BJ57" t="s">
        <v>928</v>
      </c>
      <c r="BK57" t="s">
        <v>934</v>
      </c>
      <c r="BL57" t="s">
        <v>194</v>
      </c>
      <c r="BM57" s="8" t="s">
        <v>192</v>
      </c>
      <c r="BN57" t="s">
        <v>189</v>
      </c>
      <c r="BO57" t="s">
        <v>190</v>
      </c>
      <c r="BP57" s="35" t="s">
        <v>718</v>
      </c>
      <c r="BQ57"/>
      <c r="BU57" s="35"/>
      <c r="BV57" s="35"/>
      <c r="BX57"/>
      <c r="CA57" s="35"/>
      <c r="CB57" s="35"/>
      <c r="CC57"/>
      <c r="CG57" s="35"/>
      <c r="CH57" s="35"/>
      <c r="CK57"/>
      <c r="CM57" s="35"/>
      <c r="CN57" s="35"/>
      <c r="CQ57"/>
      <c r="CS57" s="35"/>
      <c r="CT57" s="35"/>
      <c r="CX57"/>
      <c r="CZ57" s="35"/>
      <c r="DD57" s="34"/>
      <c r="DG57" t="s">
        <v>809</v>
      </c>
      <c r="DH57" t="s">
        <v>961</v>
      </c>
      <c r="DI57" t="s">
        <v>280</v>
      </c>
      <c r="DL57" t="s">
        <v>676</v>
      </c>
      <c r="DM57">
        <v>5</v>
      </c>
      <c r="DN57">
        <v>9</v>
      </c>
      <c r="DO57" t="s">
        <v>810</v>
      </c>
      <c r="DQ57" t="s">
        <v>927</v>
      </c>
      <c r="DR57">
        <v>14</v>
      </c>
      <c r="DS57">
        <v>1</v>
      </c>
      <c r="DU57">
        <v>14</v>
      </c>
      <c r="DV57">
        <v>1</v>
      </c>
      <c r="DX57">
        <v>14</v>
      </c>
      <c r="DY57">
        <v>1</v>
      </c>
      <c r="DZ57" t="s">
        <v>246</v>
      </c>
      <c r="EA57" t="s">
        <v>929</v>
      </c>
    </row>
    <row r="58" spans="1:131" x14ac:dyDescent="0.4">
      <c r="A58" s="34">
        <v>43067.305104166669</v>
      </c>
      <c r="B58" s="25">
        <v>42935.488888888889</v>
      </c>
      <c r="D58" s="34"/>
      <c r="E58" s="34" t="s">
        <v>193</v>
      </c>
      <c r="F58" s="34" t="s">
        <v>191</v>
      </c>
      <c r="G58" s="34" t="s">
        <v>100</v>
      </c>
      <c r="H58" t="s">
        <v>279</v>
      </c>
      <c r="I58" t="s">
        <v>243</v>
      </c>
      <c r="J58" t="s">
        <v>712</v>
      </c>
      <c r="K58" t="s">
        <v>729</v>
      </c>
      <c r="L58" t="s">
        <v>711</v>
      </c>
      <c r="M58" s="30">
        <v>1.01</v>
      </c>
      <c r="N58">
        <v>7.5</v>
      </c>
      <c r="P58" s="24" t="str">
        <f>IFERROR(MID(RADataTable[[#This Row],[RATemplate]],1,LEN(RADataTable[[#This Row],[RATemplate]])-8),"RA") &amp; " " &amp; RADataTable[[#This Row],[prop_id0]] &amp; " " &amp; RADataTable[[#This Row],[last0]]</f>
        <v>RA 1750333 Ene</v>
      </c>
      <c r="T58">
        <v>4</v>
      </c>
      <c r="U58">
        <v>4</v>
      </c>
      <c r="V58" s="34">
        <v>43032.52847222222</v>
      </c>
      <c r="W58">
        <v>1</v>
      </c>
      <c r="X58" s="15" t="str">
        <f>HYPERLINK("https://www.ejacket.nsf.gov/ej/showProposal.do?Continue=Y&amp;ID="&amp;RADataTable[[#This Row],[prop_id0]],"eJ")</f>
        <v>eJ</v>
      </c>
      <c r="Y58" s="15" t="str">
        <f>HYPERLINK("mailto:"&amp;RADataTable[[#This Row],[email]]&amp;"&amp;subject=Your NSF Proposal:  "&amp;RADataTable[[#This Row],[Div]]&amp;" "&amp;RADataTable[[#This Row],[prop_id0]], RADataTable[[#This Row],[email]])</f>
        <v>aene@bu.edu</v>
      </c>
      <c r="Z58" s="15" t="str">
        <f>HYPERLINK("mailto:"&amp;RADataTable[[#This Row],[allPIemail]]&amp;"&amp;subject=NSF Proposal:  "&amp;RADataTable[[#This Row],[Div]]&amp;" "&amp;RADataTable[[#This Row],[prop_id0]], "PIs@")</f>
        <v>PIs@</v>
      </c>
      <c r="AA58" t="s">
        <v>245</v>
      </c>
      <c r="AB58" t="s">
        <v>676</v>
      </c>
      <c r="AC58" s="30" t="s">
        <v>806</v>
      </c>
      <c r="AD58" t="s">
        <v>807</v>
      </c>
      <c r="AE58" t="s">
        <v>808</v>
      </c>
      <c r="AF58" s="36">
        <v>507423</v>
      </c>
      <c r="AG58" s="36">
        <v>507423</v>
      </c>
      <c r="AH58" s="24"/>
      <c r="AJ58" s="34"/>
      <c r="AK58" t="s">
        <v>923</v>
      </c>
      <c r="AL58" t="s">
        <v>282</v>
      </c>
      <c r="AM58" s="34" t="s">
        <v>925</v>
      </c>
      <c r="AN58" s="34">
        <v>43032</v>
      </c>
      <c r="AO58" s="24">
        <v>1</v>
      </c>
      <c r="AP58" t="s">
        <v>960</v>
      </c>
      <c r="AR58" s="35"/>
      <c r="AS58"/>
      <c r="AT58" s="34"/>
      <c r="AV58" s="34"/>
      <c r="AX58" s="34"/>
      <c r="AY58"/>
      <c r="BA58" s="34"/>
      <c r="BB58"/>
      <c r="BC58" t="s">
        <v>811</v>
      </c>
      <c r="BD58" s="36">
        <v>507423</v>
      </c>
      <c r="BE58" s="36">
        <v>507423</v>
      </c>
      <c r="BF58">
        <v>0</v>
      </c>
      <c r="BG58" s="34">
        <v>43101</v>
      </c>
      <c r="BH58">
        <v>60</v>
      </c>
      <c r="BI58" t="s">
        <v>283</v>
      </c>
      <c r="BJ58" t="s">
        <v>928</v>
      </c>
      <c r="BK58" t="s">
        <v>934</v>
      </c>
      <c r="BL58" t="s">
        <v>194</v>
      </c>
      <c r="BM58" s="8" t="s">
        <v>192</v>
      </c>
      <c r="BN58" t="s">
        <v>189</v>
      </c>
      <c r="BO58" t="s">
        <v>190</v>
      </c>
      <c r="BP58" s="35" t="s">
        <v>718</v>
      </c>
      <c r="BQ58"/>
      <c r="BU58" s="35"/>
      <c r="BV58" s="35"/>
      <c r="BX58"/>
      <c r="CA58" s="35"/>
      <c r="CB58" s="35"/>
      <c r="CC58"/>
      <c r="CG58" s="35"/>
      <c r="CH58" s="35"/>
      <c r="CK58"/>
      <c r="CM58" s="35"/>
      <c r="CN58" s="35"/>
      <c r="CQ58"/>
      <c r="CS58" s="35"/>
      <c r="CT58" s="35"/>
      <c r="CX58"/>
      <c r="CZ58" s="35"/>
      <c r="DD58" s="34"/>
      <c r="DG58" t="s">
        <v>809</v>
      </c>
      <c r="DH58" t="s">
        <v>961</v>
      </c>
      <c r="DI58" t="s">
        <v>280</v>
      </c>
      <c r="DL58" t="s">
        <v>676</v>
      </c>
      <c r="DM58">
        <v>5</v>
      </c>
      <c r="DN58">
        <v>9</v>
      </c>
      <c r="DO58" t="s">
        <v>810</v>
      </c>
      <c r="DQ58" t="s">
        <v>927</v>
      </c>
      <c r="DR58">
        <v>14</v>
      </c>
      <c r="DS58">
        <v>1</v>
      </c>
      <c r="DU58">
        <v>14</v>
      </c>
      <c r="DV58">
        <v>1</v>
      </c>
      <c r="DX58">
        <v>14</v>
      </c>
      <c r="DY58">
        <v>1</v>
      </c>
      <c r="DZ58" t="s">
        <v>246</v>
      </c>
      <c r="EA58" t="s">
        <v>929</v>
      </c>
    </row>
    <row r="59" spans="1:131" x14ac:dyDescent="0.4">
      <c r="A59" s="34">
        <v>43067.305104166669</v>
      </c>
      <c r="B59" s="25">
        <v>42935.488888888889</v>
      </c>
      <c r="D59" s="34"/>
      <c r="E59" s="34" t="s">
        <v>193</v>
      </c>
      <c r="F59" s="34" t="s">
        <v>191</v>
      </c>
      <c r="G59" s="34" t="s">
        <v>100</v>
      </c>
      <c r="H59" t="s">
        <v>279</v>
      </c>
      <c r="I59" t="s">
        <v>243</v>
      </c>
      <c r="J59" t="s">
        <v>712</v>
      </c>
      <c r="K59" t="s">
        <v>729</v>
      </c>
      <c r="L59" t="s">
        <v>711</v>
      </c>
      <c r="M59" s="30">
        <v>1.01</v>
      </c>
      <c r="N59">
        <v>7.5</v>
      </c>
      <c r="P59" s="24" t="str">
        <f>IFERROR(MID(RADataTable[[#This Row],[RATemplate]],1,LEN(RADataTable[[#This Row],[RATemplate]])-8),"RA") &amp; " " &amp; RADataTable[[#This Row],[prop_id0]] &amp; " " &amp; RADataTable[[#This Row],[last0]]</f>
        <v>RA 1750333 Ene</v>
      </c>
      <c r="T59">
        <v>4</v>
      </c>
      <c r="U59">
        <v>4</v>
      </c>
      <c r="V59" s="34">
        <v>43032.52847222222</v>
      </c>
      <c r="W59">
        <v>1</v>
      </c>
      <c r="X59" s="15" t="str">
        <f>HYPERLINK("https://www.ejacket.nsf.gov/ej/showProposal.do?Continue=Y&amp;ID="&amp;RADataTable[[#This Row],[prop_id0]],"eJ")</f>
        <v>eJ</v>
      </c>
      <c r="Y59" s="15" t="str">
        <f>HYPERLINK("mailto:"&amp;RADataTable[[#This Row],[email]]&amp;"&amp;subject=Your NSF Proposal:  "&amp;RADataTable[[#This Row],[Div]]&amp;" "&amp;RADataTable[[#This Row],[prop_id0]], RADataTable[[#This Row],[email]])</f>
        <v>aene@bu.edu</v>
      </c>
      <c r="Z59" s="15" t="str">
        <f>HYPERLINK("mailto:"&amp;RADataTable[[#This Row],[allPIemail]]&amp;"&amp;subject=NSF Proposal:  "&amp;RADataTable[[#This Row],[Div]]&amp;" "&amp;RADataTable[[#This Row],[prop_id0]], "PIs@")</f>
        <v>PIs@</v>
      </c>
      <c r="AA59" t="s">
        <v>245</v>
      </c>
      <c r="AB59" t="s">
        <v>676</v>
      </c>
      <c r="AC59" s="30" t="s">
        <v>806</v>
      </c>
      <c r="AD59" t="s">
        <v>807</v>
      </c>
      <c r="AE59" t="s">
        <v>808</v>
      </c>
      <c r="AF59" s="36">
        <v>507423</v>
      </c>
      <c r="AG59" s="36">
        <v>507423</v>
      </c>
      <c r="AH59" s="24"/>
      <c r="AJ59" s="34"/>
      <c r="AK59" t="s">
        <v>923</v>
      </c>
      <c r="AL59" t="s">
        <v>282</v>
      </c>
      <c r="AM59" s="34" t="s">
        <v>925</v>
      </c>
      <c r="AN59" s="34">
        <v>43032</v>
      </c>
      <c r="AO59" s="24">
        <v>1</v>
      </c>
      <c r="AP59" t="s">
        <v>960</v>
      </c>
      <c r="AR59" s="35"/>
      <c r="AS59"/>
      <c r="AT59" s="34"/>
      <c r="AV59" s="34"/>
      <c r="AX59" s="34"/>
      <c r="AY59"/>
      <c r="BA59" s="34"/>
      <c r="BB59"/>
      <c r="BC59" t="s">
        <v>811</v>
      </c>
      <c r="BD59" s="36">
        <v>507423</v>
      </c>
      <c r="BE59" s="36">
        <v>507423</v>
      </c>
      <c r="BF59">
        <v>0</v>
      </c>
      <c r="BG59" s="34">
        <v>43101</v>
      </c>
      <c r="BH59">
        <v>60</v>
      </c>
      <c r="BI59" t="s">
        <v>283</v>
      </c>
      <c r="BJ59" t="s">
        <v>928</v>
      </c>
      <c r="BK59" t="s">
        <v>934</v>
      </c>
      <c r="BL59" t="s">
        <v>194</v>
      </c>
      <c r="BM59" s="8" t="s">
        <v>192</v>
      </c>
      <c r="BN59" t="s">
        <v>189</v>
      </c>
      <c r="BO59" t="s">
        <v>190</v>
      </c>
      <c r="BP59" s="35" t="s">
        <v>718</v>
      </c>
      <c r="BQ59"/>
      <c r="BU59" s="35"/>
      <c r="BV59" s="35"/>
      <c r="BX59"/>
      <c r="CA59" s="35"/>
      <c r="CB59" s="35"/>
      <c r="CC59"/>
      <c r="CG59" s="35"/>
      <c r="CH59" s="35"/>
      <c r="CK59"/>
      <c r="CM59" s="35"/>
      <c r="CN59" s="35"/>
      <c r="CQ59"/>
      <c r="CS59" s="35"/>
      <c r="CT59" s="35"/>
      <c r="CX59"/>
      <c r="CZ59" s="35"/>
      <c r="DD59" s="34"/>
      <c r="DG59" t="s">
        <v>809</v>
      </c>
      <c r="DH59" t="s">
        <v>961</v>
      </c>
      <c r="DI59" t="s">
        <v>280</v>
      </c>
      <c r="DL59" t="s">
        <v>676</v>
      </c>
      <c r="DM59">
        <v>5</v>
      </c>
      <c r="DN59">
        <v>9</v>
      </c>
      <c r="DO59" t="s">
        <v>810</v>
      </c>
      <c r="DQ59" t="s">
        <v>927</v>
      </c>
      <c r="DR59">
        <v>14</v>
      </c>
      <c r="DS59">
        <v>1</v>
      </c>
      <c r="DU59">
        <v>14</v>
      </c>
      <c r="DV59">
        <v>1</v>
      </c>
      <c r="DX59">
        <v>14</v>
      </c>
      <c r="DY59">
        <v>1</v>
      </c>
      <c r="DZ59" t="s">
        <v>246</v>
      </c>
      <c r="EA59" t="s">
        <v>929</v>
      </c>
    </row>
    <row r="60" spans="1:131" x14ac:dyDescent="0.4">
      <c r="A60" s="34">
        <v>43067.305104166669</v>
      </c>
      <c r="B60" s="25">
        <v>42935.488888888889</v>
      </c>
      <c r="D60" s="34"/>
      <c r="E60" s="34" t="s">
        <v>193</v>
      </c>
      <c r="F60" s="34" t="s">
        <v>191</v>
      </c>
      <c r="G60" s="34" t="s">
        <v>100</v>
      </c>
      <c r="H60" t="s">
        <v>279</v>
      </c>
      <c r="I60" t="s">
        <v>243</v>
      </c>
      <c r="J60" t="s">
        <v>712</v>
      </c>
      <c r="K60" t="s">
        <v>729</v>
      </c>
      <c r="L60" t="s">
        <v>711</v>
      </c>
      <c r="M60" s="30">
        <v>1.01</v>
      </c>
      <c r="N60">
        <v>7.5</v>
      </c>
      <c r="P60" s="24" t="str">
        <f>IFERROR(MID(RADataTable[[#This Row],[RATemplate]],1,LEN(RADataTable[[#This Row],[RATemplate]])-8),"RA") &amp; " " &amp; RADataTable[[#This Row],[prop_id0]] &amp; " " &amp; RADataTable[[#This Row],[last0]]</f>
        <v>RA 1750333 Ene</v>
      </c>
      <c r="T60">
        <v>4</v>
      </c>
      <c r="U60">
        <v>4</v>
      </c>
      <c r="V60" s="34">
        <v>43032.52847222222</v>
      </c>
      <c r="W60">
        <v>1</v>
      </c>
      <c r="X60" s="15" t="str">
        <f>HYPERLINK("https://www.ejacket.nsf.gov/ej/showProposal.do?Continue=Y&amp;ID="&amp;RADataTable[[#This Row],[prop_id0]],"eJ")</f>
        <v>eJ</v>
      </c>
      <c r="Y60" s="15" t="str">
        <f>HYPERLINK("mailto:"&amp;RADataTable[[#This Row],[email]]&amp;"&amp;subject=Your NSF Proposal:  "&amp;RADataTable[[#This Row],[Div]]&amp;" "&amp;RADataTable[[#This Row],[prop_id0]], RADataTable[[#This Row],[email]])</f>
        <v>aene@bu.edu</v>
      </c>
      <c r="Z60" s="15" t="str">
        <f>HYPERLINK("mailto:"&amp;RADataTable[[#This Row],[allPIemail]]&amp;"&amp;subject=NSF Proposal:  "&amp;RADataTable[[#This Row],[Div]]&amp;" "&amp;RADataTable[[#This Row],[prop_id0]], "PIs@")</f>
        <v>PIs@</v>
      </c>
      <c r="AA60" t="s">
        <v>245</v>
      </c>
      <c r="AB60" t="s">
        <v>676</v>
      </c>
      <c r="AC60" s="30" t="s">
        <v>806</v>
      </c>
      <c r="AD60" t="s">
        <v>807</v>
      </c>
      <c r="AE60" t="s">
        <v>808</v>
      </c>
      <c r="AF60" s="36">
        <v>507423</v>
      </c>
      <c r="AG60" s="36">
        <v>507423</v>
      </c>
      <c r="AH60" s="24"/>
      <c r="AJ60" s="34"/>
      <c r="AK60" t="s">
        <v>923</v>
      </c>
      <c r="AL60" t="s">
        <v>282</v>
      </c>
      <c r="AM60" s="34" t="s">
        <v>925</v>
      </c>
      <c r="AN60" s="34">
        <v>43032</v>
      </c>
      <c r="AO60" s="24">
        <v>1</v>
      </c>
      <c r="AP60" t="s">
        <v>960</v>
      </c>
      <c r="AR60" s="35"/>
      <c r="AS60"/>
      <c r="AT60" s="34"/>
      <c r="AV60" s="34"/>
      <c r="AX60" s="34"/>
      <c r="AY60"/>
      <c r="BA60" s="34"/>
      <c r="BB60"/>
      <c r="BC60" t="s">
        <v>811</v>
      </c>
      <c r="BD60" s="36">
        <v>507423</v>
      </c>
      <c r="BE60" s="36">
        <v>507423</v>
      </c>
      <c r="BF60">
        <v>0</v>
      </c>
      <c r="BG60" s="34">
        <v>43101</v>
      </c>
      <c r="BH60">
        <v>60</v>
      </c>
      <c r="BI60" t="s">
        <v>283</v>
      </c>
      <c r="BJ60" t="s">
        <v>928</v>
      </c>
      <c r="BK60" t="s">
        <v>934</v>
      </c>
      <c r="BL60" t="s">
        <v>194</v>
      </c>
      <c r="BM60" s="8" t="s">
        <v>192</v>
      </c>
      <c r="BN60" t="s">
        <v>189</v>
      </c>
      <c r="BO60" t="s">
        <v>190</v>
      </c>
      <c r="BP60" s="35" t="s">
        <v>718</v>
      </c>
      <c r="BQ60"/>
      <c r="BU60" s="35"/>
      <c r="BV60" s="35"/>
      <c r="BX60"/>
      <c r="CA60" s="35"/>
      <c r="CB60" s="35"/>
      <c r="CC60"/>
      <c r="CG60" s="35"/>
      <c r="CH60" s="35"/>
      <c r="CK60"/>
      <c r="CM60" s="35"/>
      <c r="CN60" s="35"/>
      <c r="CQ60"/>
      <c r="CS60" s="35"/>
      <c r="CT60" s="35"/>
      <c r="CX60"/>
      <c r="CZ60" s="35"/>
      <c r="DD60" s="34"/>
      <c r="DG60" t="s">
        <v>809</v>
      </c>
      <c r="DH60" t="s">
        <v>961</v>
      </c>
      <c r="DI60" t="s">
        <v>280</v>
      </c>
      <c r="DL60" t="s">
        <v>676</v>
      </c>
      <c r="DM60">
        <v>5</v>
      </c>
      <c r="DN60">
        <v>9</v>
      </c>
      <c r="DO60" t="s">
        <v>810</v>
      </c>
      <c r="DQ60" t="s">
        <v>927</v>
      </c>
      <c r="DR60">
        <v>14</v>
      </c>
      <c r="DS60">
        <v>1</v>
      </c>
      <c r="DU60">
        <v>14</v>
      </c>
      <c r="DV60">
        <v>1</v>
      </c>
      <c r="DX60">
        <v>14</v>
      </c>
      <c r="DY60">
        <v>1</v>
      </c>
      <c r="DZ60" t="s">
        <v>246</v>
      </c>
      <c r="EA60" t="s">
        <v>929</v>
      </c>
    </row>
    <row r="61" spans="1:131" x14ac:dyDescent="0.4">
      <c r="A61" s="34">
        <v>43067.305104166669</v>
      </c>
      <c r="B61" s="25">
        <v>42935.488888888889</v>
      </c>
      <c r="D61" s="34"/>
      <c r="E61" s="34" t="s">
        <v>193</v>
      </c>
      <c r="F61" s="34" t="s">
        <v>191</v>
      </c>
      <c r="G61" s="34" t="s">
        <v>100</v>
      </c>
      <c r="H61" t="s">
        <v>279</v>
      </c>
      <c r="I61" t="s">
        <v>243</v>
      </c>
      <c r="J61" t="s">
        <v>712</v>
      </c>
      <c r="K61" t="s">
        <v>729</v>
      </c>
      <c r="L61" t="s">
        <v>711</v>
      </c>
      <c r="M61" s="30">
        <v>1.01</v>
      </c>
      <c r="N61">
        <v>7.5</v>
      </c>
      <c r="P61" s="24" t="str">
        <f>IFERROR(MID(RADataTable[[#This Row],[RATemplate]],1,LEN(RADataTable[[#This Row],[RATemplate]])-8),"RA") &amp; " " &amp; RADataTable[[#This Row],[prop_id0]] &amp; " " &amp; RADataTable[[#This Row],[last0]]</f>
        <v>RA 1750333 Ene</v>
      </c>
      <c r="T61">
        <v>4</v>
      </c>
      <c r="U61">
        <v>4</v>
      </c>
      <c r="V61" s="34">
        <v>43032.52847222222</v>
      </c>
      <c r="W61">
        <v>1</v>
      </c>
      <c r="X61" s="15" t="str">
        <f>HYPERLINK("https://www.ejacket.nsf.gov/ej/showProposal.do?Continue=Y&amp;ID="&amp;RADataTable[[#This Row],[prop_id0]],"eJ")</f>
        <v>eJ</v>
      </c>
      <c r="Y61" s="15" t="str">
        <f>HYPERLINK("mailto:"&amp;RADataTable[[#This Row],[email]]&amp;"&amp;subject=Your NSF Proposal:  "&amp;RADataTable[[#This Row],[Div]]&amp;" "&amp;RADataTable[[#This Row],[prop_id0]], RADataTable[[#This Row],[email]])</f>
        <v>aene@bu.edu</v>
      </c>
      <c r="Z61" s="15" t="str">
        <f>HYPERLINK("mailto:"&amp;RADataTable[[#This Row],[allPIemail]]&amp;"&amp;subject=NSF Proposal:  "&amp;RADataTable[[#This Row],[Div]]&amp;" "&amp;RADataTable[[#This Row],[prop_id0]], "PIs@")</f>
        <v>PIs@</v>
      </c>
      <c r="AA61" t="s">
        <v>245</v>
      </c>
      <c r="AB61" t="s">
        <v>676</v>
      </c>
      <c r="AC61" s="30" t="s">
        <v>806</v>
      </c>
      <c r="AD61" t="s">
        <v>807</v>
      </c>
      <c r="AE61" t="s">
        <v>808</v>
      </c>
      <c r="AF61" s="36">
        <v>507423</v>
      </c>
      <c r="AG61" s="36">
        <v>507423</v>
      </c>
      <c r="AH61" s="24"/>
      <c r="AJ61" s="34"/>
      <c r="AK61" t="s">
        <v>923</v>
      </c>
      <c r="AL61" t="s">
        <v>282</v>
      </c>
      <c r="AM61" s="34" t="s">
        <v>925</v>
      </c>
      <c r="AN61" s="34">
        <v>43032</v>
      </c>
      <c r="AO61" s="24">
        <v>1</v>
      </c>
      <c r="AP61" t="s">
        <v>960</v>
      </c>
      <c r="AR61" s="35"/>
      <c r="AS61"/>
      <c r="AT61" s="34"/>
      <c r="AV61" s="34"/>
      <c r="AX61" s="34"/>
      <c r="AY61"/>
      <c r="BA61" s="34"/>
      <c r="BB61"/>
      <c r="BC61" t="s">
        <v>811</v>
      </c>
      <c r="BD61" s="36">
        <v>507423</v>
      </c>
      <c r="BE61" s="36">
        <v>507423</v>
      </c>
      <c r="BF61">
        <v>0</v>
      </c>
      <c r="BG61" s="34">
        <v>43101</v>
      </c>
      <c r="BH61">
        <v>60</v>
      </c>
      <c r="BI61" t="s">
        <v>283</v>
      </c>
      <c r="BJ61" t="s">
        <v>928</v>
      </c>
      <c r="BK61" t="s">
        <v>934</v>
      </c>
      <c r="BL61" t="s">
        <v>194</v>
      </c>
      <c r="BM61" s="8" t="s">
        <v>192</v>
      </c>
      <c r="BN61" t="s">
        <v>189</v>
      </c>
      <c r="BO61" t="s">
        <v>190</v>
      </c>
      <c r="BP61" s="35" t="s">
        <v>718</v>
      </c>
      <c r="BQ61"/>
      <c r="BU61" s="35"/>
      <c r="BV61" s="35"/>
      <c r="BX61"/>
      <c r="CA61" s="35"/>
      <c r="CB61" s="35"/>
      <c r="CC61"/>
      <c r="CG61" s="35"/>
      <c r="CH61" s="35"/>
      <c r="CK61"/>
      <c r="CM61" s="35"/>
      <c r="CN61" s="35"/>
      <c r="CQ61"/>
      <c r="CS61" s="35"/>
      <c r="CT61" s="35"/>
      <c r="CX61"/>
      <c r="CZ61" s="35"/>
      <c r="DD61" s="34"/>
      <c r="DG61" t="s">
        <v>809</v>
      </c>
      <c r="DH61" t="s">
        <v>961</v>
      </c>
      <c r="DI61" t="s">
        <v>280</v>
      </c>
      <c r="DL61" t="s">
        <v>676</v>
      </c>
      <c r="DM61">
        <v>5</v>
      </c>
      <c r="DN61">
        <v>9</v>
      </c>
      <c r="DO61" t="s">
        <v>810</v>
      </c>
      <c r="DQ61" t="s">
        <v>927</v>
      </c>
      <c r="DR61">
        <v>14</v>
      </c>
      <c r="DS61">
        <v>1</v>
      </c>
      <c r="DU61">
        <v>14</v>
      </c>
      <c r="DV61">
        <v>1</v>
      </c>
      <c r="DX61">
        <v>14</v>
      </c>
      <c r="DY61">
        <v>1</v>
      </c>
      <c r="DZ61" t="s">
        <v>246</v>
      </c>
      <c r="EA61" t="s">
        <v>929</v>
      </c>
    </row>
    <row r="62" spans="1:131" x14ac:dyDescent="0.4">
      <c r="A62" s="34">
        <v>43067.305104166669</v>
      </c>
      <c r="B62" s="25">
        <v>42935.488888888889</v>
      </c>
      <c r="D62" s="34"/>
      <c r="E62" s="34" t="s">
        <v>193</v>
      </c>
      <c r="F62" s="34" t="s">
        <v>191</v>
      </c>
      <c r="G62" s="34" t="s">
        <v>100</v>
      </c>
      <c r="H62" t="s">
        <v>279</v>
      </c>
      <c r="I62" t="s">
        <v>243</v>
      </c>
      <c r="J62" t="s">
        <v>712</v>
      </c>
      <c r="K62" t="s">
        <v>729</v>
      </c>
      <c r="L62" t="s">
        <v>711</v>
      </c>
      <c r="M62" s="30">
        <v>1.01</v>
      </c>
      <c r="N62">
        <v>7.5</v>
      </c>
      <c r="P62" s="24" t="str">
        <f>IFERROR(MID(RADataTable[[#This Row],[RATemplate]],1,LEN(RADataTable[[#This Row],[RATemplate]])-8),"RA") &amp; " " &amp; RADataTable[[#This Row],[prop_id0]] &amp; " " &amp; RADataTable[[#This Row],[last0]]</f>
        <v>RA 1750333 Ene</v>
      </c>
      <c r="T62">
        <v>4</v>
      </c>
      <c r="U62">
        <v>4</v>
      </c>
      <c r="V62" s="34">
        <v>43032.52847222222</v>
      </c>
      <c r="W62">
        <v>1</v>
      </c>
      <c r="X62" s="15" t="str">
        <f>HYPERLINK("https://www.ejacket.nsf.gov/ej/showProposal.do?Continue=Y&amp;ID="&amp;RADataTable[[#This Row],[prop_id0]],"eJ")</f>
        <v>eJ</v>
      </c>
      <c r="Y62" s="15" t="str">
        <f>HYPERLINK("mailto:"&amp;RADataTable[[#This Row],[email]]&amp;"&amp;subject=Your NSF Proposal:  "&amp;RADataTable[[#This Row],[Div]]&amp;" "&amp;RADataTable[[#This Row],[prop_id0]], RADataTable[[#This Row],[email]])</f>
        <v>aene@bu.edu</v>
      </c>
      <c r="Z62" s="15" t="str">
        <f>HYPERLINK("mailto:"&amp;RADataTable[[#This Row],[allPIemail]]&amp;"&amp;subject=NSF Proposal:  "&amp;RADataTable[[#This Row],[Div]]&amp;" "&amp;RADataTable[[#This Row],[prop_id0]], "PIs@")</f>
        <v>PIs@</v>
      </c>
      <c r="AA62" t="s">
        <v>245</v>
      </c>
      <c r="AB62" t="s">
        <v>676</v>
      </c>
      <c r="AC62" s="30" t="s">
        <v>806</v>
      </c>
      <c r="AD62" t="s">
        <v>807</v>
      </c>
      <c r="AE62" t="s">
        <v>808</v>
      </c>
      <c r="AF62" s="36">
        <v>507423</v>
      </c>
      <c r="AG62" s="36">
        <v>507423</v>
      </c>
      <c r="AH62" s="24"/>
      <c r="AJ62" s="34"/>
      <c r="AK62" t="s">
        <v>923</v>
      </c>
      <c r="AL62" t="s">
        <v>282</v>
      </c>
      <c r="AM62" s="34" t="s">
        <v>925</v>
      </c>
      <c r="AN62" s="34">
        <v>43032</v>
      </c>
      <c r="AO62" s="24">
        <v>1</v>
      </c>
      <c r="AP62" t="s">
        <v>960</v>
      </c>
      <c r="AR62" s="35"/>
      <c r="AS62"/>
      <c r="AT62" s="34"/>
      <c r="AV62" s="34"/>
      <c r="AX62" s="34"/>
      <c r="AY62"/>
      <c r="BA62" s="34"/>
      <c r="BB62"/>
      <c r="BC62" t="s">
        <v>811</v>
      </c>
      <c r="BD62" s="36">
        <v>507423</v>
      </c>
      <c r="BE62" s="36">
        <v>507423</v>
      </c>
      <c r="BF62">
        <v>0</v>
      </c>
      <c r="BG62" s="34">
        <v>43101</v>
      </c>
      <c r="BH62">
        <v>60</v>
      </c>
      <c r="BI62" t="s">
        <v>283</v>
      </c>
      <c r="BJ62" t="s">
        <v>928</v>
      </c>
      <c r="BK62" t="s">
        <v>934</v>
      </c>
      <c r="BL62" t="s">
        <v>194</v>
      </c>
      <c r="BM62" s="8" t="s">
        <v>192</v>
      </c>
      <c r="BN62" t="s">
        <v>189</v>
      </c>
      <c r="BO62" t="s">
        <v>190</v>
      </c>
      <c r="BP62" s="35" t="s">
        <v>718</v>
      </c>
      <c r="BQ62"/>
      <c r="BU62" s="35"/>
      <c r="BV62" s="35"/>
      <c r="BX62"/>
      <c r="CA62" s="35"/>
      <c r="CB62" s="35"/>
      <c r="CC62"/>
      <c r="CG62" s="35"/>
      <c r="CH62" s="35"/>
      <c r="CK62"/>
      <c r="CM62" s="35"/>
      <c r="CN62" s="35"/>
      <c r="CQ62"/>
      <c r="CS62" s="35"/>
      <c r="CT62" s="35"/>
      <c r="CX62"/>
      <c r="CZ62" s="35"/>
      <c r="DD62" s="34"/>
      <c r="DG62" t="s">
        <v>809</v>
      </c>
      <c r="DH62" t="s">
        <v>961</v>
      </c>
      <c r="DI62" t="s">
        <v>280</v>
      </c>
      <c r="DL62" t="s">
        <v>676</v>
      </c>
      <c r="DM62">
        <v>5</v>
      </c>
      <c r="DN62">
        <v>9</v>
      </c>
      <c r="DO62" t="s">
        <v>810</v>
      </c>
      <c r="DQ62" t="s">
        <v>927</v>
      </c>
      <c r="DR62">
        <v>14</v>
      </c>
      <c r="DS62">
        <v>1</v>
      </c>
      <c r="DU62">
        <v>14</v>
      </c>
      <c r="DV62">
        <v>1</v>
      </c>
      <c r="DX62">
        <v>14</v>
      </c>
      <c r="DY62">
        <v>1</v>
      </c>
      <c r="DZ62" t="s">
        <v>246</v>
      </c>
      <c r="EA62" t="s">
        <v>929</v>
      </c>
    </row>
    <row r="63" spans="1:131" x14ac:dyDescent="0.4">
      <c r="A63" s="34">
        <v>43067.305104166669</v>
      </c>
      <c r="B63" s="25">
        <v>42935.488888888889</v>
      </c>
      <c r="D63" s="34"/>
      <c r="E63" s="34" t="s">
        <v>193</v>
      </c>
      <c r="F63" s="34" t="s">
        <v>191</v>
      </c>
      <c r="G63" s="34" t="s">
        <v>100</v>
      </c>
      <c r="H63" t="s">
        <v>279</v>
      </c>
      <c r="I63" t="s">
        <v>243</v>
      </c>
      <c r="J63" t="s">
        <v>712</v>
      </c>
      <c r="K63" t="s">
        <v>729</v>
      </c>
      <c r="L63" t="s">
        <v>711</v>
      </c>
      <c r="M63" s="30">
        <v>1.01</v>
      </c>
      <c r="N63">
        <v>7.5</v>
      </c>
      <c r="P63" s="24" t="str">
        <f>IFERROR(MID(RADataTable[[#This Row],[RATemplate]],1,LEN(RADataTable[[#This Row],[RATemplate]])-8),"RA") &amp; " " &amp; RADataTable[[#This Row],[prop_id0]] &amp; " " &amp; RADataTable[[#This Row],[last0]]</f>
        <v>RA 1750333 Ene</v>
      </c>
      <c r="T63">
        <v>4</v>
      </c>
      <c r="U63">
        <v>4</v>
      </c>
      <c r="V63" s="34">
        <v>43032.52847222222</v>
      </c>
      <c r="W63">
        <v>1</v>
      </c>
      <c r="X63" s="15" t="str">
        <f>HYPERLINK("https://www.ejacket.nsf.gov/ej/showProposal.do?Continue=Y&amp;ID="&amp;RADataTable[[#This Row],[prop_id0]],"eJ")</f>
        <v>eJ</v>
      </c>
      <c r="Y63" s="15" t="str">
        <f>HYPERLINK("mailto:"&amp;RADataTable[[#This Row],[email]]&amp;"&amp;subject=Your NSF Proposal:  "&amp;RADataTable[[#This Row],[Div]]&amp;" "&amp;RADataTable[[#This Row],[prop_id0]], RADataTable[[#This Row],[email]])</f>
        <v>aene@bu.edu</v>
      </c>
      <c r="Z63" s="15" t="str">
        <f>HYPERLINK("mailto:"&amp;RADataTable[[#This Row],[allPIemail]]&amp;"&amp;subject=NSF Proposal:  "&amp;RADataTable[[#This Row],[Div]]&amp;" "&amp;RADataTable[[#This Row],[prop_id0]], "PIs@")</f>
        <v>PIs@</v>
      </c>
      <c r="AA63" t="s">
        <v>245</v>
      </c>
      <c r="AB63" t="s">
        <v>676</v>
      </c>
      <c r="AC63" s="30" t="s">
        <v>806</v>
      </c>
      <c r="AD63" t="s">
        <v>807</v>
      </c>
      <c r="AE63" t="s">
        <v>808</v>
      </c>
      <c r="AF63" s="36">
        <v>507423</v>
      </c>
      <c r="AG63" s="36">
        <v>507423</v>
      </c>
      <c r="AH63" s="24"/>
      <c r="AJ63" s="34"/>
      <c r="AK63" t="s">
        <v>923</v>
      </c>
      <c r="AL63" t="s">
        <v>282</v>
      </c>
      <c r="AM63" s="34" t="s">
        <v>925</v>
      </c>
      <c r="AN63" s="34">
        <v>43032</v>
      </c>
      <c r="AO63" s="24">
        <v>1</v>
      </c>
      <c r="AP63" t="s">
        <v>960</v>
      </c>
      <c r="AR63" s="35"/>
      <c r="AS63"/>
      <c r="AT63" s="34"/>
      <c r="AV63" s="34"/>
      <c r="AX63" s="34"/>
      <c r="AY63"/>
      <c r="BA63" s="34"/>
      <c r="BB63"/>
      <c r="BC63" t="s">
        <v>811</v>
      </c>
      <c r="BD63" s="36">
        <v>507423</v>
      </c>
      <c r="BE63" s="36">
        <v>507423</v>
      </c>
      <c r="BF63">
        <v>0</v>
      </c>
      <c r="BG63" s="34">
        <v>43101</v>
      </c>
      <c r="BH63">
        <v>60</v>
      </c>
      <c r="BI63" t="s">
        <v>283</v>
      </c>
      <c r="BJ63" t="s">
        <v>928</v>
      </c>
      <c r="BK63" t="s">
        <v>934</v>
      </c>
      <c r="BL63" t="s">
        <v>194</v>
      </c>
      <c r="BM63" s="8" t="s">
        <v>192</v>
      </c>
      <c r="BN63" t="s">
        <v>189</v>
      </c>
      <c r="BO63" t="s">
        <v>190</v>
      </c>
      <c r="BP63" s="35" t="s">
        <v>718</v>
      </c>
      <c r="BQ63"/>
      <c r="BU63" s="35"/>
      <c r="BV63" s="35"/>
      <c r="BX63"/>
      <c r="CA63" s="35"/>
      <c r="CB63" s="35"/>
      <c r="CC63"/>
      <c r="CG63" s="35"/>
      <c r="CH63" s="35"/>
      <c r="CK63"/>
      <c r="CM63" s="35"/>
      <c r="CN63" s="35"/>
      <c r="CQ63"/>
      <c r="CS63" s="35"/>
      <c r="CT63" s="35"/>
      <c r="CX63"/>
      <c r="CZ63" s="35"/>
      <c r="DD63" s="34"/>
      <c r="DG63" t="s">
        <v>809</v>
      </c>
      <c r="DH63" t="s">
        <v>961</v>
      </c>
      <c r="DI63" t="s">
        <v>280</v>
      </c>
      <c r="DL63" t="s">
        <v>676</v>
      </c>
      <c r="DM63">
        <v>5</v>
      </c>
      <c r="DN63">
        <v>9</v>
      </c>
      <c r="DO63" t="s">
        <v>810</v>
      </c>
      <c r="DQ63" t="s">
        <v>927</v>
      </c>
      <c r="DR63">
        <v>14</v>
      </c>
      <c r="DS63">
        <v>1</v>
      </c>
      <c r="DU63">
        <v>14</v>
      </c>
      <c r="DV63">
        <v>1</v>
      </c>
      <c r="DX63">
        <v>14</v>
      </c>
      <c r="DY63">
        <v>1</v>
      </c>
      <c r="DZ63" t="s">
        <v>246</v>
      </c>
      <c r="EA63" t="s">
        <v>929</v>
      </c>
    </row>
    <row r="64" spans="1:131" x14ac:dyDescent="0.4">
      <c r="A64" s="34">
        <v>43067.305104166669</v>
      </c>
      <c r="B64" s="25">
        <v>42935.488888888889</v>
      </c>
      <c r="D64" s="34"/>
      <c r="E64" s="34" t="s">
        <v>193</v>
      </c>
      <c r="F64" s="34" t="s">
        <v>191</v>
      </c>
      <c r="G64" s="34" t="s">
        <v>100</v>
      </c>
      <c r="H64" t="s">
        <v>279</v>
      </c>
      <c r="I64" t="s">
        <v>243</v>
      </c>
      <c r="J64" t="s">
        <v>712</v>
      </c>
      <c r="K64" t="s">
        <v>729</v>
      </c>
      <c r="L64" t="s">
        <v>711</v>
      </c>
      <c r="M64" s="30">
        <v>1.01</v>
      </c>
      <c r="N64">
        <v>7.5</v>
      </c>
      <c r="P64" s="24" t="str">
        <f>IFERROR(MID(RADataTable[[#This Row],[RATemplate]],1,LEN(RADataTable[[#This Row],[RATemplate]])-8),"RA") &amp; " " &amp; RADataTable[[#This Row],[prop_id0]] &amp; " " &amp; RADataTable[[#This Row],[last0]]</f>
        <v>RA 1750333 Ene</v>
      </c>
      <c r="T64">
        <v>4</v>
      </c>
      <c r="U64">
        <v>4</v>
      </c>
      <c r="V64" s="34">
        <v>43032.52847222222</v>
      </c>
      <c r="W64">
        <v>1</v>
      </c>
      <c r="X64" s="15" t="str">
        <f>HYPERLINK("https://www.ejacket.nsf.gov/ej/showProposal.do?Continue=Y&amp;ID="&amp;RADataTable[[#This Row],[prop_id0]],"eJ")</f>
        <v>eJ</v>
      </c>
      <c r="Y64" s="15" t="str">
        <f>HYPERLINK("mailto:"&amp;RADataTable[[#This Row],[email]]&amp;"&amp;subject=Your NSF Proposal:  "&amp;RADataTable[[#This Row],[Div]]&amp;" "&amp;RADataTable[[#This Row],[prop_id0]], RADataTable[[#This Row],[email]])</f>
        <v>aene@bu.edu</v>
      </c>
      <c r="Z64" s="15" t="str">
        <f>HYPERLINK("mailto:"&amp;RADataTable[[#This Row],[allPIemail]]&amp;"&amp;subject=NSF Proposal:  "&amp;RADataTable[[#This Row],[Div]]&amp;" "&amp;RADataTable[[#This Row],[prop_id0]], "PIs@")</f>
        <v>PIs@</v>
      </c>
      <c r="AA64" t="s">
        <v>245</v>
      </c>
      <c r="AB64" t="s">
        <v>676</v>
      </c>
      <c r="AC64" s="30" t="s">
        <v>806</v>
      </c>
      <c r="AD64" t="s">
        <v>807</v>
      </c>
      <c r="AE64" t="s">
        <v>808</v>
      </c>
      <c r="AF64" s="36">
        <v>507423</v>
      </c>
      <c r="AG64" s="36">
        <v>507423</v>
      </c>
      <c r="AH64" s="24"/>
      <c r="AJ64" s="34"/>
      <c r="AK64" t="s">
        <v>923</v>
      </c>
      <c r="AL64" t="s">
        <v>282</v>
      </c>
      <c r="AM64" s="34" t="s">
        <v>925</v>
      </c>
      <c r="AN64" s="34">
        <v>43032</v>
      </c>
      <c r="AO64" s="24">
        <v>1</v>
      </c>
      <c r="AP64" t="s">
        <v>960</v>
      </c>
      <c r="AR64" s="35"/>
      <c r="AS64"/>
      <c r="AT64" s="34"/>
      <c r="AV64" s="34"/>
      <c r="AX64" s="34"/>
      <c r="AY64"/>
      <c r="BA64" s="34"/>
      <c r="BB64"/>
      <c r="BC64" t="s">
        <v>811</v>
      </c>
      <c r="BD64" s="36">
        <v>507423</v>
      </c>
      <c r="BE64" s="36">
        <v>507423</v>
      </c>
      <c r="BF64">
        <v>0</v>
      </c>
      <c r="BG64" s="34">
        <v>43101</v>
      </c>
      <c r="BH64">
        <v>60</v>
      </c>
      <c r="BI64" t="s">
        <v>283</v>
      </c>
      <c r="BJ64" t="s">
        <v>928</v>
      </c>
      <c r="BK64" t="s">
        <v>934</v>
      </c>
      <c r="BL64" t="s">
        <v>194</v>
      </c>
      <c r="BM64" s="8" t="s">
        <v>192</v>
      </c>
      <c r="BN64" t="s">
        <v>189</v>
      </c>
      <c r="BO64" t="s">
        <v>190</v>
      </c>
      <c r="BP64" s="35" t="s">
        <v>718</v>
      </c>
      <c r="BQ64"/>
      <c r="BU64" s="35"/>
      <c r="BV64" s="35"/>
      <c r="BX64"/>
      <c r="CA64" s="35"/>
      <c r="CB64" s="35"/>
      <c r="CC64"/>
      <c r="CG64" s="35"/>
      <c r="CH64" s="35"/>
      <c r="CK64"/>
      <c r="CM64" s="35"/>
      <c r="CN64" s="35"/>
      <c r="CQ64"/>
      <c r="CS64" s="35"/>
      <c r="CT64" s="35"/>
      <c r="CX64"/>
      <c r="CZ64" s="35"/>
      <c r="DD64" s="34"/>
      <c r="DG64" t="s">
        <v>809</v>
      </c>
      <c r="DH64" t="s">
        <v>961</v>
      </c>
      <c r="DI64" t="s">
        <v>280</v>
      </c>
      <c r="DL64" t="s">
        <v>676</v>
      </c>
      <c r="DM64">
        <v>5</v>
      </c>
      <c r="DN64">
        <v>9</v>
      </c>
      <c r="DO64" t="s">
        <v>810</v>
      </c>
      <c r="DQ64" t="s">
        <v>927</v>
      </c>
      <c r="DR64">
        <v>14</v>
      </c>
      <c r="DS64">
        <v>1</v>
      </c>
      <c r="DU64">
        <v>14</v>
      </c>
      <c r="DV64">
        <v>1</v>
      </c>
      <c r="DX64">
        <v>14</v>
      </c>
      <c r="DY64">
        <v>1</v>
      </c>
      <c r="DZ64" t="s">
        <v>246</v>
      </c>
      <c r="EA64" t="s">
        <v>929</v>
      </c>
    </row>
    <row r="65" spans="1:131" x14ac:dyDescent="0.4">
      <c r="A65" s="34">
        <v>43067.305104166669</v>
      </c>
      <c r="B65" s="25">
        <v>42956.581944444442</v>
      </c>
      <c r="D65" s="34"/>
      <c r="E65" s="34" t="s">
        <v>193</v>
      </c>
      <c r="F65" s="34" t="s">
        <v>191</v>
      </c>
      <c r="G65" s="34" t="s">
        <v>100</v>
      </c>
      <c r="H65" t="s">
        <v>856</v>
      </c>
      <c r="I65" t="s">
        <v>243</v>
      </c>
      <c r="J65" t="s">
        <v>857</v>
      </c>
      <c r="K65" t="s">
        <v>729</v>
      </c>
      <c r="L65" t="s">
        <v>855</v>
      </c>
      <c r="M65" s="30">
        <v>1.01</v>
      </c>
      <c r="N65">
        <v>7</v>
      </c>
      <c r="P65" s="24" t="str">
        <f>IFERROR(MID(RADataTable[[#This Row],[RATemplate]],1,LEN(RADataTable[[#This Row],[RATemplate]])-8),"RA") &amp; " " &amp; RADataTable[[#This Row],[prop_id0]] &amp; " " &amp; RADataTable[[#This Row],[last0]]</f>
        <v>RA 1755791 Goswami</v>
      </c>
      <c r="T65">
        <v>3</v>
      </c>
      <c r="U65">
        <v>3</v>
      </c>
      <c r="V65" s="34">
        <v>43031.369444444441</v>
      </c>
      <c r="W65">
        <v>1</v>
      </c>
      <c r="X65" s="15" t="str">
        <f>HYPERLINK("https://www.ejacket.nsf.gov/ej/showProposal.do?Continue=Y&amp;ID="&amp;RADataTable[[#This Row],[prop_id0]],"eJ")</f>
        <v>eJ</v>
      </c>
      <c r="Y65" s="15" t="str">
        <f>HYPERLINK("mailto:"&amp;RADataTable[[#This Row],[email]]&amp;"&amp;subject=Your NSF Proposal:  "&amp;RADataTable[[#This Row],[Div]]&amp;" "&amp;RADataTable[[#This Row],[prop_id0]], RADataTable[[#This Row],[email]])</f>
        <v>Mayank.Goswami@qc.cuny.edu</v>
      </c>
      <c r="Z65" s="15" t="str">
        <f>HYPERLINK("mailto:"&amp;RADataTable[[#This Row],[allPIemail]]&amp;"&amp;subject=NSF Proposal:  "&amp;RADataTable[[#This Row],[Div]]&amp;" "&amp;RADataTable[[#This Row],[prop_id0]], "PIs@")</f>
        <v>PIs@</v>
      </c>
      <c r="AA65" t="s">
        <v>245</v>
      </c>
      <c r="AB65" t="s">
        <v>686</v>
      </c>
      <c r="AC65" s="30" t="s">
        <v>871</v>
      </c>
      <c r="AD65" t="s">
        <v>872</v>
      </c>
      <c r="AE65" t="s">
        <v>873</v>
      </c>
      <c r="AF65" s="36">
        <v>175000</v>
      </c>
      <c r="AG65" s="36">
        <v>175000</v>
      </c>
      <c r="AH65" s="24"/>
      <c r="AJ65" s="34"/>
      <c r="AK65" t="s">
        <v>923</v>
      </c>
      <c r="AL65" t="s">
        <v>282</v>
      </c>
      <c r="AM65" s="34" t="s">
        <v>925</v>
      </c>
      <c r="AN65" s="34">
        <v>43032</v>
      </c>
      <c r="AO65" s="24">
        <v>1</v>
      </c>
      <c r="AP65" t="s">
        <v>979</v>
      </c>
      <c r="AR65" s="35"/>
      <c r="AS65"/>
      <c r="AT65" s="34"/>
      <c r="AV65" s="34"/>
      <c r="AX65" s="34"/>
      <c r="AY65"/>
      <c r="BA65" s="34"/>
      <c r="BB65"/>
      <c r="BC65" t="s">
        <v>876</v>
      </c>
      <c r="BD65" s="36">
        <v>175000</v>
      </c>
      <c r="BE65" s="36">
        <v>175000</v>
      </c>
      <c r="BF65">
        <v>0</v>
      </c>
      <c r="BG65" s="34">
        <v>43344</v>
      </c>
      <c r="BH65">
        <v>24</v>
      </c>
      <c r="BI65" t="s">
        <v>974</v>
      </c>
      <c r="BJ65" t="s">
        <v>975</v>
      </c>
      <c r="BK65" t="s">
        <v>934</v>
      </c>
      <c r="BL65" t="s">
        <v>194</v>
      </c>
      <c r="BM65" s="8" t="s">
        <v>192</v>
      </c>
      <c r="BN65" t="s">
        <v>189</v>
      </c>
      <c r="BO65" t="s">
        <v>190</v>
      </c>
      <c r="BP65" s="35" t="s">
        <v>861</v>
      </c>
      <c r="BQ65"/>
      <c r="BU65" s="35"/>
      <c r="BV65" s="35"/>
      <c r="BX65"/>
      <c r="CA65" s="35"/>
      <c r="CB65" s="35"/>
      <c r="CC65"/>
      <c r="CG65" s="35"/>
      <c r="CH65" s="35"/>
      <c r="CK65"/>
      <c r="CM65" s="35"/>
      <c r="CN65" s="35"/>
      <c r="CQ65"/>
      <c r="CS65" s="35"/>
      <c r="CT65" s="35"/>
      <c r="CX65"/>
      <c r="CZ65" s="35"/>
      <c r="DD65" s="34"/>
      <c r="DG65" t="s">
        <v>874</v>
      </c>
      <c r="DH65" t="s">
        <v>980</v>
      </c>
      <c r="DI65" t="s">
        <v>280</v>
      </c>
      <c r="DL65" t="s">
        <v>686</v>
      </c>
      <c r="DM65">
        <v>7</v>
      </c>
      <c r="DN65">
        <v>7</v>
      </c>
      <c r="DO65" t="s">
        <v>875</v>
      </c>
      <c r="DQ65" t="s">
        <v>927</v>
      </c>
      <c r="DR65">
        <v>14</v>
      </c>
      <c r="DS65">
        <v>1</v>
      </c>
      <c r="DU65">
        <v>14</v>
      </c>
      <c r="DV65">
        <v>1</v>
      </c>
      <c r="DX65">
        <v>14</v>
      </c>
      <c r="DY65">
        <v>1</v>
      </c>
      <c r="DZ65" t="s">
        <v>246</v>
      </c>
      <c r="EA65" t="s">
        <v>929</v>
      </c>
    </row>
    <row r="66" spans="1:131" x14ac:dyDescent="0.4">
      <c r="A66" s="34">
        <v>43067.305104166669</v>
      </c>
      <c r="B66" s="25">
        <v>42956.581944444442</v>
      </c>
      <c r="D66" s="34"/>
      <c r="E66" s="34" t="s">
        <v>193</v>
      </c>
      <c r="F66" s="34" t="s">
        <v>191</v>
      </c>
      <c r="G66" s="34" t="s">
        <v>100</v>
      </c>
      <c r="H66" t="s">
        <v>856</v>
      </c>
      <c r="I66" t="s">
        <v>243</v>
      </c>
      <c r="J66" t="s">
        <v>857</v>
      </c>
      <c r="K66" t="s">
        <v>729</v>
      </c>
      <c r="L66" t="s">
        <v>855</v>
      </c>
      <c r="M66" s="30">
        <v>1.01</v>
      </c>
      <c r="N66">
        <v>7</v>
      </c>
      <c r="P66" s="24" t="str">
        <f>IFERROR(MID(RADataTable[[#This Row],[RATemplate]],1,LEN(RADataTable[[#This Row],[RATemplate]])-8),"RA") &amp; " " &amp; RADataTable[[#This Row],[prop_id0]] &amp; " " &amp; RADataTable[[#This Row],[last0]]</f>
        <v>RA 1755791 Goswami</v>
      </c>
      <c r="T66">
        <v>3</v>
      </c>
      <c r="U66">
        <v>3</v>
      </c>
      <c r="V66" s="34">
        <v>43031.369444444441</v>
      </c>
      <c r="W66">
        <v>1</v>
      </c>
      <c r="X66" s="15" t="str">
        <f>HYPERLINK("https://www.ejacket.nsf.gov/ej/showProposal.do?Continue=Y&amp;ID="&amp;RADataTable[[#This Row],[prop_id0]],"eJ")</f>
        <v>eJ</v>
      </c>
      <c r="Y66" s="15" t="str">
        <f>HYPERLINK("mailto:"&amp;RADataTable[[#This Row],[email]]&amp;"&amp;subject=Your NSF Proposal:  "&amp;RADataTable[[#This Row],[Div]]&amp;" "&amp;RADataTable[[#This Row],[prop_id0]], RADataTable[[#This Row],[email]])</f>
        <v>Mayank.Goswami@qc.cuny.edu</v>
      </c>
      <c r="Z66" s="15" t="str">
        <f>HYPERLINK("mailto:"&amp;RADataTable[[#This Row],[allPIemail]]&amp;"&amp;subject=NSF Proposal:  "&amp;RADataTable[[#This Row],[Div]]&amp;" "&amp;RADataTable[[#This Row],[prop_id0]], "PIs@")</f>
        <v>PIs@</v>
      </c>
      <c r="AA66" t="s">
        <v>245</v>
      </c>
      <c r="AB66" t="s">
        <v>686</v>
      </c>
      <c r="AC66" s="30" t="s">
        <v>871</v>
      </c>
      <c r="AD66" t="s">
        <v>872</v>
      </c>
      <c r="AE66" t="s">
        <v>873</v>
      </c>
      <c r="AF66" s="36">
        <v>175000</v>
      </c>
      <c r="AG66" s="36">
        <v>175000</v>
      </c>
      <c r="AH66" s="24"/>
      <c r="AJ66" s="34"/>
      <c r="AK66" t="s">
        <v>923</v>
      </c>
      <c r="AL66" t="s">
        <v>282</v>
      </c>
      <c r="AM66" s="34" t="s">
        <v>925</v>
      </c>
      <c r="AN66" s="34">
        <v>43032</v>
      </c>
      <c r="AO66" s="24">
        <v>1</v>
      </c>
      <c r="AP66" t="s">
        <v>979</v>
      </c>
      <c r="AR66" s="35"/>
      <c r="AS66"/>
      <c r="AT66" s="34"/>
      <c r="AV66" s="34"/>
      <c r="AX66" s="34"/>
      <c r="AY66"/>
      <c r="BA66" s="34"/>
      <c r="BB66"/>
      <c r="BC66" t="s">
        <v>876</v>
      </c>
      <c r="BD66" s="36">
        <v>175000</v>
      </c>
      <c r="BE66" s="36">
        <v>175000</v>
      </c>
      <c r="BF66">
        <v>0</v>
      </c>
      <c r="BG66" s="34">
        <v>43344</v>
      </c>
      <c r="BH66">
        <v>24</v>
      </c>
      <c r="BI66" t="s">
        <v>974</v>
      </c>
      <c r="BJ66" t="s">
        <v>975</v>
      </c>
      <c r="BK66" t="s">
        <v>934</v>
      </c>
      <c r="BL66" t="s">
        <v>194</v>
      </c>
      <c r="BM66" s="8" t="s">
        <v>192</v>
      </c>
      <c r="BN66" t="s">
        <v>189</v>
      </c>
      <c r="BO66" t="s">
        <v>190</v>
      </c>
      <c r="BP66" s="35" t="s">
        <v>861</v>
      </c>
      <c r="BQ66"/>
      <c r="BU66" s="35"/>
      <c r="BV66" s="35"/>
      <c r="BX66"/>
      <c r="CA66" s="35"/>
      <c r="CB66" s="35"/>
      <c r="CC66"/>
      <c r="CG66" s="35"/>
      <c r="CH66" s="35"/>
      <c r="CK66"/>
      <c r="CM66" s="35"/>
      <c r="CN66" s="35"/>
      <c r="CQ66"/>
      <c r="CS66" s="35"/>
      <c r="CT66" s="35"/>
      <c r="CX66"/>
      <c r="CZ66" s="35"/>
      <c r="DD66" s="34"/>
      <c r="DG66" t="s">
        <v>874</v>
      </c>
      <c r="DH66" t="s">
        <v>980</v>
      </c>
      <c r="DI66" t="s">
        <v>280</v>
      </c>
      <c r="DL66" t="s">
        <v>686</v>
      </c>
      <c r="DM66">
        <v>7</v>
      </c>
      <c r="DN66">
        <v>7</v>
      </c>
      <c r="DO66" t="s">
        <v>875</v>
      </c>
      <c r="DQ66" t="s">
        <v>927</v>
      </c>
      <c r="DR66">
        <v>14</v>
      </c>
      <c r="DS66">
        <v>1</v>
      </c>
      <c r="DU66">
        <v>14</v>
      </c>
      <c r="DV66">
        <v>1</v>
      </c>
      <c r="DX66">
        <v>14</v>
      </c>
      <c r="DY66">
        <v>1</v>
      </c>
      <c r="DZ66" t="s">
        <v>246</v>
      </c>
      <c r="EA66" t="s">
        <v>929</v>
      </c>
    </row>
    <row r="67" spans="1:131" x14ac:dyDescent="0.4">
      <c r="A67" s="34">
        <v>43067.305104166669</v>
      </c>
      <c r="B67" s="25">
        <v>42956.581944444442</v>
      </c>
      <c r="D67" s="34"/>
      <c r="E67" s="34" t="s">
        <v>193</v>
      </c>
      <c r="F67" s="34" t="s">
        <v>191</v>
      </c>
      <c r="G67" s="34" t="s">
        <v>100</v>
      </c>
      <c r="H67" t="s">
        <v>856</v>
      </c>
      <c r="I67" t="s">
        <v>243</v>
      </c>
      <c r="J67" t="s">
        <v>857</v>
      </c>
      <c r="K67" t="s">
        <v>729</v>
      </c>
      <c r="L67" t="s">
        <v>855</v>
      </c>
      <c r="M67" s="30">
        <v>1.01</v>
      </c>
      <c r="N67">
        <v>7</v>
      </c>
      <c r="P67" s="24" t="str">
        <f>IFERROR(MID(RADataTable[[#This Row],[RATemplate]],1,LEN(RADataTable[[#This Row],[RATemplate]])-8),"RA") &amp; " " &amp; RADataTable[[#This Row],[prop_id0]] &amp; " " &amp; RADataTable[[#This Row],[last0]]</f>
        <v>RA 1755791 Goswami</v>
      </c>
      <c r="T67">
        <v>3</v>
      </c>
      <c r="U67">
        <v>3</v>
      </c>
      <c r="V67" s="34">
        <v>43031.369444444441</v>
      </c>
      <c r="W67">
        <v>1</v>
      </c>
      <c r="X67" s="15" t="str">
        <f>HYPERLINK("https://www.ejacket.nsf.gov/ej/showProposal.do?Continue=Y&amp;ID="&amp;RADataTable[[#This Row],[prop_id0]],"eJ")</f>
        <v>eJ</v>
      </c>
      <c r="Y67" s="15" t="str">
        <f>HYPERLINK("mailto:"&amp;RADataTable[[#This Row],[email]]&amp;"&amp;subject=Your NSF Proposal:  "&amp;RADataTable[[#This Row],[Div]]&amp;" "&amp;RADataTable[[#This Row],[prop_id0]], RADataTable[[#This Row],[email]])</f>
        <v>Mayank.Goswami@qc.cuny.edu</v>
      </c>
      <c r="Z67" s="15" t="str">
        <f>HYPERLINK("mailto:"&amp;RADataTable[[#This Row],[allPIemail]]&amp;"&amp;subject=NSF Proposal:  "&amp;RADataTable[[#This Row],[Div]]&amp;" "&amp;RADataTable[[#This Row],[prop_id0]], "PIs@")</f>
        <v>PIs@</v>
      </c>
      <c r="AA67" t="s">
        <v>245</v>
      </c>
      <c r="AB67" t="s">
        <v>686</v>
      </c>
      <c r="AC67" s="30" t="s">
        <v>871</v>
      </c>
      <c r="AD67" t="s">
        <v>872</v>
      </c>
      <c r="AE67" t="s">
        <v>873</v>
      </c>
      <c r="AF67" s="36">
        <v>175000</v>
      </c>
      <c r="AG67" s="36">
        <v>175000</v>
      </c>
      <c r="AH67" s="24"/>
      <c r="AJ67" s="34"/>
      <c r="AK67" t="s">
        <v>923</v>
      </c>
      <c r="AL67" t="s">
        <v>282</v>
      </c>
      <c r="AM67" s="34" t="s">
        <v>925</v>
      </c>
      <c r="AN67" s="34">
        <v>43032</v>
      </c>
      <c r="AO67" s="24">
        <v>1</v>
      </c>
      <c r="AP67" t="s">
        <v>979</v>
      </c>
      <c r="AR67" s="35"/>
      <c r="AS67"/>
      <c r="AT67" s="34"/>
      <c r="AV67" s="34"/>
      <c r="AX67" s="34"/>
      <c r="AY67"/>
      <c r="BA67" s="34"/>
      <c r="BB67"/>
      <c r="BC67" t="s">
        <v>876</v>
      </c>
      <c r="BD67" s="36">
        <v>175000</v>
      </c>
      <c r="BE67" s="36">
        <v>175000</v>
      </c>
      <c r="BF67">
        <v>0</v>
      </c>
      <c r="BG67" s="34">
        <v>43344</v>
      </c>
      <c r="BH67">
        <v>24</v>
      </c>
      <c r="BI67" t="s">
        <v>974</v>
      </c>
      <c r="BJ67" t="s">
        <v>975</v>
      </c>
      <c r="BK67" t="s">
        <v>934</v>
      </c>
      <c r="BL67" t="s">
        <v>194</v>
      </c>
      <c r="BM67" s="8" t="s">
        <v>192</v>
      </c>
      <c r="BN67" t="s">
        <v>189</v>
      </c>
      <c r="BO67" t="s">
        <v>190</v>
      </c>
      <c r="BP67" s="35" t="s">
        <v>861</v>
      </c>
      <c r="BQ67"/>
      <c r="BU67" s="35"/>
      <c r="BV67" s="35"/>
      <c r="BX67"/>
      <c r="CA67" s="35"/>
      <c r="CB67" s="35"/>
      <c r="CC67"/>
      <c r="CG67" s="35"/>
      <c r="CH67" s="35"/>
      <c r="CK67"/>
      <c r="CM67" s="35"/>
      <c r="CN67" s="35"/>
      <c r="CQ67"/>
      <c r="CS67" s="35"/>
      <c r="CT67" s="35"/>
      <c r="CX67"/>
      <c r="CZ67" s="35"/>
      <c r="DD67" s="34"/>
      <c r="DG67" t="s">
        <v>874</v>
      </c>
      <c r="DH67" t="s">
        <v>980</v>
      </c>
      <c r="DI67" t="s">
        <v>280</v>
      </c>
      <c r="DL67" t="s">
        <v>686</v>
      </c>
      <c r="DM67">
        <v>7</v>
      </c>
      <c r="DN67">
        <v>7</v>
      </c>
      <c r="DO67" t="s">
        <v>875</v>
      </c>
      <c r="DQ67" t="s">
        <v>927</v>
      </c>
      <c r="DR67">
        <v>14</v>
      </c>
      <c r="DS67">
        <v>1</v>
      </c>
      <c r="DU67">
        <v>14</v>
      </c>
      <c r="DV67">
        <v>1</v>
      </c>
      <c r="DX67">
        <v>14</v>
      </c>
      <c r="DY67">
        <v>1</v>
      </c>
      <c r="DZ67" t="s">
        <v>246</v>
      </c>
      <c r="EA67" t="s">
        <v>929</v>
      </c>
    </row>
    <row r="68" spans="1:131" x14ac:dyDescent="0.4">
      <c r="A68" s="34">
        <v>43067.305104166669</v>
      </c>
      <c r="B68" s="25">
        <v>42956.581944444442</v>
      </c>
      <c r="D68" s="34"/>
      <c r="E68" s="34" t="s">
        <v>193</v>
      </c>
      <c r="F68" s="34" t="s">
        <v>191</v>
      </c>
      <c r="G68" s="34" t="s">
        <v>100</v>
      </c>
      <c r="H68" t="s">
        <v>856</v>
      </c>
      <c r="I68" t="s">
        <v>243</v>
      </c>
      <c r="J68" t="s">
        <v>857</v>
      </c>
      <c r="K68" t="s">
        <v>729</v>
      </c>
      <c r="L68" t="s">
        <v>855</v>
      </c>
      <c r="M68" s="30">
        <v>1.01</v>
      </c>
      <c r="N68">
        <v>7</v>
      </c>
      <c r="P68" s="24" t="str">
        <f>IFERROR(MID(RADataTable[[#This Row],[RATemplate]],1,LEN(RADataTable[[#This Row],[RATemplate]])-8),"RA") &amp; " " &amp; RADataTable[[#This Row],[prop_id0]] &amp; " " &amp; RADataTable[[#This Row],[last0]]</f>
        <v>RA 1755791 Goswami</v>
      </c>
      <c r="T68">
        <v>3</v>
      </c>
      <c r="U68">
        <v>3</v>
      </c>
      <c r="V68" s="34">
        <v>43031.369444444441</v>
      </c>
      <c r="W68">
        <v>1</v>
      </c>
      <c r="X68" s="15" t="str">
        <f>HYPERLINK("https://www.ejacket.nsf.gov/ej/showProposal.do?Continue=Y&amp;ID="&amp;RADataTable[[#This Row],[prop_id0]],"eJ")</f>
        <v>eJ</v>
      </c>
      <c r="Y68" s="15" t="str">
        <f>HYPERLINK("mailto:"&amp;RADataTable[[#This Row],[email]]&amp;"&amp;subject=Your NSF Proposal:  "&amp;RADataTable[[#This Row],[Div]]&amp;" "&amp;RADataTable[[#This Row],[prop_id0]], RADataTable[[#This Row],[email]])</f>
        <v>Mayank.Goswami@qc.cuny.edu</v>
      </c>
      <c r="Z68" s="15" t="str">
        <f>HYPERLINK("mailto:"&amp;RADataTable[[#This Row],[allPIemail]]&amp;"&amp;subject=NSF Proposal:  "&amp;RADataTable[[#This Row],[Div]]&amp;" "&amp;RADataTable[[#This Row],[prop_id0]], "PIs@")</f>
        <v>PIs@</v>
      </c>
      <c r="AA68" t="s">
        <v>245</v>
      </c>
      <c r="AB68" t="s">
        <v>686</v>
      </c>
      <c r="AC68" s="30" t="s">
        <v>871</v>
      </c>
      <c r="AD68" t="s">
        <v>872</v>
      </c>
      <c r="AE68" t="s">
        <v>873</v>
      </c>
      <c r="AF68" s="36">
        <v>175000</v>
      </c>
      <c r="AG68" s="36">
        <v>175000</v>
      </c>
      <c r="AH68" s="24"/>
      <c r="AJ68" s="34"/>
      <c r="AK68" t="s">
        <v>923</v>
      </c>
      <c r="AL68" t="s">
        <v>282</v>
      </c>
      <c r="AM68" s="34" t="s">
        <v>925</v>
      </c>
      <c r="AN68" s="34">
        <v>43032</v>
      </c>
      <c r="AO68" s="24">
        <v>1</v>
      </c>
      <c r="AP68" t="s">
        <v>979</v>
      </c>
      <c r="AR68" s="35"/>
      <c r="AS68"/>
      <c r="AT68" s="34"/>
      <c r="AV68" s="34"/>
      <c r="AX68" s="34"/>
      <c r="AY68"/>
      <c r="BA68" s="34"/>
      <c r="BB68"/>
      <c r="BC68" t="s">
        <v>876</v>
      </c>
      <c r="BD68" s="36">
        <v>175000</v>
      </c>
      <c r="BE68" s="36">
        <v>175000</v>
      </c>
      <c r="BF68">
        <v>0</v>
      </c>
      <c r="BG68" s="34">
        <v>43344</v>
      </c>
      <c r="BH68">
        <v>24</v>
      </c>
      <c r="BI68" t="s">
        <v>974</v>
      </c>
      <c r="BJ68" t="s">
        <v>975</v>
      </c>
      <c r="BK68" t="s">
        <v>934</v>
      </c>
      <c r="BL68" t="s">
        <v>194</v>
      </c>
      <c r="BM68" s="8" t="s">
        <v>192</v>
      </c>
      <c r="BN68" t="s">
        <v>189</v>
      </c>
      <c r="BO68" t="s">
        <v>190</v>
      </c>
      <c r="BP68" s="35" t="s">
        <v>861</v>
      </c>
      <c r="BQ68"/>
      <c r="BU68" s="35"/>
      <c r="BV68" s="35"/>
      <c r="BX68"/>
      <c r="CA68" s="35"/>
      <c r="CB68" s="35"/>
      <c r="CC68"/>
      <c r="CG68" s="35"/>
      <c r="CH68" s="35"/>
      <c r="CK68"/>
      <c r="CM68" s="35"/>
      <c r="CN68" s="35"/>
      <c r="CQ68"/>
      <c r="CS68" s="35"/>
      <c r="CT68" s="35"/>
      <c r="CX68"/>
      <c r="CZ68" s="35"/>
      <c r="DD68" s="34"/>
      <c r="DG68" t="s">
        <v>874</v>
      </c>
      <c r="DH68" t="s">
        <v>980</v>
      </c>
      <c r="DI68" t="s">
        <v>280</v>
      </c>
      <c r="DL68" t="s">
        <v>686</v>
      </c>
      <c r="DM68">
        <v>7</v>
      </c>
      <c r="DN68">
        <v>7</v>
      </c>
      <c r="DO68" t="s">
        <v>875</v>
      </c>
      <c r="DQ68" t="s">
        <v>927</v>
      </c>
      <c r="DR68">
        <v>14</v>
      </c>
      <c r="DS68">
        <v>1</v>
      </c>
      <c r="DU68">
        <v>14</v>
      </c>
      <c r="DV68">
        <v>1</v>
      </c>
      <c r="DX68">
        <v>14</v>
      </c>
      <c r="DY68">
        <v>1</v>
      </c>
      <c r="DZ68" t="s">
        <v>246</v>
      </c>
      <c r="EA68" t="s">
        <v>929</v>
      </c>
    </row>
    <row r="69" spans="1:131" x14ac:dyDescent="0.4">
      <c r="A69" s="34">
        <v>43067.305104166669</v>
      </c>
      <c r="B69" s="25">
        <v>42956.581944444442</v>
      </c>
      <c r="D69" s="34"/>
      <c r="E69" s="34" t="s">
        <v>193</v>
      </c>
      <c r="F69" s="34" t="s">
        <v>191</v>
      </c>
      <c r="G69" s="34" t="s">
        <v>100</v>
      </c>
      <c r="H69" t="s">
        <v>856</v>
      </c>
      <c r="I69" t="s">
        <v>243</v>
      </c>
      <c r="J69" t="s">
        <v>857</v>
      </c>
      <c r="K69" t="s">
        <v>729</v>
      </c>
      <c r="L69" t="s">
        <v>855</v>
      </c>
      <c r="M69" s="30">
        <v>1.01</v>
      </c>
      <c r="N69">
        <v>7</v>
      </c>
      <c r="P69" s="24" t="str">
        <f>IFERROR(MID(RADataTable[[#This Row],[RATemplate]],1,LEN(RADataTable[[#This Row],[RATemplate]])-8),"RA") &amp; " " &amp; RADataTable[[#This Row],[prop_id0]] &amp; " " &amp; RADataTable[[#This Row],[last0]]</f>
        <v>RA 1755791 Goswami</v>
      </c>
      <c r="T69">
        <v>3</v>
      </c>
      <c r="U69">
        <v>3</v>
      </c>
      <c r="V69" s="34">
        <v>43031.369444444441</v>
      </c>
      <c r="W69">
        <v>1</v>
      </c>
      <c r="X69" s="15" t="str">
        <f>HYPERLINK("https://www.ejacket.nsf.gov/ej/showProposal.do?Continue=Y&amp;ID="&amp;RADataTable[[#This Row],[prop_id0]],"eJ")</f>
        <v>eJ</v>
      </c>
      <c r="Y69" s="15" t="str">
        <f>HYPERLINK("mailto:"&amp;RADataTable[[#This Row],[email]]&amp;"&amp;subject=Your NSF Proposal:  "&amp;RADataTable[[#This Row],[Div]]&amp;" "&amp;RADataTable[[#This Row],[prop_id0]], RADataTable[[#This Row],[email]])</f>
        <v>Mayank.Goswami@qc.cuny.edu</v>
      </c>
      <c r="Z69" s="15" t="str">
        <f>HYPERLINK("mailto:"&amp;RADataTable[[#This Row],[allPIemail]]&amp;"&amp;subject=NSF Proposal:  "&amp;RADataTable[[#This Row],[Div]]&amp;" "&amp;RADataTable[[#This Row],[prop_id0]], "PIs@")</f>
        <v>PIs@</v>
      </c>
      <c r="AA69" t="s">
        <v>245</v>
      </c>
      <c r="AB69" t="s">
        <v>686</v>
      </c>
      <c r="AC69" s="30" t="s">
        <v>871</v>
      </c>
      <c r="AD69" t="s">
        <v>872</v>
      </c>
      <c r="AE69" t="s">
        <v>873</v>
      </c>
      <c r="AF69" s="36">
        <v>175000</v>
      </c>
      <c r="AG69" s="36">
        <v>175000</v>
      </c>
      <c r="AH69" s="24"/>
      <c r="AJ69" s="34"/>
      <c r="AK69" t="s">
        <v>923</v>
      </c>
      <c r="AL69" t="s">
        <v>282</v>
      </c>
      <c r="AM69" s="34" t="s">
        <v>925</v>
      </c>
      <c r="AN69" s="34">
        <v>43032</v>
      </c>
      <c r="AO69" s="24">
        <v>1</v>
      </c>
      <c r="AP69" t="s">
        <v>979</v>
      </c>
      <c r="AR69" s="35"/>
      <c r="AS69"/>
      <c r="AT69" s="34"/>
      <c r="AV69" s="34"/>
      <c r="AX69" s="34"/>
      <c r="AY69"/>
      <c r="BA69" s="34"/>
      <c r="BB69"/>
      <c r="BC69" t="s">
        <v>876</v>
      </c>
      <c r="BD69" s="36">
        <v>175000</v>
      </c>
      <c r="BE69" s="36">
        <v>175000</v>
      </c>
      <c r="BF69">
        <v>0</v>
      </c>
      <c r="BG69" s="34">
        <v>43344</v>
      </c>
      <c r="BH69">
        <v>24</v>
      </c>
      <c r="BI69" t="s">
        <v>974</v>
      </c>
      <c r="BJ69" t="s">
        <v>975</v>
      </c>
      <c r="BK69" t="s">
        <v>934</v>
      </c>
      <c r="BL69" t="s">
        <v>194</v>
      </c>
      <c r="BM69" s="8" t="s">
        <v>192</v>
      </c>
      <c r="BN69" t="s">
        <v>189</v>
      </c>
      <c r="BO69" t="s">
        <v>190</v>
      </c>
      <c r="BP69" s="35" t="s">
        <v>861</v>
      </c>
      <c r="BQ69"/>
      <c r="BU69" s="35"/>
      <c r="BV69" s="35"/>
      <c r="BX69"/>
      <c r="CA69" s="35"/>
      <c r="CB69" s="35"/>
      <c r="CC69"/>
      <c r="CG69" s="35"/>
      <c r="CH69" s="35"/>
      <c r="CK69"/>
      <c r="CM69" s="35"/>
      <c r="CN69" s="35"/>
      <c r="CQ69"/>
      <c r="CS69" s="35"/>
      <c r="CT69" s="35"/>
      <c r="CX69"/>
      <c r="CZ69" s="35"/>
      <c r="DD69" s="34"/>
      <c r="DG69" t="s">
        <v>874</v>
      </c>
      <c r="DH69" t="s">
        <v>980</v>
      </c>
      <c r="DI69" t="s">
        <v>280</v>
      </c>
      <c r="DL69" t="s">
        <v>686</v>
      </c>
      <c r="DM69">
        <v>7</v>
      </c>
      <c r="DN69">
        <v>7</v>
      </c>
      <c r="DO69" t="s">
        <v>875</v>
      </c>
      <c r="DQ69" t="s">
        <v>927</v>
      </c>
      <c r="DR69">
        <v>14</v>
      </c>
      <c r="DS69">
        <v>1</v>
      </c>
      <c r="DU69">
        <v>14</v>
      </c>
      <c r="DV69">
        <v>1</v>
      </c>
      <c r="DX69">
        <v>14</v>
      </c>
      <c r="DY69">
        <v>1</v>
      </c>
      <c r="DZ69" t="s">
        <v>246</v>
      </c>
      <c r="EA69" t="s">
        <v>929</v>
      </c>
    </row>
    <row r="70" spans="1:131" x14ac:dyDescent="0.4">
      <c r="A70" s="34">
        <v>43067.305104166669</v>
      </c>
      <c r="B70" s="25">
        <v>42956.581944444442</v>
      </c>
      <c r="D70" s="34"/>
      <c r="E70" s="34" t="s">
        <v>193</v>
      </c>
      <c r="F70" s="34" t="s">
        <v>191</v>
      </c>
      <c r="G70" s="34" t="s">
        <v>100</v>
      </c>
      <c r="H70" t="s">
        <v>856</v>
      </c>
      <c r="I70" t="s">
        <v>243</v>
      </c>
      <c r="J70" t="s">
        <v>857</v>
      </c>
      <c r="K70" t="s">
        <v>729</v>
      </c>
      <c r="L70" t="s">
        <v>855</v>
      </c>
      <c r="M70" s="30">
        <v>1.01</v>
      </c>
      <c r="N70">
        <v>7</v>
      </c>
      <c r="P70" s="24" t="str">
        <f>IFERROR(MID(RADataTable[[#This Row],[RATemplate]],1,LEN(RADataTable[[#This Row],[RATemplate]])-8),"RA") &amp; " " &amp; RADataTable[[#This Row],[prop_id0]] &amp; " " &amp; RADataTable[[#This Row],[last0]]</f>
        <v>RA 1755791 Goswami</v>
      </c>
      <c r="T70">
        <v>3</v>
      </c>
      <c r="U70">
        <v>3</v>
      </c>
      <c r="V70" s="34">
        <v>43031.369444444441</v>
      </c>
      <c r="W70">
        <v>1</v>
      </c>
      <c r="X70" s="15" t="str">
        <f>HYPERLINK("https://www.ejacket.nsf.gov/ej/showProposal.do?Continue=Y&amp;ID="&amp;RADataTable[[#This Row],[prop_id0]],"eJ")</f>
        <v>eJ</v>
      </c>
      <c r="Y70" s="15" t="str">
        <f>HYPERLINK("mailto:"&amp;RADataTable[[#This Row],[email]]&amp;"&amp;subject=Your NSF Proposal:  "&amp;RADataTable[[#This Row],[Div]]&amp;" "&amp;RADataTable[[#This Row],[prop_id0]], RADataTable[[#This Row],[email]])</f>
        <v>Mayank.Goswami@qc.cuny.edu</v>
      </c>
      <c r="Z70" s="15" t="str">
        <f>HYPERLINK("mailto:"&amp;RADataTable[[#This Row],[allPIemail]]&amp;"&amp;subject=NSF Proposal:  "&amp;RADataTable[[#This Row],[Div]]&amp;" "&amp;RADataTable[[#This Row],[prop_id0]], "PIs@")</f>
        <v>PIs@</v>
      </c>
      <c r="AA70" t="s">
        <v>245</v>
      </c>
      <c r="AB70" t="s">
        <v>686</v>
      </c>
      <c r="AC70" s="30" t="s">
        <v>871</v>
      </c>
      <c r="AD70" t="s">
        <v>872</v>
      </c>
      <c r="AE70" t="s">
        <v>873</v>
      </c>
      <c r="AF70" s="36">
        <v>175000</v>
      </c>
      <c r="AG70" s="36">
        <v>175000</v>
      </c>
      <c r="AH70" s="24"/>
      <c r="AJ70" s="34"/>
      <c r="AK70" t="s">
        <v>923</v>
      </c>
      <c r="AL70" t="s">
        <v>282</v>
      </c>
      <c r="AM70" s="34" t="s">
        <v>925</v>
      </c>
      <c r="AN70" s="34">
        <v>43032</v>
      </c>
      <c r="AO70" s="24">
        <v>1</v>
      </c>
      <c r="AP70" t="s">
        <v>979</v>
      </c>
      <c r="AR70" s="35"/>
      <c r="AS70"/>
      <c r="AT70" s="34"/>
      <c r="AV70" s="34"/>
      <c r="AX70" s="34"/>
      <c r="AY70"/>
      <c r="BA70" s="34"/>
      <c r="BB70"/>
      <c r="BC70" t="s">
        <v>876</v>
      </c>
      <c r="BD70" s="36">
        <v>175000</v>
      </c>
      <c r="BE70" s="36">
        <v>175000</v>
      </c>
      <c r="BF70">
        <v>0</v>
      </c>
      <c r="BG70" s="34">
        <v>43344</v>
      </c>
      <c r="BH70">
        <v>24</v>
      </c>
      <c r="BI70" t="s">
        <v>974</v>
      </c>
      <c r="BJ70" t="s">
        <v>975</v>
      </c>
      <c r="BK70" t="s">
        <v>934</v>
      </c>
      <c r="BL70" t="s">
        <v>194</v>
      </c>
      <c r="BM70" s="8" t="s">
        <v>192</v>
      </c>
      <c r="BN70" t="s">
        <v>189</v>
      </c>
      <c r="BO70" t="s">
        <v>190</v>
      </c>
      <c r="BP70" s="35" t="s">
        <v>861</v>
      </c>
      <c r="BQ70"/>
      <c r="BU70" s="35"/>
      <c r="BV70" s="35"/>
      <c r="BX70"/>
      <c r="CA70" s="35"/>
      <c r="CB70" s="35"/>
      <c r="CC70"/>
      <c r="CG70" s="35"/>
      <c r="CH70" s="35"/>
      <c r="CK70"/>
      <c r="CM70" s="35"/>
      <c r="CN70" s="35"/>
      <c r="CQ70"/>
      <c r="CS70" s="35"/>
      <c r="CT70" s="35"/>
      <c r="CX70"/>
      <c r="CZ70" s="35"/>
      <c r="DD70" s="34"/>
      <c r="DG70" t="s">
        <v>874</v>
      </c>
      <c r="DH70" t="s">
        <v>980</v>
      </c>
      <c r="DI70" t="s">
        <v>280</v>
      </c>
      <c r="DL70" t="s">
        <v>686</v>
      </c>
      <c r="DM70">
        <v>7</v>
      </c>
      <c r="DN70">
        <v>7</v>
      </c>
      <c r="DO70" t="s">
        <v>875</v>
      </c>
      <c r="DQ70" t="s">
        <v>927</v>
      </c>
      <c r="DR70">
        <v>14</v>
      </c>
      <c r="DS70">
        <v>1</v>
      </c>
      <c r="DU70">
        <v>14</v>
      </c>
      <c r="DV70">
        <v>1</v>
      </c>
      <c r="DX70">
        <v>14</v>
      </c>
      <c r="DY70">
        <v>1</v>
      </c>
      <c r="DZ70" t="s">
        <v>246</v>
      </c>
      <c r="EA70" t="s">
        <v>929</v>
      </c>
    </row>
    <row r="71" spans="1:131" x14ac:dyDescent="0.4">
      <c r="A71" s="34">
        <v>43067.305104166669</v>
      </c>
      <c r="B71" s="25">
        <v>42956.581944444442</v>
      </c>
      <c r="D71" s="34"/>
      <c r="E71" s="34" t="s">
        <v>193</v>
      </c>
      <c r="F71" s="34" t="s">
        <v>191</v>
      </c>
      <c r="G71" s="34" t="s">
        <v>100</v>
      </c>
      <c r="H71" t="s">
        <v>856</v>
      </c>
      <c r="I71" t="s">
        <v>243</v>
      </c>
      <c r="J71" t="s">
        <v>857</v>
      </c>
      <c r="K71" t="s">
        <v>729</v>
      </c>
      <c r="L71" t="s">
        <v>855</v>
      </c>
      <c r="M71" s="30">
        <v>1.01</v>
      </c>
      <c r="N71">
        <v>7</v>
      </c>
      <c r="P71" s="24" t="str">
        <f>IFERROR(MID(RADataTable[[#This Row],[RATemplate]],1,LEN(RADataTable[[#This Row],[RATemplate]])-8),"RA") &amp; " " &amp; RADataTable[[#This Row],[prop_id0]] &amp; " " &amp; RADataTable[[#This Row],[last0]]</f>
        <v>RA 1755791 Goswami</v>
      </c>
      <c r="T71">
        <v>3</v>
      </c>
      <c r="U71">
        <v>3</v>
      </c>
      <c r="V71" s="34">
        <v>43031.369444444441</v>
      </c>
      <c r="W71">
        <v>1</v>
      </c>
      <c r="X71" s="15" t="str">
        <f>HYPERLINK("https://www.ejacket.nsf.gov/ej/showProposal.do?Continue=Y&amp;ID="&amp;RADataTable[[#This Row],[prop_id0]],"eJ")</f>
        <v>eJ</v>
      </c>
      <c r="Y71" s="15" t="str">
        <f>HYPERLINK("mailto:"&amp;RADataTable[[#This Row],[email]]&amp;"&amp;subject=Your NSF Proposal:  "&amp;RADataTable[[#This Row],[Div]]&amp;" "&amp;RADataTable[[#This Row],[prop_id0]], RADataTable[[#This Row],[email]])</f>
        <v>Mayank.Goswami@qc.cuny.edu</v>
      </c>
      <c r="Z71" s="15" t="str">
        <f>HYPERLINK("mailto:"&amp;RADataTable[[#This Row],[allPIemail]]&amp;"&amp;subject=NSF Proposal:  "&amp;RADataTable[[#This Row],[Div]]&amp;" "&amp;RADataTable[[#This Row],[prop_id0]], "PIs@")</f>
        <v>PIs@</v>
      </c>
      <c r="AA71" t="s">
        <v>245</v>
      </c>
      <c r="AB71" t="s">
        <v>686</v>
      </c>
      <c r="AC71" s="30" t="s">
        <v>871</v>
      </c>
      <c r="AD71" t="s">
        <v>872</v>
      </c>
      <c r="AE71" t="s">
        <v>873</v>
      </c>
      <c r="AF71" s="36">
        <v>175000</v>
      </c>
      <c r="AG71" s="36">
        <v>175000</v>
      </c>
      <c r="AH71" s="24"/>
      <c r="AJ71" s="34"/>
      <c r="AK71" t="s">
        <v>923</v>
      </c>
      <c r="AL71" t="s">
        <v>282</v>
      </c>
      <c r="AM71" s="34" t="s">
        <v>925</v>
      </c>
      <c r="AN71" s="34">
        <v>43032</v>
      </c>
      <c r="AO71" s="24">
        <v>1</v>
      </c>
      <c r="AP71" t="s">
        <v>979</v>
      </c>
      <c r="AR71" s="35"/>
      <c r="AS71"/>
      <c r="AT71" s="34"/>
      <c r="AV71" s="34"/>
      <c r="AX71" s="34"/>
      <c r="AY71"/>
      <c r="BA71" s="34"/>
      <c r="BB71"/>
      <c r="BC71" t="s">
        <v>876</v>
      </c>
      <c r="BD71" s="36">
        <v>175000</v>
      </c>
      <c r="BE71" s="36">
        <v>175000</v>
      </c>
      <c r="BF71">
        <v>0</v>
      </c>
      <c r="BG71" s="34">
        <v>43344</v>
      </c>
      <c r="BH71">
        <v>24</v>
      </c>
      <c r="BI71" t="s">
        <v>974</v>
      </c>
      <c r="BJ71" t="s">
        <v>975</v>
      </c>
      <c r="BK71" t="s">
        <v>934</v>
      </c>
      <c r="BL71" t="s">
        <v>194</v>
      </c>
      <c r="BM71" s="8" t="s">
        <v>192</v>
      </c>
      <c r="BN71" t="s">
        <v>189</v>
      </c>
      <c r="BO71" t="s">
        <v>190</v>
      </c>
      <c r="BP71" s="35" t="s">
        <v>861</v>
      </c>
      <c r="BQ71"/>
      <c r="BU71" s="35"/>
      <c r="BV71" s="35"/>
      <c r="BX71"/>
      <c r="CA71" s="35"/>
      <c r="CB71" s="35"/>
      <c r="CC71"/>
      <c r="CG71" s="35"/>
      <c r="CH71" s="35"/>
      <c r="CK71"/>
      <c r="CM71" s="35"/>
      <c r="CN71" s="35"/>
      <c r="CQ71"/>
      <c r="CS71" s="35"/>
      <c r="CT71" s="35"/>
      <c r="CX71"/>
      <c r="CZ71" s="35"/>
      <c r="DD71" s="34"/>
      <c r="DG71" t="s">
        <v>874</v>
      </c>
      <c r="DH71" t="s">
        <v>980</v>
      </c>
      <c r="DI71" t="s">
        <v>280</v>
      </c>
      <c r="DL71" t="s">
        <v>686</v>
      </c>
      <c r="DM71">
        <v>7</v>
      </c>
      <c r="DN71">
        <v>7</v>
      </c>
      <c r="DO71" t="s">
        <v>875</v>
      </c>
      <c r="DQ71" t="s">
        <v>927</v>
      </c>
      <c r="DR71">
        <v>14</v>
      </c>
      <c r="DS71">
        <v>1</v>
      </c>
      <c r="DU71">
        <v>14</v>
      </c>
      <c r="DV71">
        <v>1</v>
      </c>
      <c r="DX71">
        <v>14</v>
      </c>
      <c r="DY71">
        <v>1</v>
      </c>
      <c r="DZ71" t="s">
        <v>246</v>
      </c>
      <c r="EA71" t="s">
        <v>929</v>
      </c>
    </row>
    <row r="72" spans="1:131" x14ac:dyDescent="0.4">
      <c r="A72" s="34">
        <v>43067.305104166669</v>
      </c>
      <c r="B72" s="25">
        <v>42956.581944444442</v>
      </c>
      <c r="D72" s="34"/>
      <c r="E72" s="34" t="s">
        <v>193</v>
      </c>
      <c r="F72" s="34" t="s">
        <v>191</v>
      </c>
      <c r="G72" s="34" t="s">
        <v>100</v>
      </c>
      <c r="H72" t="s">
        <v>856</v>
      </c>
      <c r="I72" t="s">
        <v>243</v>
      </c>
      <c r="J72" t="s">
        <v>857</v>
      </c>
      <c r="K72" t="s">
        <v>729</v>
      </c>
      <c r="L72" t="s">
        <v>855</v>
      </c>
      <c r="M72" s="30">
        <v>1.01</v>
      </c>
      <c r="N72">
        <v>7</v>
      </c>
      <c r="P72" s="24" t="str">
        <f>IFERROR(MID(RADataTable[[#This Row],[RATemplate]],1,LEN(RADataTable[[#This Row],[RATemplate]])-8),"RA") &amp; " " &amp; RADataTable[[#This Row],[prop_id0]] &amp; " " &amp; RADataTable[[#This Row],[last0]]</f>
        <v>RA 1755791 Goswami</v>
      </c>
      <c r="T72">
        <v>3</v>
      </c>
      <c r="U72">
        <v>3</v>
      </c>
      <c r="V72" s="34">
        <v>43031.369444444441</v>
      </c>
      <c r="W72">
        <v>1</v>
      </c>
      <c r="X72" s="15" t="str">
        <f>HYPERLINK("https://www.ejacket.nsf.gov/ej/showProposal.do?Continue=Y&amp;ID="&amp;RADataTable[[#This Row],[prop_id0]],"eJ")</f>
        <v>eJ</v>
      </c>
      <c r="Y72" s="15" t="str">
        <f>HYPERLINK("mailto:"&amp;RADataTable[[#This Row],[email]]&amp;"&amp;subject=Your NSF Proposal:  "&amp;RADataTable[[#This Row],[Div]]&amp;" "&amp;RADataTable[[#This Row],[prop_id0]], RADataTable[[#This Row],[email]])</f>
        <v>Mayank.Goswami@qc.cuny.edu</v>
      </c>
      <c r="Z72" s="15" t="str">
        <f>HYPERLINK("mailto:"&amp;RADataTable[[#This Row],[allPIemail]]&amp;"&amp;subject=NSF Proposal:  "&amp;RADataTable[[#This Row],[Div]]&amp;" "&amp;RADataTable[[#This Row],[prop_id0]], "PIs@")</f>
        <v>PIs@</v>
      </c>
      <c r="AA72" t="s">
        <v>245</v>
      </c>
      <c r="AB72" t="s">
        <v>686</v>
      </c>
      <c r="AC72" s="30" t="s">
        <v>871</v>
      </c>
      <c r="AD72" t="s">
        <v>872</v>
      </c>
      <c r="AE72" t="s">
        <v>873</v>
      </c>
      <c r="AF72" s="36">
        <v>175000</v>
      </c>
      <c r="AG72" s="36">
        <v>175000</v>
      </c>
      <c r="AH72" s="24"/>
      <c r="AJ72" s="34"/>
      <c r="AK72" t="s">
        <v>923</v>
      </c>
      <c r="AL72" t="s">
        <v>282</v>
      </c>
      <c r="AM72" s="34" t="s">
        <v>925</v>
      </c>
      <c r="AN72" s="34">
        <v>43032</v>
      </c>
      <c r="AO72" s="24">
        <v>1</v>
      </c>
      <c r="AP72" t="s">
        <v>979</v>
      </c>
      <c r="AR72" s="35"/>
      <c r="AS72"/>
      <c r="AT72" s="34"/>
      <c r="AV72" s="34"/>
      <c r="AX72" s="34"/>
      <c r="AY72"/>
      <c r="BA72" s="34"/>
      <c r="BB72"/>
      <c r="BC72" t="s">
        <v>876</v>
      </c>
      <c r="BD72" s="36">
        <v>175000</v>
      </c>
      <c r="BE72" s="36">
        <v>175000</v>
      </c>
      <c r="BF72">
        <v>0</v>
      </c>
      <c r="BG72" s="34">
        <v>43344</v>
      </c>
      <c r="BH72">
        <v>24</v>
      </c>
      <c r="BI72" t="s">
        <v>974</v>
      </c>
      <c r="BJ72" t="s">
        <v>975</v>
      </c>
      <c r="BK72" t="s">
        <v>934</v>
      </c>
      <c r="BL72" t="s">
        <v>194</v>
      </c>
      <c r="BM72" s="8" t="s">
        <v>192</v>
      </c>
      <c r="BN72" t="s">
        <v>189</v>
      </c>
      <c r="BO72" t="s">
        <v>190</v>
      </c>
      <c r="BP72" s="35" t="s">
        <v>861</v>
      </c>
      <c r="BQ72"/>
      <c r="BU72" s="35"/>
      <c r="BV72" s="35"/>
      <c r="BX72"/>
      <c r="CA72" s="35"/>
      <c r="CB72" s="35"/>
      <c r="CC72"/>
      <c r="CG72" s="35"/>
      <c r="CH72" s="35"/>
      <c r="CK72"/>
      <c r="CM72" s="35"/>
      <c r="CN72" s="35"/>
      <c r="CQ72"/>
      <c r="CS72" s="35"/>
      <c r="CT72" s="35"/>
      <c r="CX72"/>
      <c r="CZ72" s="35"/>
      <c r="DD72" s="34"/>
      <c r="DG72" t="s">
        <v>874</v>
      </c>
      <c r="DH72" t="s">
        <v>980</v>
      </c>
      <c r="DI72" t="s">
        <v>280</v>
      </c>
      <c r="DL72" t="s">
        <v>686</v>
      </c>
      <c r="DM72">
        <v>7</v>
      </c>
      <c r="DN72">
        <v>7</v>
      </c>
      <c r="DO72" t="s">
        <v>875</v>
      </c>
      <c r="DQ72" t="s">
        <v>927</v>
      </c>
      <c r="DR72">
        <v>14</v>
      </c>
      <c r="DS72">
        <v>1</v>
      </c>
      <c r="DU72">
        <v>14</v>
      </c>
      <c r="DV72">
        <v>1</v>
      </c>
      <c r="DX72">
        <v>14</v>
      </c>
      <c r="DY72">
        <v>1</v>
      </c>
      <c r="DZ72" t="s">
        <v>246</v>
      </c>
      <c r="EA72" t="s">
        <v>929</v>
      </c>
    </row>
    <row r="73" spans="1:131" x14ac:dyDescent="0.4">
      <c r="A73" s="34">
        <v>43067.305104166669</v>
      </c>
      <c r="B73" s="25">
        <v>42956.581944444442</v>
      </c>
      <c r="D73" s="34"/>
      <c r="E73" s="34" t="s">
        <v>193</v>
      </c>
      <c r="F73" s="34" t="s">
        <v>191</v>
      </c>
      <c r="G73" s="34" t="s">
        <v>100</v>
      </c>
      <c r="H73" t="s">
        <v>856</v>
      </c>
      <c r="I73" t="s">
        <v>243</v>
      </c>
      <c r="J73" t="s">
        <v>857</v>
      </c>
      <c r="K73" t="s">
        <v>729</v>
      </c>
      <c r="L73" t="s">
        <v>855</v>
      </c>
      <c r="M73" s="30">
        <v>1.01</v>
      </c>
      <c r="N73">
        <v>7</v>
      </c>
      <c r="P73" s="24" t="str">
        <f>IFERROR(MID(RADataTable[[#This Row],[RATemplate]],1,LEN(RADataTable[[#This Row],[RATemplate]])-8),"RA") &amp; " " &amp; RADataTable[[#This Row],[prop_id0]] &amp; " " &amp; RADataTable[[#This Row],[last0]]</f>
        <v>RA 1755791 Goswami</v>
      </c>
      <c r="T73">
        <v>3</v>
      </c>
      <c r="U73">
        <v>3</v>
      </c>
      <c r="V73" s="34">
        <v>43031.369444444441</v>
      </c>
      <c r="W73">
        <v>1</v>
      </c>
      <c r="X73" s="15" t="str">
        <f>HYPERLINK("https://www.ejacket.nsf.gov/ej/showProposal.do?Continue=Y&amp;ID="&amp;RADataTable[[#This Row],[prop_id0]],"eJ")</f>
        <v>eJ</v>
      </c>
      <c r="Y73" s="15" t="str">
        <f>HYPERLINK("mailto:"&amp;RADataTable[[#This Row],[email]]&amp;"&amp;subject=Your NSF Proposal:  "&amp;RADataTable[[#This Row],[Div]]&amp;" "&amp;RADataTable[[#This Row],[prop_id0]], RADataTable[[#This Row],[email]])</f>
        <v>Mayank.Goswami@qc.cuny.edu</v>
      </c>
      <c r="Z73" s="15" t="str">
        <f>HYPERLINK("mailto:"&amp;RADataTable[[#This Row],[allPIemail]]&amp;"&amp;subject=NSF Proposal:  "&amp;RADataTable[[#This Row],[Div]]&amp;" "&amp;RADataTable[[#This Row],[prop_id0]], "PIs@")</f>
        <v>PIs@</v>
      </c>
      <c r="AA73" t="s">
        <v>245</v>
      </c>
      <c r="AB73" t="s">
        <v>686</v>
      </c>
      <c r="AC73" s="30" t="s">
        <v>871</v>
      </c>
      <c r="AD73" t="s">
        <v>872</v>
      </c>
      <c r="AE73" t="s">
        <v>873</v>
      </c>
      <c r="AF73" s="36">
        <v>175000</v>
      </c>
      <c r="AG73" s="36">
        <v>175000</v>
      </c>
      <c r="AH73" s="24"/>
      <c r="AJ73" s="34"/>
      <c r="AK73" t="s">
        <v>923</v>
      </c>
      <c r="AL73" t="s">
        <v>282</v>
      </c>
      <c r="AM73" s="34" t="s">
        <v>925</v>
      </c>
      <c r="AN73" s="34">
        <v>43032</v>
      </c>
      <c r="AO73" s="24">
        <v>1</v>
      </c>
      <c r="AP73" t="s">
        <v>979</v>
      </c>
      <c r="AR73" s="35"/>
      <c r="AS73"/>
      <c r="AT73" s="34"/>
      <c r="AV73" s="34"/>
      <c r="AX73" s="34"/>
      <c r="AY73"/>
      <c r="BA73" s="34"/>
      <c r="BB73"/>
      <c r="BC73" t="s">
        <v>876</v>
      </c>
      <c r="BD73" s="36">
        <v>175000</v>
      </c>
      <c r="BE73" s="36">
        <v>175000</v>
      </c>
      <c r="BF73">
        <v>0</v>
      </c>
      <c r="BG73" s="34">
        <v>43344</v>
      </c>
      <c r="BH73">
        <v>24</v>
      </c>
      <c r="BI73" t="s">
        <v>974</v>
      </c>
      <c r="BJ73" t="s">
        <v>975</v>
      </c>
      <c r="BK73" t="s">
        <v>934</v>
      </c>
      <c r="BL73" t="s">
        <v>194</v>
      </c>
      <c r="BM73" s="8" t="s">
        <v>192</v>
      </c>
      <c r="BN73" t="s">
        <v>189</v>
      </c>
      <c r="BO73" t="s">
        <v>190</v>
      </c>
      <c r="BP73" s="35" t="s">
        <v>861</v>
      </c>
      <c r="BQ73"/>
      <c r="BU73" s="35"/>
      <c r="BV73" s="35"/>
      <c r="BX73"/>
      <c r="CA73" s="35"/>
      <c r="CB73" s="35"/>
      <c r="CC73"/>
      <c r="CG73" s="35"/>
      <c r="CH73" s="35"/>
      <c r="CK73"/>
      <c r="CM73" s="35"/>
      <c r="CN73" s="35"/>
      <c r="CQ73"/>
      <c r="CS73" s="35"/>
      <c r="CT73" s="35"/>
      <c r="CX73"/>
      <c r="CZ73" s="35"/>
      <c r="DD73" s="34"/>
      <c r="DG73" t="s">
        <v>874</v>
      </c>
      <c r="DH73" t="s">
        <v>980</v>
      </c>
      <c r="DI73" t="s">
        <v>280</v>
      </c>
      <c r="DL73" t="s">
        <v>686</v>
      </c>
      <c r="DM73">
        <v>7</v>
      </c>
      <c r="DN73">
        <v>7</v>
      </c>
      <c r="DO73" t="s">
        <v>875</v>
      </c>
      <c r="DQ73" t="s">
        <v>927</v>
      </c>
      <c r="DR73">
        <v>14</v>
      </c>
      <c r="DS73">
        <v>1</v>
      </c>
      <c r="DU73">
        <v>14</v>
      </c>
      <c r="DV73">
        <v>1</v>
      </c>
      <c r="DX73">
        <v>14</v>
      </c>
      <c r="DY73">
        <v>1</v>
      </c>
      <c r="DZ73" t="s">
        <v>246</v>
      </c>
      <c r="EA73" t="s">
        <v>929</v>
      </c>
    </row>
    <row r="74" spans="1:131" x14ac:dyDescent="0.4">
      <c r="A74" s="34">
        <v>43067.305104166669</v>
      </c>
      <c r="B74" s="25">
        <v>42956.581944444442</v>
      </c>
      <c r="D74" s="34"/>
      <c r="E74" s="34" t="s">
        <v>193</v>
      </c>
      <c r="F74" s="34" t="s">
        <v>191</v>
      </c>
      <c r="G74" s="34" t="s">
        <v>100</v>
      </c>
      <c r="H74" t="s">
        <v>856</v>
      </c>
      <c r="I74" t="s">
        <v>243</v>
      </c>
      <c r="J74" t="s">
        <v>857</v>
      </c>
      <c r="K74" t="s">
        <v>729</v>
      </c>
      <c r="L74" t="s">
        <v>855</v>
      </c>
      <c r="M74" s="30">
        <v>1.01</v>
      </c>
      <c r="N74">
        <v>7</v>
      </c>
      <c r="P74" s="24" t="str">
        <f>IFERROR(MID(RADataTable[[#This Row],[RATemplate]],1,LEN(RADataTable[[#This Row],[RATemplate]])-8),"RA") &amp; " " &amp; RADataTable[[#This Row],[prop_id0]] &amp; " " &amp; RADataTable[[#This Row],[last0]]</f>
        <v>RA 1755791 Goswami</v>
      </c>
      <c r="T74">
        <v>3</v>
      </c>
      <c r="U74">
        <v>3</v>
      </c>
      <c r="V74" s="34">
        <v>43031.369444444441</v>
      </c>
      <c r="W74">
        <v>1</v>
      </c>
      <c r="X74" s="15" t="str">
        <f>HYPERLINK("https://www.ejacket.nsf.gov/ej/showProposal.do?Continue=Y&amp;ID="&amp;RADataTable[[#This Row],[prop_id0]],"eJ")</f>
        <v>eJ</v>
      </c>
      <c r="Y74" s="15" t="str">
        <f>HYPERLINK("mailto:"&amp;RADataTable[[#This Row],[email]]&amp;"&amp;subject=Your NSF Proposal:  "&amp;RADataTable[[#This Row],[Div]]&amp;" "&amp;RADataTable[[#This Row],[prop_id0]], RADataTable[[#This Row],[email]])</f>
        <v>Mayank.Goswami@qc.cuny.edu</v>
      </c>
      <c r="Z74" s="15" t="str">
        <f>HYPERLINK("mailto:"&amp;RADataTable[[#This Row],[allPIemail]]&amp;"&amp;subject=NSF Proposal:  "&amp;RADataTable[[#This Row],[Div]]&amp;" "&amp;RADataTable[[#This Row],[prop_id0]], "PIs@")</f>
        <v>PIs@</v>
      </c>
      <c r="AA74" t="s">
        <v>245</v>
      </c>
      <c r="AB74" t="s">
        <v>686</v>
      </c>
      <c r="AC74" s="30" t="s">
        <v>871</v>
      </c>
      <c r="AD74" t="s">
        <v>872</v>
      </c>
      <c r="AE74" t="s">
        <v>873</v>
      </c>
      <c r="AF74" s="36">
        <v>175000</v>
      </c>
      <c r="AG74" s="36">
        <v>175000</v>
      </c>
      <c r="AH74" s="24"/>
      <c r="AJ74" s="34"/>
      <c r="AK74" t="s">
        <v>923</v>
      </c>
      <c r="AL74" t="s">
        <v>282</v>
      </c>
      <c r="AM74" s="34" t="s">
        <v>925</v>
      </c>
      <c r="AN74" s="34">
        <v>43032</v>
      </c>
      <c r="AO74" s="24">
        <v>1</v>
      </c>
      <c r="AP74" t="s">
        <v>979</v>
      </c>
      <c r="AR74" s="35"/>
      <c r="AS74"/>
      <c r="AT74" s="34"/>
      <c r="AV74" s="34"/>
      <c r="AX74" s="34"/>
      <c r="AY74"/>
      <c r="BA74" s="34"/>
      <c r="BB74"/>
      <c r="BC74" t="s">
        <v>876</v>
      </c>
      <c r="BD74" s="36">
        <v>175000</v>
      </c>
      <c r="BE74" s="36">
        <v>175000</v>
      </c>
      <c r="BF74">
        <v>0</v>
      </c>
      <c r="BG74" s="34">
        <v>43344</v>
      </c>
      <c r="BH74">
        <v>24</v>
      </c>
      <c r="BI74" t="s">
        <v>974</v>
      </c>
      <c r="BJ74" t="s">
        <v>975</v>
      </c>
      <c r="BK74" t="s">
        <v>934</v>
      </c>
      <c r="BL74" t="s">
        <v>194</v>
      </c>
      <c r="BM74" s="8" t="s">
        <v>192</v>
      </c>
      <c r="BN74" t="s">
        <v>189</v>
      </c>
      <c r="BO74" t="s">
        <v>190</v>
      </c>
      <c r="BP74" s="35" t="s">
        <v>861</v>
      </c>
      <c r="BQ74"/>
      <c r="BU74" s="35"/>
      <c r="BV74" s="35"/>
      <c r="BX74"/>
      <c r="CA74" s="35"/>
      <c r="CB74" s="35"/>
      <c r="CC74"/>
      <c r="CG74" s="35"/>
      <c r="CH74" s="35"/>
      <c r="CK74"/>
      <c r="CM74" s="35"/>
      <c r="CN74" s="35"/>
      <c r="CQ74"/>
      <c r="CS74" s="35"/>
      <c r="CT74" s="35"/>
      <c r="CX74"/>
      <c r="CZ74" s="35"/>
      <c r="DD74" s="34"/>
      <c r="DG74" t="s">
        <v>874</v>
      </c>
      <c r="DH74" t="s">
        <v>980</v>
      </c>
      <c r="DI74" t="s">
        <v>280</v>
      </c>
      <c r="DL74" t="s">
        <v>686</v>
      </c>
      <c r="DM74">
        <v>7</v>
      </c>
      <c r="DN74">
        <v>7</v>
      </c>
      <c r="DO74" t="s">
        <v>875</v>
      </c>
      <c r="DQ74" t="s">
        <v>927</v>
      </c>
      <c r="DR74">
        <v>14</v>
      </c>
      <c r="DS74">
        <v>1</v>
      </c>
      <c r="DU74">
        <v>14</v>
      </c>
      <c r="DV74">
        <v>1</v>
      </c>
      <c r="DX74">
        <v>14</v>
      </c>
      <c r="DY74">
        <v>1</v>
      </c>
      <c r="DZ74" t="s">
        <v>246</v>
      </c>
      <c r="EA74" t="s">
        <v>929</v>
      </c>
    </row>
    <row r="75" spans="1:131" x14ac:dyDescent="0.4">
      <c r="A75" s="34">
        <v>43067.305104166669</v>
      </c>
      <c r="B75" s="25">
        <v>42956.581944444442</v>
      </c>
      <c r="D75" s="34"/>
      <c r="E75" s="34" t="s">
        <v>193</v>
      </c>
      <c r="F75" s="34" t="s">
        <v>191</v>
      </c>
      <c r="G75" s="34" t="s">
        <v>100</v>
      </c>
      <c r="H75" t="s">
        <v>856</v>
      </c>
      <c r="I75" t="s">
        <v>243</v>
      </c>
      <c r="J75" t="s">
        <v>857</v>
      </c>
      <c r="K75" t="s">
        <v>729</v>
      </c>
      <c r="L75" t="s">
        <v>855</v>
      </c>
      <c r="M75" s="30">
        <v>1.01</v>
      </c>
      <c r="N75">
        <v>7</v>
      </c>
      <c r="P75" s="24" t="str">
        <f>IFERROR(MID(RADataTable[[#This Row],[RATemplate]],1,LEN(RADataTable[[#This Row],[RATemplate]])-8),"RA") &amp; " " &amp; RADataTable[[#This Row],[prop_id0]] &amp; " " &amp; RADataTable[[#This Row],[last0]]</f>
        <v>RA 1755791 Goswami</v>
      </c>
      <c r="T75">
        <v>3</v>
      </c>
      <c r="U75">
        <v>3</v>
      </c>
      <c r="V75" s="34">
        <v>43031.369444444441</v>
      </c>
      <c r="W75">
        <v>1</v>
      </c>
      <c r="X75" s="15" t="str">
        <f>HYPERLINK("https://www.ejacket.nsf.gov/ej/showProposal.do?Continue=Y&amp;ID="&amp;RADataTable[[#This Row],[prop_id0]],"eJ")</f>
        <v>eJ</v>
      </c>
      <c r="Y75" s="15" t="str">
        <f>HYPERLINK("mailto:"&amp;RADataTable[[#This Row],[email]]&amp;"&amp;subject=Your NSF Proposal:  "&amp;RADataTable[[#This Row],[Div]]&amp;" "&amp;RADataTable[[#This Row],[prop_id0]], RADataTable[[#This Row],[email]])</f>
        <v>Mayank.Goswami@qc.cuny.edu</v>
      </c>
      <c r="Z75" s="15" t="str">
        <f>HYPERLINK("mailto:"&amp;RADataTable[[#This Row],[allPIemail]]&amp;"&amp;subject=NSF Proposal:  "&amp;RADataTable[[#This Row],[Div]]&amp;" "&amp;RADataTable[[#This Row],[prop_id0]], "PIs@")</f>
        <v>PIs@</v>
      </c>
      <c r="AA75" t="s">
        <v>245</v>
      </c>
      <c r="AB75" t="s">
        <v>686</v>
      </c>
      <c r="AC75" s="30" t="s">
        <v>871</v>
      </c>
      <c r="AD75" t="s">
        <v>872</v>
      </c>
      <c r="AE75" t="s">
        <v>873</v>
      </c>
      <c r="AF75" s="36">
        <v>175000</v>
      </c>
      <c r="AG75" s="36">
        <v>175000</v>
      </c>
      <c r="AH75" s="24"/>
      <c r="AJ75" s="34"/>
      <c r="AK75" t="s">
        <v>923</v>
      </c>
      <c r="AL75" t="s">
        <v>282</v>
      </c>
      <c r="AM75" s="34" t="s">
        <v>925</v>
      </c>
      <c r="AN75" s="34">
        <v>43032</v>
      </c>
      <c r="AO75" s="24">
        <v>1</v>
      </c>
      <c r="AP75" t="s">
        <v>979</v>
      </c>
      <c r="AR75" s="35"/>
      <c r="AS75"/>
      <c r="AT75" s="34"/>
      <c r="AV75" s="34"/>
      <c r="AX75" s="34"/>
      <c r="AY75"/>
      <c r="BA75" s="34"/>
      <c r="BB75"/>
      <c r="BC75" t="s">
        <v>876</v>
      </c>
      <c r="BD75" s="36">
        <v>175000</v>
      </c>
      <c r="BE75" s="36">
        <v>175000</v>
      </c>
      <c r="BF75">
        <v>0</v>
      </c>
      <c r="BG75" s="34">
        <v>43344</v>
      </c>
      <c r="BH75">
        <v>24</v>
      </c>
      <c r="BI75" t="s">
        <v>974</v>
      </c>
      <c r="BJ75" t="s">
        <v>975</v>
      </c>
      <c r="BK75" t="s">
        <v>934</v>
      </c>
      <c r="BL75" t="s">
        <v>194</v>
      </c>
      <c r="BM75" s="8" t="s">
        <v>192</v>
      </c>
      <c r="BN75" t="s">
        <v>189</v>
      </c>
      <c r="BO75" t="s">
        <v>190</v>
      </c>
      <c r="BP75" s="35" t="s">
        <v>861</v>
      </c>
      <c r="BQ75"/>
      <c r="BU75" s="35"/>
      <c r="BV75" s="35"/>
      <c r="BX75"/>
      <c r="CA75" s="35"/>
      <c r="CB75" s="35"/>
      <c r="CC75"/>
      <c r="CG75" s="35"/>
      <c r="CH75" s="35"/>
      <c r="CK75"/>
      <c r="CM75" s="35"/>
      <c r="CN75" s="35"/>
      <c r="CQ75"/>
      <c r="CS75" s="35"/>
      <c r="CT75" s="35"/>
      <c r="CX75"/>
      <c r="CZ75" s="35"/>
      <c r="DD75" s="34"/>
      <c r="DG75" t="s">
        <v>874</v>
      </c>
      <c r="DH75" t="s">
        <v>980</v>
      </c>
      <c r="DI75" t="s">
        <v>280</v>
      </c>
      <c r="DL75" t="s">
        <v>686</v>
      </c>
      <c r="DM75">
        <v>7</v>
      </c>
      <c r="DN75">
        <v>7</v>
      </c>
      <c r="DO75" t="s">
        <v>875</v>
      </c>
      <c r="DQ75" t="s">
        <v>927</v>
      </c>
      <c r="DR75">
        <v>14</v>
      </c>
      <c r="DS75">
        <v>1</v>
      </c>
      <c r="DU75">
        <v>14</v>
      </c>
      <c r="DV75">
        <v>1</v>
      </c>
      <c r="DX75">
        <v>14</v>
      </c>
      <c r="DY75">
        <v>1</v>
      </c>
      <c r="DZ75" t="s">
        <v>246</v>
      </c>
      <c r="EA75" t="s">
        <v>929</v>
      </c>
    </row>
    <row r="76" spans="1:131" x14ac:dyDescent="0.4">
      <c r="A76" s="34">
        <v>43067.305104166669</v>
      </c>
      <c r="B76" s="25">
        <v>42956.581944444442</v>
      </c>
      <c r="D76" s="34"/>
      <c r="E76" s="34" t="s">
        <v>193</v>
      </c>
      <c r="F76" s="34" t="s">
        <v>191</v>
      </c>
      <c r="G76" s="34" t="s">
        <v>100</v>
      </c>
      <c r="H76" t="s">
        <v>856</v>
      </c>
      <c r="I76" t="s">
        <v>243</v>
      </c>
      <c r="J76" t="s">
        <v>857</v>
      </c>
      <c r="K76" t="s">
        <v>729</v>
      </c>
      <c r="L76" t="s">
        <v>855</v>
      </c>
      <c r="M76" s="30">
        <v>1.01</v>
      </c>
      <c r="N76">
        <v>7</v>
      </c>
      <c r="P76" s="24" t="str">
        <f>IFERROR(MID(RADataTable[[#This Row],[RATemplate]],1,LEN(RADataTable[[#This Row],[RATemplate]])-8),"RA") &amp; " " &amp; RADataTable[[#This Row],[prop_id0]] &amp; " " &amp; RADataTable[[#This Row],[last0]]</f>
        <v>RA 1755791 Goswami</v>
      </c>
      <c r="T76">
        <v>3</v>
      </c>
      <c r="U76">
        <v>3</v>
      </c>
      <c r="V76" s="34">
        <v>43031.369444444441</v>
      </c>
      <c r="W76">
        <v>1</v>
      </c>
      <c r="X76" s="15" t="str">
        <f>HYPERLINK("https://www.ejacket.nsf.gov/ej/showProposal.do?Continue=Y&amp;ID="&amp;RADataTable[[#This Row],[prop_id0]],"eJ")</f>
        <v>eJ</v>
      </c>
      <c r="Y76" s="15" t="str">
        <f>HYPERLINK("mailto:"&amp;RADataTable[[#This Row],[email]]&amp;"&amp;subject=Your NSF Proposal:  "&amp;RADataTable[[#This Row],[Div]]&amp;" "&amp;RADataTable[[#This Row],[prop_id0]], RADataTable[[#This Row],[email]])</f>
        <v>Mayank.Goswami@qc.cuny.edu</v>
      </c>
      <c r="Z76" s="15" t="str">
        <f>HYPERLINK("mailto:"&amp;RADataTable[[#This Row],[allPIemail]]&amp;"&amp;subject=NSF Proposal:  "&amp;RADataTable[[#This Row],[Div]]&amp;" "&amp;RADataTable[[#This Row],[prop_id0]], "PIs@")</f>
        <v>PIs@</v>
      </c>
      <c r="AA76" t="s">
        <v>245</v>
      </c>
      <c r="AB76" t="s">
        <v>686</v>
      </c>
      <c r="AC76" s="30" t="s">
        <v>871</v>
      </c>
      <c r="AD76" t="s">
        <v>872</v>
      </c>
      <c r="AE76" t="s">
        <v>873</v>
      </c>
      <c r="AF76" s="36">
        <v>175000</v>
      </c>
      <c r="AG76" s="36">
        <v>175000</v>
      </c>
      <c r="AH76" s="24"/>
      <c r="AJ76" s="34"/>
      <c r="AK76" t="s">
        <v>923</v>
      </c>
      <c r="AL76" t="s">
        <v>282</v>
      </c>
      <c r="AM76" s="34" t="s">
        <v>925</v>
      </c>
      <c r="AN76" s="34">
        <v>43032</v>
      </c>
      <c r="AO76" s="24">
        <v>1</v>
      </c>
      <c r="AP76" t="s">
        <v>979</v>
      </c>
      <c r="AR76" s="35"/>
      <c r="AS76"/>
      <c r="AT76" s="34"/>
      <c r="AV76" s="34"/>
      <c r="AX76" s="34"/>
      <c r="AY76"/>
      <c r="BA76" s="34"/>
      <c r="BB76"/>
      <c r="BC76" t="s">
        <v>876</v>
      </c>
      <c r="BD76" s="36">
        <v>175000</v>
      </c>
      <c r="BE76" s="36">
        <v>175000</v>
      </c>
      <c r="BF76">
        <v>0</v>
      </c>
      <c r="BG76" s="34">
        <v>43344</v>
      </c>
      <c r="BH76">
        <v>24</v>
      </c>
      <c r="BI76" t="s">
        <v>974</v>
      </c>
      <c r="BJ76" t="s">
        <v>975</v>
      </c>
      <c r="BK76" t="s">
        <v>934</v>
      </c>
      <c r="BL76" t="s">
        <v>194</v>
      </c>
      <c r="BM76" s="8" t="s">
        <v>192</v>
      </c>
      <c r="BN76" t="s">
        <v>189</v>
      </c>
      <c r="BO76" t="s">
        <v>190</v>
      </c>
      <c r="BP76" s="35" t="s">
        <v>861</v>
      </c>
      <c r="BQ76"/>
      <c r="BU76" s="35"/>
      <c r="BV76" s="35"/>
      <c r="BX76"/>
      <c r="CA76" s="35"/>
      <c r="CB76" s="35"/>
      <c r="CC76"/>
      <c r="CG76" s="35"/>
      <c r="CH76" s="35"/>
      <c r="CK76"/>
      <c r="CM76" s="35"/>
      <c r="CN76" s="35"/>
      <c r="CQ76"/>
      <c r="CS76" s="35"/>
      <c r="CT76" s="35"/>
      <c r="CX76"/>
      <c r="CZ76" s="35"/>
      <c r="DD76" s="34"/>
      <c r="DG76" t="s">
        <v>874</v>
      </c>
      <c r="DH76" t="s">
        <v>980</v>
      </c>
      <c r="DI76" t="s">
        <v>280</v>
      </c>
      <c r="DL76" t="s">
        <v>686</v>
      </c>
      <c r="DM76">
        <v>7</v>
      </c>
      <c r="DN76">
        <v>7</v>
      </c>
      <c r="DO76" t="s">
        <v>875</v>
      </c>
      <c r="DQ76" t="s">
        <v>927</v>
      </c>
      <c r="DR76">
        <v>14</v>
      </c>
      <c r="DS76">
        <v>1</v>
      </c>
      <c r="DU76">
        <v>14</v>
      </c>
      <c r="DV76">
        <v>1</v>
      </c>
      <c r="DX76">
        <v>14</v>
      </c>
      <c r="DY76">
        <v>1</v>
      </c>
      <c r="DZ76" t="s">
        <v>246</v>
      </c>
      <c r="EA76" t="s">
        <v>929</v>
      </c>
    </row>
    <row r="77" spans="1:131" x14ac:dyDescent="0.4">
      <c r="A77" s="34">
        <v>43067.305104166669</v>
      </c>
      <c r="B77" s="25">
        <v>42956.581944444442</v>
      </c>
      <c r="D77" s="34"/>
      <c r="E77" s="34" t="s">
        <v>193</v>
      </c>
      <c r="F77" s="34" t="s">
        <v>191</v>
      </c>
      <c r="G77" s="34" t="s">
        <v>100</v>
      </c>
      <c r="H77" t="s">
        <v>856</v>
      </c>
      <c r="I77" t="s">
        <v>243</v>
      </c>
      <c r="J77" t="s">
        <v>857</v>
      </c>
      <c r="K77" t="s">
        <v>729</v>
      </c>
      <c r="L77" t="s">
        <v>855</v>
      </c>
      <c r="M77" s="30">
        <v>1.01</v>
      </c>
      <c r="N77">
        <v>7</v>
      </c>
      <c r="P77" s="24" t="str">
        <f>IFERROR(MID(RADataTable[[#This Row],[RATemplate]],1,LEN(RADataTable[[#This Row],[RATemplate]])-8),"RA") &amp; " " &amp; RADataTable[[#This Row],[prop_id0]] &amp; " " &amp; RADataTable[[#This Row],[last0]]</f>
        <v>RA 1755791 Goswami</v>
      </c>
      <c r="T77">
        <v>3</v>
      </c>
      <c r="U77">
        <v>3</v>
      </c>
      <c r="V77" s="34">
        <v>43031.369444444441</v>
      </c>
      <c r="W77">
        <v>1</v>
      </c>
      <c r="X77" s="15" t="str">
        <f>HYPERLINK("https://www.ejacket.nsf.gov/ej/showProposal.do?Continue=Y&amp;ID="&amp;RADataTable[[#This Row],[prop_id0]],"eJ")</f>
        <v>eJ</v>
      </c>
      <c r="Y77" s="15" t="str">
        <f>HYPERLINK("mailto:"&amp;RADataTable[[#This Row],[email]]&amp;"&amp;subject=Your NSF Proposal:  "&amp;RADataTable[[#This Row],[Div]]&amp;" "&amp;RADataTable[[#This Row],[prop_id0]], RADataTable[[#This Row],[email]])</f>
        <v>Mayank.Goswami@qc.cuny.edu</v>
      </c>
      <c r="Z77" s="15" t="str">
        <f>HYPERLINK("mailto:"&amp;RADataTable[[#This Row],[allPIemail]]&amp;"&amp;subject=NSF Proposal:  "&amp;RADataTable[[#This Row],[Div]]&amp;" "&amp;RADataTable[[#This Row],[prop_id0]], "PIs@")</f>
        <v>PIs@</v>
      </c>
      <c r="AA77" t="s">
        <v>245</v>
      </c>
      <c r="AB77" t="s">
        <v>686</v>
      </c>
      <c r="AC77" s="30" t="s">
        <v>871</v>
      </c>
      <c r="AD77" t="s">
        <v>872</v>
      </c>
      <c r="AE77" t="s">
        <v>873</v>
      </c>
      <c r="AF77" s="36">
        <v>175000</v>
      </c>
      <c r="AG77" s="36">
        <v>175000</v>
      </c>
      <c r="AH77" s="24"/>
      <c r="AJ77" s="34"/>
      <c r="AK77" t="s">
        <v>923</v>
      </c>
      <c r="AL77" t="s">
        <v>282</v>
      </c>
      <c r="AM77" s="34" t="s">
        <v>925</v>
      </c>
      <c r="AN77" s="34">
        <v>43032</v>
      </c>
      <c r="AO77" s="24">
        <v>1</v>
      </c>
      <c r="AP77" t="s">
        <v>979</v>
      </c>
      <c r="AR77" s="35"/>
      <c r="AS77"/>
      <c r="AT77" s="34"/>
      <c r="AV77" s="34"/>
      <c r="AX77" s="34"/>
      <c r="AY77"/>
      <c r="BA77" s="34"/>
      <c r="BB77"/>
      <c r="BC77" t="s">
        <v>876</v>
      </c>
      <c r="BD77" s="36">
        <v>175000</v>
      </c>
      <c r="BE77" s="36">
        <v>175000</v>
      </c>
      <c r="BF77">
        <v>0</v>
      </c>
      <c r="BG77" s="34">
        <v>43344</v>
      </c>
      <c r="BH77">
        <v>24</v>
      </c>
      <c r="BI77" t="s">
        <v>974</v>
      </c>
      <c r="BJ77" t="s">
        <v>975</v>
      </c>
      <c r="BK77" t="s">
        <v>934</v>
      </c>
      <c r="BL77" t="s">
        <v>194</v>
      </c>
      <c r="BM77" s="8" t="s">
        <v>192</v>
      </c>
      <c r="BN77" t="s">
        <v>189</v>
      </c>
      <c r="BO77" t="s">
        <v>190</v>
      </c>
      <c r="BP77" s="35" t="s">
        <v>861</v>
      </c>
      <c r="BQ77"/>
      <c r="BU77" s="35"/>
      <c r="BV77" s="35"/>
      <c r="BX77"/>
      <c r="CA77" s="35"/>
      <c r="CB77" s="35"/>
      <c r="CC77"/>
      <c r="CG77" s="35"/>
      <c r="CH77" s="35"/>
      <c r="CK77"/>
      <c r="CM77" s="35"/>
      <c r="CN77" s="35"/>
      <c r="CQ77"/>
      <c r="CS77" s="35"/>
      <c r="CT77" s="35"/>
      <c r="CX77"/>
      <c r="CZ77" s="35"/>
      <c r="DD77" s="34"/>
      <c r="DG77" t="s">
        <v>874</v>
      </c>
      <c r="DH77" t="s">
        <v>980</v>
      </c>
      <c r="DI77" t="s">
        <v>280</v>
      </c>
      <c r="DL77" t="s">
        <v>686</v>
      </c>
      <c r="DM77">
        <v>7</v>
      </c>
      <c r="DN77">
        <v>7</v>
      </c>
      <c r="DO77" t="s">
        <v>875</v>
      </c>
      <c r="DQ77" t="s">
        <v>927</v>
      </c>
      <c r="DR77">
        <v>14</v>
      </c>
      <c r="DS77">
        <v>1</v>
      </c>
      <c r="DU77">
        <v>14</v>
      </c>
      <c r="DV77">
        <v>1</v>
      </c>
      <c r="DX77">
        <v>14</v>
      </c>
      <c r="DY77">
        <v>1</v>
      </c>
      <c r="DZ77" t="s">
        <v>246</v>
      </c>
      <c r="EA77" t="s">
        <v>929</v>
      </c>
    </row>
    <row r="78" spans="1:131" x14ac:dyDescent="0.4">
      <c r="A78" s="34">
        <v>43067.305104166669</v>
      </c>
      <c r="B78" s="25">
        <v>42956.581944444442</v>
      </c>
      <c r="D78" s="34"/>
      <c r="E78" s="34" t="s">
        <v>193</v>
      </c>
      <c r="F78" s="34" t="s">
        <v>191</v>
      </c>
      <c r="G78" s="34" t="s">
        <v>100</v>
      </c>
      <c r="H78" t="s">
        <v>856</v>
      </c>
      <c r="I78" t="s">
        <v>243</v>
      </c>
      <c r="J78" t="s">
        <v>857</v>
      </c>
      <c r="K78" t="s">
        <v>729</v>
      </c>
      <c r="L78" t="s">
        <v>855</v>
      </c>
      <c r="M78" s="30">
        <v>1.01</v>
      </c>
      <c r="N78">
        <v>7</v>
      </c>
      <c r="P78" s="24" t="str">
        <f>IFERROR(MID(RADataTable[[#This Row],[RATemplate]],1,LEN(RADataTable[[#This Row],[RATemplate]])-8),"RA") &amp; " " &amp; RADataTable[[#This Row],[prop_id0]] &amp; " " &amp; RADataTable[[#This Row],[last0]]</f>
        <v>RA 1755791 Goswami</v>
      </c>
      <c r="T78">
        <v>3</v>
      </c>
      <c r="U78">
        <v>3</v>
      </c>
      <c r="V78" s="34">
        <v>43031.369444444441</v>
      </c>
      <c r="W78">
        <v>1</v>
      </c>
      <c r="X78" s="15" t="str">
        <f>HYPERLINK("https://www.ejacket.nsf.gov/ej/showProposal.do?Continue=Y&amp;ID="&amp;RADataTable[[#This Row],[prop_id0]],"eJ")</f>
        <v>eJ</v>
      </c>
      <c r="Y78" s="15" t="str">
        <f>HYPERLINK("mailto:"&amp;RADataTable[[#This Row],[email]]&amp;"&amp;subject=Your NSF Proposal:  "&amp;RADataTable[[#This Row],[Div]]&amp;" "&amp;RADataTable[[#This Row],[prop_id0]], RADataTable[[#This Row],[email]])</f>
        <v>Mayank.Goswami@qc.cuny.edu</v>
      </c>
      <c r="Z78" s="15" t="str">
        <f>HYPERLINK("mailto:"&amp;RADataTable[[#This Row],[allPIemail]]&amp;"&amp;subject=NSF Proposal:  "&amp;RADataTable[[#This Row],[Div]]&amp;" "&amp;RADataTable[[#This Row],[prop_id0]], "PIs@")</f>
        <v>PIs@</v>
      </c>
      <c r="AA78" t="s">
        <v>245</v>
      </c>
      <c r="AB78" t="s">
        <v>686</v>
      </c>
      <c r="AC78" s="30" t="s">
        <v>871</v>
      </c>
      <c r="AD78" t="s">
        <v>872</v>
      </c>
      <c r="AE78" t="s">
        <v>873</v>
      </c>
      <c r="AF78" s="36">
        <v>175000</v>
      </c>
      <c r="AG78" s="36">
        <v>175000</v>
      </c>
      <c r="AH78" s="24"/>
      <c r="AJ78" s="34"/>
      <c r="AK78" t="s">
        <v>923</v>
      </c>
      <c r="AL78" t="s">
        <v>282</v>
      </c>
      <c r="AM78" s="34" t="s">
        <v>925</v>
      </c>
      <c r="AN78" s="34">
        <v>43032</v>
      </c>
      <c r="AO78" s="24">
        <v>1</v>
      </c>
      <c r="AP78" t="s">
        <v>979</v>
      </c>
      <c r="AR78" s="35"/>
      <c r="AS78"/>
      <c r="AT78" s="34"/>
      <c r="AV78" s="34"/>
      <c r="AX78" s="34"/>
      <c r="AY78"/>
      <c r="BA78" s="34"/>
      <c r="BB78"/>
      <c r="BC78" t="s">
        <v>876</v>
      </c>
      <c r="BD78" s="36">
        <v>175000</v>
      </c>
      <c r="BE78" s="36">
        <v>175000</v>
      </c>
      <c r="BF78">
        <v>0</v>
      </c>
      <c r="BG78" s="34">
        <v>43344</v>
      </c>
      <c r="BH78">
        <v>24</v>
      </c>
      <c r="BI78" t="s">
        <v>974</v>
      </c>
      <c r="BJ78" t="s">
        <v>975</v>
      </c>
      <c r="BK78" t="s">
        <v>934</v>
      </c>
      <c r="BL78" t="s">
        <v>194</v>
      </c>
      <c r="BM78" s="8" t="s">
        <v>192</v>
      </c>
      <c r="BN78" t="s">
        <v>189</v>
      </c>
      <c r="BO78" t="s">
        <v>190</v>
      </c>
      <c r="BP78" s="35" t="s">
        <v>861</v>
      </c>
      <c r="BQ78"/>
      <c r="BU78" s="35"/>
      <c r="BV78" s="35"/>
      <c r="BX78"/>
      <c r="CA78" s="35"/>
      <c r="CB78" s="35"/>
      <c r="CC78"/>
      <c r="CG78" s="35"/>
      <c r="CH78" s="35"/>
      <c r="CK78"/>
      <c r="CM78" s="35"/>
      <c r="CN78" s="35"/>
      <c r="CQ78"/>
      <c r="CS78" s="35"/>
      <c r="CT78" s="35"/>
      <c r="CX78"/>
      <c r="CZ78" s="35"/>
      <c r="DD78" s="34"/>
      <c r="DG78" t="s">
        <v>874</v>
      </c>
      <c r="DH78" t="s">
        <v>980</v>
      </c>
      <c r="DI78" t="s">
        <v>280</v>
      </c>
      <c r="DL78" t="s">
        <v>686</v>
      </c>
      <c r="DM78">
        <v>7</v>
      </c>
      <c r="DN78">
        <v>7</v>
      </c>
      <c r="DO78" t="s">
        <v>875</v>
      </c>
      <c r="DQ78" t="s">
        <v>927</v>
      </c>
      <c r="DR78">
        <v>14</v>
      </c>
      <c r="DS78">
        <v>1</v>
      </c>
      <c r="DU78">
        <v>14</v>
      </c>
      <c r="DV78">
        <v>1</v>
      </c>
      <c r="DX78">
        <v>14</v>
      </c>
      <c r="DY78">
        <v>1</v>
      </c>
      <c r="DZ78" t="s">
        <v>246</v>
      </c>
      <c r="EA78" t="s">
        <v>929</v>
      </c>
    </row>
    <row r="79" spans="1:131" x14ac:dyDescent="0.4">
      <c r="A79" s="34">
        <v>43067.305104166669</v>
      </c>
      <c r="B79" s="25">
        <v>42956.581944444442</v>
      </c>
      <c r="D79" s="34"/>
      <c r="E79" s="34" t="s">
        <v>193</v>
      </c>
      <c r="F79" s="34" t="s">
        <v>191</v>
      </c>
      <c r="G79" s="34" t="s">
        <v>100</v>
      </c>
      <c r="H79" t="s">
        <v>856</v>
      </c>
      <c r="I79" t="s">
        <v>243</v>
      </c>
      <c r="J79" t="s">
        <v>857</v>
      </c>
      <c r="K79" t="s">
        <v>729</v>
      </c>
      <c r="L79" t="s">
        <v>855</v>
      </c>
      <c r="M79" s="30">
        <v>1.01</v>
      </c>
      <c r="N79">
        <v>7</v>
      </c>
      <c r="P79" s="24" t="str">
        <f>IFERROR(MID(RADataTable[[#This Row],[RATemplate]],1,LEN(RADataTable[[#This Row],[RATemplate]])-8),"RA") &amp; " " &amp; RADataTable[[#This Row],[prop_id0]] &amp; " " &amp; RADataTable[[#This Row],[last0]]</f>
        <v>RA 1755791 Goswami</v>
      </c>
      <c r="T79">
        <v>3</v>
      </c>
      <c r="U79">
        <v>3</v>
      </c>
      <c r="V79" s="34">
        <v>43031.369444444441</v>
      </c>
      <c r="W79">
        <v>1</v>
      </c>
      <c r="X79" s="15" t="str">
        <f>HYPERLINK("https://www.ejacket.nsf.gov/ej/showProposal.do?Continue=Y&amp;ID="&amp;RADataTable[[#This Row],[prop_id0]],"eJ")</f>
        <v>eJ</v>
      </c>
      <c r="Y79" s="15" t="str">
        <f>HYPERLINK("mailto:"&amp;RADataTable[[#This Row],[email]]&amp;"&amp;subject=Your NSF Proposal:  "&amp;RADataTable[[#This Row],[Div]]&amp;" "&amp;RADataTable[[#This Row],[prop_id0]], RADataTable[[#This Row],[email]])</f>
        <v>Mayank.Goswami@qc.cuny.edu</v>
      </c>
      <c r="Z79" s="15" t="str">
        <f>HYPERLINK("mailto:"&amp;RADataTable[[#This Row],[allPIemail]]&amp;"&amp;subject=NSF Proposal:  "&amp;RADataTable[[#This Row],[Div]]&amp;" "&amp;RADataTable[[#This Row],[prop_id0]], "PIs@")</f>
        <v>PIs@</v>
      </c>
      <c r="AA79" t="s">
        <v>245</v>
      </c>
      <c r="AB79" t="s">
        <v>686</v>
      </c>
      <c r="AC79" s="30" t="s">
        <v>871</v>
      </c>
      <c r="AD79" t="s">
        <v>872</v>
      </c>
      <c r="AE79" t="s">
        <v>873</v>
      </c>
      <c r="AF79" s="36">
        <v>175000</v>
      </c>
      <c r="AG79" s="36">
        <v>175000</v>
      </c>
      <c r="AH79" s="24"/>
      <c r="AJ79" s="34"/>
      <c r="AK79" t="s">
        <v>923</v>
      </c>
      <c r="AL79" t="s">
        <v>282</v>
      </c>
      <c r="AM79" s="34" t="s">
        <v>925</v>
      </c>
      <c r="AN79" s="34">
        <v>43032</v>
      </c>
      <c r="AO79" s="24">
        <v>1</v>
      </c>
      <c r="AP79" t="s">
        <v>979</v>
      </c>
      <c r="AR79" s="35"/>
      <c r="AS79"/>
      <c r="AT79" s="34"/>
      <c r="AV79" s="34"/>
      <c r="AX79" s="34"/>
      <c r="AY79"/>
      <c r="BA79" s="34"/>
      <c r="BB79"/>
      <c r="BC79" t="s">
        <v>876</v>
      </c>
      <c r="BD79" s="36">
        <v>175000</v>
      </c>
      <c r="BE79" s="36">
        <v>175000</v>
      </c>
      <c r="BF79">
        <v>0</v>
      </c>
      <c r="BG79" s="34">
        <v>43344</v>
      </c>
      <c r="BH79">
        <v>24</v>
      </c>
      <c r="BI79" t="s">
        <v>974</v>
      </c>
      <c r="BJ79" t="s">
        <v>975</v>
      </c>
      <c r="BK79" t="s">
        <v>934</v>
      </c>
      <c r="BL79" t="s">
        <v>194</v>
      </c>
      <c r="BM79" s="8" t="s">
        <v>192</v>
      </c>
      <c r="BN79" t="s">
        <v>189</v>
      </c>
      <c r="BO79" t="s">
        <v>190</v>
      </c>
      <c r="BP79" s="35" t="s">
        <v>861</v>
      </c>
      <c r="BQ79"/>
      <c r="BU79" s="35"/>
      <c r="BV79" s="35"/>
      <c r="BX79"/>
      <c r="CA79" s="35"/>
      <c r="CB79" s="35"/>
      <c r="CC79"/>
      <c r="CG79" s="35"/>
      <c r="CH79" s="35"/>
      <c r="CK79"/>
      <c r="CM79" s="35"/>
      <c r="CN79" s="35"/>
      <c r="CQ79"/>
      <c r="CS79" s="35"/>
      <c r="CT79" s="35"/>
      <c r="CX79"/>
      <c r="CZ79" s="35"/>
      <c r="DD79" s="34"/>
      <c r="DG79" t="s">
        <v>874</v>
      </c>
      <c r="DH79" t="s">
        <v>980</v>
      </c>
      <c r="DI79" t="s">
        <v>280</v>
      </c>
      <c r="DL79" t="s">
        <v>686</v>
      </c>
      <c r="DM79">
        <v>7</v>
      </c>
      <c r="DN79">
        <v>7</v>
      </c>
      <c r="DO79" t="s">
        <v>875</v>
      </c>
      <c r="DQ79" t="s">
        <v>927</v>
      </c>
      <c r="DR79">
        <v>14</v>
      </c>
      <c r="DS79">
        <v>1</v>
      </c>
      <c r="DU79">
        <v>14</v>
      </c>
      <c r="DV79">
        <v>1</v>
      </c>
      <c r="DX79">
        <v>14</v>
      </c>
      <c r="DY79">
        <v>1</v>
      </c>
      <c r="DZ79" t="s">
        <v>246</v>
      </c>
      <c r="EA79" t="s">
        <v>929</v>
      </c>
    </row>
    <row r="80" spans="1:131" x14ac:dyDescent="0.4">
      <c r="A80" s="34">
        <v>43067.305104166669</v>
      </c>
      <c r="B80" s="25">
        <v>42956.581944444442</v>
      </c>
      <c r="D80" s="34"/>
      <c r="E80" s="34" t="s">
        <v>193</v>
      </c>
      <c r="F80" s="34" t="s">
        <v>191</v>
      </c>
      <c r="G80" s="34" t="s">
        <v>100</v>
      </c>
      <c r="H80" t="s">
        <v>856</v>
      </c>
      <c r="I80" t="s">
        <v>243</v>
      </c>
      <c r="J80" t="s">
        <v>857</v>
      </c>
      <c r="K80" t="s">
        <v>729</v>
      </c>
      <c r="L80" t="s">
        <v>855</v>
      </c>
      <c r="M80" s="30">
        <v>1.01</v>
      </c>
      <c r="N80">
        <v>7</v>
      </c>
      <c r="P80" s="24" t="str">
        <f>IFERROR(MID(RADataTable[[#This Row],[RATemplate]],1,LEN(RADataTable[[#This Row],[RATemplate]])-8),"RA") &amp; " " &amp; RADataTable[[#This Row],[prop_id0]] &amp; " " &amp; RADataTable[[#This Row],[last0]]</f>
        <v>RA 1755791 Goswami</v>
      </c>
      <c r="T80">
        <v>3</v>
      </c>
      <c r="U80">
        <v>3</v>
      </c>
      <c r="V80" s="34">
        <v>43031.369444444441</v>
      </c>
      <c r="W80">
        <v>1</v>
      </c>
      <c r="X80" s="15" t="str">
        <f>HYPERLINK("https://www.ejacket.nsf.gov/ej/showProposal.do?Continue=Y&amp;ID="&amp;RADataTable[[#This Row],[prop_id0]],"eJ")</f>
        <v>eJ</v>
      </c>
      <c r="Y80" s="15" t="str">
        <f>HYPERLINK("mailto:"&amp;RADataTable[[#This Row],[email]]&amp;"&amp;subject=Your NSF Proposal:  "&amp;RADataTable[[#This Row],[Div]]&amp;" "&amp;RADataTable[[#This Row],[prop_id0]], RADataTable[[#This Row],[email]])</f>
        <v>Mayank.Goswami@qc.cuny.edu</v>
      </c>
      <c r="Z80" s="15" t="str">
        <f>HYPERLINK("mailto:"&amp;RADataTable[[#This Row],[allPIemail]]&amp;"&amp;subject=NSF Proposal:  "&amp;RADataTable[[#This Row],[Div]]&amp;" "&amp;RADataTable[[#This Row],[prop_id0]], "PIs@")</f>
        <v>PIs@</v>
      </c>
      <c r="AA80" t="s">
        <v>245</v>
      </c>
      <c r="AB80" t="s">
        <v>686</v>
      </c>
      <c r="AC80" s="30" t="s">
        <v>871</v>
      </c>
      <c r="AD80" t="s">
        <v>872</v>
      </c>
      <c r="AE80" t="s">
        <v>873</v>
      </c>
      <c r="AF80" s="36">
        <v>175000</v>
      </c>
      <c r="AG80" s="36">
        <v>175000</v>
      </c>
      <c r="AH80" s="24"/>
      <c r="AJ80" s="34"/>
      <c r="AK80" t="s">
        <v>923</v>
      </c>
      <c r="AL80" t="s">
        <v>282</v>
      </c>
      <c r="AM80" s="34" t="s">
        <v>925</v>
      </c>
      <c r="AN80" s="34">
        <v>43032</v>
      </c>
      <c r="AO80" s="24">
        <v>1</v>
      </c>
      <c r="AP80" t="s">
        <v>979</v>
      </c>
      <c r="AR80" s="35"/>
      <c r="AS80"/>
      <c r="AT80" s="34"/>
      <c r="AV80" s="34"/>
      <c r="AX80" s="34"/>
      <c r="AY80"/>
      <c r="BA80" s="34"/>
      <c r="BB80"/>
      <c r="BC80" t="s">
        <v>876</v>
      </c>
      <c r="BD80" s="36">
        <v>175000</v>
      </c>
      <c r="BE80" s="36">
        <v>175000</v>
      </c>
      <c r="BF80">
        <v>0</v>
      </c>
      <c r="BG80" s="34">
        <v>43344</v>
      </c>
      <c r="BH80">
        <v>24</v>
      </c>
      <c r="BI80" t="s">
        <v>974</v>
      </c>
      <c r="BJ80" t="s">
        <v>975</v>
      </c>
      <c r="BK80" t="s">
        <v>934</v>
      </c>
      <c r="BL80" t="s">
        <v>194</v>
      </c>
      <c r="BM80" s="8" t="s">
        <v>192</v>
      </c>
      <c r="BN80" t="s">
        <v>189</v>
      </c>
      <c r="BO80" t="s">
        <v>190</v>
      </c>
      <c r="BP80" s="35" t="s">
        <v>861</v>
      </c>
      <c r="BQ80"/>
      <c r="BU80" s="35"/>
      <c r="BV80" s="35"/>
      <c r="BX80"/>
      <c r="CA80" s="35"/>
      <c r="CB80" s="35"/>
      <c r="CC80"/>
      <c r="CG80" s="35"/>
      <c r="CH80" s="35"/>
      <c r="CK80"/>
      <c r="CM80" s="35"/>
      <c r="CN80" s="35"/>
      <c r="CQ80"/>
      <c r="CS80" s="35"/>
      <c r="CT80" s="35"/>
      <c r="CX80"/>
      <c r="CZ80" s="35"/>
      <c r="DD80" s="34"/>
      <c r="DG80" t="s">
        <v>874</v>
      </c>
      <c r="DH80" t="s">
        <v>980</v>
      </c>
      <c r="DI80" t="s">
        <v>280</v>
      </c>
      <c r="DL80" t="s">
        <v>686</v>
      </c>
      <c r="DM80">
        <v>7</v>
      </c>
      <c r="DN80">
        <v>7</v>
      </c>
      <c r="DO80" t="s">
        <v>875</v>
      </c>
      <c r="DQ80" t="s">
        <v>927</v>
      </c>
      <c r="DR80">
        <v>14</v>
      </c>
      <c r="DS80">
        <v>1</v>
      </c>
      <c r="DU80">
        <v>14</v>
      </c>
      <c r="DV80">
        <v>1</v>
      </c>
      <c r="DX80">
        <v>14</v>
      </c>
      <c r="DY80">
        <v>1</v>
      </c>
      <c r="DZ80" t="s">
        <v>246</v>
      </c>
      <c r="EA80" t="s">
        <v>929</v>
      </c>
    </row>
    <row r="81" spans="1:131" x14ac:dyDescent="0.4">
      <c r="A81" s="34">
        <v>43067.305104166669</v>
      </c>
      <c r="B81" s="25">
        <v>42956.581944444442</v>
      </c>
      <c r="D81" s="34"/>
      <c r="E81" s="34" t="s">
        <v>193</v>
      </c>
      <c r="F81" s="34" t="s">
        <v>191</v>
      </c>
      <c r="G81" s="34" t="s">
        <v>100</v>
      </c>
      <c r="H81" t="s">
        <v>856</v>
      </c>
      <c r="I81" t="s">
        <v>243</v>
      </c>
      <c r="J81" t="s">
        <v>857</v>
      </c>
      <c r="K81" t="s">
        <v>729</v>
      </c>
      <c r="L81" t="s">
        <v>855</v>
      </c>
      <c r="M81" s="30">
        <v>1.01</v>
      </c>
      <c r="N81">
        <v>7</v>
      </c>
      <c r="P81" s="24" t="str">
        <f>IFERROR(MID(RADataTable[[#This Row],[RATemplate]],1,LEN(RADataTable[[#This Row],[RATemplate]])-8),"RA") &amp; " " &amp; RADataTable[[#This Row],[prop_id0]] &amp; " " &amp; RADataTable[[#This Row],[last0]]</f>
        <v>RA 1755791 Goswami</v>
      </c>
      <c r="T81">
        <v>3</v>
      </c>
      <c r="U81">
        <v>3</v>
      </c>
      <c r="V81" s="34">
        <v>43031.369444444441</v>
      </c>
      <c r="W81">
        <v>1</v>
      </c>
      <c r="X81" s="15" t="str">
        <f>HYPERLINK("https://www.ejacket.nsf.gov/ej/showProposal.do?Continue=Y&amp;ID="&amp;RADataTable[[#This Row],[prop_id0]],"eJ")</f>
        <v>eJ</v>
      </c>
      <c r="Y81" s="15" t="str">
        <f>HYPERLINK("mailto:"&amp;RADataTable[[#This Row],[email]]&amp;"&amp;subject=Your NSF Proposal:  "&amp;RADataTable[[#This Row],[Div]]&amp;" "&amp;RADataTable[[#This Row],[prop_id0]], RADataTable[[#This Row],[email]])</f>
        <v>Mayank.Goswami@qc.cuny.edu</v>
      </c>
      <c r="Z81" s="15" t="str">
        <f>HYPERLINK("mailto:"&amp;RADataTable[[#This Row],[allPIemail]]&amp;"&amp;subject=NSF Proposal:  "&amp;RADataTable[[#This Row],[Div]]&amp;" "&amp;RADataTable[[#This Row],[prop_id0]], "PIs@")</f>
        <v>PIs@</v>
      </c>
      <c r="AA81" t="s">
        <v>245</v>
      </c>
      <c r="AB81" t="s">
        <v>686</v>
      </c>
      <c r="AC81" s="30" t="s">
        <v>871</v>
      </c>
      <c r="AD81" t="s">
        <v>872</v>
      </c>
      <c r="AE81" t="s">
        <v>873</v>
      </c>
      <c r="AF81" s="36">
        <v>175000</v>
      </c>
      <c r="AG81" s="36">
        <v>175000</v>
      </c>
      <c r="AH81" s="24"/>
      <c r="AJ81" s="34"/>
      <c r="AK81" t="s">
        <v>923</v>
      </c>
      <c r="AL81" t="s">
        <v>282</v>
      </c>
      <c r="AM81" s="34" t="s">
        <v>925</v>
      </c>
      <c r="AN81" s="34">
        <v>43032</v>
      </c>
      <c r="AO81" s="24">
        <v>1</v>
      </c>
      <c r="AP81" t="s">
        <v>979</v>
      </c>
      <c r="AR81" s="35"/>
      <c r="AS81"/>
      <c r="AT81" s="34"/>
      <c r="AV81" s="34"/>
      <c r="AX81" s="34"/>
      <c r="AY81"/>
      <c r="BA81" s="34"/>
      <c r="BB81"/>
      <c r="BC81" t="s">
        <v>876</v>
      </c>
      <c r="BD81" s="36">
        <v>175000</v>
      </c>
      <c r="BE81" s="36">
        <v>175000</v>
      </c>
      <c r="BF81">
        <v>0</v>
      </c>
      <c r="BG81" s="34">
        <v>43344</v>
      </c>
      <c r="BH81">
        <v>24</v>
      </c>
      <c r="BI81" t="s">
        <v>974</v>
      </c>
      <c r="BJ81" t="s">
        <v>975</v>
      </c>
      <c r="BK81" t="s">
        <v>934</v>
      </c>
      <c r="BL81" t="s">
        <v>194</v>
      </c>
      <c r="BM81" s="8" t="s">
        <v>192</v>
      </c>
      <c r="BN81" t="s">
        <v>189</v>
      </c>
      <c r="BO81" t="s">
        <v>190</v>
      </c>
      <c r="BP81" s="35" t="s">
        <v>861</v>
      </c>
      <c r="BQ81"/>
      <c r="BU81" s="35"/>
      <c r="BV81" s="35"/>
      <c r="BX81"/>
      <c r="CA81" s="35"/>
      <c r="CB81" s="35"/>
      <c r="CC81"/>
      <c r="CG81" s="35"/>
      <c r="CH81" s="35"/>
      <c r="CK81"/>
      <c r="CM81" s="35"/>
      <c r="CN81" s="35"/>
      <c r="CQ81"/>
      <c r="CS81" s="35"/>
      <c r="CT81" s="35"/>
      <c r="CX81"/>
      <c r="CZ81" s="35"/>
      <c r="DD81" s="34"/>
      <c r="DG81" t="s">
        <v>874</v>
      </c>
      <c r="DH81" t="s">
        <v>980</v>
      </c>
      <c r="DI81" t="s">
        <v>280</v>
      </c>
      <c r="DL81" t="s">
        <v>686</v>
      </c>
      <c r="DM81">
        <v>7</v>
      </c>
      <c r="DN81">
        <v>7</v>
      </c>
      <c r="DO81" t="s">
        <v>875</v>
      </c>
      <c r="DQ81" t="s">
        <v>927</v>
      </c>
      <c r="DR81">
        <v>14</v>
      </c>
      <c r="DS81">
        <v>1</v>
      </c>
      <c r="DU81">
        <v>14</v>
      </c>
      <c r="DV81">
        <v>1</v>
      </c>
      <c r="DX81">
        <v>14</v>
      </c>
      <c r="DY81">
        <v>1</v>
      </c>
      <c r="DZ81" t="s">
        <v>246</v>
      </c>
      <c r="EA81" t="s">
        <v>929</v>
      </c>
    </row>
    <row r="82" spans="1:131" x14ac:dyDescent="0.4">
      <c r="A82" s="34">
        <v>43067.305104166669</v>
      </c>
      <c r="B82" s="25">
        <v>42956.581944444442</v>
      </c>
      <c r="D82" s="34"/>
      <c r="E82" s="34" t="s">
        <v>193</v>
      </c>
      <c r="F82" s="34" t="s">
        <v>191</v>
      </c>
      <c r="G82" s="34" t="s">
        <v>100</v>
      </c>
      <c r="H82" t="s">
        <v>856</v>
      </c>
      <c r="I82" t="s">
        <v>243</v>
      </c>
      <c r="J82" t="s">
        <v>857</v>
      </c>
      <c r="K82" t="s">
        <v>729</v>
      </c>
      <c r="L82" t="s">
        <v>855</v>
      </c>
      <c r="M82" s="30">
        <v>1.01</v>
      </c>
      <c r="N82">
        <v>7</v>
      </c>
      <c r="P82" s="24" t="str">
        <f>IFERROR(MID(RADataTable[[#This Row],[RATemplate]],1,LEN(RADataTable[[#This Row],[RATemplate]])-8),"RA") &amp; " " &amp; RADataTable[[#This Row],[prop_id0]] &amp; " " &amp; RADataTable[[#This Row],[last0]]</f>
        <v>RA 1755791 Goswami</v>
      </c>
      <c r="T82">
        <v>3</v>
      </c>
      <c r="U82">
        <v>3</v>
      </c>
      <c r="V82" s="34">
        <v>43031.369444444441</v>
      </c>
      <c r="W82">
        <v>1</v>
      </c>
      <c r="X82" s="15" t="str">
        <f>HYPERLINK("https://www.ejacket.nsf.gov/ej/showProposal.do?Continue=Y&amp;ID="&amp;RADataTable[[#This Row],[prop_id0]],"eJ")</f>
        <v>eJ</v>
      </c>
      <c r="Y82" s="15" t="str">
        <f>HYPERLINK("mailto:"&amp;RADataTable[[#This Row],[email]]&amp;"&amp;subject=Your NSF Proposal:  "&amp;RADataTable[[#This Row],[Div]]&amp;" "&amp;RADataTable[[#This Row],[prop_id0]], RADataTable[[#This Row],[email]])</f>
        <v>Mayank.Goswami@qc.cuny.edu</v>
      </c>
      <c r="Z82" s="15" t="str">
        <f>HYPERLINK("mailto:"&amp;RADataTable[[#This Row],[allPIemail]]&amp;"&amp;subject=NSF Proposal:  "&amp;RADataTable[[#This Row],[Div]]&amp;" "&amp;RADataTable[[#This Row],[prop_id0]], "PIs@")</f>
        <v>PIs@</v>
      </c>
      <c r="AA82" t="s">
        <v>245</v>
      </c>
      <c r="AB82" t="s">
        <v>686</v>
      </c>
      <c r="AC82" s="30" t="s">
        <v>871</v>
      </c>
      <c r="AD82" t="s">
        <v>872</v>
      </c>
      <c r="AE82" t="s">
        <v>873</v>
      </c>
      <c r="AF82" s="36">
        <v>175000</v>
      </c>
      <c r="AG82" s="36">
        <v>175000</v>
      </c>
      <c r="AH82" s="24"/>
      <c r="AJ82" s="34"/>
      <c r="AK82" t="s">
        <v>923</v>
      </c>
      <c r="AL82" t="s">
        <v>282</v>
      </c>
      <c r="AM82" s="34" t="s">
        <v>925</v>
      </c>
      <c r="AN82" s="34">
        <v>43032</v>
      </c>
      <c r="AO82" s="24">
        <v>1</v>
      </c>
      <c r="AP82" t="s">
        <v>979</v>
      </c>
      <c r="AR82" s="35"/>
      <c r="AS82"/>
      <c r="AT82" s="34"/>
      <c r="AV82" s="34"/>
      <c r="AX82" s="34"/>
      <c r="AY82"/>
      <c r="BA82" s="34"/>
      <c r="BB82"/>
      <c r="BC82" t="s">
        <v>876</v>
      </c>
      <c r="BD82" s="36">
        <v>175000</v>
      </c>
      <c r="BE82" s="36">
        <v>175000</v>
      </c>
      <c r="BF82">
        <v>0</v>
      </c>
      <c r="BG82" s="34">
        <v>43344</v>
      </c>
      <c r="BH82">
        <v>24</v>
      </c>
      <c r="BI82" t="s">
        <v>974</v>
      </c>
      <c r="BJ82" t="s">
        <v>975</v>
      </c>
      <c r="BK82" t="s">
        <v>934</v>
      </c>
      <c r="BL82" t="s">
        <v>194</v>
      </c>
      <c r="BM82" s="8" t="s">
        <v>192</v>
      </c>
      <c r="BN82" t="s">
        <v>189</v>
      </c>
      <c r="BO82" t="s">
        <v>190</v>
      </c>
      <c r="BP82" s="35" t="s">
        <v>861</v>
      </c>
      <c r="BQ82"/>
      <c r="BU82" s="35"/>
      <c r="BV82" s="35"/>
      <c r="BX82"/>
      <c r="CA82" s="35"/>
      <c r="CB82" s="35"/>
      <c r="CC82"/>
      <c r="CG82" s="35"/>
      <c r="CH82" s="35"/>
      <c r="CK82"/>
      <c r="CM82" s="35"/>
      <c r="CN82" s="35"/>
      <c r="CQ82"/>
      <c r="CS82" s="35"/>
      <c r="CT82" s="35"/>
      <c r="CX82"/>
      <c r="CZ82" s="35"/>
      <c r="DD82" s="34"/>
      <c r="DG82" t="s">
        <v>874</v>
      </c>
      <c r="DH82" t="s">
        <v>980</v>
      </c>
      <c r="DI82" t="s">
        <v>280</v>
      </c>
      <c r="DL82" t="s">
        <v>686</v>
      </c>
      <c r="DM82">
        <v>7</v>
      </c>
      <c r="DN82">
        <v>7</v>
      </c>
      <c r="DO82" t="s">
        <v>875</v>
      </c>
      <c r="DQ82" t="s">
        <v>927</v>
      </c>
      <c r="DR82">
        <v>14</v>
      </c>
      <c r="DS82">
        <v>1</v>
      </c>
      <c r="DU82">
        <v>14</v>
      </c>
      <c r="DV82">
        <v>1</v>
      </c>
      <c r="DX82">
        <v>14</v>
      </c>
      <c r="DY82">
        <v>1</v>
      </c>
      <c r="DZ82" t="s">
        <v>246</v>
      </c>
      <c r="EA82" t="s">
        <v>929</v>
      </c>
    </row>
    <row r="83" spans="1:131" x14ac:dyDescent="0.4">
      <c r="A83" s="34">
        <v>43067.305104166669</v>
      </c>
      <c r="B83" s="25">
        <v>42956.581944444442</v>
      </c>
      <c r="D83" s="34"/>
      <c r="E83" s="34" t="s">
        <v>193</v>
      </c>
      <c r="F83" s="34" t="s">
        <v>191</v>
      </c>
      <c r="G83" s="34" t="s">
        <v>100</v>
      </c>
      <c r="H83" t="s">
        <v>856</v>
      </c>
      <c r="I83" t="s">
        <v>243</v>
      </c>
      <c r="J83" t="s">
        <v>857</v>
      </c>
      <c r="K83" t="s">
        <v>729</v>
      </c>
      <c r="L83" t="s">
        <v>855</v>
      </c>
      <c r="M83" s="30">
        <v>1.01</v>
      </c>
      <c r="N83">
        <v>7</v>
      </c>
      <c r="P83" s="24" t="str">
        <f>IFERROR(MID(RADataTable[[#This Row],[RATemplate]],1,LEN(RADataTable[[#This Row],[RATemplate]])-8),"RA") &amp; " " &amp; RADataTable[[#This Row],[prop_id0]] &amp; " " &amp; RADataTable[[#This Row],[last0]]</f>
        <v>RA 1755791 Goswami</v>
      </c>
      <c r="T83">
        <v>3</v>
      </c>
      <c r="U83">
        <v>3</v>
      </c>
      <c r="V83" s="34">
        <v>43031.369444444441</v>
      </c>
      <c r="W83">
        <v>1</v>
      </c>
      <c r="X83" s="15" t="str">
        <f>HYPERLINK("https://www.ejacket.nsf.gov/ej/showProposal.do?Continue=Y&amp;ID="&amp;RADataTable[[#This Row],[prop_id0]],"eJ")</f>
        <v>eJ</v>
      </c>
      <c r="Y83" s="15" t="str">
        <f>HYPERLINK("mailto:"&amp;RADataTable[[#This Row],[email]]&amp;"&amp;subject=Your NSF Proposal:  "&amp;RADataTable[[#This Row],[Div]]&amp;" "&amp;RADataTable[[#This Row],[prop_id0]], RADataTable[[#This Row],[email]])</f>
        <v>Mayank.Goswami@qc.cuny.edu</v>
      </c>
      <c r="Z83" s="15" t="str">
        <f>HYPERLINK("mailto:"&amp;RADataTable[[#This Row],[allPIemail]]&amp;"&amp;subject=NSF Proposal:  "&amp;RADataTable[[#This Row],[Div]]&amp;" "&amp;RADataTable[[#This Row],[prop_id0]], "PIs@")</f>
        <v>PIs@</v>
      </c>
      <c r="AA83" t="s">
        <v>245</v>
      </c>
      <c r="AB83" t="s">
        <v>686</v>
      </c>
      <c r="AC83" s="30" t="s">
        <v>871</v>
      </c>
      <c r="AD83" t="s">
        <v>872</v>
      </c>
      <c r="AE83" t="s">
        <v>873</v>
      </c>
      <c r="AF83" s="36">
        <v>175000</v>
      </c>
      <c r="AG83" s="36">
        <v>175000</v>
      </c>
      <c r="AH83" s="24"/>
      <c r="AJ83" s="34"/>
      <c r="AK83" t="s">
        <v>923</v>
      </c>
      <c r="AL83" t="s">
        <v>282</v>
      </c>
      <c r="AM83" s="34" t="s">
        <v>925</v>
      </c>
      <c r="AN83" s="34">
        <v>43032</v>
      </c>
      <c r="AO83" s="24">
        <v>1</v>
      </c>
      <c r="AP83" t="s">
        <v>979</v>
      </c>
      <c r="AR83" s="35"/>
      <c r="AS83"/>
      <c r="AT83" s="34"/>
      <c r="AV83" s="34"/>
      <c r="AX83" s="34"/>
      <c r="AY83"/>
      <c r="BA83" s="34"/>
      <c r="BB83"/>
      <c r="BC83" t="s">
        <v>876</v>
      </c>
      <c r="BD83" s="36">
        <v>175000</v>
      </c>
      <c r="BE83" s="36">
        <v>175000</v>
      </c>
      <c r="BF83">
        <v>0</v>
      </c>
      <c r="BG83" s="34">
        <v>43344</v>
      </c>
      <c r="BH83">
        <v>24</v>
      </c>
      <c r="BI83" t="s">
        <v>974</v>
      </c>
      <c r="BJ83" t="s">
        <v>975</v>
      </c>
      <c r="BK83" t="s">
        <v>934</v>
      </c>
      <c r="BL83" t="s">
        <v>194</v>
      </c>
      <c r="BM83" s="8" t="s">
        <v>192</v>
      </c>
      <c r="BN83" t="s">
        <v>189</v>
      </c>
      <c r="BO83" t="s">
        <v>190</v>
      </c>
      <c r="BP83" s="35" t="s">
        <v>861</v>
      </c>
      <c r="BQ83"/>
      <c r="BU83" s="35"/>
      <c r="BV83" s="35"/>
      <c r="BX83"/>
      <c r="CA83" s="35"/>
      <c r="CB83" s="35"/>
      <c r="CC83"/>
      <c r="CG83" s="35"/>
      <c r="CH83" s="35"/>
      <c r="CK83"/>
      <c r="CM83" s="35"/>
      <c r="CN83" s="35"/>
      <c r="CQ83"/>
      <c r="CS83" s="35"/>
      <c r="CT83" s="35"/>
      <c r="CX83"/>
      <c r="CZ83" s="35"/>
      <c r="DD83" s="34"/>
      <c r="DG83" t="s">
        <v>874</v>
      </c>
      <c r="DH83" t="s">
        <v>980</v>
      </c>
      <c r="DI83" t="s">
        <v>280</v>
      </c>
      <c r="DL83" t="s">
        <v>686</v>
      </c>
      <c r="DM83">
        <v>7</v>
      </c>
      <c r="DN83">
        <v>7</v>
      </c>
      <c r="DO83" t="s">
        <v>875</v>
      </c>
      <c r="DQ83" t="s">
        <v>927</v>
      </c>
      <c r="DR83">
        <v>14</v>
      </c>
      <c r="DS83">
        <v>1</v>
      </c>
      <c r="DU83">
        <v>14</v>
      </c>
      <c r="DV83">
        <v>1</v>
      </c>
      <c r="DX83">
        <v>14</v>
      </c>
      <c r="DY83">
        <v>1</v>
      </c>
      <c r="DZ83" t="s">
        <v>246</v>
      </c>
      <c r="EA83" t="s">
        <v>929</v>
      </c>
    </row>
    <row r="84" spans="1:131" x14ac:dyDescent="0.4">
      <c r="A84" s="34">
        <v>43067.305104166669</v>
      </c>
      <c r="B84" s="25">
        <v>42956.581944444442</v>
      </c>
      <c r="D84" s="34"/>
      <c r="E84" s="34" t="s">
        <v>193</v>
      </c>
      <c r="F84" s="34" t="s">
        <v>191</v>
      </c>
      <c r="G84" s="34" t="s">
        <v>100</v>
      </c>
      <c r="H84" t="s">
        <v>856</v>
      </c>
      <c r="I84" t="s">
        <v>243</v>
      </c>
      <c r="J84" t="s">
        <v>857</v>
      </c>
      <c r="K84" t="s">
        <v>729</v>
      </c>
      <c r="L84" t="s">
        <v>855</v>
      </c>
      <c r="M84" s="30">
        <v>1.01</v>
      </c>
      <c r="N84">
        <v>7</v>
      </c>
      <c r="P84" s="24" t="str">
        <f>IFERROR(MID(RADataTable[[#This Row],[RATemplate]],1,LEN(RADataTable[[#This Row],[RATemplate]])-8),"RA") &amp; " " &amp; RADataTable[[#This Row],[prop_id0]] &amp; " " &amp; RADataTable[[#This Row],[last0]]</f>
        <v>RA 1755791 Goswami</v>
      </c>
      <c r="T84">
        <v>3</v>
      </c>
      <c r="U84">
        <v>3</v>
      </c>
      <c r="V84" s="34">
        <v>43031.369444444441</v>
      </c>
      <c r="W84">
        <v>1</v>
      </c>
      <c r="X84" s="15" t="str">
        <f>HYPERLINK("https://www.ejacket.nsf.gov/ej/showProposal.do?Continue=Y&amp;ID="&amp;RADataTable[[#This Row],[prop_id0]],"eJ")</f>
        <v>eJ</v>
      </c>
      <c r="Y84" s="15" t="str">
        <f>HYPERLINK("mailto:"&amp;RADataTable[[#This Row],[email]]&amp;"&amp;subject=Your NSF Proposal:  "&amp;RADataTable[[#This Row],[Div]]&amp;" "&amp;RADataTable[[#This Row],[prop_id0]], RADataTable[[#This Row],[email]])</f>
        <v>Mayank.Goswami@qc.cuny.edu</v>
      </c>
      <c r="Z84" s="15" t="str">
        <f>HYPERLINK("mailto:"&amp;RADataTable[[#This Row],[allPIemail]]&amp;"&amp;subject=NSF Proposal:  "&amp;RADataTable[[#This Row],[Div]]&amp;" "&amp;RADataTable[[#This Row],[prop_id0]], "PIs@")</f>
        <v>PIs@</v>
      </c>
      <c r="AA84" t="s">
        <v>245</v>
      </c>
      <c r="AB84" t="s">
        <v>686</v>
      </c>
      <c r="AC84" s="30" t="s">
        <v>871</v>
      </c>
      <c r="AD84" t="s">
        <v>872</v>
      </c>
      <c r="AE84" t="s">
        <v>873</v>
      </c>
      <c r="AF84" s="36">
        <v>175000</v>
      </c>
      <c r="AG84" s="36">
        <v>175000</v>
      </c>
      <c r="AH84" s="24"/>
      <c r="AJ84" s="34"/>
      <c r="AK84" t="s">
        <v>923</v>
      </c>
      <c r="AL84" t="s">
        <v>282</v>
      </c>
      <c r="AM84" s="34" t="s">
        <v>925</v>
      </c>
      <c r="AN84" s="34">
        <v>43032</v>
      </c>
      <c r="AO84" s="24">
        <v>1</v>
      </c>
      <c r="AP84" t="s">
        <v>979</v>
      </c>
      <c r="AR84" s="35"/>
      <c r="AS84"/>
      <c r="AT84" s="34"/>
      <c r="AV84" s="34"/>
      <c r="AX84" s="34"/>
      <c r="AY84"/>
      <c r="BA84" s="34"/>
      <c r="BB84"/>
      <c r="BC84" t="s">
        <v>876</v>
      </c>
      <c r="BD84" s="36">
        <v>175000</v>
      </c>
      <c r="BE84" s="36">
        <v>175000</v>
      </c>
      <c r="BF84">
        <v>0</v>
      </c>
      <c r="BG84" s="34">
        <v>43344</v>
      </c>
      <c r="BH84">
        <v>24</v>
      </c>
      <c r="BI84" t="s">
        <v>974</v>
      </c>
      <c r="BJ84" t="s">
        <v>975</v>
      </c>
      <c r="BK84" t="s">
        <v>934</v>
      </c>
      <c r="BL84" t="s">
        <v>194</v>
      </c>
      <c r="BM84" s="8" t="s">
        <v>192</v>
      </c>
      <c r="BN84" t="s">
        <v>189</v>
      </c>
      <c r="BO84" t="s">
        <v>190</v>
      </c>
      <c r="BP84" s="35" t="s">
        <v>861</v>
      </c>
      <c r="BQ84"/>
      <c r="BU84" s="35"/>
      <c r="BV84" s="35"/>
      <c r="BX84"/>
      <c r="CA84" s="35"/>
      <c r="CB84" s="35"/>
      <c r="CC84"/>
      <c r="CG84" s="35"/>
      <c r="CH84" s="35"/>
      <c r="CK84"/>
      <c r="CM84" s="35"/>
      <c r="CN84" s="35"/>
      <c r="CQ84"/>
      <c r="CS84" s="35"/>
      <c r="CT84" s="35"/>
      <c r="CX84"/>
      <c r="CZ84" s="35"/>
      <c r="DD84" s="34"/>
      <c r="DG84" t="s">
        <v>874</v>
      </c>
      <c r="DH84" t="s">
        <v>980</v>
      </c>
      <c r="DI84" t="s">
        <v>280</v>
      </c>
      <c r="DL84" t="s">
        <v>686</v>
      </c>
      <c r="DM84">
        <v>7</v>
      </c>
      <c r="DN84">
        <v>7</v>
      </c>
      <c r="DO84" t="s">
        <v>875</v>
      </c>
      <c r="DQ84" t="s">
        <v>927</v>
      </c>
      <c r="DR84">
        <v>14</v>
      </c>
      <c r="DS84">
        <v>1</v>
      </c>
      <c r="DU84">
        <v>14</v>
      </c>
      <c r="DV84">
        <v>1</v>
      </c>
      <c r="DX84">
        <v>14</v>
      </c>
      <c r="DY84">
        <v>1</v>
      </c>
      <c r="DZ84" t="s">
        <v>246</v>
      </c>
      <c r="EA84" t="s">
        <v>929</v>
      </c>
    </row>
    <row r="85" spans="1:131" x14ac:dyDescent="0.4">
      <c r="A85" s="34">
        <v>43067.305104166669</v>
      </c>
      <c r="B85" s="25">
        <v>42956.581944444442</v>
      </c>
      <c r="D85" s="34"/>
      <c r="E85" s="34" t="s">
        <v>193</v>
      </c>
      <c r="F85" s="34" t="s">
        <v>191</v>
      </c>
      <c r="G85" s="34" t="s">
        <v>100</v>
      </c>
      <c r="H85" t="s">
        <v>856</v>
      </c>
      <c r="I85" t="s">
        <v>243</v>
      </c>
      <c r="J85" t="s">
        <v>857</v>
      </c>
      <c r="K85" t="s">
        <v>729</v>
      </c>
      <c r="L85" t="s">
        <v>855</v>
      </c>
      <c r="M85" s="30">
        <v>1.01</v>
      </c>
      <c r="N85">
        <v>7</v>
      </c>
      <c r="P85" s="24" t="str">
        <f>IFERROR(MID(RADataTable[[#This Row],[RATemplate]],1,LEN(RADataTable[[#This Row],[RATemplate]])-8),"RA") &amp; " " &amp; RADataTable[[#This Row],[prop_id0]] &amp; " " &amp; RADataTable[[#This Row],[last0]]</f>
        <v>RA 1755791 Goswami</v>
      </c>
      <c r="T85">
        <v>3</v>
      </c>
      <c r="U85">
        <v>3</v>
      </c>
      <c r="V85" s="34">
        <v>43031.369444444441</v>
      </c>
      <c r="W85">
        <v>1</v>
      </c>
      <c r="X85" s="15" t="str">
        <f>HYPERLINK("https://www.ejacket.nsf.gov/ej/showProposal.do?Continue=Y&amp;ID="&amp;RADataTable[[#This Row],[prop_id0]],"eJ")</f>
        <v>eJ</v>
      </c>
      <c r="Y85" s="15" t="str">
        <f>HYPERLINK("mailto:"&amp;RADataTable[[#This Row],[email]]&amp;"&amp;subject=Your NSF Proposal:  "&amp;RADataTable[[#This Row],[Div]]&amp;" "&amp;RADataTable[[#This Row],[prop_id0]], RADataTable[[#This Row],[email]])</f>
        <v>Mayank.Goswami@qc.cuny.edu</v>
      </c>
      <c r="Z85" s="15" t="str">
        <f>HYPERLINK("mailto:"&amp;RADataTable[[#This Row],[allPIemail]]&amp;"&amp;subject=NSF Proposal:  "&amp;RADataTable[[#This Row],[Div]]&amp;" "&amp;RADataTable[[#This Row],[prop_id0]], "PIs@")</f>
        <v>PIs@</v>
      </c>
      <c r="AA85" t="s">
        <v>245</v>
      </c>
      <c r="AB85" t="s">
        <v>686</v>
      </c>
      <c r="AC85" s="30" t="s">
        <v>871</v>
      </c>
      <c r="AD85" t="s">
        <v>872</v>
      </c>
      <c r="AE85" t="s">
        <v>873</v>
      </c>
      <c r="AF85" s="36">
        <v>175000</v>
      </c>
      <c r="AG85" s="36">
        <v>175000</v>
      </c>
      <c r="AH85" s="24"/>
      <c r="AJ85" s="34"/>
      <c r="AK85" t="s">
        <v>923</v>
      </c>
      <c r="AL85" t="s">
        <v>282</v>
      </c>
      <c r="AM85" s="34" t="s">
        <v>925</v>
      </c>
      <c r="AN85" s="34">
        <v>43032</v>
      </c>
      <c r="AO85" s="24">
        <v>1</v>
      </c>
      <c r="AP85" t="s">
        <v>979</v>
      </c>
      <c r="AR85" s="35"/>
      <c r="AS85"/>
      <c r="AT85" s="34"/>
      <c r="AV85" s="34"/>
      <c r="AX85" s="34"/>
      <c r="AY85"/>
      <c r="BA85" s="34"/>
      <c r="BB85"/>
      <c r="BC85" t="s">
        <v>876</v>
      </c>
      <c r="BD85" s="36">
        <v>175000</v>
      </c>
      <c r="BE85" s="36">
        <v>175000</v>
      </c>
      <c r="BF85">
        <v>0</v>
      </c>
      <c r="BG85" s="34">
        <v>43344</v>
      </c>
      <c r="BH85">
        <v>24</v>
      </c>
      <c r="BI85" t="s">
        <v>974</v>
      </c>
      <c r="BJ85" t="s">
        <v>975</v>
      </c>
      <c r="BK85" t="s">
        <v>934</v>
      </c>
      <c r="BL85" t="s">
        <v>194</v>
      </c>
      <c r="BM85" s="8" t="s">
        <v>192</v>
      </c>
      <c r="BN85" t="s">
        <v>189</v>
      </c>
      <c r="BO85" t="s">
        <v>190</v>
      </c>
      <c r="BP85" s="35" t="s">
        <v>861</v>
      </c>
      <c r="BQ85"/>
      <c r="BU85" s="35"/>
      <c r="BV85" s="35"/>
      <c r="BX85"/>
      <c r="CA85" s="35"/>
      <c r="CB85" s="35"/>
      <c r="CC85"/>
      <c r="CG85" s="35"/>
      <c r="CH85" s="35"/>
      <c r="CK85"/>
      <c r="CM85" s="35"/>
      <c r="CN85" s="35"/>
      <c r="CQ85"/>
      <c r="CS85" s="35"/>
      <c r="CT85" s="35"/>
      <c r="CX85"/>
      <c r="CZ85" s="35"/>
      <c r="DD85" s="34"/>
      <c r="DG85" t="s">
        <v>874</v>
      </c>
      <c r="DH85" t="s">
        <v>980</v>
      </c>
      <c r="DI85" t="s">
        <v>280</v>
      </c>
      <c r="DL85" t="s">
        <v>686</v>
      </c>
      <c r="DM85">
        <v>7</v>
      </c>
      <c r="DN85">
        <v>7</v>
      </c>
      <c r="DO85" t="s">
        <v>875</v>
      </c>
      <c r="DQ85" t="s">
        <v>927</v>
      </c>
      <c r="DR85">
        <v>14</v>
      </c>
      <c r="DS85">
        <v>1</v>
      </c>
      <c r="DU85">
        <v>14</v>
      </c>
      <c r="DV85">
        <v>1</v>
      </c>
      <c r="DX85">
        <v>14</v>
      </c>
      <c r="DY85">
        <v>1</v>
      </c>
      <c r="DZ85" t="s">
        <v>246</v>
      </c>
      <c r="EA85" t="s">
        <v>929</v>
      </c>
    </row>
    <row r="86" spans="1:131" x14ac:dyDescent="0.4">
      <c r="A86" s="34">
        <v>43067.305104166669</v>
      </c>
      <c r="B86" s="25">
        <v>42956.581944444442</v>
      </c>
      <c r="D86" s="34"/>
      <c r="E86" s="34" t="s">
        <v>193</v>
      </c>
      <c r="F86" s="34" t="s">
        <v>191</v>
      </c>
      <c r="G86" s="34" t="s">
        <v>100</v>
      </c>
      <c r="H86" t="s">
        <v>856</v>
      </c>
      <c r="I86" t="s">
        <v>243</v>
      </c>
      <c r="J86" t="s">
        <v>857</v>
      </c>
      <c r="K86" t="s">
        <v>729</v>
      </c>
      <c r="L86" t="s">
        <v>855</v>
      </c>
      <c r="M86" s="30">
        <v>1.01</v>
      </c>
      <c r="N86">
        <v>7</v>
      </c>
      <c r="P86" s="24" t="str">
        <f>IFERROR(MID(RADataTable[[#This Row],[RATemplate]],1,LEN(RADataTable[[#This Row],[RATemplate]])-8),"RA") &amp; " " &amp; RADataTable[[#This Row],[prop_id0]] &amp; " " &amp; RADataTable[[#This Row],[last0]]</f>
        <v>RA 1755791 Goswami</v>
      </c>
      <c r="T86">
        <v>3</v>
      </c>
      <c r="U86">
        <v>3</v>
      </c>
      <c r="V86" s="34">
        <v>43031.369444444441</v>
      </c>
      <c r="W86">
        <v>1</v>
      </c>
      <c r="X86" s="15" t="str">
        <f>HYPERLINK("https://www.ejacket.nsf.gov/ej/showProposal.do?Continue=Y&amp;ID="&amp;RADataTable[[#This Row],[prop_id0]],"eJ")</f>
        <v>eJ</v>
      </c>
      <c r="Y86" s="15" t="str">
        <f>HYPERLINK("mailto:"&amp;RADataTable[[#This Row],[email]]&amp;"&amp;subject=Your NSF Proposal:  "&amp;RADataTable[[#This Row],[Div]]&amp;" "&amp;RADataTable[[#This Row],[prop_id0]], RADataTable[[#This Row],[email]])</f>
        <v>Mayank.Goswami@qc.cuny.edu</v>
      </c>
      <c r="Z86" s="15" t="str">
        <f>HYPERLINK("mailto:"&amp;RADataTable[[#This Row],[allPIemail]]&amp;"&amp;subject=NSF Proposal:  "&amp;RADataTable[[#This Row],[Div]]&amp;" "&amp;RADataTable[[#This Row],[prop_id0]], "PIs@")</f>
        <v>PIs@</v>
      </c>
      <c r="AA86" t="s">
        <v>245</v>
      </c>
      <c r="AB86" t="s">
        <v>686</v>
      </c>
      <c r="AC86" s="30" t="s">
        <v>871</v>
      </c>
      <c r="AD86" t="s">
        <v>872</v>
      </c>
      <c r="AE86" t="s">
        <v>873</v>
      </c>
      <c r="AF86" s="36">
        <v>175000</v>
      </c>
      <c r="AG86" s="36">
        <v>175000</v>
      </c>
      <c r="AH86" s="24"/>
      <c r="AJ86" s="34"/>
      <c r="AK86" t="s">
        <v>923</v>
      </c>
      <c r="AL86" t="s">
        <v>282</v>
      </c>
      <c r="AM86" s="34" t="s">
        <v>925</v>
      </c>
      <c r="AN86" s="34">
        <v>43032</v>
      </c>
      <c r="AO86" s="24">
        <v>1</v>
      </c>
      <c r="AP86" t="s">
        <v>979</v>
      </c>
      <c r="AR86" s="35"/>
      <c r="AS86"/>
      <c r="AT86" s="34"/>
      <c r="AV86" s="34"/>
      <c r="AX86" s="34"/>
      <c r="AY86"/>
      <c r="BA86" s="34"/>
      <c r="BB86"/>
      <c r="BC86" t="s">
        <v>876</v>
      </c>
      <c r="BD86" s="36">
        <v>175000</v>
      </c>
      <c r="BE86" s="36">
        <v>175000</v>
      </c>
      <c r="BF86">
        <v>0</v>
      </c>
      <c r="BG86" s="34">
        <v>43344</v>
      </c>
      <c r="BH86">
        <v>24</v>
      </c>
      <c r="BI86" t="s">
        <v>974</v>
      </c>
      <c r="BJ86" t="s">
        <v>975</v>
      </c>
      <c r="BK86" t="s">
        <v>934</v>
      </c>
      <c r="BL86" t="s">
        <v>194</v>
      </c>
      <c r="BM86" s="8" t="s">
        <v>192</v>
      </c>
      <c r="BN86" t="s">
        <v>189</v>
      </c>
      <c r="BO86" t="s">
        <v>190</v>
      </c>
      <c r="BP86" s="35" t="s">
        <v>861</v>
      </c>
      <c r="BQ86"/>
      <c r="BU86" s="35"/>
      <c r="BV86" s="35"/>
      <c r="BX86"/>
      <c r="CA86" s="35"/>
      <c r="CB86" s="35"/>
      <c r="CC86"/>
      <c r="CG86" s="35"/>
      <c r="CH86" s="35"/>
      <c r="CK86"/>
      <c r="CM86" s="35"/>
      <c r="CN86" s="35"/>
      <c r="CQ86"/>
      <c r="CS86" s="35"/>
      <c r="CT86" s="35"/>
      <c r="CX86"/>
      <c r="CZ86" s="35"/>
      <c r="DD86" s="34"/>
      <c r="DG86" t="s">
        <v>874</v>
      </c>
      <c r="DH86" t="s">
        <v>980</v>
      </c>
      <c r="DI86" t="s">
        <v>280</v>
      </c>
      <c r="DL86" t="s">
        <v>686</v>
      </c>
      <c r="DM86">
        <v>7</v>
      </c>
      <c r="DN86">
        <v>7</v>
      </c>
      <c r="DO86" t="s">
        <v>875</v>
      </c>
      <c r="DQ86" t="s">
        <v>927</v>
      </c>
      <c r="DR86">
        <v>14</v>
      </c>
      <c r="DS86">
        <v>1</v>
      </c>
      <c r="DU86">
        <v>14</v>
      </c>
      <c r="DV86">
        <v>1</v>
      </c>
      <c r="DX86">
        <v>14</v>
      </c>
      <c r="DY86">
        <v>1</v>
      </c>
      <c r="DZ86" t="s">
        <v>246</v>
      </c>
      <c r="EA86" t="s">
        <v>929</v>
      </c>
    </row>
    <row r="87" spans="1:131" x14ac:dyDescent="0.4">
      <c r="A87" s="34">
        <v>43067.305104166669</v>
      </c>
      <c r="B87" s="25">
        <v>42956.581944444442</v>
      </c>
      <c r="D87" s="34"/>
      <c r="E87" s="34" t="s">
        <v>193</v>
      </c>
      <c r="F87" s="34" t="s">
        <v>191</v>
      </c>
      <c r="G87" s="34" t="s">
        <v>100</v>
      </c>
      <c r="H87" t="s">
        <v>856</v>
      </c>
      <c r="I87" t="s">
        <v>243</v>
      </c>
      <c r="J87" t="s">
        <v>857</v>
      </c>
      <c r="K87" t="s">
        <v>729</v>
      </c>
      <c r="L87" t="s">
        <v>855</v>
      </c>
      <c r="M87" s="30">
        <v>1.01</v>
      </c>
      <c r="N87">
        <v>7</v>
      </c>
      <c r="P87" s="24" t="str">
        <f>IFERROR(MID(RADataTable[[#This Row],[RATemplate]],1,LEN(RADataTable[[#This Row],[RATemplate]])-8),"RA") &amp; " " &amp; RADataTable[[#This Row],[prop_id0]] &amp; " " &amp; RADataTable[[#This Row],[last0]]</f>
        <v>RA 1755791 Goswami</v>
      </c>
      <c r="T87">
        <v>3</v>
      </c>
      <c r="U87">
        <v>3</v>
      </c>
      <c r="V87" s="34">
        <v>43031.369444444441</v>
      </c>
      <c r="W87">
        <v>1</v>
      </c>
      <c r="X87" s="15" t="str">
        <f>HYPERLINK("https://www.ejacket.nsf.gov/ej/showProposal.do?Continue=Y&amp;ID="&amp;RADataTable[[#This Row],[prop_id0]],"eJ")</f>
        <v>eJ</v>
      </c>
      <c r="Y87" s="15" t="str">
        <f>HYPERLINK("mailto:"&amp;RADataTable[[#This Row],[email]]&amp;"&amp;subject=Your NSF Proposal:  "&amp;RADataTable[[#This Row],[Div]]&amp;" "&amp;RADataTable[[#This Row],[prop_id0]], RADataTable[[#This Row],[email]])</f>
        <v>Mayank.Goswami@qc.cuny.edu</v>
      </c>
      <c r="Z87" s="15" t="str">
        <f>HYPERLINK("mailto:"&amp;RADataTable[[#This Row],[allPIemail]]&amp;"&amp;subject=NSF Proposal:  "&amp;RADataTable[[#This Row],[Div]]&amp;" "&amp;RADataTable[[#This Row],[prop_id0]], "PIs@")</f>
        <v>PIs@</v>
      </c>
      <c r="AA87" t="s">
        <v>245</v>
      </c>
      <c r="AB87" t="s">
        <v>686</v>
      </c>
      <c r="AC87" s="30" t="s">
        <v>871</v>
      </c>
      <c r="AD87" t="s">
        <v>872</v>
      </c>
      <c r="AE87" t="s">
        <v>873</v>
      </c>
      <c r="AF87" s="36">
        <v>175000</v>
      </c>
      <c r="AG87" s="36">
        <v>175000</v>
      </c>
      <c r="AH87" s="24"/>
      <c r="AJ87" s="34"/>
      <c r="AK87" t="s">
        <v>923</v>
      </c>
      <c r="AL87" t="s">
        <v>282</v>
      </c>
      <c r="AM87" s="34" t="s">
        <v>925</v>
      </c>
      <c r="AN87" s="34">
        <v>43032</v>
      </c>
      <c r="AO87" s="24">
        <v>1</v>
      </c>
      <c r="AP87" t="s">
        <v>979</v>
      </c>
      <c r="AR87" s="35"/>
      <c r="AS87"/>
      <c r="AT87" s="34"/>
      <c r="AV87" s="34"/>
      <c r="AX87" s="34"/>
      <c r="AY87"/>
      <c r="BA87" s="34"/>
      <c r="BB87"/>
      <c r="BC87" t="s">
        <v>876</v>
      </c>
      <c r="BD87" s="36">
        <v>175000</v>
      </c>
      <c r="BE87" s="36">
        <v>175000</v>
      </c>
      <c r="BF87">
        <v>0</v>
      </c>
      <c r="BG87" s="34">
        <v>43344</v>
      </c>
      <c r="BH87">
        <v>24</v>
      </c>
      <c r="BI87" t="s">
        <v>974</v>
      </c>
      <c r="BJ87" t="s">
        <v>975</v>
      </c>
      <c r="BK87" t="s">
        <v>934</v>
      </c>
      <c r="BL87" t="s">
        <v>194</v>
      </c>
      <c r="BM87" s="8" t="s">
        <v>192</v>
      </c>
      <c r="BN87" t="s">
        <v>189</v>
      </c>
      <c r="BO87" t="s">
        <v>190</v>
      </c>
      <c r="BP87" s="35" t="s">
        <v>861</v>
      </c>
      <c r="BQ87"/>
      <c r="BU87" s="35"/>
      <c r="BV87" s="35"/>
      <c r="BX87"/>
      <c r="CA87" s="35"/>
      <c r="CB87" s="35"/>
      <c r="CC87"/>
      <c r="CG87" s="35"/>
      <c r="CH87" s="35"/>
      <c r="CK87"/>
      <c r="CM87" s="35"/>
      <c r="CN87" s="35"/>
      <c r="CQ87"/>
      <c r="CS87" s="35"/>
      <c r="CT87" s="35"/>
      <c r="CX87"/>
      <c r="CZ87" s="35"/>
      <c r="DD87" s="34"/>
      <c r="DG87" t="s">
        <v>874</v>
      </c>
      <c r="DH87" t="s">
        <v>980</v>
      </c>
      <c r="DI87" t="s">
        <v>280</v>
      </c>
      <c r="DL87" t="s">
        <v>686</v>
      </c>
      <c r="DM87">
        <v>7</v>
      </c>
      <c r="DN87">
        <v>7</v>
      </c>
      <c r="DO87" t="s">
        <v>875</v>
      </c>
      <c r="DQ87" t="s">
        <v>927</v>
      </c>
      <c r="DR87">
        <v>14</v>
      </c>
      <c r="DS87">
        <v>1</v>
      </c>
      <c r="DU87">
        <v>14</v>
      </c>
      <c r="DV87">
        <v>1</v>
      </c>
      <c r="DX87">
        <v>14</v>
      </c>
      <c r="DY87">
        <v>1</v>
      </c>
      <c r="DZ87" t="s">
        <v>246</v>
      </c>
      <c r="EA87" t="s">
        <v>929</v>
      </c>
    </row>
    <row r="88" spans="1:131" x14ac:dyDescent="0.4">
      <c r="A88" s="34">
        <v>43067.305104166669</v>
      </c>
      <c r="B88" s="25">
        <v>42956.581944444442</v>
      </c>
      <c r="D88" s="34"/>
      <c r="E88" s="34" t="s">
        <v>193</v>
      </c>
      <c r="F88" s="34" t="s">
        <v>191</v>
      </c>
      <c r="G88" s="34" t="s">
        <v>100</v>
      </c>
      <c r="H88" t="s">
        <v>856</v>
      </c>
      <c r="I88" t="s">
        <v>243</v>
      </c>
      <c r="J88" t="s">
        <v>857</v>
      </c>
      <c r="K88" t="s">
        <v>729</v>
      </c>
      <c r="L88" t="s">
        <v>855</v>
      </c>
      <c r="M88" s="30">
        <v>1.01</v>
      </c>
      <c r="N88">
        <v>7</v>
      </c>
      <c r="P88" s="24" t="str">
        <f>IFERROR(MID(RADataTable[[#This Row],[RATemplate]],1,LEN(RADataTable[[#This Row],[RATemplate]])-8),"RA") &amp; " " &amp; RADataTable[[#This Row],[prop_id0]] &amp; " " &amp; RADataTable[[#This Row],[last0]]</f>
        <v>RA 1755791 Goswami</v>
      </c>
      <c r="T88">
        <v>3</v>
      </c>
      <c r="U88">
        <v>3</v>
      </c>
      <c r="V88" s="34">
        <v>43031.369444444441</v>
      </c>
      <c r="W88">
        <v>1</v>
      </c>
      <c r="X88" s="15" t="str">
        <f>HYPERLINK("https://www.ejacket.nsf.gov/ej/showProposal.do?Continue=Y&amp;ID="&amp;RADataTable[[#This Row],[prop_id0]],"eJ")</f>
        <v>eJ</v>
      </c>
      <c r="Y88" s="15" t="str">
        <f>HYPERLINK("mailto:"&amp;RADataTable[[#This Row],[email]]&amp;"&amp;subject=Your NSF Proposal:  "&amp;RADataTable[[#This Row],[Div]]&amp;" "&amp;RADataTable[[#This Row],[prop_id0]], RADataTable[[#This Row],[email]])</f>
        <v>Mayank.Goswami@qc.cuny.edu</v>
      </c>
      <c r="Z88" s="15" t="str">
        <f>HYPERLINK("mailto:"&amp;RADataTable[[#This Row],[allPIemail]]&amp;"&amp;subject=NSF Proposal:  "&amp;RADataTable[[#This Row],[Div]]&amp;" "&amp;RADataTable[[#This Row],[prop_id0]], "PIs@")</f>
        <v>PIs@</v>
      </c>
      <c r="AA88" t="s">
        <v>245</v>
      </c>
      <c r="AB88" t="s">
        <v>686</v>
      </c>
      <c r="AC88" s="30" t="s">
        <v>871</v>
      </c>
      <c r="AD88" t="s">
        <v>872</v>
      </c>
      <c r="AE88" t="s">
        <v>873</v>
      </c>
      <c r="AF88" s="36">
        <v>175000</v>
      </c>
      <c r="AG88" s="36">
        <v>175000</v>
      </c>
      <c r="AH88" s="24"/>
      <c r="AJ88" s="34"/>
      <c r="AK88" t="s">
        <v>923</v>
      </c>
      <c r="AL88" t="s">
        <v>282</v>
      </c>
      <c r="AM88" s="34" t="s">
        <v>925</v>
      </c>
      <c r="AN88" s="34">
        <v>43032</v>
      </c>
      <c r="AO88" s="24">
        <v>1</v>
      </c>
      <c r="AP88" t="s">
        <v>979</v>
      </c>
      <c r="AR88" s="35"/>
      <c r="AS88"/>
      <c r="AT88" s="34"/>
      <c r="AV88" s="34"/>
      <c r="AX88" s="34"/>
      <c r="AY88"/>
      <c r="BA88" s="34"/>
      <c r="BB88"/>
      <c r="BC88" t="s">
        <v>876</v>
      </c>
      <c r="BD88" s="36">
        <v>175000</v>
      </c>
      <c r="BE88" s="36">
        <v>175000</v>
      </c>
      <c r="BF88">
        <v>0</v>
      </c>
      <c r="BG88" s="34">
        <v>43344</v>
      </c>
      <c r="BH88">
        <v>24</v>
      </c>
      <c r="BI88" t="s">
        <v>974</v>
      </c>
      <c r="BJ88" t="s">
        <v>975</v>
      </c>
      <c r="BK88" t="s">
        <v>934</v>
      </c>
      <c r="BL88" t="s">
        <v>194</v>
      </c>
      <c r="BM88" s="8" t="s">
        <v>192</v>
      </c>
      <c r="BN88" t="s">
        <v>189</v>
      </c>
      <c r="BO88" t="s">
        <v>190</v>
      </c>
      <c r="BP88" s="35" t="s">
        <v>861</v>
      </c>
      <c r="BQ88"/>
      <c r="BU88" s="35"/>
      <c r="BV88" s="35"/>
      <c r="BX88"/>
      <c r="CA88" s="35"/>
      <c r="CB88" s="35"/>
      <c r="CC88"/>
      <c r="CG88" s="35"/>
      <c r="CH88" s="35"/>
      <c r="CK88"/>
      <c r="CM88" s="35"/>
      <c r="CN88" s="35"/>
      <c r="CQ88"/>
      <c r="CS88" s="35"/>
      <c r="CT88" s="35"/>
      <c r="CX88"/>
      <c r="CZ88" s="35"/>
      <c r="DD88" s="34"/>
      <c r="DG88" t="s">
        <v>874</v>
      </c>
      <c r="DH88" t="s">
        <v>980</v>
      </c>
      <c r="DI88" t="s">
        <v>280</v>
      </c>
      <c r="DL88" t="s">
        <v>686</v>
      </c>
      <c r="DM88">
        <v>7</v>
      </c>
      <c r="DN88">
        <v>7</v>
      </c>
      <c r="DO88" t="s">
        <v>875</v>
      </c>
      <c r="DQ88" t="s">
        <v>927</v>
      </c>
      <c r="DR88">
        <v>14</v>
      </c>
      <c r="DS88">
        <v>1</v>
      </c>
      <c r="DU88">
        <v>14</v>
      </c>
      <c r="DV88">
        <v>1</v>
      </c>
      <c r="DX88">
        <v>14</v>
      </c>
      <c r="DY88">
        <v>1</v>
      </c>
      <c r="DZ88" t="s">
        <v>246</v>
      </c>
      <c r="EA88" t="s">
        <v>929</v>
      </c>
    </row>
    <row r="89" spans="1:131" x14ac:dyDescent="0.4">
      <c r="A89" s="34">
        <v>43067.305104166669</v>
      </c>
      <c r="B89" s="25">
        <v>42956.581944444442</v>
      </c>
      <c r="D89" s="34"/>
      <c r="E89" s="34" t="s">
        <v>193</v>
      </c>
      <c r="F89" s="34" t="s">
        <v>191</v>
      </c>
      <c r="G89" s="34" t="s">
        <v>100</v>
      </c>
      <c r="H89" t="s">
        <v>856</v>
      </c>
      <c r="I89" t="s">
        <v>243</v>
      </c>
      <c r="J89" t="s">
        <v>857</v>
      </c>
      <c r="K89" t="s">
        <v>729</v>
      </c>
      <c r="L89" t="s">
        <v>855</v>
      </c>
      <c r="M89" s="30">
        <v>1.01</v>
      </c>
      <c r="N89">
        <v>7</v>
      </c>
      <c r="P89" s="24" t="str">
        <f>IFERROR(MID(RADataTable[[#This Row],[RATemplate]],1,LEN(RADataTable[[#This Row],[RATemplate]])-8),"RA") &amp; " " &amp; RADataTable[[#This Row],[prop_id0]] &amp; " " &amp; RADataTable[[#This Row],[last0]]</f>
        <v>RA 1755791 Goswami</v>
      </c>
      <c r="T89">
        <v>3</v>
      </c>
      <c r="U89">
        <v>3</v>
      </c>
      <c r="V89" s="34">
        <v>43031.369444444441</v>
      </c>
      <c r="W89">
        <v>1</v>
      </c>
      <c r="X89" s="15" t="str">
        <f>HYPERLINK("https://www.ejacket.nsf.gov/ej/showProposal.do?Continue=Y&amp;ID="&amp;RADataTable[[#This Row],[prop_id0]],"eJ")</f>
        <v>eJ</v>
      </c>
      <c r="Y89" s="15" t="str">
        <f>HYPERLINK("mailto:"&amp;RADataTable[[#This Row],[email]]&amp;"&amp;subject=Your NSF Proposal:  "&amp;RADataTable[[#This Row],[Div]]&amp;" "&amp;RADataTable[[#This Row],[prop_id0]], RADataTable[[#This Row],[email]])</f>
        <v>Mayank.Goswami@qc.cuny.edu</v>
      </c>
      <c r="Z89" s="15" t="str">
        <f>HYPERLINK("mailto:"&amp;RADataTable[[#This Row],[allPIemail]]&amp;"&amp;subject=NSF Proposal:  "&amp;RADataTable[[#This Row],[Div]]&amp;" "&amp;RADataTable[[#This Row],[prop_id0]], "PIs@")</f>
        <v>PIs@</v>
      </c>
      <c r="AA89" t="s">
        <v>245</v>
      </c>
      <c r="AB89" t="s">
        <v>686</v>
      </c>
      <c r="AC89" s="30" t="s">
        <v>871</v>
      </c>
      <c r="AD89" t="s">
        <v>872</v>
      </c>
      <c r="AE89" t="s">
        <v>873</v>
      </c>
      <c r="AF89" s="36">
        <v>175000</v>
      </c>
      <c r="AG89" s="36">
        <v>175000</v>
      </c>
      <c r="AH89" s="24"/>
      <c r="AJ89" s="34"/>
      <c r="AK89" t="s">
        <v>923</v>
      </c>
      <c r="AL89" t="s">
        <v>282</v>
      </c>
      <c r="AM89" s="34" t="s">
        <v>925</v>
      </c>
      <c r="AN89" s="34">
        <v>43032</v>
      </c>
      <c r="AO89" s="24">
        <v>1</v>
      </c>
      <c r="AP89" t="s">
        <v>979</v>
      </c>
      <c r="AR89" s="35"/>
      <c r="AS89"/>
      <c r="AT89" s="34"/>
      <c r="AV89" s="34"/>
      <c r="AX89" s="34"/>
      <c r="AY89"/>
      <c r="BA89" s="34"/>
      <c r="BB89"/>
      <c r="BC89" t="s">
        <v>876</v>
      </c>
      <c r="BD89" s="36">
        <v>175000</v>
      </c>
      <c r="BE89" s="36">
        <v>175000</v>
      </c>
      <c r="BF89">
        <v>0</v>
      </c>
      <c r="BG89" s="34">
        <v>43344</v>
      </c>
      <c r="BH89">
        <v>24</v>
      </c>
      <c r="BI89" t="s">
        <v>974</v>
      </c>
      <c r="BJ89" t="s">
        <v>975</v>
      </c>
      <c r="BK89" t="s">
        <v>934</v>
      </c>
      <c r="BL89" t="s">
        <v>194</v>
      </c>
      <c r="BM89" s="8" t="s">
        <v>192</v>
      </c>
      <c r="BN89" t="s">
        <v>189</v>
      </c>
      <c r="BO89" t="s">
        <v>190</v>
      </c>
      <c r="BP89" s="35" t="s">
        <v>861</v>
      </c>
      <c r="BQ89"/>
      <c r="BU89" s="35"/>
      <c r="BV89" s="35"/>
      <c r="BX89"/>
      <c r="CA89" s="35"/>
      <c r="CB89" s="35"/>
      <c r="CC89"/>
      <c r="CG89" s="35"/>
      <c r="CH89" s="35"/>
      <c r="CK89"/>
      <c r="CM89" s="35"/>
      <c r="CN89" s="35"/>
      <c r="CQ89"/>
      <c r="CS89" s="35"/>
      <c r="CT89" s="35"/>
      <c r="CX89"/>
      <c r="CZ89" s="35"/>
      <c r="DD89" s="34"/>
      <c r="DG89" t="s">
        <v>874</v>
      </c>
      <c r="DH89" t="s">
        <v>980</v>
      </c>
      <c r="DI89" t="s">
        <v>280</v>
      </c>
      <c r="DL89" t="s">
        <v>686</v>
      </c>
      <c r="DM89">
        <v>7</v>
      </c>
      <c r="DN89">
        <v>7</v>
      </c>
      <c r="DO89" t="s">
        <v>875</v>
      </c>
      <c r="DQ89" t="s">
        <v>927</v>
      </c>
      <c r="DR89">
        <v>14</v>
      </c>
      <c r="DS89">
        <v>1</v>
      </c>
      <c r="DU89">
        <v>14</v>
      </c>
      <c r="DV89">
        <v>1</v>
      </c>
      <c r="DX89">
        <v>14</v>
      </c>
      <c r="DY89">
        <v>1</v>
      </c>
      <c r="DZ89" t="s">
        <v>246</v>
      </c>
      <c r="EA89" t="s">
        <v>929</v>
      </c>
    </row>
    <row r="90" spans="1:131" x14ac:dyDescent="0.4">
      <c r="A90" s="34">
        <v>43067.305104166669</v>
      </c>
      <c r="B90" s="25">
        <v>42956.581944444442</v>
      </c>
      <c r="D90" s="34"/>
      <c r="E90" s="34" t="s">
        <v>193</v>
      </c>
      <c r="F90" s="34" t="s">
        <v>191</v>
      </c>
      <c r="G90" s="34" t="s">
        <v>100</v>
      </c>
      <c r="H90" t="s">
        <v>856</v>
      </c>
      <c r="I90" t="s">
        <v>243</v>
      </c>
      <c r="J90" t="s">
        <v>857</v>
      </c>
      <c r="K90" t="s">
        <v>729</v>
      </c>
      <c r="L90" t="s">
        <v>855</v>
      </c>
      <c r="M90" s="30">
        <v>1.01</v>
      </c>
      <c r="N90">
        <v>7</v>
      </c>
      <c r="P90" s="24" t="str">
        <f>IFERROR(MID(RADataTable[[#This Row],[RATemplate]],1,LEN(RADataTable[[#This Row],[RATemplate]])-8),"RA") &amp; " " &amp; RADataTable[[#This Row],[prop_id0]] &amp; " " &amp; RADataTable[[#This Row],[last0]]</f>
        <v>RA 1755791 Goswami</v>
      </c>
      <c r="T90">
        <v>3</v>
      </c>
      <c r="U90">
        <v>3</v>
      </c>
      <c r="V90" s="34">
        <v>43031.369444444441</v>
      </c>
      <c r="W90">
        <v>1</v>
      </c>
      <c r="X90" s="15" t="str">
        <f>HYPERLINK("https://www.ejacket.nsf.gov/ej/showProposal.do?Continue=Y&amp;ID="&amp;RADataTable[[#This Row],[prop_id0]],"eJ")</f>
        <v>eJ</v>
      </c>
      <c r="Y90" s="15" t="str">
        <f>HYPERLINK("mailto:"&amp;RADataTable[[#This Row],[email]]&amp;"&amp;subject=Your NSF Proposal:  "&amp;RADataTable[[#This Row],[Div]]&amp;" "&amp;RADataTable[[#This Row],[prop_id0]], RADataTable[[#This Row],[email]])</f>
        <v>Mayank.Goswami@qc.cuny.edu</v>
      </c>
      <c r="Z90" s="15" t="str">
        <f>HYPERLINK("mailto:"&amp;RADataTable[[#This Row],[allPIemail]]&amp;"&amp;subject=NSF Proposal:  "&amp;RADataTable[[#This Row],[Div]]&amp;" "&amp;RADataTable[[#This Row],[prop_id0]], "PIs@")</f>
        <v>PIs@</v>
      </c>
      <c r="AA90" t="s">
        <v>245</v>
      </c>
      <c r="AB90" t="s">
        <v>686</v>
      </c>
      <c r="AC90" s="30" t="s">
        <v>871</v>
      </c>
      <c r="AD90" t="s">
        <v>872</v>
      </c>
      <c r="AE90" t="s">
        <v>873</v>
      </c>
      <c r="AF90" s="36">
        <v>175000</v>
      </c>
      <c r="AG90" s="36">
        <v>175000</v>
      </c>
      <c r="AH90" s="24"/>
      <c r="AJ90" s="34"/>
      <c r="AK90" t="s">
        <v>923</v>
      </c>
      <c r="AL90" t="s">
        <v>282</v>
      </c>
      <c r="AM90" s="34" t="s">
        <v>925</v>
      </c>
      <c r="AN90" s="34">
        <v>43032</v>
      </c>
      <c r="AO90" s="24">
        <v>1</v>
      </c>
      <c r="AP90" t="s">
        <v>979</v>
      </c>
      <c r="AR90" s="35"/>
      <c r="AS90"/>
      <c r="AT90" s="34"/>
      <c r="AV90" s="34"/>
      <c r="AX90" s="34"/>
      <c r="AY90"/>
      <c r="BA90" s="34"/>
      <c r="BB90"/>
      <c r="BC90" t="s">
        <v>876</v>
      </c>
      <c r="BD90" s="36">
        <v>175000</v>
      </c>
      <c r="BE90" s="36">
        <v>175000</v>
      </c>
      <c r="BF90">
        <v>0</v>
      </c>
      <c r="BG90" s="34">
        <v>43344</v>
      </c>
      <c r="BH90">
        <v>24</v>
      </c>
      <c r="BI90" t="s">
        <v>974</v>
      </c>
      <c r="BJ90" t="s">
        <v>975</v>
      </c>
      <c r="BK90" t="s">
        <v>934</v>
      </c>
      <c r="BL90" t="s">
        <v>194</v>
      </c>
      <c r="BM90" s="8" t="s">
        <v>192</v>
      </c>
      <c r="BN90" t="s">
        <v>189</v>
      </c>
      <c r="BO90" t="s">
        <v>190</v>
      </c>
      <c r="BP90" s="35" t="s">
        <v>861</v>
      </c>
      <c r="BQ90"/>
      <c r="BU90" s="35"/>
      <c r="BV90" s="35"/>
      <c r="BX90"/>
      <c r="CA90" s="35"/>
      <c r="CB90" s="35"/>
      <c r="CC90"/>
      <c r="CG90" s="35"/>
      <c r="CH90" s="35"/>
      <c r="CK90"/>
      <c r="CM90" s="35"/>
      <c r="CN90" s="35"/>
      <c r="CQ90"/>
      <c r="CS90" s="35"/>
      <c r="CT90" s="35"/>
      <c r="CX90"/>
      <c r="CZ90" s="35"/>
      <c r="DD90" s="34"/>
      <c r="DG90" t="s">
        <v>874</v>
      </c>
      <c r="DH90" t="s">
        <v>980</v>
      </c>
      <c r="DI90" t="s">
        <v>280</v>
      </c>
      <c r="DL90" t="s">
        <v>686</v>
      </c>
      <c r="DM90">
        <v>7</v>
      </c>
      <c r="DN90">
        <v>7</v>
      </c>
      <c r="DO90" t="s">
        <v>875</v>
      </c>
      <c r="DQ90" t="s">
        <v>927</v>
      </c>
      <c r="DR90">
        <v>14</v>
      </c>
      <c r="DS90">
        <v>1</v>
      </c>
      <c r="DU90">
        <v>14</v>
      </c>
      <c r="DV90">
        <v>1</v>
      </c>
      <c r="DX90">
        <v>14</v>
      </c>
      <c r="DY90">
        <v>1</v>
      </c>
      <c r="DZ90" t="s">
        <v>246</v>
      </c>
      <c r="EA90" t="s">
        <v>929</v>
      </c>
    </row>
    <row r="91" spans="1:131" x14ac:dyDescent="0.4">
      <c r="A91" s="34">
        <v>43067.305104166669</v>
      </c>
      <c r="B91" s="25">
        <v>42956.581944444442</v>
      </c>
      <c r="D91" s="34"/>
      <c r="E91" s="34" t="s">
        <v>193</v>
      </c>
      <c r="F91" s="34" t="s">
        <v>191</v>
      </c>
      <c r="G91" s="34" t="s">
        <v>100</v>
      </c>
      <c r="H91" t="s">
        <v>856</v>
      </c>
      <c r="I91" t="s">
        <v>243</v>
      </c>
      <c r="J91" t="s">
        <v>857</v>
      </c>
      <c r="K91" t="s">
        <v>729</v>
      </c>
      <c r="L91" t="s">
        <v>855</v>
      </c>
      <c r="M91" s="30">
        <v>1.01</v>
      </c>
      <c r="N91">
        <v>7</v>
      </c>
      <c r="P91" s="24" t="str">
        <f>IFERROR(MID(RADataTable[[#This Row],[RATemplate]],1,LEN(RADataTable[[#This Row],[RATemplate]])-8),"RA") &amp; " " &amp; RADataTable[[#This Row],[prop_id0]] &amp; " " &amp; RADataTable[[#This Row],[last0]]</f>
        <v>RA 1755791 Goswami</v>
      </c>
      <c r="T91">
        <v>3</v>
      </c>
      <c r="U91">
        <v>3</v>
      </c>
      <c r="V91" s="34">
        <v>43031.369444444441</v>
      </c>
      <c r="W91">
        <v>1</v>
      </c>
      <c r="X91" s="15" t="str">
        <f>HYPERLINK("https://www.ejacket.nsf.gov/ej/showProposal.do?Continue=Y&amp;ID="&amp;RADataTable[[#This Row],[prop_id0]],"eJ")</f>
        <v>eJ</v>
      </c>
      <c r="Y91" s="15" t="str">
        <f>HYPERLINK("mailto:"&amp;RADataTable[[#This Row],[email]]&amp;"&amp;subject=Your NSF Proposal:  "&amp;RADataTable[[#This Row],[Div]]&amp;" "&amp;RADataTable[[#This Row],[prop_id0]], RADataTable[[#This Row],[email]])</f>
        <v>Mayank.Goswami@qc.cuny.edu</v>
      </c>
      <c r="Z91" s="15" t="str">
        <f>HYPERLINK("mailto:"&amp;RADataTable[[#This Row],[allPIemail]]&amp;"&amp;subject=NSF Proposal:  "&amp;RADataTable[[#This Row],[Div]]&amp;" "&amp;RADataTable[[#This Row],[prop_id0]], "PIs@")</f>
        <v>PIs@</v>
      </c>
      <c r="AA91" t="s">
        <v>245</v>
      </c>
      <c r="AB91" t="s">
        <v>686</v>
      </c>
      <c r="AC91" s="30" t="s">
        <v>871</v>
      </c>
      <c r="AD91" t="s">
        <v>872</v>
      </c>
      <c r="AE91" t="s">
        <v>873</v>
      </c>
      <c r="AF91" s="36">
        <v>175000</v>
      </c>
      <c r="AG91" s="36">
        <v>175000</v>
      </c>
      <c r="AH91" s="24"/>
      <c r="AJ91" s="34"/>
      <c r="AK91" t="s">
        <v>923</v>
      </c>
      <c r="AL91" t="s">
        <v>282</v>
      </c>
      <c r="AM91" s="34" t="s">
        <v>925</v>
      </c>
      <c r="AN91" s="34">
        <v>43032</v>
      </c>
      <c r="AO91" s="24">
        <v>1</v>
      </c>
      <c r="AP91" t="s">
        <v>979</v>
      </c>
      <c r="AR91" s="35"/>
      <c r="AS91"/>
      <c r="AT91" s="34"/>
      <c r="AV91" s="34"/>
      <c r="AX91" s="34"/>
      <c r="AY91"/>
      <c r="BA91" s="34"/>
      <c r="BB91"/>
      <c r="BC91" t="s">
        <v>876</v>
      </c>
      <c r="BD91" s="36">
        <v>175000</v>
      </c>
      <c r="BE91" s="36">
        <v>175000</v>
      </c>
      <c r="BF91">
        <v>0</v>
      </c>
      <c r="BG91" s="34">
        <v>43344</v>
      </c>
      <c r="BH91">
        <v>24</v>
      </c>
      <c r="BI91" t="s">
        <v>974</v>
      </c>
      <c r="BJ91" t="s">
        <v>975</v>
      </c>
      <c r="BK91" t="s">
        <v>934</v>
      </c>
      <c r="BL91" t="s">
        <v>194</v>
      </c>
      <c r="BM91" s="8" t="s">
        <v>192</v>
      </c>
      <c r="BN91" t="s">
        <v>189</v>
      </c>
      <c r="BO91" t="s">
        <v>190</v>
      </c>
      <c r="BP91" s="35" t="s">
        <v>861</v>
      </c>
      <c r="BQ91"/>
      <c r="BU91" s="35"/>
      <c r="BV91" s="35"/>
      <c r="BX91"/>
      <c r="CA91" s="35"/>
      <c r="CB91" s="35"/>
      <c r="CC91"/>
      <c r="CG91" s="35"/>
      <c r="CH91" s="35"/>
      <c r="CK91"/>
      <c r="CM91" s="35"/>
      <c r="CN91" s="35"/>
      <c r="CQ91"/>
      <c r="CS91" s="35"/>
      <c r="CT91" s="35"/>
      <c r="CX91"/>
      <c r="CZ91" s="35"/>
      <c r="DD91" s="34"/>
      <c r="DG91" t="s">
        <v>874</v>
      </c>
      <c r="DH91" t="s">
        <v>980</v>
      </c>
      <c r="DI91" t="s">
        <v>280</v>
      </c>
      <c r="DL91" t="s">
        <v>686</v>
      </c>
      <c r="DM91">
        <v>7</v>
      </c>
      <c r="DN91">
        <v>7</v>
      </c>
      <c r="DO91" t="s">
        <v>875</v>
      </c>
      <c r="DQ91" t="s">
        <v>927</v>
      </c>
      <c r="DR91">
        <v>14</v>
      </c>
      <c r="DS91">
        <v>1</v>
      </c>
      <c r="DU91">
        <v>14</v>
      </c>
      <c r="DV91">
        <v>1</v>
      </c>
      <c r="DX91">
        <v>14</v>
      </c>
      <c r="DY91">
        <v>1</v>
      </c>
      <c r="DZ91" t="s">
        <v>246</v>
      </c>
      <c r="EA91" t="s">
        <v>929</v>
      </c>
    </row>
    <row r="92" spans="1:131" x14ac:dyDescent="0.4">
      <c r="A92" s="34">
        <v>43067.305104166669</v>
      </c>
      <c r="B92" s="25">
        <v>42956.581944444442</v>
      </c>
      <c r="D92" s="34"/>
      <c r="E92" s="34" t="s">
        <v>193</v>
      </c>
      <c r="F92" s="34" t="s">
        <v>191</v>
      </c>
      <c r="G92" s="34" t="s">
        <v>100</v>
      </c>
      <c r="H92" t="s">
        <v>856</v>
      </c>
      <c r="I92" t="s">
        <v>243</v>
      </c>
      <c r="J92" t="s">
        <v>857</v>
      </c>
      <c r="K92" t="s">
        <v>729</v>
      </c>
      <c r="L92" t="s">
        <v>855</v>
      </c>
      <c r="M92" s="30">
        <v>1.01</v>
      </c>
      <c r="N92">
        <v>7</v>
      </c>
      <c r="P92" s="24" t="str">
        <f>IFERROR(MID(RADataTable[[#This Row],[RATemplate]],1,LEN(RADataTable[[#This Row],[RATemplate]])-8),"RA") &amp; " " &amp; RADataTable[[#This Row],[prop_id0]] &amp; " " &amp; RADataTable[[#This Row],[last0]]</f>
        <v>RA 1755791 Goswami</v>
      </c>
      <c r="T92">
        <v>3</v>
      </c>
      <c r="U92">
        <v>3</v>
      </c>
      <c r="V92" s="34">
        <v>43031.369444444441</v>
      </c>
      <c r="W92">
        <v>1</v>
      </c>
      <c r="X92" s="15" t="str">
        <f>HYPERLINK("https://www.ejacket.nsf.gov/ej/showProposal.do?Continue=Y&amp;ID="&amp;RADataTable[[#This Row],[prop_id0]],"eJ")</f>
        <v>eJ</v>
      </c>
      <c r="Y92" s="15" t="str">
        <f>HYPERLINK("mailto:"&amp;RADataTable[[#This Row],[email]]&amp;"&amp;subject=Your NSF Proposal:  "&amp;RADataTable[[#This Row],[Div]]&amp;" "&amp;RADataTable[[#This Row],[prop_id0]], RADataTable[[#This Row],[email]])</f>
        <v>Mayank.Goswami@qc.cuny.edu</v>
      </c>
      <c r="Z92" s="15" t="str">
        <f>HYPERLINK("mailto:"&amp;RADataTable[[#This Row],[allPIemail]]&amp;"&amp;subject=NSF Proposal:  "&amp;RADataTable[[#This Row],[Div]]&amp;" "&amp;RADataTable[[#This Row],[prop_id0]], "PIs@")</f>
        <v>PIs@</v>
      </c>
      <c r="AA92" t="s">
        <v>245</v>
      </c>
      <c r="AB92" t="s">
        <v>686</v>
      </c>
      <c r="AC92" s="30" t="s">
        <v>871</v>
      </c>
      <c r="AD92" t="s">
        <v>872</v>
      </c>
      <c r="AE92" t="s">
        <v>873</v>
      </c>
      <c r="AF92" s="36">
        <v>175000</v>
      </c>
      <c r="AG92" s="36">
        <v>175000</v>
      </c>
      <c r="AH92" s="24"/>
      <c r="AJ92" s="34"/>
      <c r="AK92" t="s">
        <v>923</v>
      </c>
      <c r="AL92" t="s">
        <v>282</v>
      </c>
      <c r="AM92" s="34" t="s">
        <v>925</v>
      </c>
      <c r="AN92" s="34">
        <v>43032</v>
      </c>
      <c r="AO92" s="24">
        <v>1</v>
      </c>
      <c r="AP92" t="s">
        <v>979</v>
      </c>
      <c r="AR92" s="35"/>
      <c r="AS92"/>
      <c r="AT92" s="34"/>
      <c r="AV92" s="34"/>
      <c r="AX92" s="34"/>
      <c r="AY92"/>
      <c r="BA92" s="34"/>
      <c r="BB92"/>
      <c r="BC92" t="s">
        <v>876</v>
      </c>
      <c r="BD92" s="36">
        <v>175000</v>
      </c>
      <c r="BE92" s="36">
        <v>175000</v>
      </c>
      <c r="BF92">
        <v>0</v>
      </c>
      <c r="BG92" s="34">
        <v>43344</v>
      </c>
      <c r="BH92">
        <v>24</v>
      </c>
      <c r="BI92" t="s">
        <v>974</v>
      </c>
      <c r="BJ92" t="s">
        <v>975</v>
      </c>
      <c r="BK92" t="s">
        <v>934</v>
      </c>
      <c r="BL92" t="s">
        <v>194</v>
      </c>
      <c r="BM92" s="8" t="s">
        <v>192</v>
      </c>
      <c r="BN92" t="s">
        <v>189</v>
      </c>
      <c r="BO92" t="s">
        <v>190</v>
      </c>
      <c r="BP92" s="35" t="s">
        <v>861</v>
      </c>
      <c r="BQ92"/>
      <c r="BU92" s="35"/>
      <c r="BV92" s="35"/>
      <c r="BX92"/>
      <c r="CA92" s="35"/>
      <c r="CB92" s="35"/>
      <c r="CC92"/>
      <c r="CG92" s="35"/>
      <c r="CH92" s="35"/>
      <c r="CK92"/>
      <c r="CM92" s="35"/>
      <c r="CN92" s="35"/>
      <c r="CQ92"/>
      <c r="CS92" s="35"/>
      <c r="CT92" s="35"/>
      <c r="CX92"/>
      <c r="CZ92" s="35"/>
      <c r="DD92" s="34"/>
      <c r="DG92" t="s">
        <v>874</v>
      </c>
      <c r="DH92" t="s">
        <v>980</v>
      </c>
      <c r="DI92" t="s">
        <v>280</v>
      </c>
      <c r="DL92" t="s">
        <v>686</v>
      </c>
      <c r="DM92">
        <v>7</v>
      </c>
      <c r="DN92">
        <v>7</v>
      </c>
      <c r="DO92" t="s">
        <v>875</v>
      </c>
      <c r="DQ92" t="s">
        <v>927</v>
      </c>
      <c r="DR92">
        <v>14</v>
      </c>
      <c r="DS92">
        <v>1</v>
      </c>
      <c r="DU92">
        <v>14</v>
      </c>
      <c r="DV92">
        <v>1</v>
      </c>
      <c r="DX92">
        <v>14</v>
      </c>
      <c r="DY92">
        <v>1</v>
      </c>
      <c r="DZ92" t="s">
        <v>246</v>
      </c>
      <c r="EA92" t="s">
        <v>929</v>
      </c>
    </row>
    <row r="93" spans="1:131" x14ac:dyDescent="0.4">
      <c r="A93" s="34">
        <v>43067.305104166669</v>
      </c>
      <c r="B93" s="25">
        <v>42956.581944444442</v>
      </c>
      <c r="D93" s="34"/>
      <c r="E93" s="34" t="s">
        <v>193</v>
      </c>
      <c r="F93" s="34" t="s">
        <v>191</v>
      </c>
      <c r="G93" s="34" t="s">
        <v>100</v>
      </c>
      <c r="H93" t="s">
        <v>856</v>
      </c>
      <c r="I93" t="s">
        <v>243</v>
      </c>
      <c r="J93" t="s">
        <v>857</v>
      </c>
      <c r="K93" t="s">
        <v>729</v>
      </c>
      <c r="L93" t="s">
        <v>855</v>
      </c>
      <c r="M93" s="30">
        <v>1.01</v>
      </c>
      <c r="N93">
        <v>7</v>
      </c>
      <c r="P93" s="24" t="str">
        <f>IFERROR(MID(RADataTable[[#This Row],[RATemplate]],1,LEN(RADataTable[[#This Row],[RATemplate]])-8),"RA") &amp; " " &amp; RADataTable[[#This Row],[prop_id0]] &amp; " " &amp; RADataTable[[#This Row],[last0]]</f>
        <v>RA 1755791 Goswami</v>
      </c>
      <c r="T93">
        <v>3</v>
      </c>
      <c r="U93">
        <v>3</v>
      </c>
      <c r="V93" s="34">
        <v>43031.369444444441</v>
      </c>
      <c r="W93">
        <v>1</v>
      </c>
      <c r="X93" s="15" t="str">
        <f>HYPERLINK("https://www.ejacket.nsf.gov/ej/showProposal.do?Continue=Y&amp;ID="&amp;RADataTable[[#This Row],[prop_id0]],"eJ")</f>
        <v>eJ</v>
      </c>
      <c r="Y93" s="15" t="str">
        <f>HYPERLINK("mailto:"&amp;RADataTable[[#This Row],[email]]&amp;"&amp;subject=Your NSF Proposal:  "&amp;RADataTable[[#This Row],[Div]]&amp;" "&amp;RADataTable[[#This Row],[prop_id0]], RADataTable[[#This Row],[email]])</f>
        <v>Mayank.Goswami@qc.cuny.edu</v>
      </c>
      <c r="Z93" s="15" t="str">
        <f>HYPERLINK("mailto:"&amp;RADataTable[[#This Row],[allPIemail]]&amp;"&amp;subject=NSF Proposal:  "&amp;RADataTable[[#This Row],[Div]]&amp;" "&amp;RADataTable[[#This Row],[prop_id0]], "PIs@")</f>
        <v>PIs@</v>
      </c>
      <c r="AA93" t="s">
        <v>245</v>
      </c>
      <c r="AB93" t="s">
        <v>686</v>
      </c>
      <c r="AC93" s="30" t="s">
        <v>871</v>
      </c>
      <c r="AD93" t="s">
        <v>872</v>
      </c>
      <c r="AE93" t="s">
        <v>873</v>
      </c>
      <c r="AF93" s="36">
        <v>175000</v>
      </c>
      <c r="AG93" s="36">
        <v>175000</v>
      </c>
      <c r="AH93" s="24"/>
      <c r="AJ93" s="34"/>
      <c r="AK93" t="s">
        <v>923</v>
      </c>
      <c r="AL93" t="s">
        <v>282</v>
      </c>
      <c r="AM93" s="34" t="s">
        <v>925</v>
      </c>
      <c r="AN93" s="34">
        <v>43032</v>
      </c>
      <c r="AO93" s="24">
        <v>1</v>
      </c>
      <c r="AP93" t="s">
        <v>979</v>
      </c>
      <c r="AR93" s="35"/>
      <c r="AS93"/>
      <c r="AT93" s="34"/>
      <c r="AV93" s="34"/>
      <c r="AX93" s="34"/>
      <c r="AY93"/>
      <c r="BA93" s="34"/>
      <c r="BB93"/>
      <c r="BC93" t="s">
        <v>876</v>
      </c>
      <c r="BD93" s="36">
        <v>175000</v>
      </c>
      <c r="BE93" s="36">
        <v>175000</v>
      </c>
      <c r="BF93">
        <v>0</v>
      </c>
      <c r="BG93" s="34">
        <v>43344</v>
      </c>
      <c r="BH93">
        <v>24</v>
      </c>
      <c r="BI93" t="s">
        <v>974</v>
      </c>
      <c r="BJ93" t="s">
        <v>975</v>
      </c>
      <c r="BK93" t="s">
        <v>934</v>
      </c>
      <c r="BL93" t="s">
        <v>194</v>
      </c>
      <c r="BM93" s="8" t="s">
        <v>192</v>
      </c>
      <c r="BN93" t="s">
        <v>189</v>
      </c>
      <c r="BO93" t="s">
        <v>190</v>
      </c>
      <c r="BP93" s="35" t="s">
        <v>861</v>
      </c>
      <c r="BQ93"/>
      <c r="BU93" s="35"/>
      <c r="BV93" s="35"/>
      <c r="BX93"/>
      <c r="CA93" s="35"/>
      <c r="CB93" s="35"/>
      <c r="CC93"/>
      <c r="CG93" s="35"/>
      <c r="CH93" s="35"/>
      <c r="CK93"/>
      <c r="CM93" s="35"/>
      <c r="CN93" s="35"/>
      <c r="CQ93"/>
      <c r="CS93" s="35"/>
      <c r="CT93" s="35"/>
      <c r="CX93"/>
      <c r="CZ93" s="35"/>
      <c r="DD93" s="34"/>
      <c r="DG93" t="s">
        <v>874</v>
      </c>
      <c r="DH93" t="s">
        <v>980</v>
      </c>
      <c r="DI93" t="s">
        <v>280</v>
      </c>
      <c r="DL93" t="s">
        <v>686</v>
      </c>
      <c r="DM93">
        <v>7</v>
      </c>
      <c r="DN93">
        <v>7</v>
      </c>
      <c r="DO93" t="s">
        <v>875</v>
      </c>
      <c r="DQ93" t="s">
        <v>927</v>
      </c>
      <c r="DR93">
        <v>14</v>
      </c>
      <c r="DS93">
        <v>1</v>
      </c>
      <c r="DU93">
        <v>14</v>
      </c>
      <c r="DV93">
        <v>1</v>
      </c>
      <c r="DX93">
        <v>14</v>
      </c>
      <c r="DY93">
        <v>1</v>
      </c>
      <c r="DZ93" t="s">
        <v>246</v>
      </c>
      <c r="EA93" t="s">
        <v>929</v>
      </c>
    </row>
    <row r="94" spans="1:131" x14ac:dyDescent="0.4">
      <c r="A94" s="34">
        <v>43067.305104166669</v>
      </c>
      <c r="B94" s="25">
        <v>42956.581944444442</v>
      </c>
      <c r="D94" s="34"/>
      <c r="E94" s="34" t="s">
        <v>193</v>
      </c>
      <c r="F94" s="34" t="s">
        <v>191</v>
      </c>
      <c r="G94" s="34" t="s">
        <v>100</v>
      </c>
      <c r="H94" t="s">
        <v>856</v>
      </c>
      <c r="I94" t="s">
        <v>243</v>
      </c>
      <c r="J94" t="s">
        <v>857</v>
      </c>
      <c r="K94" t="s">
        <v>729</v>
      </c>
      <c r="L94" t="s">
        <v>855</v>
      </c>
      <c r="M94" s="30">
        <v>1.01</v>
      </c>
      <c r="N94">
        <v>7</v>
      </c>
      <c r="P94" s="24" t="str">
        <f>IFERROR(MID(RADataTable[[#This Row],[RATemplate]],1,LEN(RADataTable[[#This Row],[RATemplate]])-8),"RA") &amp; " " &amp; RADataTable[[#This Row],[prop_id0]] &amp; " " &amp; RADataTable[[#This Row],[last0]]</f>
        <v>RA 1755791 Goswami</v>
      </c>
      <c r="T94">
        <v>3</v>
      </c>
      <c r="U94">
        <v>3</v>
      </c>
      <c r="V94" s="34">
        <v>43031.369444444441</v>
      </c>
      <c r="W94">
        <v>1</v>
      </c>
      <c r="X94" s="15" t="str">
        <f>HYPERLINK("https://www.ejacket.nsf.gov/ej/showProposal.do?Continue=Y&amp;ID="&amp;RADataTable[[#This Row],[prop_id0]],"eJ")</f>
        <v>eJ</v>
      </c>
      <c r="Y94" s="15" t="str">
        <f>HYPERLINK("mailto:"&amp;RADataTable[[#This Row],[email]]&amp;"&amp;subject=Your NSF Proposal:  "&amp;RADataTable[[#This Row],[Div]]&amp;" "&amp;RADataTable[[#This Row],[prop_id0]], RADataTable[[#This Row],[email]])</f>
        <v>Mayank.Goswami@qc.cuny.edu</v>
      </c>
      <c r="Z94" s="15" t="str">
        <f>HYPERLINK("mailto:"&amp;RADataTable[[#This Row],[allPIemail]]&amp;"&amp;subject=NSF Proposal:  "&amp;RADataTable[[#This Row],[Div]]&amp;" "&amp;RADataTable[[#This Row],[prop_id0]], "PIs@")</f>
        <v>PIs@</v>
      </c>
      <c r="AA94" t="s">
        <v>245</v>
      </c>
      <c r="AB94" t="s">
        <v>686</v>
      </c>
      <c r="AC94" s="30" t="s">
        <v>871</v>
      </c>
      <c r="AD94" t="s">
        <v>872</v>
      </c>
      <c r="AE94" t="s">
        <v>873</v>
      </c>
      <c r="AF94" s="36">
        <v>175000</v>
      </c>
      <c r="AG94" s="36">
        <v>175000</v>
      </c>
      <c r="AH94" s="24"/>
      <c r="AJ94" s="34"/>
      <c r="AK94" t="s">
        <v>923</v>
      </c>
      <c r="AL94" t="s">
        <v>282</v>
      </c>
      <c r="AM94" s="34" t="s">
        <v>925</v>
      </c>
      <c r="AN94" s="34">
        <v>43032</v>
      </c>
      <c r="AO94" s="24">
        <v>1</v>
      </c>
      <c r="AP94" t="s">
        <v>979</v>
      </c>
      <c r="AR94" s="35"/>
      <c r="AS94"/>
      <c r="AT94" s="34"/>
      <c r="AV94" s="34"/>
      <c r="AX94" s="34"/>
      <c r="AY94"/>
      <c r="BA94" s="34"/>
      <c r="BB94"/>
      <c r="BC94" t="s">
        <v>876</v>
      </c>
      <c r="BD94" s="36">
        <v>175000</v>
      </c>
      <c r="BE94" s="36">
        <v>175000</v>
      </c>
      <c r="BF94">
        <v>0</v>
      </c>
      <c r="BG94" s="34">
        <v>43344</v>
      </c>
      <c r="BH94">
        <v>24</v>
      </c>
      <c r="BI94" t="s">
        <v>974</v>
      </c>
      <c r="BJ94" t="s">
        <v>975</v>
      </c>
      <c r="BK94" t="s">
        <v>934</v>
      </c>
      <c r="BL94" t="s">
        <v>194</v>
      </c>
      <c r="BM94" s="8" t="s">
        <v>192</v>
      </c>
      <c r="BN94" t="s">
        <v>189</v>
      </c>
      <c r="BO94" t="s">
        <v>190</v>
      </c>
      <c r="BP94" s="35" t="s">
        <v>861</v>
      </c>
      <c r="BQ94"/>
      <c r="BU94" s="35"/>
      <c r="BV94" s="35"/>
      <c r="BX94"/>
      <c r="CA94" s="35"/>
      <c r="CB94" s="35"/>
      <c r="CC94"/>
      <c r="CG94" s="35"/>
      <c r="CH94" s="35"/>
      <c r="CK94"/>
      <c r="CM94" s="35"/>
      <c r="CN94" s="35"/>
      <c r="CQ94"/>
      <c r="CS94" s="35"/>
      <c r="CT94" s="35"/>
      <c r="CX94"/>
      <c r="CZ94" s="35"/>
      <c r="DD94" s="34"/>
      <c r="DG94" t="s">
        <v>874</v>
      </c>
      <c r="DH94" t="s">
        <v>980</v>
      </c>
      <c r="DI94" t="s">
        <v>280</v>
      </c>
      <c r="DL94" t="s">
        <v>686</v>
      </c>
      <c r="DM94">
        <v>7</v>
      </c>
      <c r="DN94">
        <v>7</v>
      </c>
      <c r="DO94" t="s">
        <v>875</v>
      </c>
      <c r="DQ94" t="s">
        <v>927</v>
      </c>
      <c r="DR94">
        <v>14</v>
      </c>
      <c r="DS94">
        <v>1</v>
      </c>
      <c r="DU94">
        <v>14</v>
      </c>
      <c r="DV94">
        <v>1</v>
      </c>
      <c r="DX94">
        <v>14</v>
      </c>
      <c r="DY94">
        <v>1</v>
      </c>
      <c r="DZ94" t="s">
        <v>246</v>
      </c>
      <c r="EA94" t="s">
        <v>929</v>
      </c>
    </row>
    <row r="95" spans="1:131" x14ac:dyDescent="0.4">
      <c r="A95" s="34">
        <v>43067.305104166669</v>
      </c>
      <c r="B95" s="25">
        <v>42956.581944444442</v>
      </c>
      <c r="D95" s="34"/>
      <c r="E95" s="34" t="s">
        <v>193</v>
      </c>
      <c r="F95" s="34" t="s">
        <v>191</v>
      </c>
      <c r="G95" s="34" t="s">
        <v>100</v>
      </c>
      <c r="H95" t="s">
        <v>856</v>
      </c>
      <c r="I95" t="s">
        <v>243</v>
      </c>
      <c r="J95" t="s">
        <v>857</v>
      </c>
      <c r="K95" t="s">
        <v>729</v>
      </c>
      <c r="L95" t="s">
        <v>855</v>
      </c>
      <c r="M95" s="30">
        <v>1.01</v>
      </c>
      <c r="N95">
        <v>7</v>
      </c>
      <c r="P95" s="24" t="str">
        <f>IFERROR(MID(RADataTable[[#This Row],[RATemplate]],1,LEN(RADataTable[[#This Row],[RATemplate]])-8),"RA") &amp; " " &amp; RADataTable[[#This Row],[prop_id0]] &amp; " " &amp; RADataTable[[#This Row],[last0]]</f>
        <v>RA 1755791 Goswami</v>
      </c>
      <c r="T95">
        <v>3</v>
      </c>
      <c r="U95">
        <v>3</v>
      </c>
      <c r="V95" s="34">
        <v>43031.369444444441</v>
      </c>
      <c r="W95">
        <v>1</v>
      </c>
      <c r="X95" s="15" t="str">
        <f>HYPERLINK("https://www.ejacket.nsf.gov/ej/showProposal.do?Continue=Y&amp;ID="&amp;RADataTable[[#This Row],[prop_id0]],"eJ")</f>
        <v>eJ</v>
      </c>
      <c r="Y95" s="15" t="str">
        <f>HYPERLINK("mailto:"&amp;RADataTable[[#This Row],[email]]&amp;"&amp;subject=Your NSF Proposal:  "&amp;RADataTable[[#This Row],[Div]]&amp;" "&amp;RADataTable[[#This Row],[prop_id0]], RADataTable[[#This Row],[email]])</f>
        <v>Mayank.Goswami@qc.cuny.edu</v>
      </c>
      <c r="Z95" s="15" t="str">
        <f>HYPERLINK("mailto:"&amp;RADataTable[[#This Row],[allPIemail]]&amp;"&amp;subject=NSF Proposal:  "&amp;RADataTable[[#This Row],[Div]]&amp;" "&amp;RADataTable[[#This Row],[prop_id0]], "PIs@")</f>
        <v>PIs@</v>
      </c>
      <c r="AA95" t="s">
        <v>245</v>
      </c>
      <c r="AB95" t="s">
        <v>686</v>
      </c>
      <c r="AC95" s="30" t="s">
        <v>871</v>
      </c>
      <c r="AD95" t="s">
        <v>872</v>
      </c>
      <c r="AE95" t="s">
        <v>873</v>
      </c>
      <c r="AF95" s="36">
        <v>175000</v>
      </c>
      <c r="AG95" s="36">
        <v>175000</v>
      </c>
      <c r="AH95" s="24"/>
      <c r="AJ95" s="34"/>
      <c r="AK95" t="s">
        <v>923</v>
      </c>
      <c r="AL95" t="s">
        <v>282</v>
      </c>
      <c r="AM95" s="34" t="s">
        <v>925</v>
      </c>
      <c r="AN95" s="34">
        <v>43032</v>
      </c>
      <c r="AO95" s="24">
        <v>1</v>
      </c>
      <c r="AP95" t="s">
        <v>979</v>
      </c>
      <c r="AR95" s="35"/>
      <c r="AS95"/>
      <c r="AT95" s="34"/>
      <c r="AV95" s="34"/>
      <c r="AX95" s="34"/>
      <c r="AY95"/>
      <c r="BA95" s="34"/>
      <c r="BB95"/>
      <c r="BC95" t="s">
        <v>876</v>
      </c>
      <c r="BD95" s="36">
        <v>175000</v>
      </c>
      <c r="BE95" s="36">
        <v>175000</v>
      </c>
      <c r="BF95">
        <v>0</v>
      </c>
      <c r="BG95" s="34">
        <v>43344</v>
      </c>
      <c r="BH95">
        <v>24</v>
      </c>
      <c r="BI95" t="s">
        <v>974</v>
      </c>
      <c r="BJ95" t="s">
        <v>975</v>
      </c>
      <c r="BK95" t="s">
        <v>934</v>
      </c>
      <c r="BL95" t="s">
        <v>194</v>
      </c>
      <c r="BM95" s="8" t="s">
        <v>192</v>
      </c>
      <c r="BN95" t="s">
        <v>189</v>
      </c>
      <c r="BO95" t="s">
        <v>190</v>
      </c>
      <c r="BP95" s="35" t="s">
        <v>861</v>
      </c>
      <c r="BQ95"/>
      <c r="BU95" s="35"/>
      <c r="BV95" s="35"/>
      <c r="BX95"/>
      <c r="CA95" s="35"/>
      <c r="CB95" s="35"/>
      <c r="CC95"/>
      <c r="CG95" s="35"/>
      <c r="CH95" s="35"/>
      <c r="CK95"/>
      <c r="CM95" s="35"/>
      <c r="CN95" s="35"/>
      <c r="CQ95"/>
      <c r="CS95" s="35"/>
      <c r="CT95" s="35"/>
      <c r="CX95"/>
      <c r="CZ95" s="35"/>
      <c r="DD95" s="34"/>
      <c r="DG95" t="s">
        <v>874</v>
      </c>
      <c r="DH95" t="s">
        <v>980</v>
      </c>
      <c r="DI95" t="s">
        <v>280</v>
      </c>
      <c r="DL95" t="s">
        <v>686</v>
      </c>
      <c r="DM95">
        <v>7</v>
      </c>
      <c r="DN95">
        <v>7</v>
      </c>
      <c r="DO95" t="s">
        <v>875</v>
      </c>
      <c r="DQ95" t="s">
        <v>927</v>
      </c>
      <c r="DR95">
        <v>14</v>
      </c>
      <c r="DS95">
        <v>1</v>
      </c>
      <c r="DU95">
        <v>14</v>
      </c>
      <c r="DV95">
        <v>1</v>
      </c>
      <c r="DX95">
        <v>14</v>
      </c>
      <c r="DY95">
        <v>1</v>
      </c>
      <c r="DZ95" t="s">
        <v>246</v>
      </c>
      <c r="EA95" t="s">
        <v>929</v>
      </c>
    </row>
    <row r="96" spans="1:131" x14ac:dyDescent="0.4">
      <c r="A96" s="34">
        <v>43067.305104166669</v>
      </c>
      <c r="B96" s="25">
        <v>42956.621527777781</v>
      </c>
      <c r="D96" s="34"/>
      <c r="E96" s="34" t="s">
        <v>193</v>
      </c>
      <c r="F96" s="34" t="s">
        <v>191</v>
      </c>
      <c r="G96" s="34" t="s">
        <v>100</v>
      </c>
      <c r="H96" t="s">
        <v>856</v>
      </c>
      <c r="I96" t="s">
        <v>243</v>
      </c>
      <c r="J96" t="s">
        <v>857</v>
      </c>
      <c r="K96" t="s">
        <v>758</v>
      </c>
      <c r="L96" t="s">
        <v>855</v>
      </c>
      <c r="M96" s="30">
        <v>2.02</v>
      </c>
      <c r="N96">
        <v>6.333333333333333</v>
      </c>
      <c r="P96" s="24" t="str">
        <f>IFERROR(MID(RADataTable[[#This Row],[RATemplate]],1,LEN(RADataTable[[#This Row],[RATemplate]])-8),"RA") &amp; " " &amp; RADataTable[[#This Row],[prop_id0]] &amp; " " &amp; RADataTable[[#This Row],[last0]]</f>
        <v>RA 1755847 Sun</v>
      </c>
      <c r="T96">
        <v>3</v>
      </c>
      <c r="U96">
        <v>3</v>
      </c>
      <c r="V96" s="34">
        <v>43031.767361111109</v>
      </c>
      <c r="W96">
        <v>1</v>
      </c>
      <c r="X96" s="15" t="str">
        <f>HYPERLINK("https://www.ejacket.nsf.gov/ej/showProposal.do?Continue=Y&amp;ID="&amp;RADataTable[[#This Row],[prop_id0]],"eJ")</f>
        <v>eJ</v>
      </c>
      <c r="Y96" s="15" t="str">
        <f>HYPERLINK("mailto:"&amp;RADataTable[[#This Row],[email]]&amp;"&amp;subject=Your NSF Proposal:  "&amp;RADataTable[[#This Row],[Div]]&amp;" "&amp;RADataTable[[#This Row],[prop_id0]], RADataTable[[#This Row],[email]])</f>
        <v>ruoyus@illinois.edu</v>
      </c>
      <c r="Z96" s="15" t="str">
        <f>HYPERLINK("mailto:"&amp;RADataTable[[#This Row],[allPIemail]]&amp;"&amp;subject=NSF Proposal:  "&amp;RADataTable[[#This Row],[Div]]&amp;" "&amp;RADataTable[[#This Row],[prop_id0]], "PIs@")</f>
        <v>PIs@</v>
      </c>
      <c r="AA96" t="s">
        <v>245</v>
      </c>
      <c r="AB96" t="s">
        <v>687</v>
      </c>
      <c r="AC96" s="30" t="s">
        <v>877</v>
      </c>
      <c r="AD96" t="s">
        <v>878</v>
      </c>
      <c r="AE96" t="s">
        <v>761</v>
      </c>
      <c r="AF96" s="36">
        <v>175000</v>
      </c>
      <c r="AG96" s="36">
        <v>175000</v>
      </c>
      <c r="AH96" s="24"/>
      <c r="AJ96" s="34"/>
      <c r="AK96" t="s">
        <v>923</v>
      </c>
      <c r="AL96" t="s">
        <v>232</v>
      </c>
      <c r="AM96" s="34" t="s">
        <v>925</v>
      </c>
      <c r="AN96" s="34">
        <v>43032</v>
      </c>
      <c r="AO96" s="24">
        <v>2</v>
      </c>
      <c r="AP96" t="s">
        <v>981</v>
      </c>
      <c r="AR96" s="35"/>
      <c r="AS96"/>
      <c r="AT96" s="34"/>
      <c r="AV96" s="34"/>
      <c r="AX96" s="34"/>
      <c r="AY96"/>
      <c r="BA96" s="34"/>
      <c r="BB96"/>
      <c r="BC96" t="s">
        <v>882</v>
      </c>
      <c r="BD96" s="36">
        <v>175000</v>
      </c>
      <c r="BE96" s="36">
        <v>175000</v>
      </c>
      <c r="BF96">
        <v>0</v>
      </c>
      <c r="BG96" s="34">
        <v>43282</v>
      </c>
      <c r="BH96">
        <v>24</v>
      </c>
      <c r="BI96" t="s">
        <v>974</v>
      </c>
      <c r="BJ96" t="s">
        <v>975</v>
      </c>
      <c r="BK96" t="s">
        <v>945</v>
      </c>
      <c r="BL96" t="s">
        <v>194</v>
      </c>
      <c r="BM96" s="8" t="s">
        <v>192</v>
      </c>
      <c r="BN96" t="s">
        <v>189</v>
      </c>
      <c r="BO96" t="s">
        <v>190</v>
      </c>
      <c r="BP96" s="35" t="s">
        <v>880</v>
      </c>
      <c r="BQ96"/>
      <c r="BU96" s="35"/>
      <c r="BV96" s="35"/>
      <c r="BX96"/>
      <c r="CA96" s="35"/>
      <c r="CB96" s="35"/>
      <c r="CC96"/>
      <c r="CG96" s="35"/>
      <c r="CH96" s="35"/>
      <c r="CK96"/>
      <c r="CM96" s="35"/>
      <c r="CN96" s="35"/>
      <c r="CQ96"/>
      <c r="CS96" s="35"/>
      <c r="CT96" s="35"/>
      <c r="CX96"/>
      <c r="CZ96" s="35"/>
      <c r="DD96" s="34"/>
      <c r="DG96" t="s">
        <v>879</v>
      </c>
      <c r="DH96" t="s">
        <v>982</v>
      </c>
      <c r="DI96" t="s">
        <v>233</v>
      </c>
      <c r="DL96" t="s">
        <v>687</v>
      </c>
      <c r="DM96">
        <v>6</v>
      </c>
      <c r="DN96">
        <v>7</v>
      </c>
      <c r="DO96" t="s">
        <v>881</v>
      </c>
      <c r="DQ96" t="s">
        <v>927</v>
      </c>
      <c r="DR96">
        <v>14</v>
      </c>
      <c r="DS96">
        <v>2</v>
      </c>
      <c r="DU96">
        <v>14</v>
      </c>
      <c r="DV96">
        <v>2</v>
      </c>
      <c r="DX96">
        <v>14</v>
      </c>
      <c r="DY96">
        <v>2</v>
      </c>
      <c r="DZ96" t="s">
        <v>246</v>
      </c>
      <c r="EA96" t="s">
        <v>929</v>
      </c>
    </row>
    <row r="97" spans="1:131" x14ac:dyDescent="0.4">
      <c r="A97" s="34">
        <v>43067.305104166669</v>
      </c>
      <c r="B97" s="25">
        <v>42956.621527777781</v>
      </c>
      <c r="D97" s="34"/>
      <c r="E97" s="34" t="s">
        <v>193</v>
      </c>
      <c r="F97" s="34" t="s">
        <v>191</v>
      </c>
      <c r="G97" s="34" t="s">
        <v>100</v>
      </c>
      <c r="H97" t="s">
        <v>856</v>
      </c>
      <c r="I97" t="s">
        <v>243</v>
      </c>
      <c r="J97" t="s">
        <v>857</v>
      </c>
      <c r="K97" t="s">
        <v>758</v>
      </c>
      <c r="L97" t="s">
        <v>855</v>
      </c>
      <c r="M97" s="30">
        <v>2.02</v>
      </c>
      <c r="N97">
        <v>6.333333333333333</v>
      </c>
      <c r="P97" s="24" t="str">
        <f>IFERROR(MID(RADataTable[[#This Row],[RATemplate]],1,LEN(RADataTable[[#This Row],[RATemplate]])-8),"RA") &amp; " " &amp; RADataTable[[#This Row],[prop_id0]] &amp; " " &amp; RADataTable[[#This Row],[last0]]</f>
        <v>RA 1755847 Sun</v>
      </c>
      <c r="T97">
        <v>3</v>
      </c>
      <c r="U97">
        <v>3</v>
      </c>
      <c r="V97" s="34">
        <v>43031.767361111109</v>
      </c>
      <c r="W97">
        <v>1</v>
      </c>
      <c r="X97" s="15" t="str">
        <f>HYPERLINK("https://www.ejacket.nsf.gov/ej/showProposal.do?Continue=Y&amp;ID="&amp;RADataTable[[#This Row],[prop_id0]],"eJ")</f>
        <v>eJ</v>
      </c>
      <c r="Y97" s="15" t="str">
        <f>HYPERLINK("mailto:"&amp;RADataTable[[#This Row],[email]]&amp;"&amp;subject=Your NSF Proposal:  "&amp;RADataTable[[#This Row],[Div]]&amp;" "&amp;RADataTable[[#This Row],[prop_id0]], RADataTable[[#This Row],[email]])</f>
        <v>ruoyus@illinois.edu</v>
      </c>
      <c r="Z97" s="15" t="str">
        <f>HYPERLINK("mailto:"&amp;RADataTable[[#This Row],[allPIemail]]&amp;"&amp;subject=NSF Proposal:  "&amp;RADataTable[[#This Row],[Div]]&amp;" "&amp;RADataTable[[#This Row],[prop_id0]], "PIs@")</f>
        <v>PIs@</v>
      </c>
      <c r="AA97" t="s">
        <v>245</v>
      </c>
      <c r="AB97" t="s">
        <v>687</v>
      </c>
      <c r="AC97" s="30" t="s">
        <v>877</v>
      </c>
      <c r="AD97" t="s">
        <v>878</v>
      </c>
      <c r="AE97" t="s">
        <v>761</v>
      </c>
      <c r="AF97" s="36">
        <v>175000</v>
      </c>
      <c r="AG97" s="36">
        <v>175000</v>
      </c>
      <c r="AH97" s="24"/>
      <c r="AJ97" s="34"/>
      <c r="AK97" t="s">
        <v>923</v>
      </c>
      <c r="AL97" t="s">
        <v>232</v>
      </c>
      <c r="AM97" s="34" t="s">
        <v>925</v>
      </c>
      <c r="AN97" s="34">
        <v>43032</v>
      </c>
      <c r="AO97" s="24">
        <v>2</v>
      </c>
      <c r="AP97" t="s">
        <v>981</v>
      </c>
      <c r="AR97" s="35"/>
      <c r="AS97"/>
      <c r="AT97" s="34"/>
      <c r="AV97" s="34"/>
      <c r="AX97" s="34"/>
      <c r="AY97"/>
      <c r="BA97" s="34"/>
      <c r="BB97"/>
      <c r="BC97" t="s">
        <v>882</v>
      </c>
      <c r="BD97" s="36">
        <v>175000</v>
      </c>
      <c r="BE97" s="36">
        <v>175000</v>
      </c>
      <c r="BF97">
        <v>0</v>
      </c>
      <c r="BG97" s="34">
        <v>43282</v>
      </c>
      <c r="BH97">
        <v>24</v>
      </c>
      <c r="BI97" t="s">
        <v>974</v>
      </c>
      <c r="BJ97" t="s">
        <v>975</v>
      </c>
      <c r="BK97" t="s">
        <v>945</v>
      </c>
      <c r="BL97" t="s">
        <v>194</v>
      </c>
      <c r="BM97" s="8" t="s">
        <v>192</v>
      </c>
      <c r="BN97" t="s">
        <v>189</v>
      </c>
      <c r="BO97" t="s">
        <v>190</v>
      </c>
      <c r="BP97" s="35" t="s">
        <v>880</v>
      </c>
      <c r="BQ97"/>
      <c r="BU97" s="35"/>
      <c r="BV97" s="35"/>
      <c r="BX97"/>
      <c r="CA97" s="35"/>
      <c r="CB97" s="35"/>
      <c r="CC97"/>
      <c r="CG97" s="35"/>
      <c r="CH97" s="35"/>
      <c r="CK97"/>
      <c r="CM97" s="35"/>
      <c r="CN97" s="35"/>
      <c r="CQ97"/>
      <c r="CS97" s="35"/>
      <c r="CT97" s="35"/>
      <c r="CX97"/>
      <c r="CZ97" s="35"/>
      <c r="DD97" s="34"/>
      <c r="DG97" t="s">
        <v>879</v>
      </c>
      <c r="DH97" t="s">
        <v>982</v>
      </c>
      <c r="DI97" t="s">
        <v>233</v>
      </c>
      <c r="DL97" t="s">
        <v>687</v>
      </c>
      <c r="DM97">
        <v>6</v>
      </c>
      <c r="DN97">
        <v>7</v>
      </c>
      <c r="DO97" t="s">
        <v>881</v>
      </c>
      <c r="DQ97" t="s">
        <v>927</v>
      </c>
      <c r="DR97">
        <v>14</v>
      </c>
      <c r="DS97">
        <v>2</v>
      </c>
      <c r="DU97">
        <v>14</v>
      </c>
      <c r="DV97">
        <v>2</v>
      </c>
      <c r="DX97">
        <v>14</v>
      </c>
      <c r="DY97">
        <v>2</v>
      </c>
      <c r="DZ97" t="s">
        <v>246</v>
      </c>
      <c r="EA97" t="s">
        <v>929</v>
      </c>
    </row>
    <row r="98" spans="1:131" x14ac:dyDescent="0.4">
      <c r="A98" s="34">
        <v>43067.305104166669</v>
      </c>
      <c r="B98" s="25">
        <v>42956.621527777781</v>
      </c>
      <c r="D98" s="34"/>
      <c r="E98" s="34" t="s">
        <v>193</v>
      </c>
      <c r="F98" s="34" t="s">
        <v>191</v>
      </c>
      <c r="G98" s="34" t="s">
        <v>100</v>
      </c>
      <c r="H98" t="s">
        <v>856</v>
      </c>
      <c r="I98" t="s">
        <v>243</v>
      </c>
      <c r="J98" t="s">
        <v>857</v>
      </c>
      <c r="K98" t="s">
        <v>758</v>
      </c>
      <c r="L98" t="s">
        <v>855</v>
      </c>
      <c r="M98" s="30">
        <v>2.02</v>
      </c>
      <c r="N98">
        <v>6.333333333333333</v>
      </c>
      <c r="P98" s="24" t="str">
        <f>IFERROR(MID(RADataTable[[#This Row],[RATemplate]],1,LEN(RADataTable[[#This Row],[RATemplate]])-8),"RA") &amp; " " &amp; RADataTable[[#This Row],[prop_id0]] &amp; " " &amp; RADataTable[[#This Row],[last0]]</f>
        <v>RA 1755847 Sun</v>
      </c>
      <c r="T98">
        <v>3</v>
      </c>
      <c r="U98">
        <v>3</v>
      </c>
      <c r="V98" s="34">
        <v>43031.767361111109</v>
      </c>
      <c r="W98">
        <v>1</v>
      </c>
      <c r="X98" s="15" t="str">
        <f>HYPERLINK("https://www.ejacket.nsf.gov/ej/showProposal.do?Continue=Y&amp;ID="&amp;RADataTable[[#This Row],[prop_id0]],"eJ")</f>
        <v>eJ</v>
      </c>
      <c r="Y98" s="15" t="str">
        <f>HYPERLINK("mailto:"&amp;RADataTable[[#This Row],[email]]&amp;"&amp;subject=Your NSF Proposal:  "&amp;RADataTable[[#This Row],[Div]]&amp;" "&amp;RADataTable[[#This Row],[prop_id0]], RADataTable[[#This Row],[email]])</f>
        <v>ruoyus@illinois.edu</v>
      </c>
      <c r="Z98" s="15" t="str">
        <f>HYPERLINK("mailto:"&amp;RADataTable[[#This Row],[allPIemail]]&amp;"&amp;subject=NSF Proposal:  "&amp;RADataTable[[#This Row],[Div]]&amp;" "&amp;RADataTable[[#This Row],[prop_id0]], "PIs@")</f>
        <v>PIs@</v>
      </c>
      <c r="AA98" t="s">
        <v>245</v>
      </c>
      <c r="AB98" t="s">
        <v>687</v>
      </c>
      <c r="AC98" s="30" t="s">
        <v>877</v>
      </c>
      <c r="AD98" t="s">
        <v>878</v>
      </c>
      <c r="AE98" t="s">
        <v>761</v>
      </c>
      <c r="AF98" s="36">
        <v>175000</v>
      </c>
      <c r="AG98" s="36">
        <v>175000</v>
      </c>
      <c r="AH98" s="24"/>
      <c r="AJ98" s="34"/>
      <c r="AK98" t="s">
        <v>923</v>
      </c>
      <c r="AL98" t="s">
        <v>232</v>
      </c>
      <c r="AM98" s="34" t="s">
        <v>925</v>
      </c>
      <c r="AN98" s="34">
        <v>43032</v>
      </c>
      <c r="AO98" s="24">
        <v>2</v>
      </c>
      <c r="AP98" t="s">
        <v>981</v>
      </c>
      <c r="AR98" s="35"/>
      <c r="AS98"/>
      <c r="AT98" s="34"/>
      <c r="AV98" s="34"/>
      <c r="AX98" s="34"/>
      <c r="AY98"/>
      <c r="BA98" s="34"/>
      <c r="BB98"/>
      <c r="BC98" t="s">
        <v>882</v>
      </c>
      <c r="BD98" s="36">
        <v>175000</v>
      </c>
      <c r="BE98" s="36">
        <v>175000</v>
      </c>
      <c r="BF98">
        <v>0</v>
      </c>
      <c r="BG98" s="34">
        <v>43282</v>
      </c>
      <c r="BH98">
        <v>24</v>
      </c>
      <c r="BI98" t="s">
        <v>974</v>
      </c>
      <c r="BJ98" t="s">
        <v>975</v>
      </c>
      <c r="BK98" t="s">
        <v>945</v>
      </c>
      <c r="BL98" t="s">
        <v>194</v>
      </c>
      <c r="BM98" s="8" t="s">
        <v>192</v>
      </c>
      <c r="BN98" t="s">
        <v>189</v>
      </c>
      <c r="BO98" t="s">
        <v>190</v>
      </c>
      <c r="BP98" s="35" t="s">
        <v>880</v>
      </c>
      <c r="BQ98"/>
      <c r="BU98" s="35"/>
      <c r="BV98" s="35"/>
      <c r="BX98"/>
      <c r="CA98" s="35"/>
      <c r="CB98" s="35"/>
      <c r="CC98"/>
      <c r="CG98" s="35"/>
      <c r="CH98" s="35"/>
      <c r="CK98"/>
      <c r="CM98" s="35"/>
      <c r="CN98" s="35"/>
      <c r="CQ98"/>
      <c r="CS98" s="35"/>
      <c r="CT98" s="35"/>
      <c r="CX98"/>
      <c r="CZ98" s="35"/>
      <c r="DD98" s="34"/>
      <c r="DG98" t="s">
        <v>879</v>
      </c>
      <c r="DH98" t="s">
        <v>982</v>
      </c>
      <c r="DI98" t="s">
        <v>233</v>
      </c>
      <c r="DL98" t="s">
        <v>687</v>
      </c>
      <c r="DM98">
        <v>6</v>
      </c>
      <c r="DN98">
        <v>7</v>
      </c>
      <c r="DO98" t="s">
        <v>881</v>
      </c>
      <c r="DQ98" t="s">
        <v>927</v>
      </c>
      <c r="DR98">
        <v>14</v>
      </c>
      <c r="DS98">
        <v>2</v>
      </c>
      <c r="DU98">
        <v>14</v>
      </c>
      <c r="DV98">
        <v>2</v>
      </c>
      <c r="DX98">
        <v>14</v>
      </c>
      <c r="DY98">
        <v>2</v>
      </c>
      <c r="DZ98" t="s">
        <v>246</v>
      </c>
      <c r="EA98" t="s">
        <v>929</v>
      </c>
    </row>
    <row r="99" spans="1:131" x14ac:dyDescent="0.4">
      <c r="A99" s="34">
        <v>43067.305104166669</v>
      </c>
      <c r="B99" s="25">
        <v>42956.621527777781</v>
      </c>
      <c r="D99" s="34"/>
      <c r="E99" s="34" t="s">
        <v>193</v>
      </c>
      <c r="F99" s="34" t="s">
        <v>191</v>
      </c>
      <c r="G99" s="34" t="s">
        <v>100</v>
      </c>
      <c r="H99" t="s">
        <v>856</v>
      </c>
      <c r="I99" t="s">
        <v>243</v>
      </c>
      <c r="J99" t="s">
        <v>857</v>
      </c>
      <c r="K99" t="s">
        <v>758</v>
      </c>
      <c r="L99" t="s">
        <v>855</v>
      </c>
      <c r="M99" s="30">
        <v>2.02</v>
      </c>
      <c r="N99">
        <v>6.333333333333333</v>
      </c>
      <c r="P99" s="24" t="str">
        <f>IFERROR(MID(RADataTable[[#This Row],[RATemplate]],1,LEN(RADataTable[[#This Row],[RATemplate]])-8),"RA") &amp; " " &amp; RADataTable[[#This Row],[prop_id0]] &amp; " " &amp; RADataTable[[#This Row],[last0]]</f>
        <v>RA 1755847 Sun</v>
      </c>
      <c r="T99">
        <v>3</v>
      </c>
      <c r="U99">
        <v>3</v>
      </c>
      <c r="V99" s="34">
        <v>43031.767361111109</v>
      </c>
      <c r="W99">
        <v>1</v>
      </c>
      <c r="X99" s="15" t="str">
        <f>HYPERLINK("https://www.ejacket.nsf.gov/ej/showProposal.do?Continue=Y&amp;ID="&amp;RADataTable[[#This Row],[prop_id0]],"eJ")</f>
        <v>eJ</v>
      </c>
      <c r="Y99" s="15" t="str">
        <f>HYPERLINK("mailto:"&amp;RADataTable[[#This Row],[email]]&amp;"&amp;subject=Your NSF Proposal:  "&amp;RADataTable[[#This Row],[Div]]&amp;" "&amp;RADataTable[[#This Row],[prop_id0]], RADataTable[[#This Row],[email]])</f>
        <v>ruoyus@illinois.edu</v>
      </c>
      <c r="Z99" s="15" t="str">
        <f>HYPERLINK("mailto:"&amp;RADataTable[[#This Row],[allPIemail]]&amp;"&amp;subject=NSF Proposal:  "&amp;RADataTable[[#This Row],[Div]]&amp;" "&amp;RADataTable[[#This Row],[prop_id0]], "PIs@")</f>
        <v>PIs@</v>
      </c>
      <c r="AA99" t="s">
        <v>245</v>
      </c>
      <c r="AB99" t="s">
        <v>687</v>
      </c>
      <c r="AC99" s="30" t="s">
        <v>877</v>
      </c>
      <c r="AD99" t="s">
        <v>878</v>
      </c>
      <c r="AE99" t="s">
        <v>761</v>
      </c>
      <c r="AF99" s="36">
        <v>175000</v>
      </c>
      <c r="AG99" s="36">
        <v>175000</v>
      </c>
      <c r="AH99" s="24"/>
      <c r="AJ99" s="34"/>
      <c r="AK99" t="s">
        <v>923</v>
      </c>
      <c r="AL99" t="s">
        <v>232</v>
      </c>
      <c r="AM99" s="34" t="s">
        <v>925</v>
      </c>
      <c r="AN99" s="34">
        <v>43032</v>
      </c>
      <c r="AO99" s="24">
        <v>2</v>
      </c>
      <c r="AP99" t="s">
        <v>981</v>
      </c>
      <c r="AR99" s="35"/>
      <c r="AS99"/>
      <c r="AT99" s="34"/>
      <c r="AV99" s="34"/>
      <c r="AX99" s="34"/>
      <c r="AY99"/>
      <c r="BA99" s="34"/>
      <c r="BB99"/>
      <c r="BC99" t="s">
        <v>882</v>
      </c>
      <c r="BD99" s="36">
        <v>175000</v>
      </c>
      <c r="BE99" s="36">
        <v>175000</v>
      </c>
      <c r="BF99">
        <v>0</v>
      </c>
      <c r="BG99" s="34">
        <v>43282</v>
      </c>
      <c r="BH99">
        <v>24</v>
      </c>
      <c r="BI99" t="s">
        <v>974</v>
      </c>
      <c r="BJ99" t="s">
        <v>975</v>
      </c>
      <c r="BK99" t="s">
        <v>945</v>
      </c>
      <c r="BL99" t="s">
        <v>194</v>
      </c>
      <c r="BM99" s="8" t="s">
        <v>192</v>
      </c>
      <c r="BN99" t="s">
        <v>189</v>
      </c>
      <c r="BO99" t="s">
        <v>190</v>
      </c>
      <c r="BP99" s="35" t="s">
        <v>880</v>
      </c>
      <c r="BQ99"/>
      <c r="BU99" s="35"/>
      <c r="BV99" s="35"/>
      <c r="BX99"/>
      <c r="CA99" s="35"/>
      <c r="CB99" s="35"/>
      <c r="CC99"/>
      <c r="CG99" s="35"/>
      <c r="CH99" s="35"/>
      <c r="CK99"/>
      <c r="CM99" s="35"/>
      <c r="CN99" s="35"/>
      <c r="CQ99"/>
      <c r="CS99" s="35"/>
      <c r="CT99" s="35"/>
      <c r="CX99"/>
      <c r="CZ99" s="35"/>
      <c r="DD99" s="34"/>
      <c r="DG99" t="s">
        <v>879</v>
      </c>
      <c r="DH99" t="s">
        <v>982</v>
      </c>
      <c r="DI99" t="s">
        <v>233</v>
      </c>
      <c r="DL99" t="s">
        <v>687</v>
      </c>
      <c r="DM99">
        <v>6</v>
      </c>
      <c r="DN99">
        <v>7</v>
      </c>
      <c r="DO99" t="s">
        <v>881</v>
      </c>
      <c r="DQ99" t="s">
        <v>927</v>
      </c>
      <c r="DR99">
        <v>14</v>
      </c>
      <c r="DS99">
        <v>2</v>
      </c>
      <c r="DU99">
        <v>14</v>
      </c>
      <c r="DV99">
        <v>2</v>
      </c>
      <c r="DX99">
        <v>14</v>
      </c>
      <c r="DY99">
        <v>2</v>
      </c>
      <c r="DZ99" t="s">
        <v>246</v>
      </c>
      <c r="EA99" t="s">
        <v>929</v>
      </c>
    </row>
    <row r="100" spans="1:131" x14ac:dyDescent="0.4">
      <c r="A100" s="34">
        <v>43067.305104166669</v>
      </c>
      <c r="B100" s="25">
        <v>42956.621527777781</v>
      </c>
      <c r="D100" s="34"/>
      <c r="E100" s="34" t="s">
        <v>193</v>
      </c>
      <c r="F100" s="34" t="s">
        <v>191</v>
      </c>
      <c r="G100" s="34" t="s">
        <v>100</v>
      </c>
      <c r="H100" t="s">
        <v>856</v>
      </c>
      <c r="I100" t="s">
        <v>243</v>
      </c>
      <c r="J100" t="s">
        <v>857</v>
      </c>
      <c r="K100" t="s">
        <v>758</v>
      </c>
      <c r="L100" t="s">
        <v>855</v>
      </c>
      <c r="M100" s="30">
        <v>2.02</v>
      </c>
      <c r="N100">
        <v>6.333333333333333</v>
      </c>
      <c r="P100" s="24" t="str">
        <f>IFERROR(MID(RADataTable[[#This Row],[RATemplate]],1,LEN(RADataTable[[#This Row],[RATemplate]])-8),"RA") &amp; " " &amp; RADataTable[[#This Row],[prop_id0]] &amp; " " &amp; RADataTable[[#This Row],[last0]]</f>
        <v>RA 1755847 Sun</v>
      </c>
      <c r="T100">
        <v>3</v>
      </c>
      <c r="U100">
        <v>3</v>
      </c>
      <c r="V100" s="34">
        <v>43031.767361111109</v>
      </c>
      <c r="W100">
        <v>1</v>
      </c>
      <c r="X100" s="15" t="str">
        <f>HYPERLINK("https://www.ejacket.nsf.gov/ej/showProposal.do?Continue=Y&amp;ID="&amp;RADataTable[[#This Row],[prop_id0]],"eJ")</f>
        <v>eJ</v>
      </c>
      <c r="Y100" s="15" t="str">
        <f>HYPERLINK("mailto:"&amp;RADataTable[[#This Row],[email]]&amp;"&amp;subject=Your NSF Proposal:  "&amp;RADataTable[[#This Row],[Div]]&amp;" "&amp;RADataTable[[#This Row],[prop_id0]], RADataTable[[#This Row],[email]])</f>
        <v>ruoyus@illinois.edu</v>
      </c>
      <c r="Z100" s="15" t="str">
        <f>HYPERLINK("mailto:"&amp;RADataTable[[#This Row],[allPIemail]]&amp;"&amp;subject=NSF Proposal:  "&amp;RADataTable[[#This Row],[Div]]&amp;" "&amp;RADataTable[[#This Row],[prop_id0]], "PIs@")</f>
        <v>PIs@</v>
      </c>
      <c r="AA100" t="s">
        <v>245</v>
      </c>
      <c r="AB100" t="s">
        <v>687</v>
      </c>
      <c r="AC100" s="30" t="s">
        <v>877</v>
      </c>
      <c r="AD100" t="s">
        <v>878</v>
      </c>
      <c r="AE100" t="s">
        <v>761</v>
      </c>
      <c r="AF100" s="36">
        <v>175000</v>
      </c>
      <c r="AG100" s="36">
        <v>175000</v>
      </c>
      <c r="AH100" s="24"/>
      <c r="AJ100" s="34"/>
      <c r="AK100" t="s">
        <v>923</v>
      </c>
      <c r="AL100" t="s">
        <v>232</v>
      </c>
      <c r="AM100" s="34" t="s">
        <v>925</v>
      </c>
      <c r="AN100" s="34">
        <v>43032</v>
      </c>
      <c r="AO100" s="24">
        <v>2</v>
      </c>
      <c r="AP100" t="s">
        <v>981</v>
      </c>
      <c r="AR100" s="35"/>
      <c r="AS100"/>
      <c r="AT100" s="34"/>
      <c r="AV100" s="34"/>
      <c r="AX100" s="34"/>
      <c r="AY100"/>
      <c r="BA100" s="34"/>
      <c r="BB100"/>
      <c r="BC100" t="s">
        <v>882</v>
      </c>
      <c r="BD100" s="36">
        <v>175000</v>
      </c>
      <c r="BE100" s="36">
        <v>175000</v>
      </c>
      <c r="BF100">
        <v>0</v>
      </c>
      <c r="BG100" s="34">
        <v>43282</v>
      </c>
      <c r="BH100">
        <v>24</v>
      </c>
      <c r="BI100" t="s">
        <v>974</v>
      </c>
      <c r="BJ100" t="s">
        <v>975</v>
      </c>
      <c r="BK100" t="s">
        <v>945</v>
      </c>
      <c r="BL100" t="s">
        <v>194</v>
      </c>
      <c r="BM100" s="8" t="s">
        <v>192</v>
      </c>
      <c r="BN100" t="s">
        <v>189</v>
      </c>
      <c r="BO100" t="s">
        <v>190</v>
      </c>
      <c r="BP100" s="35" t="s">
        <v>880</v>
      </c>
      <c r="BQ100"/>
      <c r="BU100" s="35"/>
      <c r="BV100" s="35"/>
      <c r="BX100"/>
      <c r="CA100" s="35"/>
      <c r="CB100" s="35"/>
      <c r="CC100"/>
      <c r="CG100" s="35"/>
      <c r="CH100" s="35"/>
      <c r="CK100"/>
      <c r="CM100" s="35"/>
      <c r="CN100" s="35"/>
      <c r="CQ100"/>
      <c r="CS100" s="35"/>
      <c r="CT100" s="35"/>
      <c r="CX100"/>
      <c r="CZ100" s="35"/>
      <c r="DD100" s="34"/>
      <c r="DG100" t="s">
        <v>879</v>
      </c>
      <c r="DH100" t="s">
        <v>982</v>
      </c>
      <c r="DI100" t="s">
        <v>233</v>
      </c>
      <c r="DL100" t="s">
        <v>687</v>
      </c>
      <c r="DM100">
        <v>6</v>
      </c>
      <c r="DN100">
        <v>7</v>
      </c>
      <c r="DO100" t="s">
        <v>881</v>
      </c>
      <c r="DQ100" t="s">
        <v>927</v>
      </c>
      <c r="DR100">
        <v>14</v>
      </c>
      <c r="DS100">
        <v>2</v>
      </c>
      <c r="DU100">
        <v>14</v>
      </c>
      <c r="DV100">
        <v>2</v>
      </c>
      <c r="DX100">
        <v>14</v>
      </c>
      <c r="DY100">
        <v>2</v>
      </c>
      <c r="DZ100" t="s">
        <v>246</v>
      </c>
      <c r="EA100" t="s">
        <v>929</v>
      </c>
    </row>
    <row r="101" spans="1:131" x14ac:dyDescent="0.4">
      <c r="A101" s="34">
        <v>43067.305104166669</v>
      </c>
      <c r="B101" s="25">
        <v>42956.621527777781</v>
      </c>
      <c r="D101" s="34"/>
      <c r="E101" s="34" t="s">
        <v>193</v>
      </c>
      <c r="F101" s="34" t="s">
        <v>191</v>
      </c>
      <c r="G101" s="34" t="s">
        <v>100</v>
      </c>
      <c r="H101" t="s">
        <v>856</v>
      </c>
      <c r="I101" t="s">
        <v>243</v>
      </c>
      <c r="J101" t="s">
        <v>857</v>
      </c>
      <c r="K101" t="s">
        <v>758</v>
      </c>
      <c r="L101" t="s">
        <v>855</v>
      </c>
      <c r="M101" s="30">
        <v>2.02</v>
      </c>
      <c r="N101">
        <v>6.333333333333333</v>
      </c>
      <c r="P101" s="24" t="str">
        <f>IFERROR(MID(RADataTable[[#This Row],[RATemplate]],1,LEN(RADataTable[[#This Row],[RATemplate]])-8),"RA") &amp; " " &amp; RADataTable[[#This Row],[prop_id0]] &amp; " " &amp; RADataTable[[#This Row],[last0]]</f>
        <v>RA 1755847 Sun</v>
      </c>
      <c r="T101">
        <v>3</v>
      </c>
      <c r="U101">
        <v>3</v>
      </c>
      <c r="V101" s="34">
        <v>43031.767361111109</v>
      </c>
      <c r="W101">
        <v>1</v>
      </c>
      <c r="X101" s="15" t="str">
        <f>HYPERLINK("https://www.ejacket.nsf.gov/ej/showProposal.do?Continue=Y&amp;ID="&amp;RADataTable[[#This Row],[prop_id0]],"eJ")</f>
        <v>eJ</v>
      </c>
      <c r="Y101" s="15" t="str">
        <f>HYPERLINK("mailto:"&amp;RADataTable[[#This Row],[email]]&amp;"&amp;subject=Your NSF Proposal:  "&amp;RADataTable[[#This Row],[Div]]&amp;" "&amp;RADataTable[[#This Row],[prop_id0]], RADataTable[[#This Row],[email]])</f>
        <v>ruoyus@illinois.edu</v>
      </c>
      <c r="Z101" s="15" t="str">
        <f>HYPERLINK("mailto:"&amp;RADataTable[[#This Row],[allPIemail]]&amp;"&amp;subject=NSF Proposal:  "&amp;RADataTable[[#This Row],[Div]]&amp;" "&amp;RADataTable[[#This Row],[prop_id0]], "PIs@")</f>
        <v>PIs@</v>
      </c>
      <c r="AA101" t="s">
        <v>245</v>
      </c>
      <c r="AB101" t="s">
        <v>687</v>
      </c>
      <c r="AC101" s="30" t="s">
        <v>877</v>
      </c>
      <c r="AD101" t="s">
        <v>878</v>
      </c>
      <c r="AE101" t="s">
        <v>761</v>
      </c>
      <c r="AF101" s="36">
        <v>175000</v>
      </c>
      <c r="AG101" s="36">
        <v>175000</v>
      </c>
      <c r="AH101" s="24"/>
      <c r="AJ101" s="34"/>
      <c r="AK101" t="s">
        <v>923</v>
      </c>
      <c r="AL101" t="s">
        <v>232</v>
      </c>
      <c r="AM101" s="34" t="s">
        <v>925</v>
      </c>
      <c r="AN101" s="34">
        <v>43032</v>
      </c>
      <c r="AO101" s="24">
        <v>2</v>
      </c>
      <c r="AP101" t="s">
        <v>981</v>
      </c>
      <c r="AR101" s="35"/>
      <c r="AS101"/>
      <c r="AT101" s="34"/>
      <c r="AV101" s="34"/>
      <c r="AX101" s="34"/>
      <c r="AY101"/>
      <c r="BA101" s="34"/>
      <c r="BB101"/>
      <c r="BC101" t="s">
        <v>882</v>
      </c>
      <c r="BD101" s="36">
        <v>175000</v>
      </c>
      <c r="BE101" s="36">
        <v>175000</v>
      </c>
      <c r="BF101">
        <v>0</v>
      </c>
      <c r="BG101" s="34">
        <v>43282</v>
      </c>
      <c r="BH101">
        <v>24</v>
      </c>
      <c r="BI101" t="s">
        <v>974</v>
      </c>
      <c r="BJ101" t="s">
        <v>975</v>
      </c>
      <c r="BK101" t="s">
        <v>945</v>
      </c>
      <c r="BL101" t="s">
        <v>194</v>
      </c>
      <c r="BM101" s="8" t="s">
        <v>192</v>
      </c>
      <c r="BN101" t="s">
        <v>189</v>
      </c>
      <c r="BO101" t="s">
        <v>190</v>
      </c>
      <c r="BP101" s="35" t="s">
        <v>880</v>
      </c>
      <c r="BQ101"/>
      <c r="BU101" s="35"/>
      <c r="BV101" s="35"/>
      <c r="BX101"/>
      <c r="CA101" s="35"/>
      <c r="CB101" s="35"/>
      <c r="CC101"/>
      <c r="CG101" s="35"/>
      <c r="CH101" s="35"/>
      <c r="CK101"/>
      <c r="CM101" s="35"/>
      <c r="CN101" s="35"/>
      <c r="CQ101"/>
      <c r="CS101" s="35"/>
      <c r="CT101" s="35"/>
      <c r="CX101"/>
      <c r="CZ101" s="35"/>
      <c r="DD101" s="34"/>
      <c r="DG101" t="s">
        <v>879</v>
      </c>
      <c r="DH101" t="s">
        <v>982</v>
      </c>
      <c r="DI101" t="s">
        <v>233</v>
      </c>
      <c r="DL101" t="s">
        <v>687</v>
      </c>
      <c r="DM101">
        <v>6</v>
      </c>
      <c r="DN101">
        <v>7</v>
      </c>
      <c r="DO101" t="s">
        <v>881</v>
      </c>
      <c r="DQ101" t="s">
        <v>927</v>
      </c>
      <c r="DR101">
        <v>14</v>
      </c>
      <c r="DS101">
        <v>2</v>
      </c>
      <c r="DU101">
        <v>14</v>
      </c>
      <c r="DV101">
        <v>2</v>
      </c>
      <c r="DX101">
        <v>14</v>
      </c>
      <c r="DY101">
        <v>2</v>
      </c>
      <c r="DZ101" t="s">
        <v>246</v>
      </c>
      <c r="EA101" t="s">
        <v>929</v>
      </c>
    </row>
    <row r="102" spans="1:131" x14ac:dyDescent="0.4">
      <c r="A102" s="34">
        <v>43067.305104166669</v>
      </c>
      <c r="B102" s="25">
        <v>42956.621527777781</v>
      </c>
      <c r="D102" s="34"/>
      <c r="E102" s="34" t="s">
        <v>193</v>
      </c>
      <c r="F102" s="34" t="s">
        <v>191</v>
      </c>
      <c r="G102" s="34" t="s">
        <v>100</v>
      </c>
      <c r="H102" t="s">
        <v>856</v>
      </c>
      <c r="I102" t="s">
        <v>243</v>
      </c>
      <c r="J102" t="s">
        <v>857</v>
      </c>
      <c r="K102" t="s">
        <v>758</v>
      </c>
      <c r="L102" t="s">
        <v>855</v>
      </c>
      <c r="M102" s="30">
        <v>2.02</v>
      </c>
      <c r="N102">
        <v>6.333333333333333</v>
      </c>
      <c r="P102" s="24" t="str">
        <f>IFERROR(MID(RADataTable[[#This Row],[RATemplate]],1,LEN(RADataTable[[#This Row],[RATemplate]])-8),"RA") &amp; " " &amp; RADataTable[[#This Row],[prop_id0]] &amp; " " &amp; RADataTable[[#This Row],[last0]]</f>
        <v>RA 1755847 Sun</v>
      </c>
      <c r="T102">
        <v>3</v>
      </c>
      <c r="U102">
        <v>3</v>
      </c>
      <c r="V102" s="34">
        <v>43031.767361111109</v>
      </c>
      <c r="W102">
        <v>1</v>
      </c>
      <c r="X102" s="15" t="str">
        <f>HYPERLINK("https://www.ejacket.nsf.gov/ej/showProposal.do?Continue=Y&amp;ID="&amp;RADataTable[[#This Row],[prop_id0]],"eJ")</f>
        <v>eJ</v>
      </c>
      <c r="Y102" s="15" t="str">
        <f>HYPERLINK("mailto:"&amp;RADataTable[[#This Row],[email]]&amp;"&amp;subject=Your NSF Proposal:  "&amp;RADataTable[[#This Row],[Div]]&amp;" "&amp;RADataTable[[#This Row],[prop_id0]], RADataTable[[#This Row],[email]])</f>
        <v>ruoyus@illinois.edu</v>
      </c>
      <c r="Z102" s="15" t="str">
        <f>HYPERLINK("mailto:"&amp;RADataTable[[#This Row],[allPIemail]]&amp;"&amp;subject=NSF Proposal:  "&amp;RADataTable[[#This Row],[Div]]&amp;" "&amp;RADataTable[[#This Row],[prop_id0]], "PIs@")</f>
        <v>PIs@</v>
      </c>
      <c r="AA102" t="s">
        <v>245</v>
      </c>
      <c r="AB102" t="s">
        <v>687</v>
      </c>
      <c r="AC102" s="30" t="s">
        <v>877</v>
      </c>
      <c r="AD102" t="s">
        <v>878</v>
      </c>
      <c r="AE102" t="s">
        <v>761</v>
      </c>
      <c r="AF102" s="36">
        <v>175000</v>
      </c>
      <c r="AG102" s="36">
        <v>175000</v>
      </c>
      <c r="AH102" s="24"/>
      <c r="AJ102" s="34"/>
      <c r="AK102" t="s">
        <v>923</v>
      </c>
      <c r="AL102" t="s">
        <v>232</v>
      </c>
      <c r="AM102" s="34" t="s">
        <v>925</v>
      </c>
      <c r="AN102" s="34">
        <v>43032</v>
      </c>
      <c r="AO102" s="24">
        <v>2</v>
      </c>
      <c r="AP102" t="s">
        <v>981</v>
      </c>
      <c r="AR102" s="35"/>
      <c r="AS102"/>
      <c r="AT102" s="34"/>
      <c r="AV102" s="34"/>
      <c r="AX102" s="34"/>
      <c r="AY102"/>
      <c r="BA102" s="34"/>
      <c r="BB102"/>
      <c r="BC102" t="s">
        <v>882</v>
      </c>
      <c r="BD102" s="36">
        <v>175000</v>
      </c>
      <c r="BE102" s="36">
        <v>175000</v>
      </c>
      <c r="BF102">
        <v>0</v>
      </c>
      <c r="BG102" s="34">
        <v>43282</v>
      </c>
      <c r="BH102">
        <v>24</v>
      </c>
      <c r="BI102" t="s">
        <v>974</v>
      </c>
      <c r="BJ102" t="s">
        <v>975</v>
      </c>
      <c r="BK102" t="s">
        <v>945</v>
      </c>
      <c r="BL102" t="s">
        <v>194</v>
      </c>
      <c r="BM102" s="8" t="s">
        <v>192</v>
      </c>
      <c r="BN102" t="s">
        <v>189</v>
      </c>
      <c r="BO102" t="s">
        <v>190</v>
      </c>
      <c r="BP102" s="35" t="s">
        <v>880</v>
      </c>
      <c r="BQ102"/>
      <c r="BU102" s="35"/>
      <c r="BV102" s="35"/>
      <c r="BX102"/>
      <c r="CA102" s="35"/>
      <c r="CB102" s="35"/>
      <c r="CC102"/>
      <c r="CG102" s="35"/>
      <c r="CH102" s="35"/>
      <c r="CK102"/>
      <c r="CM102" s="35"/>
      <c r="CN102" s="35"/>
      <c r="CQ102"/>
      <c r="CS102" s="35"/>
      <c r="CT102" s="35"/>
      <c r="CX102"/>
      <c r="CZ102" s="35"/>
      <c r="DD102" s="34"/>
      <c r="DG102" t="s">
        <v>879</v>
      </c>
      <c r="DH102" t="s">
        <v>982</v>
      </c>
      <c r="DI102" t="s">
        <v>233</v>
      </c>
      <c r="DL102" t="s">
        <v>687</v>
      </c>
      <c r="DM102">
        <v>6</v>
      </c>
      <c r="DN102">
        <v>7</v>
      </c>
      <c r="DO102" t="s">
        <v>881</v>
      </c>
      <c r="DQ102" t="s">
        <v>927</v>
      </c>
      <c r="DR102">
        <v>14</v>
      </c>
      <c r="DS102">
        <v>2</v>
      </c>
      <c r="DU102">
        <v>14</v>
      </c>
      <c r="DV102">
        <v>2</v>
      </c>
      <c r="DX102">
        <v>14</v>
      </c>
      <c r="DY102">
        <v>2</v>
      </c>
      <c r="DZ102" t="s">
        <v>246</v>
      </c>
      <c r="EA102" t="s">
        <v>929</v>
      </c>
    </row>
    <row r="103" spans="1:131" x14ac:dyDescent="0.4">
      <c r="A103" s="34">
        <v>43067.305104166669</v>
      </c>
      <c r="B103" s="25">
        <v>42956.621527777781</v>
      </c>
      <c r="D103" s="34"/>
      <c r="E103" s="34" t="s">
        <v>193</v>
      </c>
      <c r="F103" s="34" t="s">
        <v>191</v>
      </c>
      <c r="G103" s="34" t="s">
        <v>100</v>
      </c>
      <c r="H103" t="s">
        <v>856</v>
      </c>
      <c r="I103" t="s">
        <v>243</v>
      </c>
      <c r="J103" t="s">
        <v>857</v>
      </c>
      <c r="K103" t="s">
        <v>758</v>
      </c>
      <c r="L103" t="s">
        <v>855</v>
      </c>
      <c r="M103" s="30">
        <v>2.02</v>
      </c>
      <c r="N103">
        <v>6.333333333333333</v>
      </c>
      <c r="P103" s="24" t="str">
        <f>IFERROR(MID(RADataTable[[#This Row],[RATemplate]],1,LEN(RADataTable[[#This Row],[RATemplate]])-8),"RA") &amp; " " &amp; RADataTable[[#This Row],[prop_id0]] &amp; " " &amp; RADataTable[[#This Row],[last0]]</f>
        <v>RA 1755847 Sun</v>
      </c>
      <c r="T103">
        <v>3</v>
      </c>
      <c r="U103">
        <v>3</v>
      </c>
      <c r="V103" s="34">
        <v>43031.767361111109</v>
      </c>
      <c r="W103">
        <v>1</v>
      </c>
      <c r="X103" s="15" t="str">
        <f>HYPERLINK("https://www.ejacket.nsf.gov/ej/showProposal.do?Continue=Y&amp;ID="&amp;RADataTable[[#This Row],[prop_id0]],"eJ")</f>
        <v>eJ</v>
      </c>
      <c r="Y103" s="15" t="str">
        <f>HYPERLINK("mailto:"&amp;RADataTable[[#This Row],[email]]&amp;"&amp;subject=Your NSF Proposal:  "&amp;RADataTable[[#This Row],[Div]]&amp;" "&amp;RADataTable[[#This Row],[prop_id0]], RADataTable[[#This Row],[email]])</f>
        <v>ruoyus@illinois.edu</v>
      </c>
      <c r="Z103" s="15" t="str">
        <f>HYPERLINK("mailto:"&amp;RADataTable[[#This Row],[allPIemail]]&amp;"&amp;subject=NSF Proposal:  "&amp;RADataTable[[#This Row],[Div]]&amp;" "&amp;RADataTable[[#This Row],[prop_id0]], "PIs@")</f>
        <v>PIs@</v>
      </c>
      <c r="AA103" t="s">
        <v>245</v>
      </c>
      <c r="AB103" t="s">
        <v>687</v>
      </c>
      <c r="AC103" s="30" t="s">
        <v>877</v>
      </c>
      <c r="AD103" t="s">
        <v>878</v>
      </c>
      <c r="AE103" t="s">
        <v>761</v>
      </c>
      <c r="AF103" s="36">
        <v>175000</v>
      </c>
      <c r="AG103" s="36">
        <v>175000</v>
      </c>
      <c r="AH103" s="24"/>
      <c r="AJ103" s="34"/>
      <c r="AK103" t="s">
        <v>923</v>
      </c>
      <c r="AL103" t="s">
        <v>232</v>
      </c>
      <c r="AM103" s="34" t="s">
        <v>925</v>
      </c>
      <c r="AN103" s="34">
        <v>43032</v>
      </c>
      <c r="AO103" s="24">
        <v>2</v>
      </c>
      <c r="AP103" t="s">
        <v>981</v>
      </c>
      <c r="AR103" s="35"/>
      <c r="AS103"/>
      <c r="AT103" s="34"/>
      <c r="AV103" s="34"/>
      <c r="AX103" s="34"/>
      <c r="AY103"/>
      <c r="BA103" s="34"/>
      <c r="BB103"/>
      <c r="BC103" t="s">
        <v>882</v>
      </c>
      <c r="BD103" s="36">
        <v>175000</v>
      </c>
      <c r="BE103" s="36">
        <v>175000</v>
      </c>
      <c r="BF103">
        <v>0</v>
      </c>
      <c r="BG103" s="34">
        <v>43282</v>
      </c>
      <c r="BH103">
        <v>24</v>
      </c>
      <c r="BI103" t="s">
        <v>974</v>
      </c>
      <c r="BJ103" t="s">
        <v>975</v>
      </c>
      <c r="BK103" t="s">
        <v>945</v>
      </c>
      <c r="BL103" t="s">
        <v>194</v>
      </c>
      <c r="BM103" s="8" t="s">
        <v>192</v>
      </c>
      <c r="BN103" t="s">
        <v>189</v>
      </c>
      <c r="BO103" t="s">
        <v>190</v>
      </c>
      <c r="BP103" s="35" t="s">
        <v>880</v>
      </c>
      <c r="BQ103"/>
      <c r="BU103" s="35"/>
      <c r="BV103" s="35"/>
      <c r="BX103"/>
      <c r="CA103" s="35"/>
      <c r="CB103" s="35"/>
      <c r="CC103"/>
      <c r="CG103" s="35"/>
      <c r="CH103" s="35"/>
      <c r="CK103"/>
      <c r="CM103" s="35"/>
      <c r="CN103" s="35"/>
      <c r="CQ103"/>
      <c r="CS103" s="35"/>
      <c r="CT103" s="35"/>
      <c r="CX103"/>
      <c r="CZ103" s="35"/>
      <c r="DD103" s="34"/>
      <c r="DG103" t="s">
        <v>879</v>
      </c>
      <c r="DH103" t="s">
        <v>982</v>
      </c>
      <c r="DI103" t="s">
        <v>233</v>
      </c>
      <c r="DL103" t="s">
        <v>687</v>
      </c>
      <c r="DM103">
        <v>6</v>
      </c>
      <c r="DN103">
        <v>7</v>
      </c>
      <c r="DO103" t="s">
        <v>881</v>
      </c>
      <c r="DQ103" t="s">
        <v>927</v>
      </c>
      <c r="DR103">
        <v>14</v>
      </c>
      <c r="DS103">
        <v>2</v>
      </c>
      <c r="DU103">
        <v>14</v>
      </c>
      <c r="DV103">
        <v>2</v>
      </c>
      <c r="DX103">
        <v>14</v>
      </c>
      <c r="DY103">
        <v>2</v>
      </c>
      <c r="DZ103" t="s">
        <v>246</v>
      </c>
      <c r="EA103" t="s">
        <v>929</v>
      </c>
    </row>
    <row r="104" spans="1:131" x14ac:dyDescent="0.4">
      <c r="A104" s="34">
        <v>43067.305104166669</v>
      </c>
      <c r="B104" s="25">
        <v>42956.621527777781</v>
      </c>
      <c r="D104" s="34"/>
      <c r="E104" s="34" t="s">
        <v>193</v>
      </c>
      <c r="F104" s="34" t="s">
        <v>191</v>
      </c>
      <c r="G104" s="34" t="s">
        <v>100</v>
      </c>
      <c r="H104" t="s">
        <v>856</v>
      </c>
      <c r="I104" t="s">
        <v>243</v>
      </c>
      <c r="J104" t="s">
        <v>857</v>
      </c>
      <c r="K104" t="s">
        <v>758</v>
      </c>
      <c r="L104" t="s">
        <v>855</v>
      </c>
      <c r="M104" s="30">
        <v>2.02</v>
      </c>
      <c r="N104">
        <v>6.333333333333333</v>
      </c>
      <c r="P104" s="24" t="str">
        <f>IFERROR(MID(RADataTable[[#This Row],[RATemplate]],1,LEN(RADataTable[[#This Row],[RATemplate]])-8),"RA") &amp; " " &amp; RADataTable[[#This Row],[prop_id0]] &amp; " " &amp; RADataTable[[#This Row],[last0]]</f>
        <v>RA 1755847 Sun</v>
      </c>
      <c r="T104">
        <v>3</v>
      </c>
      <c r="U104">
        <v>3</v>
      </c>
      <c r="V104" s="34">
        <v>43031.767361111109</v>
      </c>
      <c r="W104">
        <v>1</v>
      </c>
      <c r="X104" s="15" t="str">
        <f>HYPERLINK("https://www.ejacket.nsf.gov/ej/showProposal.do?Continue=Y&amp;ID="&amp;RADataTable[[#This Row],[prop_id0]],"eJ")</f>
        <v>eJ</v>
      </c>
      <c r="Y104" s="15" t="str">
        <f>HYPERLINK("mailto:"&amp;RADataTable[[#This Row],[email]]&amp;"&amp;subject=Your NSF Proposal:  "&amp;RADataTable[[#This Row],[Div]]&amp;" "&amp;RADataTable[[#This Row],[prop_id0]], RADataTable[[#This Row],[email]])</f>
        <v>ruoyus@illinois.edu</v>
      </c>
      <c r="Z104" s="15" t="str">
        <f>HYPERLINK("mailto:"&amp;RADataTable[[#This Row],[allPIemail]]&amp;"&amp;subject=NSF Proposal:  "&amp;RADataTable[[#This Row],[Div]]&amp;" "&amp;RADataTable[[#This Row],[prop_id0]], "PIs@")</f>
        <v>PIs@</v>
      </c>
      <c r="AA104" t="s">
        <v>245</v>
      </c>
      <c r="AB104" t="s">
        <v>687</v>
      </c>
      <c r="AC104" s="30" t="s">
        <v>877</v>
      </c>
      <c r="AD104" t="s">
        <v>878</v>
      </c>
      <c r="AE104" t="s">
        <v>761</v>
      </c>
      <c r="AF104" s="36">
        <v>175000</v>
      </c>
      <c r="AG104" s="36">
        <v>175000</v>
      </c>
      <c r="AH104" s="24"/>
      <c r="AJ104" s="34"/>
      <c r="AK104" t="s">
        <v>923</v>
      </c>
      <c r="AL104" t="s">
        <v>232</v>
      </c>
      <c r="AM104" s="34" t="s">
        <v>925</v>
      </c>
      <c r="AN104" s="34">
        <v>43032</v>
      </c>
      <c r="AO104" s="24">
        <v>2</v>
      </c>
      <c r="AP104" t="s">
        <v>981</v>
      </c>
      <c r="AR104" s="35"/>
      <c r="AS104"/>
      <c r="AT104" s="34"/>
      <c r="AV104" s="34"/>
      <c r="AX104" s="34"/>
      <c r="AY104"/>
      <c r="BA104" s="34"/>
      <c r="BB104"/>
      <c r="BC104" t="s">
        <v>882</v>
      </c>
      <c r="BD104" s="36">
        <v>175000</v>
      </c>
      <c r="BE104" s="36">
        <v>175000</v>
      </c>
      <c r="BF104">
        <v>0</v>
      </c>
      <c r="BG104" s="34">
        <v>43282</v>
      </c>
      <c r="BH104">
        <v>24</v>
      </c>
      <c r="BI104" t="s">
        <v>974</v>
      </c>
      <c r="BJ104" t="s">
        <v>975</v>
      </c>
      <c r="BK104" t="s">
        <v>945</v>
      </c>
      <c r="BL104" t="s">
        <v>194</v>
      </c>
      <c r="BM104" s="8" t="s">
        <v>192</v>
      </c>
      <c r="BN104" t="s">
        <v>189</v>
      </c>
      <c r="BO104" t="s">
        <v>190</v>
      </c>
      <c r="BP104" s="35" t="s">
        <v>880</v>
      </c>
      <c r="BQ104"/>
      <c r="BU104" s="35"/>
      <c r="BV104" s="35"/>
      <c r="BX104"/>
      <c r="CA104" s="35"/>
      <c r="CB104" s="35"/>
      <c r="CC104"/>
      <c r="CG104" s="35"/>
      <c r="CH104" s="35"/>
      <c r="CK104"/>
      <c r="CM104" s="35"/>
      <c r="CN104" s="35"/>
      <c r="CQ104"/>
      <c r="CS104" s="35"/>
      <c r="CT104" s="35"/>
      <c r="CX104"/>
      <c r="CZ104" s="35"/>
      <c r="DD104" s="34"/>
      <c r="DG104" t="s">
        <v>879</v>
      </c>
      <c r="DH104" t="s">
        <v>982</v>
      </c>
      <c r="DI104" t="s">
        <v>233</v>
      </c>
      <c r="DL104" t="s">
        <v>687</v>
      </c>
      <c r="DM104">
        <v>6</v>
      </c>
      <c r="DN104">
        <v>7</v>
      </c>
      <c r="DO104" t="s">
        <v>881</v>
      </c>
      <c r="DQ104" t="s">
        <v>927</v>
      </c>
      <c r="DR104">
        <v>14</v>
      </c>
      <c r="DS104">
        <v>2</v>
      </c>
      <c r="DU104">
        <v>14</v>
      </c>
      <c r="DV104">
        <v>2</v>
      </c>
      <c r="DX104">
        <v>14</v>
      </c>
      <c r="DY104">
        <v>2</v>
      </c>
      <c r="DZ104" t="s">
        <v>246</v>
      </c>
      <c r="EA104" t="s">
        <v>929</v>
      </c>
    </row>
    <row r="105" spans="1:131" x14ac:dyDescent="0.4">
      <c r="A105" s="34">
        <v>43067.305104166669</v>
      </c>
      <c r="B105" s="25">
        <v>42956.621527777781</v>
      </c>
      <c r="D105" s="34"/>
      <c r="E105" s="34" t="s">
        <v>193</v>
      </c>
      <c r="F105" s="34" t="s">
        <v>191</v>
      </c>
      <c r="G105" s="34" t="s">
        <v>100</v>
      </c>
      <c r="H105" t="s">
        <v>856</v>
      </c>
      <c r="I105" t="s">
        <v>243</v>
      </c>
      <c r="J105" t="s">
        <v>857</v>
      </c>
      <c r="K105" t="s">
        <v>758</v>
      </c>
      <c r="L105" t="s">
        <v>855</v>
      </c>
      <c r="M105" s="30">
        <v>2.02</v>
      </c>
      <c r="N105">
        <v>6.333333333333333</v>
      </c>
      <c r="P105" s="24" t="str">
        <f>IFERROR(MID(RADataTable[[#This Row],[RATemplate]],1,LEN(RADataTable[[#This Row],[RATemplate]])-8),"RA") &amp; " " &amp; RADataTable[[#This Row],[prop_id0]] &amp; " " &amp; RADataTable[[#This Row],[last0]]</f>
        <v>RA 1755847 Sun</v>
      </c>
      <c r="T105">
        <v>3</v>
      </c>
      <c r="U105">
        <v>3</v>
      </c>
      <c r="V105" s="34">
        <v>43031.767361111109</v>
      </c>
      <c r="W105">
        <v>1</v>
      </c>
      <c r="X105" s="15" t="str">
        <f>HYPERLINK("https://www.ejacket.nsf.gov/ej/showProposal.do?Continue=Y&amp;ID="&amp;RADataTable[[#This Row],[prop_id0]],"eJ")</f>
        <v>eJ</v>
      </c>
      <c r="Y105" s="15" t="str">
        <f>HYPERLINK("mailto:"&amp;RADataTable[[#This Row],[email]]&amp;"&amp;subject=Your NSF Proposal:  "&amp;RADataTable[[#This Row],[Div]]&amp;" "&amp;RADataTable[[#This Row],[prop_id0]], RADataTable[[#This Row],[email]])</f>
        <v>ruoyus@illinois.edu</v>
      </c>
      <c r="Z105" s="15" t="str">
        <f>HYPERLINK("mailto:"&amp;RADataTable[[#This Row],[allPIemail]]&amp;"&amp;subject=NSF Proposal:  "&amp;RADataTable[[#This Row],[Div]]&amp;" "&amp;RADataTable[[#This Row],[prop_id0]], "PIs@")</f>
        <v>PIs@</v>
      </c>
      <c r="AA105" t="s">
        <v>245</v>
      </c>
      <c r="AB105" t="s">
        <v>687</v>
      </c>
      <c r="AC105" s="30" t="s">
        <v>877</v>
      </c>
      <c r="AD105" t="s">
        <v>878</v>
      </c>
      <c r="AE105" t="s">
        <v>761</v>
      </c>
      <c r="AF105" s="36">
        <v>175000</v>
      </c>
      <c r="AG105" s="36">
        <v>175000</v>
      </c>
      <c r="AH105" s="24"/>
      <c r="AJ105" s="34"/>
      <c r="AK105" t="s">
        <v>923</v>
      </c>
      <c r="AL105" t="s">
        <v>232</v>
      </c>
      <c r="AM105" s="34" t="s">
        <v>925</v>
      </c>
      <c r="AN105" s="34">
        <v>43032</v>
      </c>
      <c r="AO105" s="24">
        <v>2</v>
      </c>
      <c r="AP105" t="s">
        <v>981</v>
      </c>
      <c r="AR105" s="35"/>
      <c r="AS105"/>
      <c r="AT105" s="34"/>
      <c r="AV105" s="34"/>
      <c r="AX105" s="34"/>
      <c r="AY105"/>
      <c r="BA105" s="34"/>
      <c r="BB105"/>
      <c r="BC105" t="s">
        <v>882</v>
      </c>
      <c r="BD105" s="36">
        <v>175000</v>
      </c>
      <c r="BE105" s="36">
        <v>175000</v>
      </c>
      <c r="BF105">
        <v>0</v>
      </c>
      <c r="BG105" s="34">
        <v>43282</v>
      </c>
      <c r="BH105">
        <v>24</v>
      </c>
      <c r="BI105" t="s">
        <v>974</v>
      </c>
      <c r="BJ105" t="s">
        <v>975</v>
      </c>
      <c r="BK105" t="s">
        <v>945</v>
      </c>
      <c r="BL105" t="s">
        <v>194</v>
      </c>
      <c r="BM105" s="8" t="s">
        <v>192</v>
      </c>
      <c r="BN105" t="s">
        <v>189</v>
      </c>
      <c r="BO105" t="s">
        <v>190</v>
      </c>
      <c r="BP105" s="35" t="s">
        <v>880</v>
      </c>
      <c r="BQ105"/>
      <c r="BU105" s="35"/>
      <c r="BV105" s="35"/>
      <c r="BX105"/>
      <c r="CA105" s="35"/>
      <c r="CB105" s="35"/>
      <c r="CC105"/>
      <c r="CG105" s="35"/>
      <c r="CH105" s="35"/>
      <c r="CK105"/>
      <c r="CM105" s="35"/>
      <c r="CN105" s="35"/>
      <c r="CQ105"/>
      <c r="CS105" s="35"/>
      <c r="CT105" s="35"/>
      <c r="CX105"/>
      <c r="CZ105" s="35"/>
      <c r="DD105" s="34"/>
      <c r="DG105" t="s">
        <v>879</v>
      </c>
      <c r="DH105" t="s">
        <v>982</v>
      </c>
      <c r="DI105" t="s">
        <v>233</v>
      </c>
      <c r="DL105" t="s">
        <v>687</v>
      </c>
      <c r="DM105">
        <v>6</v>
      </c>
      <c r="DN105">
        <v>7</v>
      </c>
      <c r="DO105" t="s">
        <v>881</v>
      </c>
      <c r="DQ105" t="s">
        <v>927</v>
      </c>
      <c r="DR105">
        <v>14</v>
      </c>
      <c r="DS105">
        <v>2</v>
      </c>
      <c r="DU105">
        <v>14</v>
      </c>
      <c r="DV105">
        <v>2</v>
      </c>
      <c r="DX105">
        <v>14</v>
      </c>
      <c r="DY105">
        <v>2</v>
      </c>
      <c r="DZ105" t="s">
        <v>246</v>
      </c>
      <c r="EA105" t="s">
        <v>929</v>
      </c>
    </row>
    <row r="106" spans="1:131" x14ac:dyDescent="0.4">
      <c r="A106" s="34">
        <v>43067.305104166669</v>
      </c>
      <c r="B106" s="25">
        <v>42956.621527777781</v>
      </c>
      <c r="D106" s="34"/>
      <c r="E106" s="34" t="s">
        <v>193</v>
      </c>
      <c r="F106" s="34" t="s">
        <v>191</v>
      </c>
      <c r="G106" s="34" t="s">
        <v>100</v>
      </c>
      <c r="H106" t="s">
        <v>856</v>
      </c>
      <c r="I106" t="s">
        <v>243</v>
      </c>
      <c r="J106" t="s">
        <v>857</v>
      </c>
      <c r="K106" t="s">
        <v>758</v>
      </c>
      <c r="L106" t="s">
        <v>855</v>
      </c>
      <c r="M106" s="30">
        <v>2.02</v>
      </c>
      <c r="N106">
        <v>6.333333333333333</v>
      </c>
      <c r="P106" s="24" t="str">
        <f>IFERROR(MID(RADataTable[[#This Row],[RATemplate]],1,LEN(RADataTable[[#This Row],[RATemplate]])-8),"RA") &amp; " " &amp; RADataTable[[#This Row],[prop_id0]] &amp; " " &amp; RADataTable[[#This Row],[last0]]</f>
        <v>RA 1755847 Sun</v>
      </c>
      <c r="T106">
        <v>3</v>
      </c>
      <c r="U106">
        <v>3</v>
      </c>
      <c r="V106" s="34">
        <v>43031.767361111109</v>
      </c>
      <c r="W106">
        <v>1</v>
      </c>
      <c r="X106" s="15" t="str">
        <f>HYPERLINK("https://www.ejacket.nsf.gov/ej/showProposal.do?Continue=Y&amp;ID="&amp;RADataTable[[#This Row],[prop_id0]],"eJ")</f>
        <v>eJ</v>
      </c>
      <c r="Y106" s="15" t="str">
        <f>HYPERLINK("mailto:"&amp;RADataTable[[#This Row],[email]]&amp;"&amp;subject=Your NSF Proposal:  "&amp;RADataTable[[#This Row],[Div]]&amp;" "&amp;RADataTable[[#This Row],[prop_id0]], RADataTable[[#This Row],[email]])</f>
        <v>ruoyus@illinois.edu</v>
      </c>
      <c r="Z106" s="15" t="str">
        <f>HYPERLINK("mailto:"&amp;RADataTable[[#This Row],[allPIemail]]&amp;"&amp;subject=NSF Proposal:  "&amp;RADataTable[[#This Row],[Div]]&amp;" "&amp;RADataTable[[#This Row],[prop_id0]], "PIs@")</f>
        <v>PIs@</v>
      </c>
      <c r="AA106" t="s">
        <v>245</v>
      </c>
      <c r="AB106" t="s">
        <v>687</v>
      </c>
      <c r="AC106" s="30" t="s">
        <v>877</v>
      </c>
      <c r="AD106" t="s">
        <v>878</v>
      </c>
      <c r="AE106" t="s">
        <v>761</v>
      </c>
      <c r="AF106" s="36">
        <v>175000</v>
      </c>
      <c r="AG106" s="36">
        <v>175000</v>
      </c>
      <c r="AH106" s="24"/>
      <c r="AJ106" s="34"/>
      <c r="AK106" t="s">
        <v>923</v>
      </c>
      <c r="AL106" t="s">
        <v>232</v>
      </c>
      <c r="AM106" s="34" t="s">
        <v>925</v>
      </c>
      <c r="AN106" s="34">
        <v>43032</v>
      </c>
      <c r="AO106" s="24">
        <v>2</v>
      </c>
      <c r="AP106" t="s">
        <v>981</v>
      </c>
      <c r="AR106" s="35"/>
      <c r="AS106"/>
      <c r="AT106" s="34"/>
      <c r="AV106" s="34"/>
      <c r="AX106" s="34"/>
      <c r="AY106"/>
      <c r="BA106" s="34"/>
      <c r="BB106"/>
      <c r="BC106" t="s">
        <v>882</v>
      </c>
      <c r="BD106" s="36">
        <v>175000</v>
      </c>
      <c r="BE106" s="36">
        <v>175000</v>
      </c>
      <c r="BF106">
        <v>0</v>
      </c>
      <c r="BG106" s="34">
        <v>43282</v>
      </c>
      <c r="BH106">
        <v>24</v>
      </c>
      <c r="BI106" t="s">
        <v>974</v>
      </c>
      <c r="BJ106" t="s">
        <v>975</v>
      </c>
      <c r="BK106" t="s">
        <v>945</v>
      </c>
      <c r="BL106" t="s">
        <v>194</v>
      </c>
      <c r="BM106" s="8" t="s">
        <v>192</v>
      </c>
      <c r="BN106" t="s">
        <v>189</v>
      </c>
      <c r="BO106" t="s">
        <v>190</v>
      </c>
      <c r="BP106" s="35" t="s">
        <v>880</v>
      </c>
      <c r="BQ106"/>
      <c r="BU106" s="35"/>
      <c r="BV106" s="35"/>
      <c r="BX106"/>
      <c r="CA106" s="35"/>
      <c r="CB106" s="35"/>
      <c r="CC106"/>
      <c r="CG106" s="35"/>
      <c r="CH106" s="35"/>
      <c r="CK106"/>
      <c r="CM106" s="35"/>
      <c r="CN106" s="35"/>
      <c r="CQ106"/>
      <c r="CS106" s="35"/>
      <c r="CT106" s="35"/>
      <c r="CX106"/>
      <c r="CZ106" s="35"/>
      <c r="DD106" s="34"/>
      <c r="DG106" t="s">
        <v>879</v>
      </c>
      <c r="DH106" t="s">
        <v>982</v>
      </c>
      <c r="DI106" t="s">
        <v>233</v>
      </c>
      <c r="DL106" t="s">
        <v>687</v>
      </c>
      <c r="DM106">
        <v>6</v>
      </c>
      <c r="DN106">
        <v>7</v>
      </c>
      <c r="DO106" t="s">
        <v>881</v>
      </c>
      <c r="DQ106" t="s">
        <v>927</v>
      </c>
      <c r="DR106">
        <v>14</v>
      </c>
      <c r="DS106">
        <v>2</v>
      </c>
      <c r="DU106">
        <v>14</v>
      </c>
      <c r="DV106">
        <v>2</v>
      </c>
      <c r="DX106">
        <v>14</v>
      </c>
      <c r="DY106">
        <v>2</v>
      </c>
      <c r="DZ106" t="s">
        <v>246</v>
      </c>
      <c r="EA106" t="s">
        <v>929</v>
      </c>
    </row>
    <row r="107" spans="1:131" x14ac:dyDescent="0.4">
      <c r="A107" s="34">
        <v>43067.305104166669</v>
      </c>
      <c r="B107" s="25">
        <v>42956.621527777781</v>
      </c>
      <c r="D107" s="34"/>
      <c r="E107" s="34" t="s">
        <v>193</v>
      </c>
      <c r="F107" s="34" t="s">
        <v>191</v>
      </c>
      <c r="G107" s="34" t="s">
        <v>100</v>
      </c>
      <c r="H107" t="s">
        <v>856</v>
      </c>
      <c r="I107" t="s">
        <v>243</v>
      </c>
      <c r="J107" t="s">
        <v>857</v>
      </c>
      <c r="K107" t="s">
        <v>758</v>
      </c>
      <c r="L107" t="s">
        <v>855</v>
      </c>
      <c r="M107" s="30">
        <v>2.02</v>
      </c>
      <c r="N107">
        <v>6.333333333333333</v>
      </c>
      <c r="P107" s="24" t="str">
        <f>IFERROR(MID(RADataTable[[#This Row],[RATemplate]],1,LEN(RADataTable[[#This Row],[RATemplate]])-8),"RA") &amp; " " &amp; RADataTable[[#This Row],[prop_id0]] &amp; " " &amp; RADataTable[[#This Row],[last0]]</f>
        <v>RA 1755847 Sun</v>
      </c>
      <c r="T107">
        <v>3</v>
      </c>
      <c r="U107">
        <v>3</v>
      </c>
      <c r="V107" s="34">
        <v>43031.767361111109</v>
      </c>
      <c r="W107">
        <v>1</v>
      </c>
      <c r="X107" s="15" t="str">
        <f>HYPERLINK("https://www.ejacket.nsf.gov/ej/showProposal.do?Continue=Y&amp;ID="&amp;RADataTable[[#This Row],[prop_id0]],"eJ")</f>
        <v>eJ</v>
      </c>
      <c r="Y107" s="15" t="str">
        <f>HYPERLINK("mailto:"&amp;RADataTable[[#This Row],[email]]&amp;"&amp;subject=Your NSF Proposal:  "&amp;RADataTable[[#This Row],[Div]]&amp;" "&amp;RADataTable[[#This Row],[prop_id0]], RADataTable[[#This Row],[email]])</f>
        <v>ruoyus@illinois.edu</v>
      </c>
      <c r="Z107" s="15" t="str">
        <f>HYPERLINK("mailto:"&amp;RADataTable[[#This Row],[allPIemail]]&amp;"&amp;subject=NSF Proposal:  "&amp;RADataTable[[#This Row],[Div]]&amp;" "&amp;RADataTable[[#This Row],[prop_id0]], "PIs@")</f>
        <v>PIs@</v>
      </c>
      <c r="AA107" t="s">
        <v>245</v>
      </c>
      <c r="AB107" t="s">
        <v>687</v>
      </c>
      <c r="AC107" s="30" t="s">
        <v>877</v>
      </c>
      <c r="AD107" t="s">
        <v>878</v>
      </c>
      <c r="AE107" t="s">
        <v>761</v>
      </c>
      <c r="AF107" s="36">
        <v>175000</v>
      </c>
      <c r="AG107" s="36">
        <v>175000</v>
      </c>
      <c r="AH107" s="24"/>
      <c r="AJ107" s="34"/>
      <c r="AK107" t="s">
        <v>923</v>
      </c>
      <c r="AL107" t="s">
        <v>232</v>
      </c>
      <c r="AM107" s="34" t="s">
        <v>925</v>
      </c>
      <c r="AN107" s="34">
        <v>43032</v>
      </c>
      <c r="AO107" s="24">
        <v>2</v>
      </c>
      <c r="AP107" t="s">
        <v>981</v>
      </c>
      <c r="AR107" s="35"/>
      <c r="AS107"/>
      <c r="AT107" s="34"/>
      <c r="AV107" s="34"/>
      <c r="AX107" s="34"/>
      <c r="AY107"/>
      <c r="BA107" s="34"/>
      <c r="BB107"/>
      <c r="BC107" t="s">
        <v>882</v>
      </c>
      <c r="BD107" s="36">
        <v>175000</v>
      </c>
      <c r="BE107" s="36">
        <v>175000</v>
      </c>
      <c r="BF107">
        <v>0</v>
      </c>
      <c r="BG107" s="34">
        <v>43282</v>
      </c>
      <c r="BH107">
        <v>24</v>
      </c>
      <c r="BI107" t="s">
        <v>974</v>
      </c>
      <c r="BJ107" t="s">
        <v>975</v>
      </c>
      <c r="BK107" t="s">
        <v>945</v>
      </c>
      <c r="BL107" t="s">
        <v>194</v>
      </c>
      <c r="BM107" s="8" t="s">
        <v>192</v>
      </c>
      <c r="BN107" t="s">
        <v>189</v>
      </c>
      <c r="BO107" t="s">
        <v>190</v>
      </c>
      <c r="BP107" s="35" t="s">
        <v>880</v>
      </c>
      <c r="BQ107"/>
      <c r="BU107" s="35"/>
      <c r="BV107" s="35"/>
      <c r="BX107"/>
      <c r="CA107" s="35"/>
      <c r="CB107" s="35"/>
      <c r="CC107"/>
      <c r="CG107" s="35"/>
      <c r="CH107" s="35"/>
      <c r="CK107"/>
      <c r="CM107" s="35"/>
      <c r="CN107" s="35"/>
      <c r="CQ107"/>
      <c r="CS107" s="35"/>
      <c r="CT107" s="35"/>
      <c r="CX107"/>
      <c r="CZ107" s="35"/>
      <c r="DD107" s="34"/>
      <c r="DG107" t="s">
        <v>879</v>
      </c>
      <c r="DH107" t="s">
        <v>982</v>
      </c>
      <c r="DI107" t="s">
        <v>233</v>
      </c>
      <c r="DL107" t="s">
        <v>687</v>
      </c>
      <c r="DM107">
        <v>6</v>
      </c>
      <c r="DN107">
        <v>7</v>
      </c>
      <c r="DO107" t="s">
        <v>881</v>
      </c>
      <c r="DQ107" t="s">
        <v>927</v>
      </c>
      <c r="DR107">
        <v>14</v>
      </c>
      <c r="DS107">
        <v>2</v>
      </c>
      <c r="DU107">
        <v>14</v>
      </c>
      <c r="DV107">
        <v>2</v>
      </c>
      <c r="DX107">
        <v>14</v>
      </c>
      <c r="DY107">
        <v>2</v>
      </c>
      <c r="DZ107" t="s">
        <v>246</v>
      </c>
      <c r="EA107" t="s">
        <v>929</v>
      </c>
    </row>
    <row r="108" spans="1:131" x14ac:dyDescent="0.4">
      <c r="A108" s="34">
        <v>43067.305104166669</v>
      </c>
      <c r="B108" s="25">
        <v>42956.621527777781</v>
      </c>
      <c r="D108" s="34"/>
      <c r="E108" s="34" t="s">
        <v>193</v>
      </c>
      <c r="F108" s="34" t="s">
        <v>191</v>
      </c>
      <c r="G108" s="34" t="s">
        <v>100</v>
      </c>
      <c r="H108" t="s">
        <v>856</v>
      </c>
      <c r="I108" t="s">
        <v>243</v>
      </c>
      <c r="J108" t="s">
        <v>857</v>
      </c>
      <c r="K108" t="s">
        <v>758</v>
      </c>
      <c r="L108" t="s">
        <v>855</v>
      </c>
      <c r="M108" s="30">
        <v>2.02</v>
      </c>
      <c r="N108">
        <v>6.333333333333333</v>
      </c>
      <c r="P108" s="24" t="str">
        <f>IFERROR(MID(RADataTable[[#This Row],[RATemplate]],1,LEN(RADataTable[[#This Row],[RATemplate]])-8),"RA") &amp; " " &amp; RADataTable[[#This Row],[prop_id0]] &amp; " " &amp; RADataTable[[#This Row],[last0]]</f>
        <v>RA 1755847 Sun</v>
      </c>
      <c r="T108">
        <v>3</v>
      </c>
      <c r="U108">
        <v>3</v>
      </c>
      <c r="V108" s="34">
        <v>43031.767361111109</v>
      </c>
      <c r="W108">
        <v>1</v>
      </c>
      <c r="X108" s="15" t="str">
        <f>HYPERLINK("https://www.ejacket.nsf.gov/ej/showProposal.do?Continue=Y&amp;ID="&amp;RADataTable[[#This Row],[prop_id0]],"eJ")</f>
        <v>eJ</v>
      </c>
      <c r="Y108" s="15" t="str">
        <f>HYPERLINK("mailto:"&amp;RADataTable[[#This Row],[email]]&amp;"&amp;subject=Your NSF Proposal:  "&amp;RADataTable[[#This Row],[Div]]&amp;" "&amp;RADataTable[[#This Row],[prop_id0]], RADataTable[[#This Row],[email]])</f>
        <v>ruoyus@illinois.edu</v>
      </c>
      <c r="Z108" s="15" t="str">
        <f>HYPERLINK("mailto:"&amp;RADataTable[[#This Row],[allPIemail]]&amp;"&amp;subject=NSF Proposal:  "&amp;RADataTable[[#This Row],[Div]]&amp;" "&amp;RADataTable[[#This Row],[prop_id0]], "PIs@")</f>
        <v>PIs@</v>
      </c>
      <c r="AA108" t="s">
        <v>245</v>
      </c>
      <c r="AB108" t="s">
        <v>687</v>
      </c>
      <c r="AC108" s="30" t="s">
        <v>877</v>
      </c>
      <c r="AD108" t="s">
        <v>878</v>
      </c>
      <c r="AE108" t="s">
        <v>761</v>
      </c>
      <c r="AF108" s="36">
        <v>175000</v>
      </c>
      <c r="AG108" s="36">
        <v>175000</v>
      </c>
      <c r="AH108" s="24"/>
      <c r="AJ108" s="34"/>
      <c r="AK108" t="s">
        <v>923</v>
      </c>
      <c r="AL108" t="s">
        <v>232</v>
      </c>
      <c r="AM108" s="34" t="s">
        <v>925</v>
      </c>
      <c r="AN108" s="34">
        <v>43032</v>
      </c>
      <c r="AO108" s="24">
        <v>2</v>
      </c>
      <c r="AP108" t="s">
        <v>981</v>
      </c>
      <c r="AR108" s="35"/>
      <c r="AS108"/>
      <c r="AT108" s="34"/>
      <c r="AV108" s="34"/>
      <c r="AX108" s="34"/>
      <c r="AY108"/>
      <c r="BA108" s="34"/>
      <c r="BB108"/>
      <c r="BC108" t="s">
        <v>882</v>
      </c>
      <c r="BD108" s="36">
        <v>175000</v>
      </c>
      <c r="BE108" s="36">
        <v>175000</v>
      </c>
      <c r="BF108">
        <v>0</v>
      </c>
      <c r="BG108" s="34">
        <v>43282</v>
      </c>
      <c r="BH108">
        <v>24</v>
      </c>
      <c r="BI108" t="s">
        <v>974</v>
      </c>
      <c r="BJ108" t="s">
        <v>975</v>
      </c>
      <c r="BK108" t="s">
        <v>945</v>
      </c>
      <c r="BL108" t="s">
        <v>194</v>
      </c>
      <c r="BM108" s="8" t="s">
        <v>192</v>
      </c>
      <c r="BN108" t="s">
        <v>189</v>
      </c>
      <c r="BO108" t="s">
        <v>190</v>
      </c>
      <c r="BP108" s="35" t="s">
        <v>880</v>
      </c>
      <c r="BQ108"/>
      <c r="BU108" s="35"/>
      <c r="BV108" s="35"/>
      <c r="BX108"/>
      <c r="CA108" s="35"/>
      <c r="CB108" s="35"/>
      <c r="CC108"/>
      <c r="CG108" s="35"/>
      <c r="CH108" s="35"/>
      <c r="CK108"/>
      <c r="CM108" s="35"/>
      <c r="CN108" s="35"/>
      <c r="CQ108"/>
      <c r="CS108" s="35"/>
      <c r="CT108" s="35"/>
      <c r="CX108"/>
      <c r="CZ108" s="35"/>
      <c r="DD108" s="34"/>
      <c r="DG108" t="s">
        <v>879</v>
      </c>
      <c r="DH108" t="s">
        <v>982</v>
      </c>
      <c r="DI108" t="s">
        <v>233</v>
      </c>
      <c r="DL108" t="s">
        <v>687</v>
      </c>
      <c r="DM108">
        <v>6</v>
      </c>
      <c r="DN108">
        <v>7</v>
      </c>
      <c r="DO108" t="s">
        <v>881</v>
      </c>
      <c r="DQ108" t="s">
        <v>927</v>
      </c>
      <c r="DR108">
        <v>14</v>
      </c>
      <c r="DS108">
        <v>2</v>
      </c>
      <c r="DU108">
        <v>14</v>
      </c>
      <c r="DV108">
        <v>2</v>
      </c>
      <c r="DX108">
        <v>14</v>
      </c>
      <c r="DY108">
        <v>2</v>
      </c>
      <c r="DZ108" t="s">
        <v>246</v>
      </c>
      <c r="EA108" t="s">
        <v>929</v>
      </c>
    </row>
    <row r="109" spans="1:131" x14ac:dyDescent="0.4">
      <c r="A109" s="34">
        <v>43067.305104166669</v>
      </c>
      <c r="B109" s="25">
        <v>42956.621527777781</v>
      </c>
      <c r="D109" s="34"/>
      <c r="E109" s="34" t="s">
        <v>193</v>
      </c>
      <c r="F109" s="34" t="s">
        <v>191</v>
      </c>
      <c r="G109" s="34" t="s">
        <v>100</v>
      </c>
      <c r="H109" t="s">
        <v>856</v>
      </c>
      <c r="I109" t="s">
        <v>243</v>
      </c>
      <c r="J109" t="s">
        <v>857</v>
      </c>
      <c r="K109" t="s">
        <v>758</v>
      </c>
      <c r="L109" t="s">
        <v>855</v>
      </c>
      <c r="M109" s="30">
        <v>2.02</v>
      </c>
      <c r="N109">
        <v>6.333333333333333</v>
      </c>
      <c r="P109" s="24" t="str">
        <f>IFERROR(MID(RADataTable[[#This Row],[RATemplate]],1,LEN(RADataTable[[#This Row],[RATemplate]])-8),"RA") &amp; " " &amp; RADataTable[[#This Row],[prop_id0]] &amp; " " &amp; RADataTable[[#This Row],[last0]]</f>
        <v>RA 1755847 Sun</v>
      </c>
      <c r="T109">
        <v>3</v>
      </c>
      <c r="U109">
        <v>3</v>
      </c>
      <c r="V109" s="34">
        <v>43031.767361111109</v>
      </c>
      <c r="W109">
        <v>1</v>
      </c>
      <c r="X109" s="15" t="str">
        <f>HYPERLINK("https://www.ejacket.nsf.gov/ej/showProposal.do?Continue=Y&amp;ID="&amp;RADataTable[[#This Row],[prop_id0]],"eJ")</f>
        <v>eJ</v>
      </c>
      <c r="Y109" s="15" t="str">
        <f>HYPERLINK("mailto:"&amp;RADataTable[[#This Row],[email]]&amp;"&amp;subject=Your NSF Proposal:  "&amp;RADataTable[[#This Row],[Div]]&amp;" "&amp;RADataTable[[#This Row],[prop_id0]], RADataTable[[#This Row],[email]])</f>
        <v>ruoyus@illinois.edu</v>
      </c>
      <c r="Z109" s="15" t="str">
        <f>HYPERLINK("mailto:"&amp;RADataTable[[#This Row],[allPIemail]]&amp;"&amp;subject=NSF Proposal:  "&amp;RADataTable[[#This Row],[Div]]&amp;" "&amp;RADataTable[[#This Row],[prop_id0]], "PIs@")</f>
        <v>PIs@</v>
      </c>
      <c r="AA109" t="s">
        <v>245</v>
      </c>
      <c r="AB109" t="s">
        <v>687</v>
      </c>
      <c r="AC109" s="30" t="s">
        <v>877</v>
      </c>
      <c r="AD109" t="s">
        <v>878</v>
      </c>
      <c r="AE109" t="s">
        <v>761</v>
      </c>
      <c r="AF109" s="36">
        <v>175000</v>
      </c>
      <c r="AG109" s="36">
        <v>175000</v>
      </c>
      <c r="AH109" s="24"/>
      <c r="AJ109" s="34"/>
      <c r="AK109" t="s">
        <v>923</v>
      </c>
      <c r="AL109" t="s">
        <v>232</v>
      </c>
      <c r="AM109" s="34" t="s">
        <v>925</v>
      </c>
      <c r="AN109" s="34">
        <v>43032</v>
      </c>
      <c r="AO109" s="24">
        <v>2</v>
      </c>
      <c r="AP109" t="s">
        <v>981</v>
      </c>
      <c r="AR109" s="35"/>
      <c r="AS109"/>
      <c r="AT109" s="34"/>
      <c r="AV109" s="34"/>
      <c r="AX109" s="34"/>
      <c r="AY109"/>
      <c r="BA109" s="34"/>
      <c r="BB109"/>
      <c r="BC109" t="s">
        <v>882</v>
      </c>
      <c r="BD109" s="36">
        <v>175000</v>
      </c>
      <c r="BE109" s="36">
        <v>175000</v>
      </c>
      <c r="BF109">
        <v>0</v>
      </c>
      <c r="BG109" s="34">
        <v>43282</v>
      </c>
      <c r="BH109">
        <v>24</v>
      </c>
      <c r="BI109" t="s">
        <v>974</v>
      </c>
      <c r="BJ109" t="s">
        <v>975</v>
      </c>
      <c r="BK109" t="s">
        <v>945</v>
      </c>
      <c r="BL109" t="s">
        <v>194</v>
      </c>
      <c r="BM109" s="8" t="s">
        <v>192</v>
      </c>
      <c r="BN109" t="s">
        <v>189</v>
      </c>
      <c r="BO109" t="s">
        <v>190</v>
      </c>
      <c r="BP109" s="35" t="s">
        <v>880</v>
      </c>
      <c r="BQ109"/>
      <c r="BU109" s="35"/>
      <c r="BV109" s="35"/>
      <c r="BX109"/>
      <c r="CA109" s="35"/>
      <c r="CB109" s="35"/>
      <c r="CC109"/>
      <c r="CG109" s="35"/>
      <c r="CH109" s="35"/>
      <c r="CK109"/>
      <c r="CM109" s="35"/>
      <c r="CN109" s="35"/>
      <c r="CQ109"/>
      <c r="CS109" s="35"/>
      <c r="CT109" s="35"/>
      <c r="CX109"/>
      <c r="CZ109" s="35"/>
      <c r="DD109" s="34"/>
      <c r="DG109" t="s">
        <v>879</v>
      </c>
      <c r="DH109" t="s">
        <v>982</v>
      </c>
      <c r="DI109" t="s">
        <v>233</v>
      </c>
      <c r="DL109" t="s">
        <v>687</v>
      </c>
      <c r="DM109">
        <v>6</v>
      </c>
      <c r="DN109">
        <v>7</v>
      </c>
      <c r="DO109" t="s">
        <v>881</v>
      </c>
      <c r="DQ109" t="s">
        <v>927</v>
      </c>
      <c r="DR109">
        <v>14</v>
      </c>
      <c r="DS109">
        <v>2</v>
      </c>
      <c r="DU109">
        <v>14</v>
      </c>
      <c r="DV109">
        <v>2</v>
      </c>
      <c r="DX109">
        <v>14</v>
      </c>
      <c r="DY109">
        <v>2</v>
      </c>
      <c r="DZ109" t="s">
        <v>246</v>
      </c>
      <c r="EA109" t="s">
        <v>929</v>
      </c>
    </row>
    <row r="110" spans="1:131" x14ac:dyDescent="0.4">
      <c r="A110" s="34">
        <v>43067.305104166669</v>
      </c>
      <c r="B110" s="25">
        <v>42956.621527777781</v>
      </c>
      <c r="D110" s="34"/>
      <c r="E110" s="34" t="s">
        <v>193</v>
      </c>
      <c r="F110" s="34" t="s">
        <v>191</v>
      </c>
      <c r="G110" s="34" t="s">
        <v>100</v>
      </c>
      <c r="H110" t="s">
        <v>856</v>
      </c>
      <c r="I110" t="s">
        <v>243</v>
      </c>
      <c r="J110" t="s">
        <v>857</v>
      </c>
      <c r="K110" t="s">
        <v>758</v>
      </c>
      <c r="L110" t="s">
        <v>855</v>
      </c>
      <c r="M110" s="30">
        <v>2.02</v>
      </c>
      <c r="N110">
        <v>6.333333333333333</v>
      </c>
      <c r="P110" s="24" t="str">
        <f>IFERROR(MID(RADataTable[[#This Row],[RATemplate]],1,LEN(RADataTable[[#This Row],[RATemplate]])-8),"RA") &amp; " " &amp; RADataTable[[#This Row],[prop_id0]] &amp; " " &amp; RADataTable[[#This Row],[last0]]</f>
        <v>RA 1755847 Sun</v>
      </c>
      <c r="T110">
        <v>3</v>
      </c>
      <c r="U110">
        <v>3</v>
      </c>
      <c r="V110" s="34">
        <v>43031.767361111109</v>
      </c>
      <c r="W110">
        <v>1</v>
      </c>
      <c r="X110" s="15" t="str">
        <f>HYPERLINK("https://www.ejacket.nsf.gov/ej/showProposal.do?Continue=Y&amp;ID="&amp;RADataTable[[#This Row],[prop_id0]],"eJ")</f>
        <v>eJ</v>
      </c>
      <c r="Y110" s="15" t="str">
        <f>HYPERLINK("mailto:"&amp;RADataTable[[#This Row],[email]]&amp;"&amp;subject=Your NSF Proposal:  "&amp;RADataTable[[#This Row],[Div]]&amp;" "&amp;RADataTable[[#This Row],[prop_id0]], RADataTable[[#This Row],[email]])</f>
        <v>ruoyus@illinois.edu</v>
      </c>
      <c r="Z110" s="15" t="str">
        <f>HYPERLINK("mailto:"&amp;RADataTable[[#This Row],[allPIemail]]&amp;"&amp;subject=NSF Proposal:  "&amp;RADataTable[[#This Row],[Div]]&amp;" "&amp;RADataTable[[#This Row],[prop_id0]], "PIs@")</f>
        <v>PIs@</v>
      </c>
      <c r="AA110" t="s">
        <v>245</v>
      </c>
      <c r="AB110" t="s">
        <v>687</v>
      </c>
      <c r="AC110" s="30" t="s">
        <v>877</v>
      </c>
      <c r="AD110" t="s">
        <v>878</v>
      </c>
      <c r="AE110" t="s">
        <v>761</v>
      </c>
      <c r="AF110" s="36">
        <v>175000</v>
      </c>
      <c r="AG110" s="36">
        <v>175000</v>
      </c>
      <c r="AH110" s="24"/>
      <c r="AJ110" s="34"/>
      <c r="AK110" t="s">
        <v>923</v>
      </c>
      <c r="AL110" t="s">
        <v>232</v>
      </c>
      <c r="AM110" s="34" t="s">
        <v>925</v>
      </c>
      <c r="AN110" s="34">
        <v>43032</v>
      </c>
      <c r="AO110" s="24">
        <v>2</v>
      </c>
      <c r="AP110" t="s">
        <v>981</v>
      </c>
      <c r="AR110" s="35"/>
      <c r="AS110"/>
      <c r="AT110" s="34"/>
      <c r="AV110" s="34"/>
      <c r="AX110" s="34"/>
      <c r="AY110"/>
      <c r="BA110" s="34"/>
      <c r="BB110"/>
      <c r="BC110" t="s">
        <v>882</v>
      </c>
      <c r="BD110" s="36">
        <v>175000</v>
      </c>
      <c r="BE110" s="36">
        <v>175000</v>
      </c>
      <c r="BF110">
        <v>0</v>
      </c>
      <c r="BG110" s="34">
        <v>43282</v>
      </c>
      <c r="BH110">
        <v>24</v>
      </c>
      <c r="BI110" t="s">
        <v>974</v>
      </c>
      <c r="BJ110" t="s">
        <v>975</v>
      </c>
      <c r="BK110" t="s">
        <v>945</v>
      </c>
      <c r="BL110" t="s">
        <v>194</v>
      </c>
      <c r="BM110" s="8" t="s">
        <v>192</v>
      </c>
      <c r="BN110" t="s">
        <v>189</v>
      </c>
      <c r="BO110" t="s">
        <v>190</v>
      </c>
      <c r="BP110" s="35" t="s">
        <v>880</v>
      </c>
      <c r="BQ110"/>
      <c r="BU110" s="35"/>
      <c r="BV110" s="35"/>
      <c r="BX110"/>
      <c r="CA110" s="35"/>
      <c r="CB110" s="35"/>
      <c r="CC110"/>
      <c r="CG110" s="35"/>
      <c r="CH110" s="35"/>
      <c r="CK110"/>
      <c r="CM110" s="35"/>
      <c r="CN110" s="35"/>
      <c r="CQ110"/>
      <c r="CS110" s="35"/>
      <c r="CT110" s="35"/>
      <c r="CX110"/>
      <c r="CZ110" s="35"/>
      <c r="DD110" s="34"/>
      <c r="DG110" t="s">
        <v>879</v>
      </c>
      <c r="DH110" t="s">
        <v>982</v>
      </c>
      <c r="DI110" t="s">
        <v>233</v>
      </c>
      <c r="DL110" t="s">
        <v>687</v>
      </c>
      <c r="DM110">
        <v>6</v>
      </c>
      <c r="DN110">
        <v>7</v>
      </c>
      <c r="DO110" t="s">
        <v>881</v>
      </c>
      <c r="DQ110" t="s">
        <v>927</v>
      </c>
      <c r="DR110">
        <v>14</v>
      </c>
      <c r="DS110">
        <v>2</v>
      </c>
      <c r="DU110">
        <v>14</v>
      </c>
      <c r="DV110">
        <v>2</v>
      </c>
      <c r="DX110">
        <v>14</v>
      </c>
      <c r="DY110">
        <v>2</v>
      </c>
      <c r="DZ110" t="s">
        <v>246</v>
      </c>
      <c r="EA110" t="s">
        <v>929</v>
      </c>
    </row>
    <row r="111" spans="1:131" x14ac:dyDescent="0.4">
      <c r="A111" s="34">
        <v>43067.305104166669</v>
      </c>
      <c r="B111" s="25">
        <v>42956.621527777781</v>
      </c>
      <c r="D111" s="34"/>
      <c r="E111" s="34" t="s">
        <v>193</v>
      </c>
      <c r="F111" s="34" t="s">
        <v>191</v>
      </c>
      <c r="G111" s="34" t="s">
        <v>100</v>
      </c>
      <c r="H111" t="s">
        <v>856</v>
      </c>
      <c r="I111" t="s">
        <v>243</v>
      </c>
      <c r="J111" t="s">
        <v>857</v>
      </c>
      <c r="K111" t="s">
        <v>758</v>
      </c>
      <c r="L111" t="s">
        <v>855</v>
      </c>
      <c r="M111" s="30">
        <v>2.02</v>
      </c>
      <c r="N111">
        <v>6.333333333333333</v>
      </c>
      <c r="P111" s="24" t="str">
        <f>IFERROR(MID(RADataTable[[#This Row],[RATemplate]],1,LEN(RADataTable[[#This Row],[RATemplate]])-8),"RA") &amp; " " &amp; RADataTable[[#This Row],[prop_id0]] &amp; " " &amp; RADataTable[[#This Row],[last0]]</f>
        <v>RA 1755847 Sun</v>
      </c>
      <c r="T111">
        <v>3</v>
      </c>
      <c r="U111">
        <v>3</v>
      </c>
      <c r="V111" s="34">
        <v>43031.767361111109</v>
      </c>
      <c r="W111">
        <v>1</v>
      </c>
      <c r="X111" s="15" t="str">
        <f>HYPERLINK("https://www.ejacket.nsf.gov/ej/showProposal.do?Continue=Y&amp;ID="&amp;RADataTable[[#This Row],[prop_id0]],"eJ")</f>
        <v>eJ</v>
      </c>
      <c r="Y111" s="15" t="str">
        <f>HYPERLINK("mailto:"&amp;RADataTable[[#This Row],[email]]&amp;"&amp;subject=Your NSF Proposal:  "&amp;RADataTable[[#This Row],[Div]]&amp;" "&amp;RADataTable[[#This Row],[prop_id0]], RADataTable[[#This Row],[email]])</f>
        <v>ruoyus@illinois.edu</v>
      </c>
      <c r="Z111" s="15" t="str">
        <f>HYPERLINK("mailto:"&amp;RADataTable[[#This Row],[allPIemail]]&amp;"&amp;subject=NSF Proposal:  "&amp;RADataTable[[#This Row],[Div]]&amp;" "&amp;RADataTable[[#This Row],[prop_id0]], "PIs@")</f>
        <v>PIs@</v>
      </c>
      <c r="AA111" t="s">
        <v>245</v>
      </c>
      <c r="AB111" t="s">
        <v>687</v>
      </c>
      <c r="AC111" s="30" t="s">
        <v>877</v>
      </c>
      <c r="AD111" t="s">
        <v>878</v>
      </c>
      <c r="AE111" t="s">
        <v>761</v>
      </c>
      <c r="AF111" s="36">
        <v>175000</v>
      </c>
      <c r="AG111" s="36">
        <v>175000</v>
      </c>
      <c r="AH111" s="24"/>
      <c r="AJ111" s="34"/>
      <c r="AK111" t="s">
        <v>923</v>
      </c>
      <c r="AL111" t="s">
        <v>232</v>
      </c>
      <c r="AM111" s="34" t="s">
        <v>925</v>
      </c>
      <c r="AN111" s="34">
        <v>43032</v>
      </c>
      <c r="AO111" s="24">
        <v>2</v>
      </c>
      <c r="AP111" t="s">
        <v>981</v>
      </c>
      <c r="AR111" s="35"/>
      <c r="AS111"/>
      <c r="AT111" s="34"/>
      <c r="AV111" s="34"/>
      <c r="AX111" s="34"/>
      <c r="AY111"/>
      <c r="BA111" s="34"/>
      <c r="BB111"/>
      <c r="BC111" t="s">
        <v>882</v>
      </c>
      <c r="BD111" s="36">
        <v>175000</v>
      </c>
      <c r="BE111" s="36">
        <v>175000</v>
      </c>
      <c r="BF111">
        <v>0</v>
      </c>
      <c r="BG111" s="34">
        <v>43282</v>
      </c>
      <c r="BH111">
        <v>24</v>
      </c>
      <c r="BI111" t="s">
        <v>974</v>
      </c>
      <c r="BJ111" t="s">
        <v>975</v>
      </c>
      <c r="BK111" t="s">
        <v>945</v>
      </c>
      <c r="BL111" t="s">
        <v>194</v>
      </c>
      <c r="BM111" s="8" t="s">
        <v>192</v>
      </c>
      <c r="BN111" t="s">
        <v>189</v>
      </c>
      <c r="BO111" t="s">
        <v>190</v>
      </c>
      <c r="BP111" s="35" t="s">
        <v>880</v>
      </c>
      <c r="BQ111"/>
      <c r="BU111" s="35"/>
      <c r="BV111" s="35"/>
      <c r="BX111"/>
      <c r="CA111" s="35"/>
      <c r="CB111" s="35"/>
      <c r="CC111"/>
      <c r="CG111" s="35"/>
      <c r="CH111" s="35"/>
      <c r="CK111"/>
      <c r="CM111" s="35"/>
      <c r="CN111" s="35"/>
      <c r="CQ111"/>
      <c r="CS111" s="35"/>
      <c r="CT111" s="35"/>
      <c r="CX111"/>
      <c r="CZ111" s="35"/>
      <c r="DD111" s="34"/>
      <c r="DG111" t="s">
        <v>879</v>
      </c>
      <c r="DH111" t="s">
        <v>982</v>
      </c>
      <c r="DI111" t="s">
        <v>233</v>
      </c>
      <c r="DL111" t="s">
        <v>687</v>
      </c>
      <c r="DM111">
        <v>6</v>
      </c>
      <c r="DN111">
        <v>7</v>
      </c>
      <c r="DO111" t="s">
        <v>881</v>
      </c>
      <c r="DQ111" t="s">
        <v>927</v>
      </c>
      <c r="DR111">
        <v>14</v>
      </c>
      <c r="DS111">
        <v>2</v>
      </c>
      <c r="DU111">
        <v>14</v>
      </c>
      <c r="DV111">
        <v>2</v>
      </c>
      <c r="DX111">
        <v>14</v>
      </c>
      <c r="DY111">
        <v>2</v>
      </c>
      <c r="DZ111" t="s">
        <v>246</v>
      </c>
      <c r="EA111" t="s">
        <v>929</v>
      </c>
    </row>
    <row r="112" spans="1:131" x14ac:dyDescent="0.4">
      <c r="A112" s="34">
        <v>43067.305104166669</v>
      </c>
      <c r="B112" s="25">
        <v>42956.621527777781</v>
      </c>
      <c r="D112" s="34"/>
      <c r="E112" s="34" t="s">
        <v>193</v>
      </c>
      <c r="F112" s="34" t="s">
        <v>191</v>
      </c>
      <c r="G112" s="34" t="s">
        <v>100</v>
      </c>
      <c r="H112" t="s">
        <v>856</v>
      </c>
      <c r="I112" t="s">
        <v>243</v>
      </c>
      <c r="J112" t="s">
        <v>857</v>
      </c>
      <c r="K112" t="s">
        <v>758</v>
      </c>
      <c r="L112" t="s">
        <v>855</v>
      </c>
      <c r="M112" s="30">
        <v>2.02</v>
      </c>
      <c r="N112">
        <v>6.333333333333333</v>
      </c>
      <c r="P112" s="24" t="str">
        <f>IFERROR(MID(RADataTable[[#This Row],[RATemplate]],1,LEN(RADataTable[[#This Row],[RATemplate]])-8),"RA") &amp; " " &amp; RADataTable[[#This Row],[prop_id0]] &amp; " " &amp; RADataTable[[#This Row],[last0]]</f>
        <v>RA 1755847 Sun</v>
      </c>
      <c r="T112">
        <v>3</v>
      </c>
      <c r="U112">
        <v>3</v>
      </c>
      <c r="V112" s="34">
        <v>43031.767361111109</v>
      </c>
      <c r="W112">
        <v>1</v>
      </c>
      <c r="X112" s="15" t="str">
        <f>HYPERLINK("https://www.ejacket.nsf.gov/ej/showProposal.do?Continue=Y&amp;ID="&amp;RADataTable[[#This Row],[prop_id0]],"eJ")</f>
        <v>eJ</v>
      </c>
      <c r="Y112" s="15" t="str">
        <f>HYPERLINK("mailto:"&amp;RADataTable[[#This Row],[email]]&amp;"&amp;subject=Your NSF Proposal:  "&amp;RADataTable[[#This Row],[Div]]&amp;" "&amp;RADataTable[[#This Row],[prop_id0]], RADataTable[[#This Row],[email]])</f>
        <v>ruoyus@illinois.edu</v>
      </c>
      <c r="Z112" s="15" t="str">
        <f>HYPERLINK("mailto:"&amp;RADataTable[[#This Row],[allPIemail]]&amp;"&amp;subject=NSF Proposal:  "&amp;RADataTable[[#This Row],[Div]]&amp;" "&amp;RADataTable[[#This Row],[prop_id0]], "PIs@")</f>
        <v>PIs@</v>
      </c>
      <c r="AA112" t="s">
        <v>245</v>
      </c>
      <c r="AB112" t="s">
        <v>687</v>
      </c>
      <c r="AC112" s="30" t="s">
        <v>877</v>
      </c>
      <c r="AD112" t="s">
        <v>878</v>
      </c>
      <c r="AE112" t="s">
        <v>761</v>
      </c>
      <c r="AF112" s="36">
        <v>175000</v>
      </c>
      <c r="AG112" s="36">
        <v>175000</v>
      </c>
      <c r="AH112" s="24"/>
      <c r="AJ112" s="34"/>
      <c r="AK112" t="s">
        <v>923</v>
      </c>
      <c r="AL112" t="s">
        <v>232</v>
      </c>
      <c r="AM112" s="34" t="s">
        <v>925</v>
      </c>
      <c r="AN112" s="34">
        <v>43032</v>
      </c>
      <c r="AO112" s="24">
        <v>2</v>
      </c>
      <c r="AP112" t="s">
        <v>981</v>
      </c>
      <c r="AR112" s="35"/>
      <c r="AS112"/>
      <c r="AT112" s="34"/>
      <c r="AV112" s="34"/>
      <c r="AX112" s="34"/>
      <c r="AY112"/>
      <c r="BA112" s="34"/>
      <c r="BB112"/>
      <c r="BC112" t="s">
        <v>882</v>
      </c>
      <c r="BD112" s="36">
        <v>175000</v>
      </c>
      <c r="BE112" s="36">
        <v>175000</v>
      </c>
      <c r="BF112">
        <v>0</v>
      </c>
      <c r="BG112" s="34">
        <v>43282</v>
      </c>
      <c r="BH112">
        <v>24</v>
      </c>
      <c r="BI112" t="s">
        <v>974</v>
      </c>
      <c r="BJ112" t="s">
        <v>975</v>
      </c>
      <c r="BK112" t="s">
        <v>945</v>
      </c>
      <c r="BL112" t="s">
        <v>194</v>
      </c>
      <c r="BM112" s="8" t="s">
        <v>192</v>
      </c>
      <c r="BN112" t="s">
        <v>189</v>
      </c>
      <c r="BO112" t="s">
        <v>190</v>
      </c>
      <c r="BP112" s="35" t="s">
        <v>880</v>
      </c>
      <c r="BQ112"/>
      <c r="BU112" s="35"/>
      <c r="BV112" s="35"/>
      <c r="BX112"/>
      <c r="CA112" s="35"/>
      <c r="CB112" s="35"/>
      <c r="CC112"/>
      <c r="CG112" s="35"/>
      <c r="CH112" s="35"/>
      <c r="CK112"/>
      <c r="CM112" s="35"/>
      <c r="CN112" s="35"/>
      <c r="CQ112"/>
      <c r="CS112" s="35"/>
      <c r="CT112" s="35"/>
      <c r="CX112"/>
      <c r="CZ112" s="35"/>
      <c r="DD112" s="34"/>
      <c r="DG112" t="s">
        <v>879</v>
      </c>
      <c r="DH112" t="s">
        <v>982</v>
      </c>
      <c r="DI112" t="s">
        <v>233</v>
      </c>
      <c r="DL112" t="s">
        <v>687</v>
      </c>
      <c r="DM112">
        <v>6</v>
      </c>
      <c r="DN112">
        <v>7</v>
      </c>
      <c r="DO112" t="s">
        <v>881</v>
      </c>
      <c r="DQ112" t="s">
        <v>927</v>
      </c>
      <c r="DR112">
        <v>14</v>
      </c>
      <c r="DS112">
        <v>2</v>
      </c>
      <c r="DU112">
        <v>14</v>
      </c>
      <c r="DV112">
        <v>2</v>
      </c>
      <c r="DX112">
        <v>14</v>
      </c>
      <c r="DY112">
        <v>2</v>
      </c>
      <c r="DZ112" t="s">
        <v>246</v>
      </c>
      <c r="EA112" t="s">
        <v>929</v>
      </c>
    </row>
    <row r="113" spans="1:131" x14ac:dyDescent="0.4">
      <c r="A113" s="34">
        <v>43067.305104166669</v>
      </c>
      <c r="B113" s="25">
        <v>42956.621527777781</v>
      </c>
      <c r="D113" s="34"/>
      <c r="E113" s="34" t="s">
        <v>193</v>
      </c>
      <c r="F113" s="34" t="s">
        <v>191</v>
      </c>
      <c r="G113" s="34" t="s">
        <v>100</v>
      </c>
      <c r="H113" t="s">
        <v>856</v>
      </c>
      <c r="I113" t="s">
        <v>243</v>
      </c>
      <c r="J113" t="s">
        <v>857</v>
      </c>
      <c r="K113" t="s">
        <v>758</v>
      </c>
      <c r="L113" t="s">
        <v>855</v>
      </c>
      <c r="M113" s="30">
        <v>2.02</v>
      </c>
      <c r="N113">
        <v>6.333333333333333</v>
      </c>
      <c r="P113" s="24" t="str">
        <f>IFERROR(MID(RADataTable[[#This Row],[RATemplate]],1,LEN(RADataTable[[#This Row],[RATemplate]])-8),"RA") &amp; " " &amp; RADataTable[[#This Row],[prop_id0]] &amp; " " &amp; RADataTable[[#This Row],[last0]]</f>
        <v>RA 1755847 Sun</v>
      </c>
      <c r="T113">
        <v>3</v>
      </c>
      <c r="U113">
        <v>3</v>
      </c>
      <c r="V113" s="34">
        <v>43031.767361111109</v>
      </c>
      <c r="W113">
        <v>1</v>
      </c>
      <c r="X113" s="15" t="str">
        <f>HYPERLINK("https://www.ejacket.nsf.gov/ej/showProposal.do?Continue=Y&amp;ID="&amp;RADataTable[[#This Row],[prop_id0]],"eJ")</f>
        <v>eJ</v>
      </c>
      <c r="Y113" s="15" t="str">
        <f>HYPERLINK("mailto:"&amp;RADataTable[[#This Row],[email]]&amp;"&amp;subject=Your NSF Proposal:  "&amp;RADataTable[[#This Row],[Div]]&amp;" "&amp;RADataTable[[#This Row],[prop_id0]], RADataTable[[#This Row],[email]])</f>
        <v>ruoyus@illinois.edu</v>
      </c>
      <c r="Z113" s="15" t="str">
        <f>HYPERLINK("mailto:"&amp;RADataTable[[#This Row],[allPIemail]]&amp;"&amp;subject=NSF Proposal:  "&amp;RADataTable[[#This Row],[Div]]&amp;" "&amp;RADataTable[[#This Row],[prop_id0]], "PIs@")</f>
        <v>PIs@</v>
      </c>
      <c r="AA113" t="s">
        <v>245</v>
      </c>
      <c r="AB113" t="s">
        <v>687</v>
      </c>
      <c r="AC113" s="30" t="s">
        <v>877</v>
      </c>
      <c r="AD113" t="s">
        <v>878</v>
      </c>
      <c r="AE113" t="s">
        <v>761</v>
      </c>
      <c r="AF113" s="36">
        <v>175000</v>
      </c>
      <c r="AG113" s="36">
        <v>175000</v>
      </c>
      <c r="AH113" s="24"/>
      <c r="AJ113" s="34"/>
      <c r="AK113" t="s">
        <v>923</v>
      </c>
      <c r="AL113" t="s">
        <v>232</v>
      </c>
      <c r="AM113" s="34" t="s">
        <v>925</v>
      </c>
      <c r="AN113" s="34">
        <v>43032</v>
      </c>
      <c r="AO113" s="24">
        <v>2</v>
      </c>
      <c r="AP113" t="s">
        <v>981</v>
      </c>
      <c r="AR113" s="35"/>
      <c r="AS113"/>
      <c r="AT113" s="34"/>
      <c r="AV113" s="34"/>
      <c r="AX113" s="34"/>
      <c r="AY113"/>
      <c r="BA113" s="34"/>
      <c r="BB113"/>
      <c r="BC113" t="s">
        <v>882</v>
      </c>
      <c r="BD113" s="36">
        <v>175000</v>
      </c>
      <c r="BE113" s="36">
        <v>175000</v>
      </c>
      <c r="BF113">
        <v>0</v>
      </c>
      <c r="BG113" s="34">
        <v>43282</v>
      </c>
      <c r="BH113">
        <v>24</v>
      </c>
      <c r="BI113" t="s">
        <v>974</v>
      </c>
      <c r="BJ113" t="s">
        <v>975</v>
      </c>
      <c r="BK113" t="s">
        <v>945</v>
      </c>
      <c r="BL113" t="s">
        <v>194</v>
      </c>
      <c r="BM113" s="8" t="s">
        <v>192</v>
      </c>
      <c r="BN113" t="s">
        <v>189</v>
      </c>
      <c r="BO113" t="s">
        <v>190</v>
      </c>
      <c r="BP113" s="35" t="s">
        <v>880</v>
      </c>
      <c r="BQ113"/>
      <c r="BU113" s="35"/>
      <c r="BV113" s="35"/>
      <c r="BX113"/>
      <c r="CA113" s="35"/>
      <c r="CB113" s="35"/>
      <c r="CC113"/>
      <c r="CG113" s="35"/>
      <c r="CH113" s="35"/>
      <c r="CK113"/>
      <c r="CM113" s="35"/>
      <c r="CN113" s="35"/>
      <c r="CQ113"/>
      <c r="CS113" s="35"/>
      <c r="CT113" s="35"/>
      <c r="CX113"/>
      <c r="CZ113" s="35"/>
      <c r="DD113" s="34"/>
      <c r="DG113" t="s">
        <v>879</v>
      </c>
      <c r="DH113" t="s">
        <v>982</v>
      </c>
      <c r="DI113" t="s">
        <v>233</v>
      </c>
      <c r="DL113" t="s">
        <v>687</v>
      </c>
      <c r="DM113">
        <v>6</v>
      </c>
      <c r="DN113">
        <v>7</v>
      </c>
      <c r="DO113" t="s">
        <v>881</v>
      </c>
      <c r="DQ113" t="s">
        <v>927</v>
      </c>
      <c r="DR113">
        <v>14</v>
      </c>
      <c r="DS113">
        <v>2</v>
      </c>
      <c r="DU113">
        <v>14</v>
      </c>
      <c r="DV113">
        <v>2</v>
      </c>
      <c r="DX113">
        <v>14</v>
      </c>
      <c r="DY113">
        <v>2</v>
      </c>
      <c r="DZ113" t="s">
        <v>246</v>
      </c>
      <c r="EA113" t="s">
        <v>929</v>
      </c>
    </row>
    <row r="114" spans="1:131" x14ac:dyDescent="0.4">
      <c r="A114" s="34">
        <v>43067.305104166669</v>
      </c>
      <c r="B114" s="25">
        <v>42956.621527777781</v>
      </c>
      <c r="D114" s="34"/>
      <c r="E114" s="34" t="s">
        <v>193</v>
      </c>
      <c r="F114" s="34" t="s">
        <v>191</v>
      </c>
      <c r="G114" s="34" t="s">
        <v>100</v>
      </c>
      <c r="H114" t="s">
        <v>856</v>
      </c>
      <c r="I114" t="s">
        <v>243</v>
      </c>
      <c r="J114" t="s">
        <v>857</v>
      </c>
      <c r="K114" t="s">
        <v>758</v>
      </c>
      <c r="L114" t="s">
        <v>855</v>
      </c>
      <c r="M114" s="30">
        <v>2.02</v>
      </c>
      <c r="N114">
        <v>6.333333333333333</v>
      </c>
      <c r="P114" s="24" t="str">
        <f>IFERROR(MID(RADataTable[[#This Row],[RATemplate]],1,LEN(RADataTable[[#This Row],[RATemplate]])-8),"RA") &amp; " " &amp; RADataTable[[#This Row],[prop_id0]] &amp; " " &amp; RADataTable[[#This Row],[last0]]</f>
        <v>RA 1755847 Sun</v>
      </c>
      <c r="T114">
        <v>3</v>
      </c>
      <c r="U114">
        <v>3</v>
      </c>
      <c r="V114" s="34">
        <v>43031.767361111109</v>
      </c>
      <c r="W114">
        <v>1</v>
      </c>
      <c r="X114" s="15" t="str">
        <f>HYPERLINK("https://www.ejacket.nsf.gov/ej/showProposal.do?Continue=Y&amp;ID="&amp;RADataTable[[#This Row],[prop_id0]],"eJ")</f>
        <v>eJ</v>
      </c>
      <c r="Y114" s="15" t="str">
        <f>HYPERLINK("mailto:"&amp;RADataTable[[#This Row],[email]]&amp;"&amp;subject=Your NSF Proposal:  "&amp;RADataTable[[#This Row],[Div]]&amp;" "&amp;RADataTable[[#This Row],[prop_id0]], RADataTable[[#This Row],[email]])</f>
        <v>ruoyus@illinois.edu</v>
      </c>
      <c r="Z114" s="15" t="str">
        <f>HYPERLINK("mailto:"&amp;RADataTable[[#This Row],[allPIemail]]&amp;"&amp;subject=NSF Proposal:  "&amp;RADataTable[[#This Row],[Div]]&amp;" "&amp;RADataTable[[#This Row],[prop_id0]], "PIs@")</f>
        <v>PIs@</v>
      </c>
      <c r="AA114" t="s">
        <v>245</v>
      </c>
      <c r="AB114" t="s">
        <v>687</v>
      </c>
      <c r="AC114" s="30" t="s">
        <v>877</v>
      </c>
      <c r="AD114" t="s">
        <v>878</v>
      </c>
      <c r="AE114" t="s">
        <v>761</v>
      </c>
      <c r="AF114" s="36">
        <v>175000</v>
      </c>
      <c r="AG114" s="36">
        <v>175000</v>
      </c>
      <c r="AH114" s="24"/>
      <c r="AJ114" s="34"/>
      <c r="AK114" t="s">
        <v>923</v>
      </c>
      <c r="AL114" t="s">
        <v>232</v>
      </c>
      <c r="AM114" s="34" t="s">
        <v>925</v>
      </c>
      <c r="AN114" s="34">
        <v>43032</v>
      </c>
      <c r="AO114" s="24">
        <v>2</v>
      </c>
      <c r="AP114" t="s">
        <v>981</v>
      </c>
      <c r="AR114" s="35"/>
      <c r="AS114"/>
      <c r="AT114" s="34"/>
      <c r="AV114" s="34"/>
      <c r="AX114" s="34"/>
      <c r="AY114"/>
      <c r="BA114" s="34"/>
      <c r="BB114"/>
      <c r="BC114" t="s">
        <v>882</v>
      </c>
      <c r="BD114" s="36">
        <v>175000</v>
      </c>
      <c r="BE114" s="36">
        <v>175000</v>
      </c>
      <c r="BF114">
        <v>0</v>
      </c>
      <c r="BG114" s="34">
        <v>43282</v>
      </c>
      <c r="BH114">
        <v>24</v>
      </c>
      <c r="BI114" t="s">
        <v>974</v>
      </c>
      <c r="BJ114" t="s">
        <v>975</v>
      </c>
      <c r="BK114" t="s">
        <v>945</v>
      </c>
      <c r="BL114" t="s">
        <v>194</v>
      </c>
      <c r="BM114" s="8" t="s">
        <v>192</v>
      </c>
      <c r="BN114" t="s">
        <v>189</v>
      </c>
      <c r="BO114" t="s">
        <v>190</v>
      </c>
      <c r="BP114" s="35" t="s">
        <v>880</v>
      </c>
      <c r="BQ114"/>
      <c r="BU114" s="35"/>
      <c r="BV114" s="35"/>
      <c r="BX114"/>
      <c r="CA114" s="35"/>
      <c r="CB114" s="35"/>
      <c r="CC114"/>
      <c r="CG114" s="35"/>
      <c r="CH114" s="35"/>
      <c r="CK114"/>
      <c r="CM114" s="35"/>
      <c r="CN114" s="35"/>
      <c r="CQ114"/>
      <c r="CS114" s="35"/>
      <c r="CT114" s="35"/>
      <c r="CX114"/>
      <c r="CZ114" s="35"/>
      <c r="DD114" s="34"/>
      <c r="DG114" t="s">
        <v>879</v>
      </c>
      <c r="DH114" t="s">
        <v>982</v>
      </c>
      <c r="DI114" t="s">
        <v>233</v>
      </c>
      <c r="DL114" t="s">
        <v>687</v>
      </c>
      <c r="DM114">
        <v>6</v>
      </c>
      <c r="DN114">
        <v>7</v>
      </c>
      <c r="DO114" t="s">
        <v>881</v>
      </c>
      <c r="DQ114" t="s">
        <v>927</v>
      </c>
      <c r="DR114">
        <v>14</v>
      </c>
      <c r="DS114">
        <v>2</v>
      </c>
      <c r="DU114">
        <v>14</v>
      </c>
      <c r="DV114">
        <v>2</v>
      </c>
      <c r="DX114">
        <v>14</v>
      </c>
      <c r="DY114">
        <v>2</v>
      </c>
      <c r="DZ114" t="s">
        <v>246</v>
      </c>
      <c r="EA114" t="s">
        <v>929</v>
      </c>
    </row>
    <row r="115" spans="1:131" x14ac:dyDescent="0.4">
      <c r="A115" s="34">
        <v>43067.305104166669</v>
      </c>
      <c r="B115" s="25">
        <v>42956.621527777781</v>
      </c>
      <c r="D115" s="34"/>
      <c r="E115" s="34" t="s">
        <v>193</v>
      </c>
      <c r="F115" s="34" t="s">
        <v>191</v>
      </c>
      <c r="G115" s="34" t="s">
        <v>100</v>
      </c>
      <c r="H115" t="s">
        <v>856</v>
      </c>
      <c r="I115" t="s">
        <v>243</v>
      </c>
      <c r="J115" t="s">
        <v>857</v>
      </c>
      <c r="K115" t="s">
        <v>758</v>
      </c>
      <c r="L115" t="s">
        <v>855</v>
      </c>
      <c r="M115" s="30">
        <v>2.02</v>
      </c>
      <c r="N115">
        <v>6.333333333333333</v>
      </c>
      <c r="P115" s="24" t="str">
        <f>IFERROR(MID(RADataTable[[#This Row],[RATemplate]],1,LEN(RADataTable[[#This Row],[RATemplate]])-8),"RA") &amp; " " &amp; RADataTable[[#This Row],[prop_id0]] &amp; " " &amp; RADataTable[[#This Row],[last0]]</f>
        <v>RA 1755847 Sun</v>
      </c>
      <c r="T115">
        <v>3</v>
      </c>
      <c r="U115">
        <v>3</v>
      </c>
      <c r="V115" s="34">
        <v>43031.767361111109</v>
      </c>
      <c r="W115">
        <v>1</v>
      </c>
      <c r="X115" s="15" t="str">
        <f>HYPERLINK("https://www.ejacket.nsf.gov/ej/showProposal.do?Continue=Y&amp;ID="&amp;RADataTable[[#This Row],[prop_id0]],"eJ")</f>
        <v>eJ</v>
      </c>
      <c r="Y115" s="15" t="str">
        <f>HYPERLINK("mailto:"&amp;RADataTable[[#This Row],[email]]&amp;"&amp;subject=Your NSF Proposal:  "&amp;RADataTable[[#This Row],[Div]]&amp;" "&amp;RADataTable[[#This Row],[prop_id0]], RADataTable[[#This Row],[email]])</f>
        <v>ruoyus@illinois.edu</v>
      </c>
      <c r="Z115" s="15" t="str">
        <f>HYPERLINK("mailto:"&amp;RADataTable[[#This Row],[allPIemail]]&amp;"&amp;subject=NSF Proposal:  "&amp;RADataTable[[#This Row],[Div]]&amp;" "&amp;RADataTable[[#This Row],[prop_id0]], "PIs@")</f>
        <v>PIs@</v>
      </c>
      <c r="AA115" t="s">
        <v>245</v>
      </c>
      <c r="AB115" t="s">
        <v>687</v>
      </c>
      <c r="AC115" s="30" t="s">
        <v>877</v>
      </c>
      <c r="AD115" t="s">
        <v>878</v>
      </c>
      <c r="AE115" t="s">
        <v>761</v>
      </c>
      <c r="AF115" s="36">
        <v>175000</v>
      </c>
      <c r="AG115" s="36">
        <v>175000</v>
      </c>
      <c r="AH115" s="24"/>
      <c r="AJ115" s="34"/>
      <c r="AK115" t="s">
        <v>923</v>
      </c>
      <c r="AL115" t="s">
        <v>232</v>
      </c>
      <c r="AM115" s="34" t="s">
        <v>925</v>
      </c>
      <c r="AN115" s="34">
        <v>43032</v>
      </c>
      <c r="AO115" s="24">
        <v>2</v>
      </c>
      <c r="AP115" t="s">
        <v>981</v>
      </c>
      <c r="AR115" s="35"/>
      <c r="AS115"/>
      <c r="AT115" s="34"/>
      <c r="AV115" s="34"/>
      <c r="AX115" s="34"/>
      <c r="AY115"/>
      <c r="BA115" s="34"/>
      <c r="BB115"/>
      <c r="BC115" t="s">
        <v>882</v>
      </c>
      <c r="BD115" s="36">
        <v>175000</v>
      </c>
      <c r="BE115" s="36">
        <v>175000</v>
      </c>
      <c r="BF115">
        <v>0</v>
      </c>
      <c r="BG115" s="34">
        <v>43282</v>
      </c>
      <c r="BH115">
        <v>24</v>
      </c>
      <c r="BI115" t="s">
        <v>974</v>
      </c>
      <c r="BJ115" t="s">
        <v>975</v>
      </c>
      <c r="BK115" t="s">
        <v>945</v>
      </c>
      <c r="BL115" t="s">
        <v>194</v>
      </c>
      <c r="BM115" s="8" t="s">
        <v>192</v>
      </c>
      <c r="BN115" t="s">
        <v>189</v>
      </c>
      <c r="BO115" t="s">
        <v>190</v>
      </c>
      <c r="BP115" s="35" t="s">
        <v>880</v>
      </c>
      <c r="BQ115"/>
      <c r="BU115" s="35"/>
      <c r="BV115" s="35"/>
      <c r="BX115"/>
      <c r="CA115" s="35"/>
      <c r="CB115" s="35"/>
      <c r="CC115"/>
      <c r="CG115" s="35"/>
      <c r="CH115" s="35"/>
      <c r="CK115"/>
      <c r="CM115" s="35"/>
      <c r="CN115" s="35"/>
      <c r="CQ115"/>
      <c r="CS115" s="35"/>
      <c r="CT115" s="35"/>
      <c r="CX115"/>
      <c r="CZ115" s="35"/>
      <c r="DD115" s="34"/>
      <c r="DG115" t="s">
        <v>879</v>
      </c>
      <c r="DH115" t="s">
        <v>982</v>
      </c>
      <c r="DI115" t="s">
        <v>233</v>
      </c>
      <c r="DL115" t="s">
        <v>687</v>
      </c>
      <c r="DM115">
        <v>6</v>
      </c>
      <c r="DN115">
        <v>7</v>
      </c>
      <c r="DO115" t="s">
        <v>881</v>
      </c>
      <c r="DQ115" t="s">
        <v>927</v>
      </c>
      <c r="DR115">
        <v>14</v>
      </c>
      <c r="DS115">
        <v>2</v>
      </c>
      <c r="DU115">
        <v>14</v>
      </c>
      <c r="DV115">
        <v>2</v>
      </c>
      <c r="DX115">
        <v>14</v>
      </c>
      <c r="DY115">
        <v>2</v>
      </c>
      <c r="DZ115" t="s">
        <v>246</v>
      </c>
      <c r="EA115" t="s">
        <v>929</v>
      </c>
    </row>
    <row r="116" spans="1:131" x14ac:dyDescent="0.4">
      <c r="A116" s="34">
        <v>43067.305104166669</v>
      </c>
      <c r="B116" s="25">
        <v>42956.621527777781</v>
      </c>
      <c r="D116" s="34"/>
      <c r="E116" s="34" t="s">
        <v>193</v>
      </c>
      <c r="F116" s="34" t="s">
        <v>191</v>
      </c>
      <c r="G116" s="34" t="s">
        <v>100</v>
      </c>
      <c r="H116" t="s">
        <v>856</v>
      </c>
      <c r="I116" t="s">
        <v>243</v>
      </c>
      <c r="J116" t="s">
        <v>857</v>
      </c>
      <c r="K116" t="s">
        <v>758</v>
      </c>
      <c r="L116" t="s">
        <v>855</v>
      </c>
      <c r="M116" s="30">
        <v>2.02</v>
      </c>
      <c r="N116">
        <v>6.333333333333333</v>
      </c>
      <c r="P116" s="24" t="str">
        <f>IFERROR(MID(RADataTable[[#This Row],[RATemplate]],1,LEN(RADataTable[[#This Row],[RATemplate]])-8),"RA") &amp; " " &amp; RADataTable[[#This Row],[prop_id0]] &amp; " " &amp; RADataTable[[#This Row],[last0]]</f>
        <v>RA 1755847 Sun</v>
      </c>
      <c r="T116">
        <v>3</v>
      </c>
      <c r="U116">
        <v>3</v>
      </c>
      <c r="V116" s="34">
        <v>43031.767361111109</v>
      </c>
      <c r="W116">
        <v>1</v>
      </c>
      <c r="X116" s="15" t="str">
        <f>HYPERLINK("https://www.ejacket.nsf.gov/ej/showProposal.do?Continue=Y&amp;ID="&amp;RADataTable[[#This Row],[prop_id0]],"eJ")</f>
        <v>eJ</v>
      </c>
      <c r="Y116" s="15" t="str">
        <f>HYPERLINK("mailto:"&amp;RADataTable[[#This Row],[email]]&amp;"&amp;subject=Your NSF Proposal:  "&amp;RADataTable[[#This Row],[Div]]&amp;" "&amp;RADataTable[[#This Row],[prop_id0]], RADataTable[[#This Row],[email]])</f>
        <v>ruoyus@illinois.edu</v>
      </c>
      <c r="Z116" s="15" t="str">
        <f>HYPERLINK("mailto:"&amp;RADataTable[[#This Row],[allPIemail]]&amp;"&amp;subject=NSF Proposal:  "&amp;RADataTable[[#This Row],[Div]]&amp;" "&amp;RADataTable[[#This Row],[prop_id0]], "PIs@")</f>
        <v>PIs@</v>
      </c>
      <c r="AA116" t="s">
        <v>245</v>
      </c>
      <c r="AB116" t="s">
        <v>687</v>
      </c>
      <c r="AC116" s="30" t="s">
        <v>877</v>
      </c>
      <c r="AD116" t="s">
        <v>878</v>
      </c>
      <c r="AE116" t="s">
        <v>761</v>
      </c>
      <c r="AF116" s="36">
        <v>175000</v>
      </c>
      <c r="AG116" s="36">
        <v>175000</v>
      </c>
      <c r="AH116" s="24"/>
      <c r="AJ116" s="34"/>
      <c r="AK116" t="s">
        <v>923</v>
      </c>
      <c r="AL116" t="s">
        <v>232</v>
      </c>
      <c r="AM116" s="34" t="s">
        <v>925</v>
      </c>
      <c r="AN116" s="34">
        <v>43032</v>
      </c>
      <c r="AO116" s="24">
        <v>2</v>
      </c>
      <c r="AP116" t="s">
        <v>981</v>
      </c>
      <c r="AR116" s="35"/>
      <c r="AS116"/>
      <c r="AT116" s="34"/>
      <c r="AV116" s="34"/>
      <c r="AX116" s="34"/>
      <c r="AY116"/>
      <c r="BA116" s="34"/>
      <c r="BB116"/>
      <c r="BC116" t="s">
        <v>882</v>
      </c>
      <c r="BD116" s="36">
        <v>175000</v>
      </c>
      <c r="BE116" s="36">
        <v>175000</v>
      </c>
      <c r="BF116">
        <v>0</v>
      </c>
      <c r="BG116" s="34">
        <v>43282</v>
      </c>
      <c r="BH116">
        <v>24</v>
      </c>
      <c r="BI116" t="s">
        <v>974</v>
      </c>
      <c r="BJ116" t="s">
        <v>975</v>
      </c>
      <c r="BK116" t="s">
        <v>945</v>
      </c>
      <c r="BL116" t="s">
        <v>194</v>
      </c>
      <c r="BM116" s="8" t="s">
        <v>192</v>
      </c>
      <c r="BN116" t="s">
        <v>189</v>
      </c>
      <c r="BO116" t="s">
        <v>190</v>
      </c>
      <c r="BP116" s="35" t="s">
        <v>880</v>
      </c>
      <c r="BQ116"/>
      <c r="BU116" s="35"/>
      <c r="BV116" s="35"/>
      <c r="BX116"/>
      <c r="CA116" s="35"/>
      <c r="CB116" s="35"/>
      <c r="CC116"/>
      <c r="CG116" s="35"/>
      <c r="CH116" s="35"/>
      <c r="CK116"/>
      <c r="CM116" s="35"/>
      <c r="CN116" s="35"/>
      <c r="CQ116"/>
      <c r="CS116" s="35"/>
      <c r="CT116" s="35"/>
      <c r="CX116"/>
      <c r="CZ116" s="35"/>
      <c r="DD116" s="34"/>
      <c r="DG116" t="s">
        <v>879</v>
      </c>
      <c r="DH116" t="s">
        <v>982</v>
      </c>
      <c r="DI116" t="s">
        <v>233</v>
      </c>
      <c r="DL116" t="s">
        <v>687</v>
      </c>
      <c r="DM116">
        <v>6</v>
      </c>
      <c r="DN116">
        <v>7</v>
      </c>
      <c r="DO116" t="s">
        <v>881</v>
      </c>
      <c r="DQ116" t="s">
        <v>927</v>
      </c>
      <c r="DR116">
        <v>14</v>
      </c>
      <c r="DS116">
        <v>2</v>
      </c>
      <c r="DU116">
        <v>14</v>
      </c>
      <c r="DV116">
        <v>2</v>
      </c>
      <c r="DX116">
        <v>14</v>
      </c>
      <c r="DY116">
        <v>2</v>
      </c>
      <c r="DZ116" t="s">
        <v>246</v>
      </c>
      <c r="EA116" t="s">
        <v>929</v>
      </c>
    </row>
    <row r="117" spans="1:131" x14ac:dyDescent="0.4">
      <c r="A117" s="34">
        <v>43067.305104166669</v>
      </c>
      <c r="B117" s="25">
        <v>42956.621527777781</v>
      </c>
      <c r="D117" s="34"/>
      <c r="E117" s="34" t="s">
        <v>193</v>
      </c>
      <c r="F117" s="34" t="s">
        <v>191</v>
      </c>
      <c r="G117" s="34" t="s">
        <v>100</v>
      </c>
      <c r="H117" t="s">
        <v>856</v>
      </c>
      <c r="I117" t="s">
        <v>243</v>
      </c>
      <c r="J117" t="s">
        <v>857</v>
      </c>
      <c r="K117" t="s">
        <v>758</v>
      </c>
      <c r="L117" t="s">
        <v>855</v>
      </c>
      <c r="M117" s="30">
        <v>2.02</v>
      </c>
      <c r="N117">
        <v>6.333333333333333</v>
      </c>
      <c r="P117" s="24" t="str">
        <f>IFERROR(MID(RADataTable[[#This Row],[RATemplate]],1,LEN(RADataTable[[#This Row],[RATemplate]])-8),"RA") &amp; " " &amp; RADataTable[[#This Row],[prop_id0]] &amp; " " &amp; RADataTable[[#This Row],[last0]]</f>
        <v>RA 1755847 Sun</v>
      </c>
      <c r="T117">
        <v>3</v>
      </c>
      <c r="U117">
        <v>3</v>
      </c>
      <c r="V117" s="34">
        <v>43031.767361111109</v>
      </c>
      <c r="W117">
        <v>1</v>
      </c>
      <c r="X117" s="15" t="str">
        <f>HYPERLINK("https://www.ejacket.nsf.gov/ej/showProposal.do?Continue=Y&amp;ID="&amp;RADataTable[[#This Row],[prop_id0]],"eJ")</f>
        <v>eJ</v>
      </c>
      <c r="Y117" s="15" t="str">
        <f>HYPERLINK("mailto:"&amp;RADataTable[[#This Row],[email]]&amp;"&amp;subject=Your NSF Proposal:  "&amp;RADataTable[[#This Row],[Div]]&amp;" "&amp;RADataTable[[#This Row],[prop_id0]], RADataTable[[#This Row],[email]])</f>
        <v>ruoyus@illinois.edu</v>
      </c>
      <c r="Z117" s="15" t="str">
        <f>HYPERLINK("mailto:"&amp;RADataTable[[#This Row],[allPIemail]]&amp;"&amp;subject=NSF Proposal:  "&amp;RADataTable[[#This Row],[Div]]&amp;" "&amp;RADataTable[[#This Row],[prop_id0]], "PIs@")</f>
        <v>PIs@</v>
      </c>
      <c r="AA117" t="s">
        <v>245</v>
      </c>
      <c r="AB117" t="s">
        <v>687</v>
      </c>
      <c r="AC117" s="30" t="s">
        <v>877</v>
      </c>
      <c r="AD117" t="s">
        <v>878</v>
      </c>
      <c r="AE117" t="s">
        <v>761</v>
      </c>
      <c r="AF117" s="36">
        <v>175000</v>
      </c>
      <c r="AG117" s="36">
        <v>175000</v>
      </c>
      <c r="AH117" s="24"/>
      <c r="AJ117" s="34"/>
      <c r="AK117" t="s">
        <v>923</v>
      </c>
      <c r="AL117" t="s">
        <v>232</v>
      </c>
      <c r="AM117" s="34" t="s">
        <v>925</v>
      </c>
      <c r="AN117" s="34">
        <v>43032</v>
      </c>
      <c r="AO117" s="24">
        <v>2</v>
      </c>
      <c r="AP117" t="s">
        <v>981</v>
      </c>
      <c r="AR117" s="35"/>
      <c r="AS117"/>
      <c r="AT117" s="34"/>
      <c r="AV117" s="34"/>
      <c r="AX117" s="34"/>
      <c r="AY117"/>
      <c r="BA117" s="34"/>
      <c r="BB117"/>
      <c r="BC117" t="s">
        <v>882</v>
      </c>
      <c r="BD117" s="36">
        <v>175000</v>
      </c>
      <c r="BE117" s="36">
        <v>175000</v>
      </c>
      <c r="BF117">
        <v>0</v>
      </c>
      <c r="BG117" s="34">
        <v>43282</v>
      </c>
      <c r="BH117">
        <v>24</v>
      </c>
      <c r="BI117" t="s">
        <v>974</v>
      </c>
      <c r="BJ117" t="s">
        <v>975</v>
      </c>
      <c r="BK117" t="s">
        <v>945</v>
      </c>
      <c r="BL117" t="s">
        <v>194</v>
      </c>
      <c r="BM117" s="8" t="s">
        <v>192</v>
      </c>
      <c r="BN117" t="s">
        <v>189</v>
      </c>
      <c r="BO117" t="s">
        <v>190</v>
      </c>
      <c r="BP117" s="35" t="s">
        <v>880</v>
      </c>
      <c r="BQ117"/>
      <c r="BU117" s="35"/>
      <c r="BV117" s="35"/>
      <c r="BX117"/>
      <c r="CA117" s="35"/>
      <c r="CB117" s="35"/>
      <c r="CC117"/>
      <c r="CG117" s="35"/>
      <c r="CH117" s="35"/>
      <c r="CK117"/>
      <c r="CM117" s="35"/>
      <c r="CN117" s="35"/>
      <c r="CQ117"/>
      <c r="CS117" s="35"/>
      <c r="CT117" s="35"/>
      <c r="CX117"/>
      <c r="CZ117" s="35"/>
      <c r="DD117" s="34"/>
      <c r="DG117" t="s">
        <v>879</v>
      </c>
      <c r="DH117" t="s">
        <v>982</v>
      </c>
      <c r="DI117" t="s">
        <v>233</v>
      </c>
      <c r="DL117" t="s">
        <v>687</v>
      </c>
      <c r="DM117">
        <v>6</v>
      </c>
      <c r="DN117">
        <v>7</v>
      </c>
      <c r="DO117" t="s">
        <v>881</v>
      </c>
      <c r="DQ117" t="s">
        <v>927</v>
      </c>
      <c r="DR117">
        <v>14</v>
      </c>
      <c r="DS117">
        <v>2</v>
      </c>
      <c r="DU117">
        <v>14</v>
      </c>
      <c r="DV117">
        <v>2</v>
      </c>
      <c r="DX117">
        <v>14</v>
      </c>
      <c r="DY117">
        <v>2</v>
      </c>
      <c r="DZ117" t="s">
        <v>246</v>
      </c>
      <c r="EA117" t="s">
        <v>929</v>
      </c>
    </row>
    <row r="118" spans="1:131" x14ac:dyDescent="0.4">
      <c r="A118" s="34">
        <v>43067.305104166669</v>
      </c>
      <c r="B118" s="25">
        <v>42956.621527777781</v>
      </c>
      <c r="D118" s="34"/>
      <c r="E118" s="34" t="s">
        <v>193</v>
      </c>
      <c r="F118" s="34" t="s">
        <v>191</v>
      </c>
      <c r="G118" s="34" t="s">
        <v>100</v>
      </c>
      <c r="H118" t="s">
        <v>856</v>
      </c>
      <c r="I118" t="s">
        <v>243</v>
      </c>
      <c r="J118" t="s">
        <v>857</v>
      </c>
      <c r="K118" t="s">
        <v>758</v>
      </c>
      <c r="L118" t="s">
        <v>855</v>
      </c>
      <c r="M118" s="30">
        <v>2.02</v>
      </c>
      <c r="N118">
        <v>6.333333333333333</v>
      </c>
      <c r="P118" s="24" t="str">
        <f>IFERROR(MID(RADataTable[[#This Row],[RATemplate]],1,LEN(RADataTable[[#This Row],[RATemplate]])-8),"RA") &amp; " " &amp; RADataTable[[#This Row],[prop_id0]] &amp; " " &amp; RADataTable[[#This Row],[last0]]</f>
        <v>RA 1755847 Sun</v>
      </c>
      <c r="T118">
        <v>3</v>
      </c>
      <c r="U118">
        <v>3</v>
      </c>
      <c r="V118" s="34">
        <v>43031.767361111109</v>
      </c>
      <c r="W118">
        <v>1</v>
      </c>
      <c r="X118" s="15" t="str">
        <f>HYPERLINK("https://www.ejacket.nsf.gov/ej/showProposal.do?Continue=Y&amp;ID="&amp;RADataTable[[#This Row],[prop_id0]],"eJ")</f>
        <v>eJ</v>
      </c>
      <c r="Y118" s="15" t="str">
        <f>HYPERLINK("mailto:"&amp;RADataTable[[#This Row],[email]]&amp;"&amp;subject=Your NSF Proposal:  "&amp;RADataTable[[#This Row],[Div]]&amp;" "&amp;RADataTable[[#This Row],[prop_id0]], RADataTable[[#This Row],[email]])</f>
        <v>ruoyus@illinois.edu</v>
      </c>
      <c r="Z118" s="15" t="str">
        <f>HYPERLINK("mailto:"&amp;RADataTable[[#This Row],[allPIemail]]&amp;"&amp;subject=NSF Proposal:  "&amp;RADataTable[[#This Row],[Div]]&amp;" "&amp;RADataTable[[#This Row],[prop_id0]], "PIs@")</f>
        <v>PIs@</v>
      </c>
      <c r="AA118" t="s">
        <v>245</v>
      </c>
      <c r="AB118" t="s">
        <v>687</v>
      </c>
      <c r="AC118" s="30" t="s">
        <v>877</v>
      </c>
      <c r="AD118" t="s">
        <v>878</v>
      </c>
      <c r="AE118" t="s">
        <v>761</v>
      </c>
      <c r="AF118" s="36">
        <v>175000</v>
      </c>
      <c r="AG118" s="36">
        <v>175000</v>
      </c>
      <c r="AH118" s="24"/>
      <c r="AJ118" s="34"/>
      <c r="AK118" t="s">
        <v>923</v>
      </c>
      <c r="AL118" t="s">
        <v>232</v>
      </c>
      <c r="AM118" s="34" t="s">
        <v>925</v>
      </c>
      <c r="AN118" s="34">
        <v>43032</v>
      </c>
      <c r="AO118" s="24">
        <v>2</v>
      </c>
      <c r="AP118" t="s">
        <v>981</v>
      </c>
      <c r="AR118" s="35"/>
      <c r="AS118"/>
      <c r="AT118" s="34"/>
      <c r="AV118" s="34"/>
      <c r="AX118" s="34"/>
      <c r="AY118"/>
      <c r="BA118" s="34"/>
      <c r="BB118"/>
      <c r="BC118" t="s">
        <v>882</v>
      </c>
      <c r="BD118" s="36">
        <v>175000</v>
      </c>
      <c r="BE118" s="36">
        <v>175000</v>
      </c>
      <c r="BF118">
        <v>0</v>
      </c>
      <c r="BG118" s="34">
        <v>43282</v>
      </c>
      <c r="BH118">
        <v>24</v>
      </c>
      <c r="BI118" t="s">
        <v>974</v>
      </c>
      <c r="BJ118" t="s">
        <v>975</v>
      </c>
      <c r="BK118" t="s">
        <v>945</v>
      </c>
      <c r="BL118" t="s">
        <v>194</v>
      </c>
      <c r="BM118" s="8" t="s">
        <v>192</v>
      </c>
      <c r="BN118" t="s">
        <v>189</v>
      </c>
      <c r="BO118" t="s">
        <v>190</v>
      </c>
      <c r="BP118" s="35" t="s">
        <v>880</v>
      </c>
      <c r="BQ118"/>
      <c r="BU118" s="35"/>
      <c r="BV118" s="35"/>
      <c r="BX118"/>
      <c r="CA118" s="35"/>
      <c r="CB118" s="35"/>
      <c r="CC118"/>
      <c r="CG118" s="35"/>
      <c r="CH118" s="35"/>
      <c r="CK118"/>
      <c r="CM118" s="35"/>
      <c r="CN118" s="35"/>
      <c r="CQ118"/>
      <c r="CS118" s="35"/>
      <c r="CT118" s="35"/>
      <c r="CX118"/>
      <c r="CZ118" s="35"/>
      <c r="DD118" s="34"/>
      <c r="DG118" t="s">
        <v>879</v>
      </c>
      <c r="DH118" t="s">
        <v>982</v>
      </c>
      <c r="DI118" t="s">
        <v>233</v>
      </c>
      <c r="DL118" t="s">
        <v>687</v>
      </c>
      <c r="DM118">
        <v>6</v>
      </c>
      <c r="DN118">
        <v>7</v>
      </c>
      <c r="DO118" t="s">
        <v>881</v>
      </c>
      <c r="DQ118" t="s">
        <v>927</v>
      </c>
      <c r="DR118">
        <v>14</v>
      </c>
      <c r="DS118">
        <v>2</v>
      </c>
      <c r="DU118">
        <v>14</v>
      </c>
      <c r="DV118">
        <v>2</v>
      </c>
      <c r="DX118">
        <v>14</v>
      </c>
      <c r="DY118">
        <v>2</v>
      </c>
      <c r="DZ118" t="s">
        <v>246</v>
      </c>
      <c r="EA118" t="s">
        <v>929</v>
      </c>
    </row>
    <row r="119" spans="1:131" x14ac:dyDescent="0.4">
      <c r="A119" s="34">
        <v>43067.305104166669</v>
      </c>
      <c r="B119" s="25">
        <v>42956.621527777781</v>
      </c>
      <c r="D119" s="34"/>
      <c r="E119" s="34" t="s">
        <v>193</v>
      </c>
      <c r="F119" s="34" t="s">
        <v>191</v>
      </c>
      <c r="G119" s="34" t="s">
        <v>100</v>
      </c>
      <c r="H119" t="s">
        <v>856</v>
      </c>
      <c r="I119" t="s">
        <v>243</v>
      </c>
      <c r="J119" t="s">
        <v>857</v>
      </c>
      <c r="K119" t="s">
        <v>758</v>
      </c>
      <c r="L119" t="s">
        <v>855</v>
      </c>
      <c r="M119" s="30">
        <v>2.02</v>
      </c>
      <c r="N119">
        <v>6.333333333333333</v>
      </c>
      <c r="P119" s="24" t="str">
        <f>IFERROR(MID(RADataTable[[#This Row],[RATemplate]],1,LEN(RADataTable[[#This Row],[RATemplate]])-8),"RA") &amp; " " &amp; RADataTable[[#This Row],[prop_id0]] &amp; " " &amp; RADataTable[[#This Row],[last0]]</f>
        <v>RA 1755847 Sun</v>
      </c>
      <c r="T119">
        <v>3</v>
      </c>
      <c r="U119">
        <v>3</v>
      </c>
      <c r="V119" s="34">
        <v>43031.767361111109</v>
      </c>
      <c r="W119">
        <v>1</v>
      </c>
      <c r="X119" s="15" t="str">
        <f>HYPERLINK("https://www.ejacket.nsf.gov/ej/showProposal.do?Continue=Y&amp;ID="&amp;RADataTable[[#This Row],[prop_id0]],"eJ")</f>
        <v>eJ</v>
      </c>
      <c r="Y119" s="15" t="str">
        <f>HYPERLINK("mailto:"&amp;RADataTable[[#This Row],[email]]&amp;"&amp;subject=Your NSF Proposal:  "&amp;RADataTable[[#This Row],[Div]]&amp;" "&amp;RADataTable[[#This Row],[prop_id0]], RADataTable[[#This Row],[email]])</f>
        <v>ruoyus@illinois.edu</v>
      </c>
      <c r="Z119" s="15" t="str">
        <f>HYPERLINK("mailto:"&amp;RADataTable[[#This Row],[allPIemail]]&amp;"&amp;subject=NSF Proposal:  "&amp;RADataTable[[#This Row],[Div]]&amp;" "&amp;RADataTable[[#This Row],[prop_id0]], "PIs@")</f>
        <v>PIs@</v>
      </c>
      <c r="AA119" t="s">
        <v>245</v>
      </c>
      <c r="AB119" t="s">
        <v>687</v>
      </c>
      <c r="AC119" s="30" t="s">
        <v>877</v>
      </c>
      <c r="AD119" t="s">
        <v>878</v>
      </c>
      <c r="AE119" t="s">
        <v>761</v>
      </c>
      <c r="AF119" s="36">
        <v>175000</v>
      </c>
      <c r="AG119" s="36">
        <v>175000</v>
      </c>
      <c r="AH119" s="24"/>
      <c r="AJ119" s="34"/>
      <c r="AK119" t="s">
        <v>923</v>
      </c>
      <c r="AL119" t="s">
        <v>232</v>
      </c>
      <c r="AM119" s="34" t="s">
        <v>925</v>
      </c>
      <c r="AN119" s="34">
        <v>43032</v>
      </c>
      <c r="AO119" s="24">
        <v>2</v>
      </c>
      <c r="AP119" t="s">
        <v>981</v>
      </c>
      <c r="AR119" s="35"/>
      <c r="AS119"/>
      <c r="AT119" s="34"/>
      <c r="AV119" s="34"/>
      <c r="AX119" s="34"/>
      <c r="AY119"/>
      <c r="BA119" s="34"/>
      <c r="BB119"/>
      <c r="BC119" t="s">
        <v>882</v>
      </c>
      <c r="BD119" s="36">
        <v>175000</v>
      </c>
      <c r="BE119" s="36">
        <v>175000</v>
      </c>
      <c r="BF119">
        <v>0</v>
      </c>
      <c r="BG119" s="34">
        <v>43282</v>
      </c>
      <c r="BH119">
        <v>24</v>
      </c>
      <c r="BI119" t="s">
        <v>974</v>
      </c>
      <c r="BJ119" t="s">
        <v>975</v>
      </c>
      <c r="BK119" t="s">
        <v>945</v>
      </c>
      <c r="BL119" t="s">
        <v>194</v>
      </c>
      <c r="BM119" s="8" t="s">
        <v>192</v>
      </c>
      <c r="BN119" t="s">
        <v>189</v>
      </c>
      <c r="BO119" t="s">
        <v>190</v>
      </c>
      <c r="BP119" s="35" t="s">
        <v>880</v>
      </c>
      <c r="BQ119"/>
      <c r="BU119" s="35"/>
      <c r="BV119" s="35"/>
      <c r="BX119"/>
      <c r="CA119" s="35"/>
      <c r="CB119" s="35"/>
      <c r="CC119"/>
      <c r="CG119" s="35"/>
      <c r="CH119" s="35"/>
      <c r="CK119"/>
      <c r="CM119" s="35"/>
      <c r="CN119" s="35"/>
      <c r="CQ119"/>
      <c r="CS119" s="35"/>
      <c r="CT119" s="35"/>
      <c r="CX119"/>
      <c r="CZ119" s="35"/>
      <c r="DD119" s="34"/>
      <c r="DG119" t="s">
        <v>879</v>
      </c>
      <c r="DH119" t="s">
        <v>982</v>
      </c>
      <c r="DI119" t="s">
        <v>233</v>
      </c>
      <c r="DL119" t="s">
        <v>687</v>
      </c>
      <c r="DM119">
        <v>6</v>
      </c>
      <c r="DN119">
        <v>7</v>
      </c>
      <c r="DO119" t="s">
        <v>881</v>
      </c>
      <c r="DQ119" t="s">
        <v>927</v>
      </c>
      <c r="DR119">
        <v>14</v>
      </c>
      <c r="DS119">
        <v>2</v>
      </c>
      <c r="DU119">
        <v>14</v>
      </c>
      <c r="DV119">
        <v>2</v>
      </c>
      <c r="DX119">
        <v>14</v>
      </c>
      <c r="DY119">
        <v>2</v>
      </c>
      <c r="DZ119" t="s">
        <v>246</v>
      </c>
      <c r="EA119" t="s">
        <v>929</v>
      </c>
    </row>
    <row r="120" spans="1:131" x14ac:dyDescent="0.4">
      <c r="A120" s="34">
        <v>43067.305104166669</v>
      </c>
      <c r="B120" s="25">
        <v>42956.621527777781</v>
      </c>
      <c r="D120" s="34"/>
      <c r="E120" s="34" t="s">
        <v>193</v>
      </c>
      <c r="F120" s="34" t="s">
        <v>191</v>
      </c>
      <c r="G120" s="34" t="s">
        <v>100</v>
      </c>
      <c r="H120" t="s">
        <v>856</v>
      </c>
      <c r="I120" t="s">
        <v>243</v>
      </c>
      <c r="J120" t="s">
        <v>857</v>
      </c>
      <c r="K120" t="s">
        <v>758</v>
      </c>
      <c r="L120" t="s">
        <v>855</v>
      </c>
      <c r="M120" s="30">
        <v>2.02</v>
      </c>
      <c r="N120">
        <v>6.333333333333333</v>
      </c>
      <c r="P120" s="24" t="str">
        <f>IFERROR(MID(RADataTable[[#This Row],[RATemplate]],1,LEN(RADataTable[[#This Row],[RATemplate]])-8),"RA") &amp; " " &amp; RADataTable[[#This Row],[prop_id0]] &amp; " " &amp; RADataTable[[#This Row],[last0]]</f>
        <v>RA 1755847 Sun</v>
      </c>
      <c r="T120">
        <v>3</v>
      </c>
      <c r="U120">
        <v>3</v>
      </c>
      <c r="V120" s="34">
        <v>43031.767361111109</v>
      </c>
      <c r="W120">
        <v>1</v>
      </c>
      <c r="X120" s="15" t="str">
        <f>HYPERLINK("https://www.ejacket.nsf.gov/ej/showProposal.do?Continue=Y&amp;ID="&amp;RADataTable[[#This Row],[prop_id0]],"eJ")</f>
        <v>eJ</v>
      </c>
      <c r="Y120" s="15" t="str">
        <f>HYPERLINK("mailto:"&amp;RADataTable[[#This Row],[email]]&amp;"&amp;subject=Your NSF Proposal:  "&amp;RADataTable[[#This Row],[Div]]&amp;" "&amp;RADataTable[[#This Row],[prop_id0]], RADataTable[[#This Row],[email]])</f>
        <v>ruoyus@illinois.edu</v>
      </c>
      <c r="Z120" s="15" t="str">
        <f>HYPERLINK("mailto:"&amp;RADataTable[[#This Row],[allPIemail]]&amp;"&amp;subject=NSF Proposal:  "&amp;RADataTable[[#This Row],[Div]]&amp;" "&amp;RADataTable[[#This Row],[prop_id0]], "PIs@")</f>
        <v>PIs@</v>
      </c>
      <c r="AA120" t="s">
        <v>245</v>
      </c>
      <c r="AB120" t="s">
        <v>687</v>
      </c>
      <c r="AC120" s="30" t="s">
        <v>877</v>
      </c>
      <c r="AD120" t="s">
        <v>878</v>
      </c>
      <c r="AE120" t="s">
        <v>761</v>
      </c>
      <c r="AF120" s="36">
        <v>175000</v>
      </c>
      <c r="AG120" s="36">
        <v>175000</v>
      </c>
      <c r="AH120" s="24"/>
      <c r="AJ120" s="34"/>
      <c r="AK120" t="s">
        <v>923</v>
      </c>
      <c r="AL120" t="s">
        <v>232</v>
      </c>
      <c r="AM120" s="34" t="s">
        <v>925</v>
      </c>
      <c r="AN120" s="34">
        <v>43032</v>
      </c>
      <c r="AO120" s="24">
        <v>2</v>
      </c>
      <c r="AP120" t="s">
        <v>981</v>
      </c>
      <c r="AR120" s="35"/>
      <c r="AS120"/>
      <c r="AT120" s="34"/>
      <c r="AV120" s="34"/>
      <c r="AX120" s="34"/>
      <c r="AY120"/>
      <c r="BA120" s="34"/>
      <c r="BB120"/>
      <c r="BC120" t="s">
        <v>882</v>
      </c>
      <c r="BD120" s="36">
        <v>175000</v>
      </c>
      <c r="BE120" s="36">
        <v>175000</v>
      </c>
      <c r="BF120">
        <v>0</v>
      </c>
      <c r="BG120" s="34">
        <v>43282</v>
      </c>
      <c r="BH120">
        <v>24</v>
      </c>
      <c r="BI120" t="s">
        <v>974</v>
      </c>
      <c r="BJ120" t="s">
        <v>975</v>
      </c>
      <c r="BK120" t="s">
        <v>945</v>
      </c>
      <c r="BL120" t="s">
        <v>194</v>
      </c>
      <c r="BM120" s="8" t="s">
        <v>192</v>
      </c>
      <c r="BN120" t="s">
        <v>189</v>
      </c>
      <c r="BO120" t="s">
        <v>190</v>
      </c>
      <c r="BP120" s="35" t="s">
        <v>880</v>
      </c>
      <c r="BQ120"/>
      <c r="BU120" s="35"/>
      <c r="BV120" s="35"/>
      <c r="BX120"/>
      <c r="CA120" s="35"/>
      <c r="CB120" s="35"/>
      <c r="CC120"/>
      <c r="CG120" s="35"/>
      <c r="CH120" s="35"/>
      <c r="CK120"/>
      <c r="CM120" s="35"/>
      <c r="CN120" s="35"/>
      <c r="CQ120"/>
      <c r="CS120" s="35"/>
      <c r="CT120" s="35"/>
      <c r="CX120"/>
      <c r="CZ120" s="35"/>
      <c r="DD120" s="34"/>
      <c r="DG120" t="s">
        <v>879</v>
      </c>
      <c r="DH120" t="s">
        <v>982</v>
      </c>
      <c r="DI120" t="s">
        <v>233</v>
      </c>
      <c r="DL120" t="s">
        <v>687</v>
      </c>
      <c r="DM120">
        <v>6</v>
      </c>
      <c r="DN120">
        <v>7</v>
      </c>
      <c r="DO120" t="s">
        <v>881</v>
      </c>
      <c r="DQ120" t="s">
        <v>927</v>
      </c>
      <c r="DR120">
        <v>14</v>
      </c>
      <c r="DS120">
        <v>2</v>
      </c>
      <c r="DU120">
        <v>14</v>
      </c>
      <c r="DV120">
        <v>2</v>
      </c>
      <c r="DX120">
        <v>14</v>
      </c>
      <c r="DY120">
        <v>2</v>
      </c>
      <c r="DZ120" t="s">
        <v>246</v>
      </c>
      <c r="EA120" t="s">
        <v>929</v>
      </c>
    </row>
    <row r="121" spans="1:131" x14ac:dyDescent="0.4">
      <c r="A121" s="34">
        <v>43067.305104166669</v>
      </c>
      <c r="B121" s="25">
        <v>42956.621527777781</v>
      </c>
      <c r="D121" s="34"/>
      <c r="E121" s="34" t="s">
        <v>193</v>
      </c>
      <c r="F121" s="34" t="s">
        <v>191</v>
      </c>
      <c r="G121" s="34" t="s">
        <v>100</v>
      </c>
      <c r="H121" t="s">
        <v>856</v>
      </c>
      <c r="I121" t="s">
        <v>243</v>
      </c>
      <c r="J121" t="s">
        <v>857</v>
      </c>
      <c r="K121" t="s">
        <v>758</v>
      </c>
      <c r="L121" t="s">
        <v>855</v>
      </c>
      <c r="M121" s="30">
        <v>2.02</v>
      </c>
      <c r="N121">
        <v>6.333333333333333</v>
      </c>
      <c r="P121" s="24" t="str">
        <f>IFERROR(MID(RADataTable[[#This Row],[RATemplate]],1,LEN(RADataTable[[#This Row],[RATemplate]])-8),"RA") &amp; " " &amp; RADataTable[[#This Row],[prop_id0]] &amp; " " &amp; RADataTable[[#This Row],[last0]]</f>
        <v>RA 1755847 Sun</v>
      </c>
      <c r="T121">
        <v>3</v>
      </c>
      <c r="U121">
        <v>3</v>
      </c>
      <c r="V121" s="34">
        <v>43031.767361111109</v>
      </c>
      <c r="W121">
        <v>1</v>
      </c>
      <c r="X121" s="15" t="str">
        <f>HYPERLINK("https://www.ejacket.nsf.gov/ej/showProposal.do?Continue=Y&amp;ID="&amp;RADataTable[[#This Row],[prop_id0]],"eJ")</f>
        <v>eJ</v>
      </c>
      <c r="Y121" s="15" t="str">
        <f>HYPERLINK("mailto:"&amp;RADataTable[[#This Row],[email]]&amp;"&amp;subject=Your NSF Proposal:  "&amp;RADataTable[[#This Row],[Div]]&amp;" "&amp;RADataTable[[#This Row],[prop_id0]], RADataTable[[#This Row],[email]])</f>
        <v>ruoyus@illinois.edu</v>
      </c>
      <c r="Z121" s="15" t="str">
        <f>HYPERLINK("mailto:"&amp;RADataTable[[#This Row],[allPIemail]]&amp;"&amp;subject=NSF Proposal:  "&amp;RADataTable[[#This Row],[Div]]&amp;" "&amp;RADataTable[[#This Row],[prop_id0]], "PIs@")</f>
        <v>PIs@</v>
      </c>
      <c r="AA121" t="s">
        <v>245</v>
      </c>
      <c r="AB121" t="s">
        <v>687</v>
      </c>
      <c r="AC121" s="30" t="s">
        <v>877</v>
      </c>
      <c r="AD121" t="s">
        <v>878</v>
      </c>
      <c r="AE121" t="s">
        <v>761</v>
      </c>
      <c r="AF121" s="36">
        <v>175000</v>
      </c>
      <c r="AG121" s="36">
        <v>175000</v>
      </c>
      <c r="AH121" s="24"/>
      <c r="AJ121" s="34"/>
      <c r="AK121" t="s">
        <v>923</v>
      </c>
      <c r="AL121" t="s">
        <v>232</v>
      </c>
      <c r="AM121" s="34" t="s">
        <v>925</v>
      </c>
      <c r="AN121" s="34">
        <v>43032</v>
      </c>
      <c r="AO121" s="24">
        <v>2</v>
      </c>
      <c r="AP121" t="s">
        <v>981</v>
      </c>
      <c r="AR121" s="35"/>
      <c r="AS121"/>
      <c r="AT121" s="34"/>
      <c r="AV121" s="34"/>
      <c r="AX121" s="34"/>
      <c r="AY121"/>
      <c r="BA121" s="34"/>
      <c r="BB121"/>
      <c r="BC121" t="s">
        <v>882</v>
      </c>
      <c r="BD121" s="36">
        <v>175000</v>
      </c>
      <c r="BE121" s="36">
        <v>175000</v>
      </c>
      <c r="BF121">
        <v>0</v>
      </c>
      <c r="BG121" s="34">
        <v>43282</v>
      </c>
      <c r="BH121">
        <v>24</v>
      </c>
      <c r="BI121" t="s">
        <v>974</v>
      </c>
      <c r="BJ121" t="s">
        <v>975</v>
      </c>
      <c r="BK121" t="s">
        <v>945</v>
      </c>
      <c r="BL121" t="s">
        <v>194</v>
      </c>
      <c r="BM121" s="8" t="s">
        <v>192</v>
      </c>
      <c r="BN121" t="s">
        <v>189</v>
      </c>
      <c r="BO121" t="s">
        <v>190</v>
      </c>
      <c r="BP121" s="35" t="s">
        <v>880</v>
      </c>
      <c r="BQ121"/>
      <c r="BU121" s="35"/>
      <c r="BV121" s="35"/>
      <c r="BX121"/>
      <c r="CA121" s="35"/>
      <c r="CB121" s="35"/>
      <c r="CC121"/>
      <c r="CG121" s="35"/>
      <c r="CH121" s="35"/>
      <c r="CK121"/>
      <c r="CM121" s="35"/>
      <c r="CN121" s="35"/>
      <c r="CQ121"/>
      <c r="CS121" s="35"/>
      <c r="CT121" s="35"/>
      <c r="CX121"/>
      <c r="CZ121" s="35"/>
      <c r="DD121" s="34"/>
      <c r="DG121" t="s">
        <v>879</v>
      </c>
      <c r="DH121" t="s">
        <v>982</v>
      </c>
      <c r="DI121" t="s">
        <v>233</v>
      </c>
      <c r="DL121" t="s">
        <v>687</v>
      </c>
      <c r="DM121">
        <v>6</v>
      </c>
      <c r="DN121">
        <v>7</v>
      </c>
      <c r="DO121" t="s">
        <v>881</v>
      </c>
      <c r="DQ121" t="s">
        <v>927</v>
      </c>
      <c r="DR121">
        <v>14</v>
      </c>
      <c r="DS121">
        <v>2</v>
      </c>
      <c r="DU121">
        <v>14</v>
      </c>
      <c r="DV121">
        <v>2</v>
      </c>
      <c r="DX121">
        <v>14</v>
      </c>
      <c r="DY121">
        <v>2</v>
      </c>
      <c r="DZ121" t="s">
        <v>246</v>
      </c>
      <c r="EA121" t="s">
        <v>929</v>
      </c>
    </row>
    <row r="122" spans="1:131" x14ac:dyDescent="0.4">
      <c r="A122" s="34">
        <v>43067.305104166669</v>
      </c>
      <c r="B122" s="25">
        <v>42956.621527777781</v>
      </c>
      <c r="D122" s="34"/>
      <c r="E122" s="34" t="s">
        <v>193</v>
      </c>
      <c r="F122" s="34" t="s">
        <v>191</v>
      </c>
      <c r="G122" s="34" t="s">
        <v>100</v>
      </c>
      <c r="H122" t="s">
        <v>856</v>
      </c>
      <c r="I122" t="s">
        <v>243</v>
      </c>
      <c r="J122" t="s">
        <v>857</v>
      </c>
      <c r="K122" t="s">
        <v>758</v>
      </c>
      <c r="L122" t="s">
        <v>855</v>
      </c>
      <c r="M122" s="30">
        <v>2.02</v>
      </c>
      <c r="N122">
        <v>6.333333333333333</v>
      </c>
      <c r="P122" s="24" t="str">
        <f>IFERROR(MID(RADataTable[[#This Row],[RATemplate]],1,LEN(RADataTable[[#This Row],[RATemplate]])-8),"RA") &amp; " " &amp; RADataTable[[#This Row],[prop_id0]] &amp; " " &amp; RADataTable[[#This Row],[last0]]</f>
        <v>RA 1755847 Sun</v>
      </c>
      <c r="T122">
        <v>3</v>
      </c>
      <c r="U122">
        <v>3</v>
      </c>
      <c r="V122" s="34">
        <v>43031.767361111109</v>
      </c>
      <c r="W122">
        <v>1</v>
      </c>
      <c r="X122" s="15" t="str">
        <f>HYPERLINK("https://www.ejacket.nsf.gov/ej/showProposal.do?Continue=Y&amp;ID="&amp;RADataTable[[#This Row],[prop_id0]],"eJ")</f>
        <v>eJ</v>
      </c>
      <c r="Y122" s="15" t="str">
        <f>HYPERLINK("mailto:"&amp;RADataTable[[#This Row],[email]]&amp;"&amp;subject=Your NSF Proposal:  "&amp;RADataTable[[#This Row],[Div]]&amp;" "&amp;RADataTable[[#This Row],[prop_id0]], RADataTable[[#This Row],[email]])</f>
        <v>ruoyus@illinois.edu</v>
      </c>
      <c r="Z122" s="15" t="str">
        <f>HYPERLINK("mailto:"&amp;RADataTable[[#This Row],[allPIemail]]&amp;"&amp;subject=NSF Proposal:  "&amp;RADataTable[[#This Row],[Div]]&amp;" "&amp;RADataTable[[#This Row],[prop_id0]], "PIs@")</f>
        <v>PIs@</v>
      </c>
      <c r="AA122" t="s">
        <v>245</v>
      </c>
      <c r="AB122" t="s">
        <v>687</v>
      </c>
      <c r="AC122" s="30" t="s">
        <v>877</v>
      </c>
      <c r="AD122" t="s">
        <v>878</v>
      </c>
      <c r="AE122" t="s">
        <v>761</v>
      </c>
      <c r="AF122" s="36">
        <v>175000</v>
      </c>
      <c r="AG122" s="36">
        <v>175000</v>
      </c>
      <c r="AH122" s="24"/>
      <c r="AJ122" s="34"/>
      <c r="AK122" t="s">
        <v>923</v>
      </c>
      <c r="AL122" t="s">
        <v>232</v>
      </c>
      <c r="AM122" s="34" t="s">
        <v>925</v>
      </c>
      <c r="AN122" s="34">
        <v>43032</v>
      </c>
      <c r="AO122" s="24">
        <v>2</v>
      </c>
      <c r="AP122" t="s">
        <v>981</v>
      </c>
      <c r="AR122" s="35"/>
      <c r="AS122"/>
      <c r="AT122" s="34"/>
      <c r="AV122" s="34"/>
      <c r="AX122" s="34"/>
      <c r="AY122"/>
      <c r="BA122" s="34"/>
      <c r="BB122"/>
      <c r="BC122" t="s">
        <v>882</v>
      </c>
      <c r="BD122" s="36">
        <v>175000</v>
      </c>
      <c r="BE122" s="36">
        <v>175000</v>
      </c>
      <c r="BF122">
        <v>0</v>
      </c>
      <c r="BG122" s="34">
        <v>43282</v>
      </c>
      <c r="BH122">
        <v>24</v>
      </c>
      <c r="BI122" t="s">
        <v>974</v>
      </c>
      <c r="BJ122" t="s">
        <v>975</v>
      </c>
      <c r="BK122" t="s">
        <v>945</v>
      </c>
      <c r="BL122" t="s">
        <v>194</v>
      </c>
      <c r="BM122" s="8" t="s">
        <v>192</v>
      </c>
      <c r="BN122" t="s">
        <v>189</v>
      </c>
      <c r="BO122" t="s">
        <v>190</v>
      </c>
      <c r="BP122" s="35" t="s">
        <v>880</v>
      </c>
      <c r="BQ122"/>
      <c r="BU122" s="35"/>
      <c r="BV122" s="35"/>
      <c r="BX122"/>
      <c r="CA122" s="35"/>
      <c r="CB122" s="35"/>
      <c r="CC122"/>
      <c r="CG122" s="35"/>
      <c r="CH122" s="35"/>
      <c r="CK122"/>
      <c r="CM122" s="35"/>
      <c r="CN122" s="35"/>
      <c r="CQ122"/>
      <c r="CS122" s="35"/>
      <c r="CT122" s="35"/>
      <c r="CX122"/>
      <c r="CZ122" s="35"/>
      <c r="DD122" s="34"/>
      <c r="DG122" t="s">
        <v>879</v>
      </c>
      <c r="DH122" t="s">
        <v>982</v>
      </c>
      <c r="DI122" t="s">
        <v>233</v>
      </c>
      <c r="DL122" t="s">
        <v>687</v>
      </c>
      <c r="DM122">
        <v>6</v>
      </c>
      <c r="DN122">
        <v>7</v>
      </c>
      <c r="DO122" t="s">
        <v>881</v>
      </c>
      <c r="DQ122" t="s">
        <v>927</v>
      </c>
      <c r="DR122">
        <v>14</v>
      </c>
      <c r="DS122">
        <v>2</v>
      </c>
      <c r="DU122">
        <v>14</v>
      </c>
      <c r="DV122">
        <v>2</v>
      </c>
      <c r="DX122">
        <v>14</v>
      </c>
      <c r="DY122">
        <v>2</v>
      </c>
      <c r="DZ122" t="s">
        <v>246</v>
      </c>
      <c r="EA122" t="s">
        <v>929</v>
      </c>
    </row>
    <row r="123" spans="1:131" x14ac:dyDescent="0.4">
      <c r="A123" s="34">
        <v>43067.305104166669</v>
      </c>
      <c r="B123" s="25">
        <v>42956.621527777781</v>
      </c>
      <c r="D123" s="34"/>
      <c r="E123" s="34" t="s">
        <v>193</v>
      </c>
      <c r="F123" s="34" t="s">
        <v>191</v>
      </c>
      <c r="G123" s="34" t="s">
        <v>100</v>
      </c>
      <c r="H123" t="s">
        <v>856</v>
      </c>
      <c r="I123" t="s">
        <v>243</v>
      </c>
      <c r="J123" t="s">
        <v>857</v>
      </c>
      <c r="K123" t="s">
        <v>758</v>
      </c>
      <c r="L123" t="s">
        <v>855</v>
      </c>
      <c r="M123" s="30">
        <v>2.02</v>
      </c>
      <c r="N123">
        <v>6.333333333333333</v>
      </c>
      <c r="P123" s="24" t="str">
        <f>IFERROR(MID(RADataTable[[#This Row],[RATemplate]],1,LEN(RADataTable[[#This Row],[RATemplate]])-8),"RA") &amp; " " &amp; RADataTable[[#This Row],[prop_id0]] &amp; " " &amp; RADataTable[[#This Row],[last0]]</f>
        <v>RA 1755847 Sun</v>
      </c>
      <c r="T123">
        <v>3</v>
      </c>
      <c r="U123">
        <v>3</v>
      </c>
      <c r="V123" s="34">
        <v>43031.767361111109</v>
      </c>
      <c r="W123">
        <v>1</v>
      </c>
      <c r="X123" s="15" t="str">
        <f>HYPERLINK("https://www.ejacket.nsf.gov/ej/showProposal.do?Continue=Y&amp;ID="&amp;RADataTable[[#This Row],[prop_id0]],"eJ")</f>
        <v>eJ</v>
      </c>
      <c r="Y123" s="15" t="str">
        <f>HYPERLINK("mailto:"&amp;RADataTable[[#This Row],[email]]&amp;"&amp;subject=Your NSF Proposal:  "&amp;RADataTable[[#This Row],[Div]]&amp;" "&amp;RADataTable[[#This Row],[prop_id0]], RADataTable[[#This Row],[email]])</f>
        <v>ruoyus@illinois.edu</v>
      </c>
      <c r="Z123" s="15" t="str">
        <f>HYPERLINK("mailto:"&amp;RADataTable[[#This Row],[allPIemail]]&amp;"&amp;subject=NSF Proposal:  "&amp;RADataTable[[#This Row],[Div]]&amp;" "&amp;RADataTable[[#This Row],[prop_id0]], "PIs@")</f>
        <v>PIs@</v>
      </c>
      <c r="AA123" t="s">
        <v>245</v>
      </c>
      <c r="AB123" t="s">
        <v>687</v>
      </c>
      <c r="AC123" s="30" t="s">
        <v>877</v>
      </c>
      <c r="AD123" t="s">
        <v>878</v>
      </c>
      <c r="AE123" t="s">
        <v>761</v>
      </c>
      <c r="AF123" s="36">
        <v>175000</v>
      </c>
      <c r="AG123" s="36">
        <v>175000</v>
      </c>
      <c r="AH123" s="24"/>
      <c r="AJ123" s="34"/>
      <c r="AK123" t="s">
        <v>923</v>
      </c>
      <c r="AL123" t="s">
        <v>232</v>
      </c>
      <c r="AM123" s="34" t="s">
        <v>925</v>
      </c>
      <c r="AN123" s="34">
        <v>43032</v>
      </c>
      <c r="AO123" s="24">
        <v>2</v>
      </c>
      <c r="AP123" t="s">
        <v>981</v>
      </c>
      <c r="AR123" s="35"/>
      <c r="AS123"/>
      <c r="AT123" s="34"/>
      <c r="AV123" s="34"/>
      <c r="AX123" s="34"/>
      <c r="AY123"/>
      <c r="BA123" s="34"/>
      <c r="BB123"/>
      <c r="BC123" t="s">
        <v>882</v>
      </c>
      <c r="BD123" s="36">
        <v>175000</v>
      </c>
      <c r="BE123" s="36">
        <v>175000</v>
      </c>
      <c r="BF123">
        <v>0</v>
      </c>
      <c r="BG123" s="34">
        <v>43282</v>
      </c>
      <c r="BH123">
        <v>24</v>
      </c>
      <c r="BI123" t="s">
        <v>974</v>
      </c>
      <c r="BJ123" t="s">
        <v>975</v>
      </c>
      <c r="BK123" t="s">
        <v>945</v>
      </c>
      <c r="BL123" t="s">
        <v>194</v>
      </c>
      <c r="BM123" s="8" t="s">
        <v>192</v>
      </c>
      <c r="BN123" t="s">
        <v>189</v>
      </c>
      <c r="BO123" t="s">
        <v>190</v>
      </c>
      <c r="BP123" s="35" t="s">
        <v>880</v>
      </c>
      <c r="BQ123"/>
      <c r="BU123" s="35"/>
      <c r="BV123" s="35"/>
      <c r="BX123"/>
      <c r="CA123" s="35"/>
      <c r="CB123" s="35"/>
      <c r="CC123"/>
      <c r="CG123" s="35"/>
      <c r="CH123" s="35"/>
      <c r="CK123"/>
      <c r="CM123" s="35"/>
      <c r="CN123" s="35"/>
      <c r="CQ123"/>
      <c r="CS123" s="35"/>
      <c r="CT123" s="35"/>
      <c r="CX123"/>
      <c r="CZ123" s="35"/>
      <c r="DD123" s="34"/>
      <c r="DG123" t="s">
        <v>879</v>
      </c>
      <c r="DH123" t="s">
        <v>982</v>
      </c>
      <c r="DI123" t="s">
        <v>233</v>
      </c>
      <c r="DL123" t="s">
        <v>687</v>
      </c>
      <c r="DM123">
        <v>6</v>
      </c>
      <c r="DN123">
        <v>7</v>
      </c>
      <c r="DO123" t="s">
        <v>881</v>
      </c>
      <c r="DQ123" t="s">
        <v>927</v>
      </c>
      <c r="DR123">
        <v>14</v>
      </c>
      <c r="DS123">
        <v>2</v>
      </c>
      <c r="DU123">
        <v>14</v>
      </c>
      <c r="DV123">
        <v>2</v>
      </c>
      <c r="DX123">
        <v>14</v>
      </c>
      <c r="DY123">
        <v>2</v>
      </c>
      <c r="DZ123" t="s">
        <v>246</v>
      </c>
      <c r="EA123" t="s">
        <v>929</v>
      </c>
    </row>
    <row r="124" spans="1:131" x14ac:dyDescent="0.4">
      <c r="A124" s="34">
        <v>43067.305104166669</v>
      </c>
      <c r="B124" s="25">
        <v>42956.621527777781</v>
      </c>
      <c r="D124" s="34"/>
      <c r="E124" s="34" t="s">
        <v>193</v>
      </c>
      <c r="F124" s="34" t="s">
        <v>191</v>
      </c>
      <c r="G124" s="34" t="s">
        <v>100</v>
      </c>
      <c r="H124" t="s">
        <v>856</v>
      </c>
      <c r="I124" t="s">
        <v>243</v>
      </c>
      <c r="J124" t="s">
        <v>857</v>
      </c>
      <c r="K124" t="s">
        <v>758</v>
      </c>
      <c r="L124" t="s">
        <v>855</v>
      </c>
      <c r="M124" s="30">
        <v>2.02</v>
      </c>
      <c r="N124">
        <v>6.333333333333333</v>
      </c>
      <c r="P124" s="24" t="str">
        <f>IFERROR(MID(RADataTable[[#This Row],[RATemplate]],1,LEN(RADataTable[[#This Row],[RATemplate]])-8),"RA") &amp; " " &amp; RADataTable[[#This Row],[prop_id0]] &amp; " " &amp; RADataTable[[#This Row],[last0]]</f>
        <v>RA 1755847 Sun</v>
      </c>
      <c r="T124">
        <v>3</v>
      </c>
      <c r="U124">
        <v>3</v>
      </c>
      <c r="V124" s="34">
        <v>43031.767361111109</v>
      </c>
      <c r="W124">
        <v>1</v>
      </c>
      <c r="X124" s="15" t="str">
        <f>HYPERLINK("https://www.ejacket.nsf.gov/ej/showProposal.do?Continue=Y&amp;ID="&amp;RADataTable[[#This Row],[prop_id0]],"eJ")</f>
        <v>eJ</v>
      </c>
      <c r="Y124" s="15" t="str">
        <f>HYPERLINK("mailto:"&amp;RADataTable[[#This Row],[email]]&amp;"&amp;subject=Your NSF Proposal:  "&amp;RADataTable[[#This Row],[Div]]&amp;" "&amp;RADataTable[[#This Row],[prop_id0]], RADataTable[[#This Row],[email]])</f>
        <v>ruoyus@illinois.edu</v>
      </c>
      <c r="Z124" s="15" t="str">
        <f>HYPERLINK("mailto:"&amp;RADataTable[[#This Row],[allPIemail]]&amp;"&amp;subject=NSF Proposal:  "&amp;RADataTable[[#This Row],[Div]]&amp;" "&amp;RADataTable[[#This Row],[prop_id0]], "PIs@")</f>
        <v>PIs@</v>
      </c>
      <c r="AA124" t="s">
        <v>245</v>
      </c>
      <c r="AB124" t="s">
        <v>687</v>
      </c>
      <c r="AC124" s="30" t="s">
        <v>877</v>
      </c>
      <c r="AD124" t="s">
        <v>878</v>
      </c>
      <c r="AE124" t="s">
        <v>761</v>
      </c>
      <c r="AF124" s="36">
        <v>175000</v>
      </c>
      <c r="AG124" s="36">
        <v>175000</v>
      </c>
      <c r="AH124" s="24"/>
      <c r="AJ124" s="34"/>
      <c r="AK124" t="s">
        <v>923</v>
      </c>
      <c r="AL124" t="s">
        <v>232</v>
      </c>
      <c r="AM124" s="34" t="s">
        <v>925</v>
      </c>
      <c r="AN124" s="34">
        <v>43032</v>
      </c>
      <c r="AO124" s="24">
        <v>2</v>
      </c>
      <c r="AP124" t="s">
        <v>981</v>
      </c>
      <c r="AR124" s="35"/>
      <c r="AS124"/>
      <c r="AT124" s="34"/>
      <c r="AV124" s="34"/>
      <c r="AX124" s="34"/>
      <c r="AY124"/>
      <c r="BA124" s="34"/>
      <c r="BB124"/>
      <c r="BC124" t="s">
        <v>882</v>
      </c>
      <c r="BD124" s="36">
        <v>175000</v>
      </c>
      <c r="BE124" s="36">
        <v>175000</v>
      </c>
      <c r="BF124">
        <v>0</v>
      </c>
      <c r="BG124" s="34">
        <v>43282</v>
      </c>
      <c r="BH124">
        <v>24</v>
      </c>
      <c r="BI124" t="s">
        <v>974</v>
      </c>
      <c r="BJ124" t="s">
        <v>975</v>
      </c>
      <c r="BK124" t="s">
        <v>945</v>
      </c>
      <c r="BL124" t="s">
        <v>194</v>
      </c>
      <c r="BM124" s="8" t="s">
        <v>192</v>
      </c>
      <c r="BN124" t="s">
        <v>189</v>
      </c>
      <c r="BO124" t="s">
        <v>190</v>
      </c>
      <c r="BP124" s="35" t="s">
        <v>880</v>
      </c>
      <c r="BQ124"/>
      <c r="BU124" s="35"/>
      <c r="BV124" s="35"/>
      <c r="BX124"/>
      <c r="CA124" s="35"/>
      <c r="CB124" s="35"/>
      <c r="CC124"/>
      <c r="CG124" s="35"/>
      <c r="CH124" s="35"/>
      <c r="CK124"/>
      <c r="CM124" s="35"/>
      <c r="CN124" s="35"/>
      <c r="CQ124"/>
      <c r="CS124" s="35"/>
      <c r="CT124" s="35"/>
      <c r="CX124"/>
      <c r="CZ124" s="35"/>
      <c r="DD124" s="34"/>
      <c r="DG124" t="s">
        <v>879</v>
      </c>
      <c r="DH124" t="s">
        <v>982</v>
      </c>
      <c r="DI124" t="s">
        <v>233</v>
      </c>
      <c r="DL124" t="s">
        <v>687</v>
      </c>
      <c r="DM124">
        <v>6</v>
      </c>
      <c r="DN124">
        <v>7</v>
      </c>
      <c r="DO124" t="s">
        <v>881</v>
      </c>
      <c r="DQ124" t="s">
        <v>927</v>
      </c>
      <c r="DR124">
        <v>14</v>
      </c>
      <c r="DS124">
        <v>2</v>
      </c>
      <c r="DU124">
        <v>14</v>
      </c>
      <c r="DV124">
        <v>2</v>
      </c>
      <c r="DX124">
        <v>14</v>
      </c>
      <c r="DY124">
        <v>2</v>
      </c>
      <c r="DZ124" t="s">
        <v>246</v>
      </c>
      <c r="EA124" t="s">
        <v>929</v>
      </c>
    </row>
    <row r="125" spans="1:131" x14ac:dyDescent="0.4">
      <c r="A125" s="34">
        <v>43067.305104166669</v>
      </c>
      <c r="B125" s="25">
        <v>42956.621527777781</v>
      </c>
      <c r="D125" s="34"/>
      <c r="E125" s="34" t="s">
        <v>193</v>
      </c>
      <c r="F125" s="34" t="s">
        <v>191</v>
      </c>
      <c r="G125" s="34" t="s">
        <v>100</v>
      </c>
      <c r="H125" t="s">
        <v>856</v>
      </c>
      <c r="I125" t="s">
        <v>243</v>
      </c>
      <c r="J125" t="s">
        <v>857</v>
      </c>
      <c r="K125" t="s">
        <v>758</v>
      </c>
      <c r="L125" t="s">
        <v>855</v>
      </c>
      <c r="M125" s="30">
        <v>2.02</v>
      </c>
      <c r="N125">
        <v>6.333333333333333</v>
      </c>
      <c r="P125" s="24" t="str">
        <f>IFERROR(MID(RADataTable[[#This Row],[RATemplate]],1,LEN(RADataTable[[#This Row],[RATemplate]])-8),"RA") &amp; " " &amp; RADataTable[[#This Row],[prop_id0]] &amp; " " &amp; RADataTable[[#This Row],[last0]]</f>
        <v>RA 1755847 Sun</v>
      </c>
      <c r="T125">
        <v>3</v>
      </c>
      <c r="U125">
        <v>3</v>
      </c>
      <c r="V125" s="34">
        <v>43031.767361111109</v>
      </c>
      <c r="W125">
        <v>1</v>
      </c>
      <c r="X125" s="15" t="str">
        <f>HYPERLINK("https://www.ejacket.nsf.gov/ej/showProposal.do?Continue=Y&amp;ID="&amp;RADataTable[[#This Row],[prop_id0]],"eJ")</f>
        <v>eJ</v>
      </c>
      <c r="Y125" s="15" t="str">
        <f>HYPERLINK("mailto:"&amp;RADataTable[[#This Row],[email]]&amp;"&amp;subject=Your NSF Proposal:  "&amp;RADataTable[[#This Row],[Div]]&amp;" "&amp;RADataTable[[#This Row],[prop_id0]], RADataTable[[#This Row],[email]])</f>
        <v>ruoyus@illinois.edu</v>
      </c>
      <c r="Z125" s="15" t="str">
        <f>HYPERLINK("mailto:"&amp;RADataTable[[#This Row],[allPIemail]]&amp;"&amp;subject=NSF Proposal:  "&amp;RADataTable[[#This Row],[Div]]&amp;" "&amp;RADataTable[[#This Row],[prop_id0]], "PIs@")</f>
        <v>PIs@</v>
      </c>
      <c r="AA125" t="s">
        <v>245</v>
      </c>
      <c r="AB125" t="s">
        <v>687</v>
      </c>
      <c r="AC125" s="30" t="s">
        <v>877</v>
      </c>
      <c r="AD125" t="s">
        <v>878</v>
      </c>
      <c r="AE125" t="s">
        <v>761</v>
      </c>
      <c r="AF125" s="36">
        <v>175000</v>
      </c>
      <c r="AG125" s="36">
        <v>175000</v>
      </c>
      <c r="AH125" s="24"/>
      <c r="AJ125" s="34"/>
      <c r="AK125" t="s">
        <v>923</v>
      </c>
      <c r="AL125" t="s">
        <v>232</v>
      </c>
      <c r="AM125" s="34" t="s">
        <v>925</v>
      </c>
      <c r="AN125" s="34">
        <v>43032</v>
      </c>
      <c r="AO125" s="24">
        <v>2</v>
      </c>
      <c r="AP125" t="s">
        <v>981</v>
      </c>
      <c r="AR125" s="35"/>
      <c r="AS125"/>
      <c r="AT125" s="34"/>
      <c r="AV125" s="34"/>
      <c r="AX125" s="34"/>
      <c r="AY125"/>
      <c r="BA125" s="34"/>
      <c r="BB125"/>
      <c r="BC125" t="s">
        <v>882</v>
      </c>
      <c r="BD125" s="36">
        <v>175000</v>
      </c>
      <c r="BE125" s="36">
        <v>175000</v>
      </c>
      <c r="BF125">
        <v>0</v>
      </c>
      <c r="BG125" s="34">
        <v>43282</v>
      </c>
      <c r="BH125">
        <v>24</v>
      </c>
      <c r="BI125" t="s">
        <v>974</v>
      </c>
      <c r="BJ125" t="s">
        <v>975</v>
      </c>
      <c r="BK125" t="s">
        <v>945</v>
      </c>
      <c r="BL125" t="s">
        <v>194</v>
      </c>
      <c r="BM125" s="8" t="s">
        <v>192</v>
      </c>
      <c r="BN125" t="s">
        <v>189</v>
      </c>
      <c r="BO125" t="s">
        <v>190</v>
      </c>
      <c r="BP125" s="35" t="s">
        <v>880</v>
      </c>
      <c r="BQ125"/>
      <c r="BU125" s="35"/>
      <c r="BV125" s="35"/>
      <c r="BX125"/>
      <c r="CA125" s="35"/>
      <c r="CB125" s="35"/>
      <c r="CC125"/>
      <c r="CG125" s="35"/>
      <c r="CH125" s="35"/>
      <c r="CK125"/>
      <c r="CM125" s="35"/>
      <c r="CN125" s="35"/>
      <c r="CQ125"/>
      <c r="CS125" s="35"/>
      <c r="CT125" s="35"/>
      <c r="CX125"/>
      <c r="CZ125" s="35"/>
      <c r="DD125" s="34"/>
      <c r="DG125" t="s">
        <v>879</v>
      </c>
      <c r="DH125" t="s">
        <v>982</v>
      </c>
      <c r="DI125" t="s">
        <v>233</v>
      </c>
      <c r="DL125" t="s">
        <v>687</v>
      </c>
      <c r="DM125">
        <v>6</v>
      </c>
      <c r="DN125">
        <v>7</v>
      </c>
      <c r="DO125" t="s">
        <v>881</v>
      </c>
      <c r="DQ125" t="s">
        <v>927</v>
      </c>
      <c r="DR125">
        <v>14</v>
      </c>
      <c r="DS125">
        <v>2</v>
      </c>
      <c r="DU125">
        <v>14</v>
      </c>
      <c r="DV125">
        <v>2</v>
      </c>
      <c r="DX125">
        <v>14</v>
      </c>
      <c r="DY125">
        <v>2</v>
      </c>
      <c r="DZ125" t="s">
        <v>246</v>
      </c>
      <c r="EA125" t="s">
        <v>929</v>
      </c>
    </row>
    <row r="126" spans="1:131" x14ac:dyDescent="0.4">
      <c r="A126" s="34">
        <v>43067.305104166669</v>
      </c>
      <c r="B126" s="25">
        <v>42956.621527777781</v>
      </c>
      <c r="D126" s="34"/>
      <c r="E126" s="34" t="s">
        <v>193</v>
      </c>
      <c r="F126" s="34" t="s">
        <v>191</v>
      </c>
      <c r="G126" s="34" t="s">
        <v>100</v>
      </c>
      <c r="H126" t="s">
        <v>856</v>
      </c>
      <c r="I126" t="s">
        <v>243</v>
      </c>
      <c r="J126" t="s">
        <v>857</v>
      </c>
      <c r="K126" t="s">
        <v>758</v>
      </c>
      <c r="L126" t="s">
        <v>855</v>
      </c>
      <c r="M126" s="30">
        <v>2.02</v>
      </c>
      <c r="N126">
        <v>6.333333333333333</v>
      </c>
      <c r="P126" s="24" t="str">
        <f>IFERROR(MID(RADataTable[[#This Row],[RATemplate]],1,LEN(RADataTable[[#This Row],[RATemplate]])-8),"RA") &amp; " " &amp; RADataTable[[#This Row],[prop_id0]] &amp; " " &amp; RADataTable[[#This Row],[last0]]</f>
        <v>RA 1755847 Sun</v>
      </c>
      <c r="T126">
        <v>3</v>
      </c>
      <c r="U126">
        <v>3</v>
      </c>
      <c r="V126" s="34">
        <v>43031.767361111109</v>
      </c>
      <c r="W126">
        <v>1</v>
      </c>
      <c r="X126" s="15" t="str">
        <f>HYPERLINK("https://www.ejacket.nsf.gov/ej/showProposal.do?Continue=Y&amp;ID="&amp;RADataTable[[#This Row],[prop_id0]],"eJ")</f>
        <v>eJ</v>
      </c>
      <c r="Y126" s="15" t="str">
        <f>HYPERLINK("mailto:"&amp;RADataTable[[#This Row],[email]]&amp;"&amp;subject=Your NSF Proposal:  "&amp;RADataTable[[#This Row],[Div]]&amp;" "&amp;RADataTable[[#This Row],[prop_id0]], RADataTable[[#This Row],[email]])</f>
        <v>ruoyus@illinois.edu</v>
      </c>
      <c r="Z126" s="15" t="str">
        <f>HYPERLINK("mailto:"&amp;RADataTable[[#This Row],[allPIemail]]&amp;"&amp;subject=NSF Proposal:  "&amp;RADataTable[[#This Row],[Div]]&amp;" "&amp;RADataTable[[#This Row],[prop_id0]], "PIs@")</f>
        <v>PIs@</v>
      </c>
      <c r="AA126" t="s">
        <v>245</v>
      </c>
      <c r="AB126" t="s">
        <v>687</v>
      </c>
      <c r="AC126" s="30" t="s">
        <v>877</v>
      </c>
      <c r="AD126" t="s">
        <v>878</v>
      </c>
      <c r="AE126" t="s">
        <v>761</v>
      </c>
      <c r="AF126" s="36">
        <v>175000</v>
      </c>
      <c r="AG126" s="36">
        <v>175000</v>
      </c>
      <c r="AH126" s="24"/>
      <c r="AJ126" s="34"/>
      <c r="AK126" t="s">
        <v>923</v>
      </c>
      <c r="AL126" t="s">
        <v>232</v>
      </c>
      <c r="AM126" s="34" t="s">
        <v>925</v>
      </c>
      <c r="AN126" s="34">
        <v>43032</v>
      </c>
      <c r="AO126" s="24">
        <v>2</v>
      </c>
      <c r="AP126" t="s">
        <v>981</v>
      </c>
      <c r="AR126" s="35"/>
      <c r="AS126"/>
      <c r="AT126" s="34"/>
      <c r="AV126" s="34"/>
      <c r="AX126" s="34"/>
      <c r="AY126"/>
      <c r="BA126" s="34"/>
      <c r="BB126"/>
      <c r="BC126" t="s">
        <v>882</v>
      </c>
      <c r="BD126" s="36">
        <v>175000</v>
      </c>
      <c r="BE126" s="36">
        <v>175000</v>
      </c>
      <c r="BF126">
        <v>0</v>
      </c>
      <c r="BG126" s="34">
        <v>43282</v>
      </c>
      <c r="BH126">
        <v>24</v>
      </c>
      <c r="BI126" t="s">
        <v>974</v>
      </c>
      <c r="BJ126" t="s">
        <v>975</v>
      </c>
      <c r="BK126" t="s">
        <v>945</v>
      </c>
      <c r="BL126" t="s">
        <v>194</v>
      </c>
      <c r="BM126" s="8" t="s">
        <v>192</v>
      </c>
      <c r="BN126" t="s">
        <v>189</v>
      </c>
      <c r="BO126" t="s">
        <v>190</v>
      </c>
      <c r="BP126" s="35" t="s">
        <v>880</v>
      </c>
      <c r="BQ126"/>
      <c r="BU126" s="35"/>
      <c r="BV126" s="35"/>
      <c r="BX126"/>
      <c r="CA126" s="35"/>
      <c r="CB126" s="35"/>
      <c r="CC126"/>
      <c r="CG126" s="35"/>
      <c r="CH126" s="35"/>
      <c r="CK126"/>
      <c r="CM126" s="35"/>
      <c r="CN126" s="35"/>
      <c r="CQ126"/>
      <c r="CS126" s="35"/>
      <c r="CT126" s="35"/>
      <c r="CX126"/>
      <c r="CZ126" s="35"/>
      <c r="DD126" s="34"/>
      <c r="DG126" t="s">
        <v>879</v>
      </c>
      <c r="DH126" t="s">
        <v>982</v>
      </c>
      <c r="DI126" t="s">
        <v>233</v>
      </c>
      <c r="DL126" t="s">
        <v>687</v>
      </c>
      <c r="DM126">
        <v>6</v>
      </c>
      <c r="DN126">
        <v>7</v>
      </c>
      <c r="DO126" t="s">
        <v>881</v>
      </c>
      <c r="DQ126" t="s">
        <v>927</v>
      </c>
      <c r="DR126">
        <v>14</v>
      </c>
      <c r="DS126">
        <v>2</v>
      </c>
      <c r="DU126">
        <v>14</v>
      </c>
      <c r="DV126">
        <v>2</v>
      </c>
      <c r="DX126">
        <v>14</v>
      </c>
      <c r="DY126">
        <v>2</v>
      </c>
      <c r="DZ126" t="s">
        <v>246</v>
      </c>
      <c r="EA126" t="s">
        <v>929</v>
      </c>
    </row>
    <row r="127" spans="1:131" x14ac:dyDescent="0.4">
      <c r="A127" s="34">
        <v>43067.305104166669</v>
      </c>
      <c r="B127" s="25">
        <v>42933.713888888888</v>
      </c>
      <c r="D127" s="34"/>
      <c r="E127" s="34" t="s">
        <v>193</v>
      </c>
      <c r="F127" s="34" t="s">
        <v>191</v>
      </c>
      <c r="G127" s="34" t="s">
        <v>100</v>
      </c>
      <c r="H127" t="s">
        <v>279</v>
      </c>
      <c r="I127" t="s">
        <v>243</v>
      </c>
      <c r="J127" t="s">
        <v>712</v>
      </c>
      <c r="K127" t="s">
        <v>713</v>
      </c>
      <c r="L127" t="s">
        <v>711</v>
      </c>
      <c r="M127" s="30">
        <v>2.0299999999999998</v>
      </c>
      <c r="N127">
        <v>7</v>
      </c>
      <c r="P127" s="24" t="str">
        <f>IFERROR(MID(RADataTable[[#This Row],[RATemplate]],1,LEN(RADataTable[[#This Row],[RATemplate]])-8),"RA") &amp; " " &amp; RADataTable[[#This Row],[prop_id0]] &amp; " " &amp; RADataTable[[#This Row],[last0]]</f>
        <v>RA 1749563 Del Pia</v>
      </c>
      <c r="T127">
        <v>4</v>
      </c>
      <c r="U127">
        <v>4</v>
      </c>
      <c r="V127" s="34">
        <v>43031.584027777775</v>
      </c>
      <c r="W127">
        <v>1</v>
      </c>
      <c r="X127" s="15" t="str">
        <f>HYPERLINK("https://www.ejacket.nsf.gov/ej/showProposal.do?Continue=Y&amp;ID="&amp;RADataTable[[#This Row],[prop_id0]],"eJ")</f>
        <v>eJ</v>
      </c>
      <c r="Y127" s="15" t="str">
        <f>HYPERLINK("mailto:"&amp;RADataTable[[#This Row],[email]]&amp;"&amp;subject=Your NSF Proposal:  "&amp;RADataTable[[#This Row],[Div]]&amp;" "&amp;RADataTable[[#This Row],[prop_id0]], RADataTable[[#This Row],[email]])</f>
        <v>delpia@wisc.edu</v>
      </c>
      <c r="Z127" s="15" t="str">
        <f>HYPERLINK("mailto:"&amp;RADataTable[[#This Row],[allPIemail]]&amp;"&amp;subject=NSF Proposal:  "&amp;RADataTable[[#This Row],[Div]]&amp;" "&amp;RADataTable[[#This Row],[prop_id0]], "PIs@")</f>
        <v>PIs@</v>
      </c>
      <c r="AA127" t="s">
        <v>245</v>
      </c>
      <c r="AB127" t="s">
        <v>664</v>
      </c>
      <c r="AC127" s="30" t="s">
        <v>736</v>
      </c>
      <c r="AD127" t="s">
        <v>737</v>
      </c>
      <c r="AE127" t="s">
        <v>284</v>
      </c>
      <c r="AF127" s="36">
        <v>500000</v>
      </c>
      <c r="AG127" s="36">
        <v>500000</v>
      </c>
      <c r="AH127" s="24"/>
      <c r="AJ127" s="34"/>
      <c r="AK127" t="s">
        <v>923</v>
      </c>
      <c r="AL127" t="s">
        <v>232</v>
      </c>
      <c r="AM127" s="34" t="s">
        <v>925</v>
      </c>
      <c r="AN127" s="34">
        <v>43032</v>
      </c>
      <c r="AO127" s="24">
        <v>3</v>
      </c>
      <c r="AP127" t="s">
        <v>936</v>
      </c>
      <c r="AR127" s="35"/>
      <c r="AS127"/>
      <c r="AT127" s="34"/>
      <c r="AV127" s="34"/>
      <c r="AX127" s="34"/>
      <c r="AY127"/>
      <c r="BA127" s="34"/>
      <c r="BB127"/>
      <c r="BC127" t="s">
        <v>740</v>
      </c>
      <c r="BD127" s="36">
        <v>500000</v>
      </c>
      <c r="BE127" s="36">
        <v>500000</v>
      </c>
      <c r="BF127">
        <v>0</v>
      </c>
      <c r="BG127" s="34">
        <v>43344</v>
      </c>
      <c r="BH127">
        <v>60</v>
      </c>
      <c r="BI127" t="s">
        <v>283</v>
      </c>
      <c r="BJ127" t="s">
        <v>928</v>
      </c>
      <c r="BK127" t="s">
        <v>234</v>
      </c>
      <c r="BL127" t="s">
        <v>194</v>
      </c>
      <c r="BM127" s="8" t="s">
        <v>192</v>
      </c>
      <c r="BN127" t="s">
        <v>189</v>
      </c>
      <c r="BO127" t="s">
        <v>190</v>
      </c>
      <c r="BP127" s="35" t="s">
        <v>718</v>
      </c>
      <c r="BQ127"/>
      <c r="BU127" s="35"/>
      <c r="BV127" s="35"/>
      <c r="BX127"/>
      <c r="CA127" s="35"/>
      <c r="CB127" s="35"/>
      <c r="CC127"/>
      <c r="CG127" s="35"/>
      <c r="CH127" s="35"/>
      <c r="CK127"/>
      <c r="CM127" s="35"/>
      <c r="CN127" s="35"/>
      <c r="CQ127"/>
      <c r="CS127" s="35"/>
      <c r="CT127" s="35"/>
      <c r="CX127"/>
      <c r="CZ127" s="35"/>
      <c r="DD127" s="34"/>
      <c r="DG127" t="s">
        <v>738</v>
      </c>
      <c r="DH127" t="s">
        <v>937</v>
      </c>
      <c r="DI127" t="s">
        <v>233</v>
      </c>
      <c r="DL127" t="s">
        <v>664</v>
      </c>
      <c r="DM127">
        <v>6</v>
      </c>
      <c r="DN127">
        <v>8</v>
      </c>
      <c r="DO127" t="s">
        <v>739</v>
      </c>
      <c r="DQ127" t="s">
        <v>927</v>
      </c>
      <c r="DR127">
        <v>14</v>
      </c>
      <c r="DS127">
        <v>0</v>
      </c>
      <c r="DU127">
        <v>14</v>
      </c>
      <c r="DV127">
        <v>0</v>
      </c>
      <c r="DX127">
        <v>14</v>
      </c>
      <c r="DY127">
        <v>0</v>
      </c>
      <c r="DZ127" t="s">
        <v>246</v>
      </c>
      <c r="EA127" t="s">
        <v>929</v>
      </c>
    </row>
    <row r="128" spans="1:131" x14ac:dyDescent="0.4">
      <c r="A128" s="34">
        <v>43067.305104166669</v>
      </c>
      <c r="B128" s="25">
        <v>42933.713888888888</v>
      </c>
      <c r="D128" s="34"/>
      <c r="E128" s="34" t="s">
        <v>193</v>
      </c>
      <c r="F128" s="34" t="s">
        <v>191</v>
      </c>
      <c r="G128" s="34" t="s">
        <v>100</v>
      </c>
      <c r="H128" t="s">
        <v>279</v>
      </c>
      <c r="I128" t="s">
        <v>243</v>
      </c>
      <c r="J128" t="s">
        <v>712</v>
      </c>
      <c r="K128" t="s">
        <v>713</v>
      </c>
      <c r="L128" t="s">
        <v>711</v>
      </c>
      <c r="M128" s="30">
        <v>2.0299999999999998</v>
      </c>
      <c r="N128">
        <v>7</v>
      </c>
      <c r="P128" s="24" t="str">
        <f>IFERROR(MID(RADataTable[[#This Row],[RATemplate]],1,LEN(RADataTable[[#This Row],[RATemplate]])-8),"RA") &amp; " " &amp; RADataTable[[#This Row],[prop_id0]] &amp; " " &amp; RADataTable[[#This Row],[last0]]</f>
        <v>RA 1749563 Del Pia</v>
      </c>
      <c r="T128">
        <v>4</v>
      </c>
      <c r="U128">
        <v>4</v>
      </c>
      <c r="V128" s="34">
        <v>43031.584027777775</v>
      </c>
      <c r="W128">
        <v>1</v>
      </c>
      <c r="X128" s="15" t="str">
        <f>HYPERLINK("https://www.ejacket.nsf.gov/ej/showProposal.do?Continue=Y&amp;ID="&amp;RADataTable[[#This Row],[prop_id0]],"eJ")</f>
        <v>eJ</v>
      </c>
      <c r="Y128" s="15" t="str">
        <f>HYPERLINK("mailto:"&amp;RADataTable[[#This Row],[email]]&amp;"&amp;subject=Your NSF Proposal:  "&amp;RADataTable[[#This Row],[Div]]&amp;" "&amp;RADataTable[[#This Row],[prop_id0]], RADataTable[[#This Row],[email]])</f>
        <v>delpia@wisc.edu</v>
      </c>
      <c r="Z128" s="15" t="str">
        <f>HYPERLINK("mailto:"&amp;RADataTable[[#This Row],[allPIemail]]&amp;"&amp;subject=NSF Proposal:  "&amp;RADataTable[[#This Row],[Div]]&amp;" "&amp;RADataTable[[#This Row],[prop_id0]], "PIs@")</f>
        <v>PIs@</v>
      </c>
      <c r="AA128" t="s">
        <v>245</v>
      </c>
      <c r="AB128" t="s">
        <v>664</v>
      </c>
      <c r="AC128" s="30" t="s">
        <v>736</v>
      </c>
      <c r="AD128" t="s">
        <v>737</v>
      </c>
      <c r="AE128" t="s">
        <v>284</v>
      </c>
      <c r="AF128" s="36">
        <v>500000</v>
      </c>
      <c r="AG128" s="36">
        <v>500000</v>
      </c>
      <c r="AH128" s="24"/>
      <c r="AJ128" s="34"/>
      <c r="AK128" t="s">
        <v>923</v>
      </c>
      <c r="AL128" t="s">
        <v>232</v>
      </c>
      <c r="AM128" s="34" t="s">
        <v>925</v>
      </c>
      <c r="AN128" s="34">
        <v>43032</v>
      </c>
      <c r="AO128" s="24">
        <v>3</v>
      </c>
      <c r="AP128" t="s">
        <v>936</v>
      </c>
      <c r="AR128" s="35"/>
      <c r="AS128"/>
      <c r="AT128" s="34"/>
      <c r="AV128" s="34"/>
      <c r="AX128" s="34"/>
      <c r="AY128"/>
      <c r="BA128" s="34"/>
      <c r="BB128"/>
      <c r="BC128" t="s">
        <v>740</v>
      </c>
      <c r="BD128" s="36">
        <v>500000</v>
      </c>
      <c r="BE128" s="36">
        <v>500000</v>
      </c>
      <c r="BF128">
        <v>0</v>
      </c>
      <c r="BG128" s="34">
        <v>43344</v>
      </c>
      <c r="BH128">
        <v>60</v>
      </c>
      <c r="BI128" t="s">
        <v>283</v>
      </c>
      <c r="BJ128" t="s">
        <v>928</v>
      </c>
      <c r="BK128" t="s">
        <v>234</v>
      </c>
      <c r="BL128" t="s">
        <v>194</v>
      </c>
      <c r="BM128" s="8" t="s">
        <v>192</v>
      </c>
      <c r="BN128" t="s">
        <v>189</v>
      </c>
      <c r="BO128" t="s">
        <v>190</v>
      </c>
      <c r="BP128" s="35" t="s">
        <v>718</v>
      </c>
      <c r="BQ128"/>
      <c r="BU128" s="35"/>
      <c r="BV128" s="35"/>
      <c r="BX128"/>
      <c r="CA128" s="35"/>
      <c r="CB128" s="35"/>
      <c r="CC128"/>
      <c r="CG128" s="35"/>
      <c r="CH128" s="35"/>
      <c r="CK128"/>
      <c r="CM128" s="35"/>
      <c r="CN128" s="35"/>
      <c r="CQ128"/>
      <c r="CS128" s="35"/>
      <c r="CT128" s="35"/>
      <c r="CX128"/>
      <c r="CZ128" s="35"/>
      <c r="DD128" s="34"/>
      <c r="DG128" t="s">
        <v>738</v>
      </c>
      <c r="DH128" t="s">
        <v>937</v>
      </c>
      <c r="DI128" t="s">
        <v>233</v>
      </c>
      <c r="DL128" t="s">
        <v>664</v>
      </c>
      <c r="DM128">
        <v>6</v>
      </c>
      <c r="DN128">
        <v>8</v>
      </c>
      <c r="DO128" t="s">
        <v>739</v>
      </c>
      <c r="DQ128" t="s">
        <v>927</v>
      </c>
      <c r="DR128">
        <v>14</v>
      </c>
      <c r="DS128">
        <v>0</v>
      </c>
      <c r="DU128">
        <v>14</v>
      </c>
      <c r="DV128">
        <v>0</v>
      </c>
      <c r="DX128">
        <v>14</v>
      </c>
      <c r="DY128">
        <v>0</v>
      </c>
      <c r="DZ128" t="s">
        <v>246</v>
      </c>
      <c r="EA128" t="s">
        <v>929</v>
      </c>
    </row>
    <row r="129" spans="1:131" x14ac:dyDescent="0.4">
      <c r="A129" s="34">
        <v>43067.305104166669</v>
      </c>
      <c r="B129" s="25">
        <v>42933.713888888888</v>
      </c>
      <c r="D129" s="34"/>
      <c r="E129" s="34" t="s">
        <v>193</v>
      </c>
      <c r="F129" s="34" t="s">
        <v>191</v>
      </c>
      <c r="G129" s="34" t="s">
        <v>100</v>
      </c>
      <c r="H129" t="s">
        <v>279</v>
      </c>
      <c r="I129" t="s">
        <v>243</v>
      </c>
      <c r="J129" t="s">
        <v>712</v>
      </c>
      <c r="K129" t="s">
        <v>713</v>
      </c>
      <c r="L129" t="s">
        <v>711</v>
      </c>
      <c r="M129" s="30">
        <v>2.0299999999999998</v>
      </c>
      <c r="N129">
        <v>7</v>
      </c>
      <c r="P129" s="24" t="str">
        <f>IFERROR(MID(RADataTable[[#This Row],[RATemplate]],1,LEN(RADataTable[[#This Row],[RATemplate]])-8),"RA") &amp; " " &amp; RADataTable[[#This Row],[prop_id0]] &amp; " " &amp; RADataTable[[#This Row],[last0]]</f>
        <v>RA 1749563 Del Pia</v>
      </c>
      <c r="T129">
        <v>4</v>
      </c>
      <c r="U129">
        <v>4</v>
      </c>
      <c r="V129" s="34">
        <v>43031.584027777775</v>
      </c>
      <c r="W129">
        <v>1</v>
      </c>
      <c r="X129" s="15" t="str">
        <f>HYPERLINK("https://www.ejacket.nsf.gov/ej/showProposal.do?Continue=Y&amp;ID="&amp;RADataTable[[#This Row],[prop_id0]],"eJ")</f>
        <v>eJ</v>
      </c>
      <c r="Y129" s="15" t="str">
        <f>HYPERLINK("mailto:"&amp;RADataTable[[#This Row],[email]]&amp;"&amp;subject=Your NSF Proposal:  "&amp;RADataTable[[#This Row],[Div]]&amp;" "&amp;RADataTable[[#This Row],[prop_id0]], RADataTable[[#This Row],[email]])</f>
        <v>delpia@wisc.edu</v>
      </c>
      <c r="Z129" s="15" t="str">
        <f>HYPERLINK("mailto:"&amp;RADataTable[[#This Row],[allPIemail]]&amp;"&amp;subject=NSF Proposal:  "&amp;RADataTable[[#This Row],[Div]]&amp;" "&amp;RADataTable[[#This Row],[prop_id0]], "PIs@")</f>
        <v>PIs@</v>
      </c>
      <c r="AA129" t="s">
        <v>245</v>
      </c>
      <c r="AB129" t="s">
        <v>664</v>
      </c>
      <c r="AC129" s="30" t="s">
        <v>736</v>
      </c>
      <c r="AD129" t="s">
        <v>737</v>
      </c>
      <c r="AE129" t="s">
        <v>284</v>
      </c>
      <c r="AF129" s="36">
        <v>500000</v>
      </c>
      <c r="AG129" s="36">
        <v>500000</v>
      </c>
      <c r="AH129" s="24"/>
      <c r="AJ129" s="34"/>
      <c r="AK129" t="s">
        <v>923</v>
      </c>
      <c r="AL129" t="s">
        <v>232</v>
      </c>
      <c r="AM129" s="34" t="s">
        <v>925</v>
      </c>
      <c r="AN129" s="34">
        <v>43032</v>
      </c>
      <c r="AO129" s="24">
        <v>3</v>
      </c>
      <c r="AP129" t="s">
        <v>936</v>
      </c>
      <c r="AR129" s="35"/>
      <c r="AS129"/>
      <c r="AT129" s="34"/>
      <c r="AV129" s="34"/>
      <c r="AX129" s="34"/>
      <c r="AY129"/>
      <c r="BA129" s="34"/>
      <c r="BB129"/>
      <c r="BC129" t="s">
        <v>740</v>
      </c>
      <c r="BD129" s="36">
        <v>500000</v>
      </c>
      <c r="BE129" s="36">
        <v>500000</v>
      </c>
      <c r="BF129">
        <v>0</v>
      </c>
      <c r="BG129" s="34">
        <v>43344</v>
      </c>
      <c r="BH129">
        <v>60</v>
      </c>
      <c r="BI129" t="s">
        <v>283</v>
      </c>
      <c r="BJ129" t="s">
        <v>928</v>
      </c>
      <c r="BK129" t="s">
        <v>234</v>
      </c>
      <c r="BL129" t="s">
        <v>194</v>
      </c>
      <c r="BM129" s="8" t="s">
        <v>192</v>
      </c>
      <c r="BN129" t="s">
        <v>189</v>
      </c>
      <c r="BO129" t="s">
        <v>190</v>
      </c>
      <c r="BP129" s="35" t="s">
        <v>718</v>
      </c>
      <c r="BQ129"/>
      <c r="BU129" s="35"/>
      <c r="BV129" s="35"/>
      <c r="BX129"/>
      <c r="CA129" s="35"/>
      <c r="CB129" s="35"/>
      <c r="CC129"/>
      <c r="CG129" s="35"/>
      <c r="CH129" s="35"/>
      <c r="CK129"/>
      <c r="CM129" s="35"/>
      <c r="CN129" s="35"/>
      <c r="CQ129"/>
      <c r="CS129" s="35"/>
      <c r="CT129" s="35"/>
      <c r="CX129"/>
      <c r="CZ129" s="35"/>
      <c r="DD129" s="34"/>
      <c r="DG129" t="s">
        <v>738</v>
      </c>
      <c r="DH129" t="s">
        <v>937</v>
      </c>
      <c r="DI129" t="s">
        <v>233</v>
      </c>
      <c r="DL129" t="s">
        <v>664</v>
      </c>
      <c r="DM129">
        <v>6</v>
      </c>
      <c r="DN129">
        <v>8</v>
      </c>
      <c r="DO129" t="s">
        <v>739</v>
      </c>
      <c r="DQ129" t="s">
        <v>927</v>
      </c>
      <c r="DR129">
        <v>14</v>
      </c>
      <c r="DS129">
        <v>0</v>
      </c>
      <c r="DU129">
        <v>14</v>
      </c>
      <c r="DV129">
        <v>0</v>
      </c>
      <c r="DX129">
        <v>14</v>
      </c>
      <c r="DY129">
        <v>0</v>
      </c>
      <c r="DZ129" t="s">
        <v>246</v>
      </c>
      <c r="EA129" t="s">
        <v>929</v>
      </c>
    </row>
    <row r="130" spans="1:131" x14ac:dyDescent="0.4">
      <c r="A130" s="34">
        <v>43067.305104166669</v>
      </c>
      <c r="B130" s="25">
        <v>42933.713888888888</v>
      </c>
      <c r="D130" s="34"/>
      <c r="E130" s="34" t="s">
        <v>193</v>
      </c>
      <c r="F130" s="34" t="s">
        <v>191</v>
      </c>
      <c r="G130" s="34" t="s">
        <v>100</v>
      </c>
      <c r="H130" t="s">
        <v>279</v>
      </c>
      <c r="I130" t="s">
        <v>243</v>
      </c>
      <c r="J130" t="s">
        <v>712</v>
      </c>
      <c r="K130" t="s">
        <v>713</v>
      </c>
      <c r="L130" t="s">
        <v>711</v>
      </c>
      <c r="M130" s="30">
        <v>2.0299999999999998</v>
      </c>
      <c r="N130">
        <v>7</v>
      </c>
      <c r="P130" s="24" t="str">
        <f>IFERROR(MID(RADataTable[[#This Row],[RATemplate]],1,LEN(RADataTable[[#This Row],[RATemplate]])-8),"RA") &amp; " " &amp; RADataTable[[#This Row],[prop_id0]] &amp; " " &amp; RADataTable[[#This Row],[last0]]</f>
        <v>RA 1749563 Del Pia</v>
      </c>
      <c r="T130">
        <v>4</v>
      </c>
      <c r="U130">
        <v>4</v>
      </c>
      <c r="V130" s="34">
        <v>43031.584027777775</v>
      </c>
      <c r="W130">
        <v>1</v>
      </c>
      <c r="X130" s="15" t="str">
        <f>HYPERLINK("https://www.ejacket.nsf.gov/ej/showProposal.do?Continue=Y&amp;ID="&amp;RADataTable[[#This Row],[prop_id0]],"eJ")</f>
        <v>eJ</v>
      </c>
      <c r="Y130" s="15" t="str">
        <f>HYPERLINK("mailto:"&amp;RADataTable[[#This Row],[email]]&amp;"&amp;subject=Your NSF Proposal:  "&amp;RADataTable[[#This Row],[Div]]&amp;" "&amp;RADataTable[[#This Row],[prop_id0]], RADataTable[[#This Row],[email]])</f>
        <v>delpia@wisc.edu</v>
      </c>
      <c r="Z130" s="15" t="str">
        <f>HYPERLINK("mailto:"&amp;RADataTable[[#This Row],[allPIemail]]&amp;"&amp;subject=NSF Proposal:  "&amp;RADataTable[[#This Row],[Div]]&amp;" "&amp;RADataTable[[#This Row],[prop_id0]], "PIs@")</f>
        <v>PIs@</v>
      </c>
      <c r="AA130" t="s">
        <v>245</v>
      </c>
      <c r="AB130" t="s">
        <v>664</v>
      </c>
      <c r="AC130" s="30" t="s">
        <v>736</v>
      </c>
      <c r="AD130" t="s">
        <v>737</v>
      </c>
      <c r="AE130" t="s">
        <v>284</v>
      </c>
      <c r="AF130" s="36">
        <v>500000</v>
      </c>
      <c r="AG130" s="36">
        <v>500000</v>
      </c>
      <c r="AH130" s="24"/>
      <c r="AJ130" s="34"/>
      <c r="AK130" t="s">
        <v>923</v>
      </c>
      <c r="AL130" t="s">
        <v>232</v>
      </c>
      <c r="AM130" s="34" t="s">
        <v>925</v>
      </c>
      <c r="AN130" s="34">
        <v>43032</v>
      </c>
      <c r="AO130" s="24">
        <v>3</v>
      </c>
      <c r="AP130" t="s">
        <v>936</v>
      </c>
      <c r="AR130" s="35"/>
      <c r="AS130"/>
      <c r="AT130" s="34"/>
      <c r="AV130" s="34"/>
      <c r="AX130" s="34"/>
      <c r="AY130"/>
      <c r="BA130" s="34"/>
      <c r="BB130"/>
      <c r="BC130" t="s">
        <v>740</v>
      </c>
      <c r="BD130" s="36">
        <v>500000</v>
      </c>
      <c r="BE130" s="36">
        <v>500000</v>
      </c>
      <c r="BF130">
        <v>0</v>
      </c>
      <c r="BG130" s="34">
        <v>43344</v>
      </c>
      <c r="BH130">
        <v>60</v>
      </c>
      <c r="BI130" t="s">
        <v>283</v>
      </c>
      <c r="BJ130" t="s">
        <v>928</v>
      </c>
      <c r="BK130" t="s">
        <v>234</v>
      </c>
      <c r="BL130" t="s">
        <v>194</v>
      </c>
      <c r="BM130" s="8" t="s">
        <v>192</v>
      </c>
      <c r="BN130" t="s">
        <v>189</v>
      </c>
      <c r="BO130" t="s">
        <v>190</v>
      </c>
      <c r="BP130" s="35" t="s">
        <v>718</v>
      </c>
      <c r="BQ130"/>
      <c r="BU130" s="35"/>
      <c r="BV130" s="35"/>
      <c r="BX130"/>
      <c r="CA130" s="35"/>
      <c r="CB130" s="35"/>
      <c r="CC130"/>
      <c r="CG130" s="35"/>
      <c r="CH130" s="35"/>
      <c r="CK130"/>
      <c r="CM130" s="35"/>
      <c r="CN130" s="35"/>
      <c r="CQ130"/>
      <c r="CS130" s="35"/>
      <c r="CT130" s="35"/>
      <c r="CX130"/>
      <c r="CZ130" s="35"/>
      <c r="DD130" s="34"/>
      <c r="DG130" t="s">
        <v>738</v>
      </c>
      <c r="DH130" t="s">
        <v>937</v>
      </c>
      <c r="DI130" t="s">
        <v>233</v>
      </c>
      <c r="DL130" t="s">
        <v>664</v>
      </c>
      <c r="DM130">
        <v>6</v>
      </c>
      <c r="DN130">
        <v>8</v>
      </c>
      <c r="DO130" t="s">
        <v>739</v>
      </c>
      <c r="DQ130" t="s">
        <v>927</v>
      </c>
      <c r="DR130">
        <v>14</v>
      </c>
      <c r="DS130">
        <v>0</v>
      </c>
      <c r="DU130">
        <v>14</v>
      </c>
      <c r="DV130">
        <v>0</v>
      </c>
      <c r="DX130">
        <v>14</v>
      </c>
      <c r="DY130">
        <v>0</v>
      </c>
      <c r="DZ130" t="s">
        <v>246</v>
      </c>
      <c r="EA130" t="s">
        <v>929</v>
      </c>
    </row>
    <row r="131" spans="1:131" x14ac:dyDescent="0.4">
      <c r="A131" s="34">
        <v>43067.305104166669</v>
      </c>
      <c r="B131" s="25">
        <v>42933.713888888888</v>
      </c>
      <c r="D131" s="34"/>
      <c r="E131" s="34" t="s">
        <v>193</v>
      </c>
      <c r="F131" s="34" t="s">
        <v>191</v>
      </c>
      <c r="G131" s="34" t="s">
        <v>100</v>
      </c>
      <c r="H131" t="s">
        <v>279</v>
      </c>
      <c r="I131" t="s">
        <v>243</v>
      </c>
      <c r="J131" t="s">
        <v>712</v>
      </c>
      <c r="K131" t="s">
        <v>713</v>
      </c>
      <c r="L131" t="s">
        <v>711</v>
      </c>
      <c r="M131" s="30">
        <v>2.0299999999999998</v>
      </c>
      <c r="N131">
        <v>7</v>
      </c>
      <c r="P131" s="24" t="str">
        <f>IFERROR(MID(RADataTable[[#This Row],[RATemplate]],1,LEN(RADataTable[[#This Row],[RATemplate]])-8),"RA") &amp; " " &amp; RADataTable[[#This Row],[prop_id0]] &amp; " " &amp; RADataTable[[#This Row],[last0]]</f>
        <v>RA 1749563 Del Pia</v>
      </c>
      <c r="T131">
        <v>4</v>
      </c>
      <c r="U131">
        <v>4</v>
      </c>
      <c r="V131" s="34">
        <v>43031.584027777775</v>
      </c>
      <c r="W131">
        <v>1</v>
      </c>
      <c r="X131" s="15" t="str">
        <f>HYPERLINK("https://www.ejacket.nsf.gov/ej/showProposal.do?Continue=Y&amp;ID="&amp;RADataTable[[#This Row],[prop_id0]],"eJ")</f>
        <v>eJ</v>
      </c>
      <c r="Y131" s="15" t="str">
        <f>HYPERLINK("mailto:"&amp;RADataTable[[#This Row],[email]]&amp;"&amp;subject=Your NSF Proposal:  "&amp;RADataTable[[#This Row],[Div]]&amp;" "&amp;RADataTable[[#This Row],[prop_id0]], RADataTable[[#This Row],[email]])</f>
        <v>delpia@wisc.edu</v>
      </c>
      <c r="Z131" s="15" t="str">
        <f>HYPERLINK("mailto:"&amp;RADataTable[[#This Row],[allPIemail]]&amp;"&amp;subject=NSF Proposal:  "&amp;RADataTable[[#This Row],[Div]]&amp;" "&amp;RADataTable[[#This Row],[prop_id0]], "PIs@")</f>
        <v>PIs@</v>
      </c>
      <c r="AA131" t="s">
        <v>245</v>
      </c>
      <c r="AB131" t="s">
        <v>664</v>
      </c>
      <c r="AC131" s="30" t="s">
        <v>736</v>
      </c>
      <c r="AD131" t="s">
        <v>737</v>
      </c>
      <c r="AE131" t="s">
        <v>284</v>
      </c>
      <c r="AF131" s="36">
        <v>500000</v>
      </c>
      <c r="AG131" s="36">
        <v>500000</v>
      </c>
      <c r="AH131" s="24"/>
      <c r="AJ131" s="34"/>
      <c r="AK131" t="s">
        <v>923</v>
      </c>
      <c r="AL131" t="s">
        <v>232</v>
      </c>
      <c r="AM131" s="34" t="s">
        <v>925</v>
      </c>
      <c r="AN131" s="34">
        <v>43032</v>
      </c>
      <c r="AO131" s="24">
        <v>3</v>
      </c>
      <c r="AP131" t="s">
        <v>936</v>
      </c>
      <c r="AR131" s="35"/>
      <c r="AS131"/>
      <c r="AT131" s="34"/>
      <c r="AV131" s="34"/>
      <c r="AX131" s="34"/>
      <c r="AY131"/>
      <c r="BA131" s="34"/>
      <c r="BB131"/>
      <c r="BC131" t="s">
        <v>740</v>
      </c>
      <c r="BD131" s="36">
        <v>500000</v>
      </c>
      <c r="BE131" s="36">
        <v>500000</v>
      </c>
      <c r="BF131">
        <v>0</v>
      </c>
      <c r="BG131" s="34">
        <v>43344</v>
      </c>
      <c r="BH131">
        <v>60</v>
      </c>
      <c r="BI131" t="s">
        <v>283</v>
      </c>
      <c r="BJ131" t="s">
        <v>928</v>
      </c>
      <c r="BK131" t="s">
        <v>234</v>
      </c>
      <c r="BL131" t="s">
        <v>194</v>
      </c>
      <c r="BM131" s="8" t="s">
        <v>192</v>
      </c>
      <c r="BN131" t="s">
        <v>189</v>
      </c>
      <c r="BO131" t="s">
        <v>190</v>
      </c>
      <c r="BP131" s="35" t="s">
        <v>718</v>
      </c>
      <c r="BQ131"/>
      <c r="BU131" s="35"/>
      <c r="BV131" s="35"/>
      <c r="BX131"/>
      <c r="CA131" s="35"/>
      <c r="CB131" s="35"/>
      <c r="CC131"/>
      <c r="CG131" s="35"/>
      <c r="CH131" s="35"/>
      <c r="CK131"/>
      <c r="CM131" s="35"/>
      <c r="CN131" s="35"/>
      <c r="CQ131"/>
      <c r="CS131" s="35"/>
      <c r="CT131" s="35"/>
      <c r="CX131"/>
      <c r="CZ131" s="35"/>
      <c r="DD131" s="34"/>
      <c r="DG131" t="s">
        <v>738</v>
      </c>
      <c r="DH131" t="s">
        <v>937</v>
      </c>
      <c r="DI131" t="s">
        <v>233</v>
      </c>
      <c r="DL131" t="s">
        <v>664</v>
      </c>
      <c r="DM131">
        <v>6</v>
      </c>
      <c r="DN131">
        <v>8</v>
      </c>
      <c r="DO131" t="s">
        <v>739</v>
      </c>
      <c r="DQ131" t="s">
        <v>927</v>
      </c>
      <c r="DR131">
        <v>14</v>
      </c>
      <c r="DS131">
        <v>0</v>
      </c>
      <c r="DU131">
        <v>14</v>
      </c>
      <c r="DV131">
        <v>0</v>
      </c>
      <c r="DX131">
        <v>14</v>
      </c>
      <c r="DY131">
        <v>0</v>
      </c>
      <c r="DZ131" t="s">
        <v>246</v>
      </c>
      <c r="EA131" t="s">
        <v>929</v>
      </c>
    </row>
    <row r="132" spans="1:131" x14ac:dyDescent="0.4">
      <c r="A132" s="34">
        <v>43067.305104166669</v>
      </c>
      <c r="B132" s="25">
        <v>42933.713888888888</v>
      </c>
      <c r="D132" s="34"/>
      <c r="E132" s="34" t="s">
        <v>193</v>
      </c>
      <c r="F132" s="34" t="s">
        <v>191</v>
      </c>
      <c r="G132" s="34" t="s">
        <v>100</v>
      </c>
      <c r="H132" t="s">
        <v>279</v>
      </c>
      <c r="I132" t="s">
        <v>243</v>
      </c>
      <c r="J132" t="s">
        <v>712</v>
      </c>
      <c r="K132" t="s">
        <v>713</v>
      </c>
      <c r="L132" t="s">
        <v>711</v>
      </c>
      <c r="M132" s="30">
        <v>2.0299999999999998</v>
      </c>
      <c r="N132">
        <v>7</v>
      </c>
      <c r="P132" s="24" t="str">
        <f>IFERROR(MID(RADataTable[[#This Row],[RATemplate]],1,LEN(RADataTable[[#This Row],[RATemplate]])-8),"RA") &amp; " " &amp; RADataTable[[#This Row],[prop_id0]] &amp; " " &amp; RADataTable[[#This Row],[last0]]</f>
        <v>RA 1749563 Del Pia</v>
      </c>
      <c r="T132">
        <v>4</v>
      </c>
      <c r="U132">
        <v>4</v>
      </c>
      <c r="V132" s="34">
        <v>43031.584027777775</v>
      </c>
      <c r="W132">
        <v>1</v>
      </c>
      <c r="X132" s="15" t="str">
        <f>HYPERLINK("https://www.ejacket.nsf.gov/ej/showProposal.do?Continue=Y&amp;ID="&amp;RADataTable[[#This Row],[prop_id0]],"eJ")</f>
        <v>eJ</v>
      </c>
      <c r="Y132" s="15" t="str">
        <f>HYPERLINK("mailto:"&amp;RADataTable[[#This Row],[email]]&amp;"&amp;subject=Your NSF Proposal:  "&amp;RADataTable[[#This Row],[Div]]&amp;" "&amp;RADataTable[[#This Row],[prop_id0]], RADataTable[[#This Row],[email]])</f>
        <v>delpia@wisc.edu</v>
      </c>
      <c r="Z132" s="15" t="str">
        <f>HYPERLINK("mailto:"&amp;RADataTable[[#This Row],[allPIemail]]&amp;"&amp;subject=NSF Proposal:  "&amp;RADataTable[[#This Row],[Div]]&amp;" "&amp;RADataTable[[#This Row],[prop_id0]], "PIs@")</f>
        <v>PIs@</v>
      </c>
      <c r="AA132" t="s">
        <v>245</v>
      </c>
      <c r="AB132" t="s">
        <v>664</v>
      </c>
      <c r="AC132" s="30" t="s">
        <v>736</v>
      </c>
      <c r="AD132" t="s">
        <v>737</v>
      </c>
      <c r="AE132" t="s">
        <v>284</v>
      </c>
      <c r="AF132" s="36">
        <v>500000</v>
      </c>
      <c r="AG132" s="36">
        <v>500000</v>
      </c>
      <c r="AH132" s="24"/>
      <c r="AJ132" s="34"/>
      <c r="AK132" t="s">
        <v>923</v>
      </c>
      <c r="AL132" t="s">
        <v>232</v>
      </c>
      <c r="AM132" s="34" t="s">
        <v>925</v>
      </c>
      <c r="AN132" s="34">
        <v>43032</v>
      </c>
      <c r="AO132" s="24">
        <v>3</v>
      </c>
      <c r="AP132" t="s">
        <v>936</v>
      </c>
      <c r="AR132" s="35"/>
      <c r="AS132"/>
      <c r="AT132" s="34"/>
      <c r="AV132" s="34"/>
      <c r="AX132" s="34"/>
      <c r="AY132"/>
      <c r="BA132" s="34"/>
      <c r="BB132"/>
      <c r="BC132" t="s">
        <v>740</v>
      </c>
      <c r="BD132" s="36">
        <v>500000</v>
      </c>
      <c r="BE132" s="36">
        <v>500000</v>
      </c>
      <c r="BF132">
        <v>0</v>
      </c>
      <c r="BG132" s="34">
        <v>43344</v>
      </c>
      <c r="BH132">
        <v>60</v>
      </c>
      <c r="BI132" t="s">
        <v>283</v>
      </c>
      <c r="BJ132" t="s">
        <v>928</v>
      </c>
      <c r="BK132" t="s">
        <v>234</v>
      </c>
      <c r="BL132" t="s">
        <v>194</v>
      </c>
      <c r="BM132" s="8" t="s">
        <v>192</v>
      </c>
      <c r="BN132" t="s">
        <v>189</v>
      </c>
      <c r="BO132" t="s">
        <v>190</v>
      </c>
      <c r="BP132" s="35" t="s">
        <v>718</v>
      </c>
      <c r="BQ132"/>
      <c r="BU132" s="35"/>
      <c r="BV132" s="35"/>
      <c r="BX132"/>
      <c r="CA132" s="35"/>
      <c r="CB132" s="35"/>
      <c r="CC132"/>
      <c r="CG132" s="35"/>
      <c r="CH132" s="35"/>
      <c r="CK132"/>
      <c r="CM132" s="35"/>
      <c r="CN132" s="35"/>
      <c r="CQ132"/>
      <c r="CS132" s="35"/>
      <c r="CT132" s="35"/>
      <c r="CX132"/>
      <c r="CZ132" s="35"/>
      <c r="DD132" s="34"/>
      <c r="DG132" t="s">
        <v>738</v>
      </c>
      <c r="DH132" t="s">
        <v>937</v>
      </c>
      <c r="DI132" t="s">
        <v>233</v>
      </c>
      <c r="DL132" t="s">
        <v>664</v>
      </c>
      <c r="DM132">
        <v>6</v>
      </c>
      <c r="DN132">
        <v>8</v>
      </c>
      <c r="DO132" t="s">
        <v>739</v>
      </c>
      <c r="DQ132" t="s">
        <v>927</v>
      </c>
      <c r="DR132">
        <v>14</v>
      </c>
      <c r="DS132">
        <v>0</v>
      </c>
      <c r="DU132">
        <v>14</v>
      </c>
      <c r="DV132">
        <v>0</v>
      </c>
      <c r="DX132">
        <v>14</v>
      </c>
      <c r="DY132">
        <v>0</v>
      </c>
      <c r="DZ132" t="s">
        <v>246</v>
      </c>
      <c r="EA132" t="s">
        <v>929</v>
      </c>
    </row>
    <row r="133" spans="1:131" x14ac:dyDescent="0.4">
      <c r="A133" s="34">
        <v>43067.305104166669</v>
      </c>
      <c r="B133" s="25">
        <v>42933.713888888888</v>
      </c>
      <c r="D133" s="34"/>
      <c r="E133" s="34" t="s">
        <v>193</v>
      </c>
      <c r="F133" s="34" t="s">
        <v>191</v>
      </c>
      <c r="G133" s="34" t="s">
        <v>100</v>
      </c>
      <c r="H133" t="s">
        <v>279</v>
      </c>
      <c r="I133" t="s">
        <v>243</v>
      </c>
      <c r="J133" t="s">
        <v>712</v>
      </c>
      <c r="K133" t="s">
        <v>713</v>
      </c>
      <c r="L133" t="s">
        <v>711</v>
      </c>
      <c r="M133" s="30">
        <v>2.0299999999999998</v>
      </c>
      <c r="N133">
        <v>7</v>
      </c>
      <c r="P133" s="24" t="str">
        <f>IFERROR(MID(RADataTable[[#This Row],[RATemplate]],1,LEN(RADataTable[[#This Row],[RATemplate]])-8),"RA") &amp; " " &amp; RADataTable[[#This Row],[prop_id0]] &amp; " " &amp; RADataTable[[#This Row],[last0]]</f>
        <v>RA 1749563 Del Pia</v>
      </c>
      <c r="T133">
        <v>4</v>
      </c>
      <c r="U133">
        <v>4</v>
      </c>
      <c r="V133" s="34">
        <v>43031.584027777775</v>
      </c>
      <c r="W133">
        <v>1</v>
      </c>
      <c r="X133" s="15" t="str">
        <f>HYPERLINK("https://www.ejacket.nsf.gov/ej/showProposal.do?Continue=Y&amp;ID="&amp;RADataTable[[#This Row],[prop_id0]],"eJ")</f>
        <v>eJ</v>
      </c>
      <c r="Y133" s="15" t="str">
        <f>HYPERLINK("mailto:"&amp;RADataTable[[#This Row],[email]]&amp;"&amp;subject=Your NSF Proposal:  "&amp;RADataTable[[#This Row],[Div]]&amp;" "&amp;RADataTable[[#This Row],[prop_id0]], RADataTable[[#This Row],[email]])</f>
        <v>delpia@wisc.edu</v>
      </c>
      <c r="Z133" s="15" t="str">
        <f>HYPERLINK("mailto:"&amp;RADataTable[[#This Row],[allPIemail]]&amp;"&amp;subject=NSF Proposal:  "&amp;RADataTable[[#This Row],[Div]]&amp;" "&amp;RADataTable[[#This Row],[prop_id0]], "PIs@")</f>
        <v>PIs@</v>
      </c>
      <c r="AA133" t="s">
        <v>245</v>
      </c>
      <c r="AB133" t="s">
        <v>664</v>
      </c>
      <c r="AC133" s="30" t="s">
        <v>736</v>
      </c>
      <c r="AD133" t="s">
        <v>737</v>
      </c>
      <c r="AE133" t="s">
        <v>284</v>
      </c>
      <c r="AF133" s="36">
        <v>500000</v>
      </c>
      <c r="AG133" s="36">
        <v>500000</v>
      </c>
      <c r="AH133" s="24"/>
      <c r="AJ133" s="34"/>
      <c r="AK133" t="s">
        <v>923</v>
      </c>
      <c r="AL133" t="s">
        <v>232</v>
      </c>
      <c r="AM133" s="34" t="s">
        <v>925</v>
      </c>
      <c r="AN133" s="34">
        <v>43032</v>
      </c>
      <c r="AO133" s="24">
        <v>3</v>
      </c>
      <c r="AP133" t="s">
        <v>936</v>
      </c>
      <c r="AR133" s="35"/>
      <c r="AS133"/>
      <c r="AT133" s="34"/>
      <c r="AV133" s="34"/>
      <c r="AX133" s="34"/>
      <c r="AY133"/>
      <c r="BA133" s="34"/>
      <c r="BB133"/>
      <c r="BC133" t="s">
        <v>740</v>
      </c>
      <c r="BD133" s="36">
        <v>500000</v>
      </c>
      <c r="BE133" s="36">
        <v>500000</v>
      </c>
      <c r="BF133">
        <v>0</v>
      </c>
      <c r="BG133" s="34">
        <v>43344</v>
      </c>
      <c r="BH133">
        <v>60</v>
      </c>
      <c r="BI133" t="s">
        <v>283</v>
      </c>
      <c r="BJ133" t="s">
        <v>928</v>
      </c>
      <c r="BK133" t="s">
        <v>234</v>
      </c>
      <c r="BL133" t="s">
        <v>194</v>
      </c>
      <c r="BM133" s="8" t="s">
        <v>192</v>
      </c>
      <c r="BN133" t="s">
        <v>189</v>
      </c>
      <c r="BO133" t="s">
        <v>190</v>
      </c>
      <c r="BP133" s="35" t="s">
        <v>718</v>
      </c>
      <c r="BQ133"/>
      <c r="BU133" s="35"/>
      <c r="BV133" s="35"/>
      <c r="BX133"/>
      <c r="CA133" s="35"/>
      <c r="CB133" s="35"/>
      <c r="CC133"/>
      <c r="CG133" s="35"/>
      <c r="CH133" s="35"/>
      <c r="CK133"/>
      <c r="CM133" s="35"/>
      <c r="CN133" s="35"/>
      <c r="CQ133"/>
      <c r="CS133" s="35"/>
      <c r="CT133" s="35"/>
      <c r="CX133"/>
      <c r="CZ133" s="35"/>
      <c r="DD133" s="34"/>
      <c r="DG133" t="s">
        <v>738</v>
      </c>
      <c r="DH133" t="s">
        <v>937</v>
      </c>
      <c r="DI133" t="s">
        <v>233</v>
      </c>
      <c r="DL133" t="s">
        <v>664</v>
      </c>
      <c r="DM133">
        <v>6</v>
      </c>
      <c r="DN133">
        <v>8</v>
      </c>
      <c r="DO133" t="s">
        <v>739</v>
      </c>
      <c r="DQ133" t="s">
        <v>927</v>
      </c>
      <c r="DR133">
        <v>14</v>
      </c>
      <c r="DS133">
        <v>0</v>
      </c>
      <c r="DU133">
        <v>14</v>
      </c>
      <c r="DV133">
        <v>0</v>
      </c>
      <c r="DX133">
        <v>14</v>
      </c>
      <c r="DY133">
        <v>0</v>
      </c>
      <c r="DZ133" t="s">
        <v>246</v>
      </c>
      <c r="EA133" t="s">
        <v>929</v>
      </c>
    </row>
    <row r="134" spans="1:131" x14ac:dyDescent="0.4">
      <c r="A134" s="34">
        <v>43067.305104166669</v>
      </c>
      <c r="B134" s="25">
        <v>42933.713888888888</v>
      </c>
      <c r="D134" s="34"/>
      <c r="E134" s="34" t="s">
        <v>193</v>
      </c>
      <c r="F134" s="34" t="s">
        <v>191</v>
      </c>
      <c r="G134" s="34" t="s">
        <v>100</v>
      </c>
      <c r="H134" t="s">
        <v>279</v>
      </c>
      <c r="I134" t="s">
        <v>243</v>
      </c>
      <c r="J134" t="s">
        <v>712</v>
      </c>
      <c r="K134" t="s">
        <v>713</v>
      </c>
      <c r="L134" t="s">
        <v>711</v>
      </c>
      <c r="M134" s="30">
        <v>2.0299999999999998</v>
      </c>
      <c r="N134">
        <v>7</v>
      </c>
      <c r="P134" s="24" t="str">
        <f>IFERROR(MID(RADataTable[[#This Row],[RATemplate]],1,LEN(RADataTable[[#This Row],[RATemplate]])-8),"RA") &amp; " " &amp; RADataTable[[#This Row],[prop_id0]] &amp; " " &amp; RADataTable[[#This Row],[last0]]</f>
        <v>RA 1749563 Del Pia</v>
      </c>
      <c r="T134">
        <v>4</v>
      </c>
      <c r="U134">
        <v>4</v>
      </c>
      <c r="V134" s="34">
        <v>43031.584027777775</v>
      </c>
      <c r="W134">
        <v>1</v>
      </c>
      <c r="X134" s="15" t="str">
        <f>HYPERLINK("https://www.ejacket.nsf.gov/ej/showProposal.do?Continue=Y&amp;ID="&amp;RADataTable[[#This Row],[prop_id0]],"eJ")</f>
        <v>eJ</v>
      </c>
      <c r="Y134" s="15" t="str">
        <f>HYPERLINK("mailto:"&amp;RADataTable[[#This Row],[email]]&amp;"&amp;subject=Your NSF Proposal:  "&amp;RADataTable[[#This Row],[Div]]&amp;" "&amp;RADataTable[[#This Row],[prop_id0]], RADataTable[[#This Row],[email]])</f>
        <v>delpia@wisc.edu</v>
      </c>
      <c r="Z134" s="15" t="str">
        <f>HYPERLINK("mailto:"&amp;RADataTable[[#This Row],[allPIemail]]&amp;"&amp;subject=NSF Proposal:  "&amp;RADataTable[[#This Row],[Div]]&amp;" "&amp;RADataTable[[#This Row],[prop_id0]], "PIs@")</f>
        <v>PIs@</v>
      </c>
      <c r="AA134" t="s">
        <v>245</v>
      </c>
      <c r="AB134" t="s">
        <v>664</v>
      </c>
      <c r="AC134" s="30" t="s">
        <v>736</v>
      </c>
      <c r="AD134" t="s">
        <v>737</v>
      </c>
      <c r="AE134" t="s">
        <v>284</v>
      </c>
      <c r="AF134" s="36">
        <v>500000</v>
      </c>
      <c r="AG134" s="36">
        <v>500000</v>
      </c>
      <c r="AH134" s="24"/>
      <c r="AJ134" s="34"/>
      <c r="AK134" t="s">
        <v>923</v>
      </c>
      <c r="AL134" t="s">
        <v>232</v>
      </c>
      <c r="AM134" s="34" t="s">
        <v>925</v>
      </c>
      <c r="AN134" s="34">
        <v>43032</v>
      </c>
      <c r="AO134" s="24">
        <v>3</v>
      </c>
      <c r="AP134" t="s">
        <v>936</v>
      </c>
      <c r="AR134" s="35"/>
      <c r="AS134"/>
      <c r="AT134" s="34"/>
      <c r="AV134" s="34"/>
      <c r="AX134" s="34"/>
      <c r="AY134"/>
      <c r="BA134" s="34"/>
      <c r="BB134"/>
      <c r="BC134" t="s">
        <v>740</v>
      </c>
      <c r="BD134" s="36">
        <v>500000</v>
      </c>
      <c r="BE134" s="36">
        <v>500000</v>
      </c>
      <c r="BF134">
        <v>0</v>
      </c>
      <c r="BG134" s="34">
        <v>43344</v>
      </c>
      <c r="BH134">
        <v>60</v>
      </c>
      <c r="BI134" t="s">
        <v>283</v>
      </c>
      <c r="BJ134" t="s">
        <v>928</v>
      </c>
      <c r="BK134" t="s">
        <v>234</v>
      </c>
      <c r="BL134" t="s">
        <v>194</v>
      </c>
      <c r="BM134" s="8" t="s">
        <v>192</v>
      </c>
      <c r="BN134" t="s">
        <v>189</v>
      </c>
      <c r="BO134" t="s">
        <v>190</v>
      </c>
      <c r="BP134" s="35" t="s">
        <v>718</v>
      </c>
      <c r="BQ134"/>
      <c r="BU134" s="35"/>
      <c r="BV134" s="35"/>
      <c r="BX134"/>
      <c r="CA134" s="35"/>
      <c r="CB134" s="35"/>
      <c r="CC134"/>
      <c r="CG134" s="35"/>
      <c r="CH134" s="35"/>
      <c r="CK134"/>
      <c r="CM134" s="35"/>
      <c r="CN134" s="35"/>
      <c r="CQ134"/>
      <c r="CS134" s="35"/>
      <c r="CT134" s="35"/>
      <c r="CX134"/>
      <c r="CZ134" s="35"/>
      <c r="DD134" s="34"/>
      <c r="DG134" t="s">
        <v>738</v>
      </c>
      <c r="DH134" t="s">
        <v>937</v>
      </c>
      <c r="DI134" t="s">
        <v>233</v>
      </c>
      <c r="DL134" t="s">
        <v>664</v>
      </c>
      <c r="DM134">
        <v>6</v>
      </c>
      <c r="DN134">
        <v>8</v>
      </c>
      <c r="DO134" t="s">
        <v>739</v>
      </c>
      <c r="DQ134" t="s">
        <v>927</v>
      </c>
      <c r="DR134">
        <v>14</v>
      </c>
      <c r="DS134">
        <v>0</v>
      </c>
      <c r="DU134">
        <v>14</v>
      </c>
      <c r="DV134">
        <v>0</v>
      </c>
      <c r="DX134">
        <v>14</v>
      </c>
      <c r="DY134">
        <v>0</v>
      </c>
      <c r="DZ134" t="s">
        <v>246</v>
      </c>
      <c r="EA134" t="s">
        <v>929</v>
      </c>
    </row>
    <row r="135" spans="1:131" x14ac:dyDescent="0.4">
      <c r="A135" s="34">
        <v>43067.305104166669</v>
      </c>
      <c r="B135" s="25">
        <v>42933.713888888888</v>
      </c>
      <c r="D135" s="34"/>
      <c r="E135" s="34" t="s">
        <v>193</v>
      </c>
      <c r="F135" s="34" t="s">
        <v>191</v>
      </c>
      <c r="G135" s="34" t="s">
        <v>100</v>
      </c>
      <c r="H135" t="s">
        <v>279</v>
      </c>
      <c r="I135" t="s">
        <v>243</v>
      </c>
      <c r="J135" t="s">
        <v>712</v>
      </c>
      <c r="K135" t="s">
        <v>713</v>
      </c>
      <c r="L135" t="s">
        <v>711</v>
      </c>
      <c r="M135" s="30">
        <v>2.0299999999999998</v>
      </c>
      <c r="N135">
        <v>7</v>
      </c>
      <c r="P135" s="24" t="str">
        <f>IFERROR(MID(RADataTable[[#This Row],[RATemplate]],1,LEN(RADataTable[[#This Row],[RATemplate]])-8),"RA") &amp; " " &amp; RADataTable[[#This Row],[prop_id0]] &amp; " " &amp; RADataTable[[#This Row],[last0]]</f>
        <v>RA 1749563 Del Pia</v>
      </c>
      <c r="T135">
        <v>4</v>
      </c>
      <c r="U135">
        <v>4</v>
      </c>
      <c r="V135" s="34">
        <v>43031.584027777775</v>
      </c>
      <c r="W135">
        <v>1</v>
      </c>
      <c r="X135" s="15" t="str">
        <f>HYPERLINK("https://www.ejacket.nsf.gov/ej/showProposal.do?Continue=Y&amp;ID="&amp;RADataTable[[#This Row],[prop_id0]],"eJ")</f>
        <v>eJ</v>
      </c>
      <c r="Y135" s="15" t="str">
        <f>HYPERLINK("mailto:"&amp;RADataTable[[#This Row],[email]]&amp;"&amp;subject=Your NSF Proposal:  "&amp;RADataTable[[#This Row],[Div]]&amp;" "&amp;RADataTable[[#This Row],[prop_id0]], RADataTable[[#This Row],[email]])</f>
        <v>delpia@wisc.edu</v>
      </c>
      <c r="Z135" s="15" t="str">
        <f>HYPERLINK("mailto:"&amp;RADataTable[[#This Row],[allPIemail]]&amp;"&amp;subject=NSF Proposal:  "&amp;RADataTable[[#This Row],[Div]]&amp;" "&amp;RADataTable[[#This Row],[prop_id0]], "PIs@")</f>
        <v>PIs@</v>
      </c>
      <c r="AA135" t="s">
        <v>245</v>
      </c>
      <c r="AB135" t="s">
        <v>664</v>
      </c>
      <c r="AC135" s="30" t="s">
        <v>736</v>
      </c>
      <c r="AD135" t="s">
        <v>737</v>
      </c>
      <c r="AE135" t="s">
        <v>284</v>
      </c>
      <c r="AF135" s="36">
        <v>500000</v>
      </c>
      <c r="AG135" s="36">
        <v>500000</v>
      </c>
      <c r="AH135" s="24"/>
      <c r="AJ135" s="34"/>
      <c r="AK135" t="s">
        <v>923</v>
      </c>
      <c r="AL135" t="s">
        <v>232</v>
      </c>
      <c r="AM135" s="34" t="s">
        <v>925</v>
      </c>
      <c r="AN135" s="34">
        <v>43032</v>
      </c>
      <c r="AO135" s="24">
        <v>3</v>
      </c>
      <c r="AP135" t="s">
        <v>936</v>
      </c>
      <c r="AR135" s="35"/>
      <c r="AS135"/>
      <c r="AT135" s="34"/>
      <c r="AV135" s="34"/>
      <c r="AX135" s="34"/>
      <c r="AY135"/>
      <c r="BA135" s="34"/>
      <c r="BB135"/>
      <c r="BC135" t="s">
        <v>740</v>
      </c>
      <c r="BD135" s="36">
        <v>500000</v>
      </c>
      <c r="BE135" s="36">
        <v>500000</v>
      </c>
      <c r="BF135">
        <v>0</v>
      </c>
      <c r="BG135" s="34">
        <v>43344</v>
      </c>
      <c r="BH135">
        <v>60</v>
      </c>
      <c r="BI135" t="s">
        <v>283</v>
      </c>
      <c r="BJ135" t="s">
        <v>928</v>
      </c>
      <c r="BK135" t="s">
        <v>234</v>
      </c>
      <c r="BL135" t="s">
        <v>194</v>
      </c>
      <c r="BM135" s="8" t="s">
        <v>192</v>
      </c>
      <c r="BN135" t="s">
        <v>189</v>
      </c>
      <c r="BO135" t="s">
        <v>190</v>
      </c>
      <c r="BP135" s="35" t="s">
        <v>718</v>
      </c>
      <c r="BQ135"/>
      <c r="BU135" s="35"/>
      <c r="BV135" s="35"/>
      <c r="BX135"/>
      <c r="CA135" s="35"/>
      <c r="CB135" s="35"/>
      <c r="CC135"/>
      <c r="CG135" s="35"/>
      <c r="CH135" s="35"/>
      <c r="CK135"/>
      <c r="CM135" s="35"/>
      <c r="CN135" s="35"/>
      <c r="CQ135"/>
      <c r="CS135" s="35"/>
      <c r="CT135" s="35"/>
      <c r="CX135"/>
      <c r="CZ135" s="35"/>
      <c r="DD135" s="34"/>
      <c r="DG135" t="s">
        <v>738</v>
      </c>
      <c r="DH135" t="s">
        <v>937</v>
      </c>
      <c r="DI135" t="s">
        <v>233</v>
      </c>
      <c r="DL135" t="s">
        <v>664</v>
      </c>
      <c r="DM135">
        <v>6</v>
      </c>
      <c r="DN135">
        <v>8</v>
      </c>
      <c r="DO135" t="s">
        <v>739</v>
      </c>
      <c r="DQ135" t="s">
        <v>927</v>
      </c>
      <c r="DR135">
        <v>14</v>
      </c>
      <c r="DS135">
        <v>0</v>
      </c>
      <c r="DU135">
        <v>14</v>
      </c>
      <c r="DV135">
        <v>0</v>
      </c>
      <c r="DX135">
        <v>14</v>
      </c>
      <c r="DY135">
        <v>0</v>
      </c>
      <c r="DZ135" t="s">
        <v>246</v>
      </c>
      <c r="EA135" t="s">
        <v>929</v>
      </c>
    </row>
    <row r="136" spans="1:131" x14ac:dyDescent="0.4">
      <c r="A136" s="34">
        <v>43067.305104166669</v>
      </c>
      <c r="B136" s="25">
        <v>42933.713888888888</v>
      </c>
      <c r="D136" s="34"/>
      <c r="E136" s="34" t="s">
        <v>193</v>
      </c>
      <c r="F136" s="34" t="s">
        <v>191</v>
      </c>
      <c r="G136" s="34" t="s">
        <v>100</v>
      </c>
      <c r="H136" t="s">
        <v>279</v>
      </c>
      <c r="I136" t="s">
        <v>243</v>
      </c>
      <c r="J136" t="s">
        <v>712</v>
      </c>
      <c r="K136" t="s">
        <v>713</v>
      </c>
      <c r="L136" t="s">
        <v>711</v>
      </c>
      <c r="M136" s="30">
        <v>2.0299999999999998</v>
      </c>
      <c r="N136">
        <v>7</v>
      </c>
      <c r="P136" s="24" t="str">
        <f>IFERROR(MID(RADataTable[[#This Row],[RATemplate]],1,LEN(RADataTable[[#This Row],[RATemplate]])-8),"RA") &amp; " " &amp; RADataTable[[#This Row],[prop_id0]] &amp; " " &amp; RADataTable[[#This Row],[last0]]</f>
        <v>RA 1749563 Del Pia</v>
      </c>
      <c r="T136">
        <v>4</v>
      </c>
      <c r="U136">
        <v>4</v>
      </c>
      <c r="V136" s="34">
        <v>43031.584027777775</v>
      </c>
      <c r="W136">
        <v>1</v>
      </c>
      <c r="X136" s="15" t="str">
        <f>HYPERLINK("https://www.ejacket.nsf.gov/ej/showProposal.do?Continue=Y&amp;ID="&amp;RADataTable[[#This Row],[prop_id0]],"eJ")</f>
        <v>eJ</v>
      </c>
      <c r="Y136" s="15" t="str">
        <f>HYPERLINK("mailto:"&amp;RADataTable[[#This Row],[email]]&amp;"&amp;subject=Your NSF Proposal:  "&amp;RADataTable[[#This Row],[Div]]&amp;" "&amp;RADataTable[[#This Row],[prop_id0]], RADataTable[[#This Row],[email]])</f>
        <v>delpia@wisc.edu</v>
      </c>
      <c r="Z136" s="15" t="str">
        <f>HYPERLINK("mailto:"&amp;RADataTable[[#This Row],[allPIemail]]&amp;"&amp;subject=NSF Proposal:  "&amp;RADataTable[[#This Row],[Div]]&amp;" "&amp;RADataTable[[#This Row],[prop_id0]], "PIs@")</f>
        <v>PIs@</v>
      </c>
      <c r="AA136" t="s">
        <v>245</v>
      </c>
      <c r="AB136" t="s">
        <v>664</v>
      </c>
      <c r="AC136" s="30" t="s">
        <v>736</v>
      </c>
      <c r="AD136" t="s">
        <v>737</v>
      </c>
      <c r="AE136" t="s">
        <v>284</v>
      </c>
      <c r="AF136" s="36">
        <v>500000</v>
      </c>
      <c r="AG136" s="36">
        <v>500000</v>
      </c>
      <c r="AH136" s="24"/>
      <c r="AJ136" s="34"/>
      <c r="AK136" t="s">
        <v>923</v>
      </c>
      <c r="AL136" t="s">
        <v>232</v>
      </c>
      <c r="AM136" s="34" t="s">
        <v>925</v>
      </c>
      <c r="AN136" s="34">
        <v>43032</v>
      </c>
      <c r="AO136" s="24">
        <v>3</v>
      </c>
      <c r="AP136" t="s">
        <v>936</v>
      </c>
      <c r="AR136" s="35"/>
      <c r="AS136"/>
      <c r="AT136" s="34"/>
      <c r="AV136" s="34"/>
      <c r="AX136" s="34"/>
      <c r="AY136"/>
      <c r="BA136" s="34"/>
      <c r="BB136"/>
      <c r="BC136" t="s">
        <v>740</v>
      </c>
      <c r="BD136" s="36">
        <v>500000</v>
      </c>
      <c r="BE136" s="36">
        <v>500000</v>
      </c>
      <c r="BF136">
        <v>0</v>
      </c>
      <c r="BG136" s="34">
        <v>43344</v>
      </c>
      <c r="BH136">
        <v>60</v>
      </c>
      <c r="BI136" t="s">
        <v>283</v>
      </c>
      <c r="BJ136" t="s">
        <v>928</v>
      </c>
      <c r="BK136" t="s">
        <v>234</v>
      </c>
      <c r="BL136" t="s">
        <v>194</v>
      </c>
      <c r="BM136" s="8" t="s">
        <v>192</v>
      </c>
      <c r="BN136" t="s">
        <v>189</v>
      </c>
      <c r="BO136" t="s">
        <v>190</v>
      </c>
      <c r="BP136" s="35" t="s">
        <v>718</v>
      </c>
      <c r="BQ136"/>
      <c r="BU136" s="35"/>
      <c r="BV136" s="35"/>
      <c r="BX136"/>
      <c r="CA136" s="35"/>
      <c r="CB136" s="35"/>
      <c r="CC136"/>
      <c r="CG136" s="35"/>
      <c r="CH136" s="35"/>
      <c r="CK136"/>
      <c r="CM136" s="35"/>
      <c r="CN136" s="35"/>
      <c r="CQ136"/>
      <c r="CS136" s="35"/>
      <c r="CT136" s="35"/>
      <c r="CX136"/>
      <c r="CZ136" s="35"/>
      <c r="DD136" s="34"/>
      <c r="DG136" t="s">
        <v>738</v>
      </c>
      <c r="DH136" t="s">
        <v>937</v>
      </c>
      <c r="DI136" t="s">
        <v>233</v>
      </c>
      <c r="DL136" t="s">
        <v>664</v>
      </c>
      <c r="DM136">
        <v>6</v>
      </c>
      <c r="DN136">
        <v>8</v>
      </c>
      <c r="DO136" t="s">
        <v>739</v>
      </c>
      <c r="DQ136" t="s">
        <v>927</v>
      </c>
      <c r="DR136">
        <v>14</v>
      </c>
      <c r="DS136">
        <v>0</v>
      </c>
      <c r="DU136">
        <v>14</v>
      </c>
      <c r="DV136">
        <v>0</v>
      </c>
      <c r="DX136">
        <v>14</v>
      </c>
      <c r="DY136">
        <v>0</v>
      </c>
      <c r="DZ136" t="s">
        <v>246</v>
      </c>
      <c r="EA136" t="s">
        <v>929</v>
      </c>
    </row>
    <row r="137" spans="1:131" x14ac:dyDescent="0.4">
      <c r="A137" s="34">
        <v>43067.305104166669</v>
      </c>
      <c r="B137" s="25">
        <v>42933.713888888888</v>
      </c>
      <c r="D137" s="34"/>
      <c r="E137" s="34" t="s">
        <v>193</v>
      </c>
      <c r="F137" s="34" t="s">
        <v>191</v>
      </c>
      <c r="G137" s="34" t="s">
        <v>100</v>
      </c>
      <c r="H137" t="s">
        <v>279</v>
      </c>
      <c r="I137" t="s">
        <v>243</v>
      </c>
      <c r="J137" t="s">
        <v>712</v>
      </c>
      <c r="K137" t="s">
        <v>713</v>
      </c>
      <c r="L137" t="s">
        <v>711</v>
      </c>
      <c r="M137" s="30">
        <v>2.0299999999999998</v>
      </c>
      <c r="N137">
        <v>7</v>
      </c>
      <c r="P137" s="24" t="str">
        <f>IFERROR(MID(RADataTable[[#This Row],[RATemplate]],1,LEN(RADataTable[[#This Row],[RATemplate]])-8),"RA") &amp; " " &amp; RADataTable[[#This Row],[prop_id0]] &amp; " " &amp; RADataTable[[#This Row],[last0]]</f>
        <v>RA 1749563 Del Pia</v>
      </c>
      <c r="T137">
        <v>4</v>
      </c>
      <c r="U137">
        <v>4</v>
      </c>
      <c r="V137" s="34">
        <v>43031.584027777775</v>
      </c>
      <c r="W137">
        <v>1</v>
      </c>
      <c r="X137" s="15" t="str">
        <f>HYPERLINK("https://www.ejacket.nsf.gov/ej/showProposal.do?Continue=Y&amp;ID="&amp;RADataTable[[#This Row],[prop_id0]],"eJ")</f>
        <v>eJ</v>
      </c>
      <c r="Y137" s="15" t="str">
        <f>HYPERLINK("mailto:"&amp;RADataTable[[#This Row],[email]]&amp;"&amp;subject=Your NSF Proposal:  "&amp;RADataTable[[#This Row],[Div]]&amp;" "&amp;RADataTable[[#This Row],[prop_id0]], RADataTable[[#This Row],[email]])</f>
        <v>delpia@wisc.edu</v>
      </c>
      <c r="Z137" s="15" t="str">
        <f>HYPERLINK("mailto:"&amp;RADataTable[[#This Row],[allPIemail]]&amp;"&amp;subject=NSF Proposal:  "&amp;RADataTable[[#This Row],[Div]]&amp;" "&amp;RADataTable[[#This Row],[prop_id0]], "PIs@")</f>
        <v>PIs@</v>
      </c>
      <c r="AA137" t="s">
        <v>245</v>
      </c>
      <c r="AB137" t="s">
        <v>664</v>
      </c>
      <c r="AC137" s="30" t="s">
        <v>736</v>
      </c>
      <c r="AD137" t="s">
        <v>737</v>
      </c>
      <c r="AE137" t="s">
        <v>284</v>
      </c>
      <c r="AF137" s="36">
        <v>500000</v>
      </c>
      <c r="AG137" s="36">
        <v>500000</v>
      </c>
      <c r="AH137" s="24"/>
      <c r="AJ137" s="34"/>
      <c r="AK137" t="s">
        <v>923</v>
      </c>
      <c r="AL137" t="s">
        <v>232</v>
      </c>
      <c r="AM137" s="34" t="s">
        <v>925</v>
      </c>
      <c r="AN137" s="34">
        <v>43032</v>
      </c>
      <c r="AO137" s="24">
        <v>3</v>
      </c>
      <c r="AP137" t="s">
        <v>936</v>
      </c>
      <c r="AR137" s="35"/>
      <c r="AS137"/>
      <c r="AT137" s="34"/>
      <c r="AV137" s="34"/>
      <c r="AX137" s="34"/>
      <c r="AY137"/>
      <c r="BA137" s="34"/>
      <c r="BB137"/>
      <c r="BC137" t="s">
        <v>740</v>
      </c>
      <c r="BD137" s="36">
        <v>500000</v>
      </c>
      <c r="BE137" s="36">
        <v>500000</v>
      </c>
      <c r="BF137">
        <v>0</v>
      </c>
      <c r="BG137" s="34">
        <v>43344</v>
      </c>
      <c r="BH137">
        <v>60</v>
      </c>
      <c r="BI137" t="s">
        <v>283</v>
      </c>
      <c r="BJ137" t="s">
        <v>928</v>
      </c>
      <c r="BK137" t="s">
        <v>234</v>
      </c>
      <c r="BL137" t="s">
        <v>194</v>
      </c>
      <c r="BM137" s="8" t="s">
        <v>192</v>
      </c>
      <c r="BN137" t="s">
        <v>189</v>
      </c>
      <c r="BO137" t="s">
        <v>190</v>
      </c>
      <c r="BP137" s="35" t="s">
        <v>718</v>
      </c>
      <c r="BQ137"/>
      <c r="BU137" s="35"/>
      <c r="BV137" s="35"/>
      <c r="BX137"/>
      <c r="CA137" s="35"/>
      <c r="CB137" s="35"/>
      <c r="CC137"/>
      <c r="CG137" s="35"/>
      <c r="CH137" s="35"/>
      <c r="CK137"/>
      <c r="CM137" s="35"/>
      <c r="CN137" s="35"/>
      <c r="CQ137"/>
      <c r="CS137" s="35"/>
      <c r="CT137" s="35"/>
      <c r="CX137"/>
      <c r="CZ137" s="35"/>
      <c r="DD137" s="34"/>
      <c r="DG137" t="s">
        <v>738</v>
      </c>
      <c r="DH137" t="s">
        <v>937</v>
      </c>
      <c r="DI137" t="s">
        <v>233</v>
      </c>
      <c r="DL137" t="s">
        <v>664</v>
      </c>
      <c r="DM137">
        <v>6</v>
      </c>
      <c r="DN137">
        <v>8</v>
      </c>
      <c r="DO137" t="s">
        <v>739</v>
      </c>
      <c r="DQ137" t="s">
        <v>927</v>
      </c>
      <c r="DR137">
        <v>14</v>
      </c>
      <c r="DS137">
        <v>0</v>
      </c>
      <c r="DU137">
        <v>14</v>
      </c>
      <c r="DV137">
        <v>0</v>
      </c>
      <c r="DX137">
        <v>14</v>
      </c>
      <c r="DY137">
        <v>0</v>
      </c>
      <c r="DZ137" t="s">
        <v>246</v>
      </c>
      <c r="EA137" t="s">
        <v>929</v>
      </c>
    </row>
    <row r="138" spans="1:131" x14ac:dyDescent="0.4">
      <c r="A138" s="34">
        <v>43067.305104166669</v>
      </c>
      <c r="B138" s="25">
        <v>42933.713888888888</v>
      </c>
      <c r="D138" s="34"/>
      <c r="E138" s="34" t="s">
        <v>193</v>
      </c>
      <c r="F138" s="34" t="s">
        <v>191</v>
      </c>
      <c r="G138" s="34" t="s">
        <v>100</v>
      </c>
      <c r="H138" t="s">
        <v>279</v>
      </c>
      <c r="I138" t="s">
        <v>243</v>
      </c>
      <c r="J138" t="s">
        <v>712</v>
      </c>
      <c r="K138" t="s">
        <v>713</v>
      </c>
      <c r="L138" t="s">
        <v>711</v>
      </c>
      <c r="M138" s="30">
        <v>2.0299999999999998</v>
      </c>
      <c r="N138">
        <v>7</v>
      </c>
      <c r="P138" s="24" t="str">
        <f>IFERROR(MID(RADataTable[[#This Row],[RATemplate]],1,LEN(RADataTable[[#This Row],[RATemplate]])-8),"RA") &amp; " " &amp; RADataTable[[#This Row],[prop_id0]] &amp; " " &amp; RADataTable[[#This Row],[last0]]</f>
        <v>RA 1749563 Del Pia</v>
      </c>
      <c r="T138">
        <v>4</v>
      </c>
      <c r="U138">
        <v>4</v>
      </c>
      <c r="V138" s="34">
        <v>43031.584027777775</v>
      </c>
      <c r="W138">
        <v>1</v>
      </c>
      <c r="X138" s="15" t="str">
        <f>HYPERLINK("https://www.ejacket.nsf.gov/ej/showProposal.do?Continue=Y&amp;ID="&amp;RADataTable[[#This Row],[prop_id0]],"eJ")</f>
        <v>eJ</v>
      </c>
      <c r="Y138" s="15" t="str">
        <f>HYPERLINK("mailto:"&amp;RADataTable[[#This Row],[email]]&amp;"&amp;subject=Your NSF Proposal:  "&amp;RADataTable[[#This Row],[Div]]&amp;" "&amp;RADataTable[[#This Row],[prop_id0]], RADataTable[[#This Row],[email]])</f>
        <v>delpia@wisc.edu</v>
      </c>
      <c r="Z138" s="15" t="str">
        <f>HYPERLINK("mailto:"&amp;RADataTable[[#This Row],[allPIemail]]&amp;"&amp;subject=NSF Proposal:  "&amp;RADataTable[[#This Row],[Div]]&amp;" "&amp;RADataTable[[#This Row],[prop_id0]], "PIs@")</f>
        <v>PIs@</v>
      </c>
      <c r="AA138" t="s">
        <v>245</v>
      </c>
      <c r="AB138" t="s">
        <v>664</v>
      </c>
      <c r="AC138" s="30" t="s">
        <v>736</v>
      </c>
      <c r="AD138" t="s">
        <v>737</v>
      </c>
      <c r="AE138" t="s">
        <v>284</v>
      </c>
      <c r="AF138" s="36">
        <v>500000</v>
      </c>
      <c r="AG138" s="36">
        <v>500000</v>
      </c>
      <c r="AH138" s="24"/>
      <c r="AJ138" s="34"/>
      <c r="AK138" t="s">
        <v>923</v>
      </c>
      <c r="AL138" t="s">
        <v>232</v>
      </c>
      <c r="AM138" s="34" t="s">
        <v>925</v>
      </c>
      <c r="AN138" s="34">
        <v>43032</v>
      </c>
      <c r="AO138" s="24">
        <v>3</v>
      </c>
      <c r="AP138" t="s">
        <v>936</v>
      </c>
      <c r="AR138" s="35"/>
      <c r="AS138"/>
      <c r="AT138" s="34"/>
      <c r="AV138" s="34"/>
      <c r="AX138" s="34"/>
      <c r="AY138"/>
      <c r="BA138" s="34"/>
      <c r="BB138"/>
      <c r="BC138" t="s">
        <v>740</v>
      </c>
      <c r="BD138" s="36">
        <v>500000</v>
      </c>
      <c r="BE138" s="36">
        <v>500000</v>
      </c>
      <c r="BF138">
        <v>0</v>
      </c>
      <c r="BG138" s="34">
        <v>43344</v>
      </c>
      <c r="BH138">
        <v>60</v>
      </c>
      <c r="BI138" t="s">
        <v>283</v>
      </c>
      <c r="BJ138" t="s">
        <v>928</v>
      </c>
      <c r="BK138" t="s">
        <v>234</v>
      </c>
      <c r="BL138" t="s">
        <v>194</v>
      </c>
      <c r="BM138" s="8" t="s">
        <v>192</v>
      </c>
      <c r="BN138" t="s">
        <v>189</v>
      </c>
      <c r="BO138" t="s">
        <v>190</v>
      </c>
      <c r="BP138" s="35" t="s">
        <v>718</v>
      </c>
      <c r="BQ138"/>
      <c r="BU138" s="35"/>
      <c r="BV138" s="35"/>
      <c r="BX138"/>
      <c r="CA138" s="35"/>
      <c r="CB138" s="35"/>
      <c r="CC138"/>
      <c r="CG138" s="35"/>
      <c r="CH138" s="35"/>
      <c r="CK138"/>
      <c r="CM138" s="35"/>
      <c r="CN138" s="35"/>
      <c r="CQ138"/>
      <c r="CS138" s="35"/>
      <c r="CT138" s="35"/>
      <c r="CX138"/>
      <c r="CZ138" s="35"/>
      <c r="DD138" s="34"/>
      <c r="DG138" t="s">
        <v>738</v>
      </c>
      <c r="DH138" t="s">
        <v>937</v>
      </c>
      <c r="DI138" t="s">
        <v>233</v>
      </c>
      <c r="DL138" t="s">
        <v>664</v>
      </c>
      <c r="DM138">
        <v>6</v>
      </c>
      <c r="DN138">
        <v>8</v>
      </c>
      <c r="DO138" t="s">
        <v>739</v>
      </c>
      <c r="DQ138" t="s">
        <v>927</v>
      </c>
      <c r="DR138">
        <v>14</v>
      </c>
      <c r="DS138">
        <v>0</v>
      </c>
      <c r="DU138">
        <v>14</v>
      </c>
      <c r="DV138">
        <v>0</v>
      </c>
      <c r="DX138">
        <v>14</v>
      </c>
      <c r="DY138">
        <v>0</v>
      </c>
      <c r="DZ138" t="s">
        <v>246</v>
      </c>
      <c r="EA138" t="s">
        <v>929</v>
      </c>
    </row>
    <row r="139" spans="1:131" x14ac:dyDescent="0.4">
      <c r="A139" s="34">
        <v>43067.305104166669</v>
      </c>
      <c r="B139" s="25">
        <v>42933.713888888888</v>
      </c>
      <c r="D139" s="34"/>
      <c r="E139" s="34" t="s">
        <v>193</v>
      </c>
      <c r="F139" s="34" t="s">
        <v>191</v>
      </c>
      <c r="G139" s="34" t="s">
        <v>100</v>
      </c>
      <c r="H139" t="s">
        <v>279</v>
      </c>
      <c r="I139" t="s">
        <v>243</v>
      </c>
      <c r="J139" t="s">
        <v>712</v>
      </c>
      <c r="K139" t="s">
        <v>713</v>
      </c>
      <c r="L139" t="s">
        <v>711</v>
      </c>
      <c r="M139" s="30">
        <v>2.0299999999999998</v>
      </c>
      <c r="N139">
        <v>7</v>
      </c>
      <c r="P139" s="24" t="str">
        <f>IFERROR(MID(RADataTable[[#This Row],[RATemplate]],1,LEN(RADataTable[[#This Row],[RATemplate]])-8),"RA") &amp; " " &amp; RADataTable[[#This Row],[prop_id0]] &amp; " " &amp; RADataTable[[#This Row],[last0]]</f>
        <v>RA 1749563 Del Pia</v>
      </c>
      <c r="T139">
        <v>4</v>
      </c>
      <c r="U139">
        <v>4</v>
      </c>
      <c r="V139" s="34">
        <v>43031.584027777775</v>
      </c>
      <c r="W139">
        <v>1</v>
      </c>
      <c r="X139" s="15" t="str">
        <f>HYPERLINK("https://www.ejacket.nsf.gov/ej/showProposal.do?Continue=Y&amp;ID="&amp;RADataTable[[#This Row],[prop_id0]],"eJ")</f>
        <v>eJ</v>
      </c>
      <c r="Y139" s="15" t="str">
        <f>HYPERLINK("mailto:"&amp;RADataTable[[#This Row],[email]]&amp;"&amp;subject=Your NSF Proposal:  "&amp;RADataTable[[#This Row],[Div]]&amp;" "&amp;RADataTable[[#This Row],[prop_id0]], RADataTable[[#This Row],[email]])</f>
        <v>delpia@wisc.edu</v>
      </c>
      <c r="Z139" s="15" t="str">
        <f>HYPERLINK("mailto:"&amp;RADataTable[[#This Row],[allPIemail]]&amp;"&amp;subject=NSF Proposal:  "&amp;RADataTable[[#This Row],[Div]]&amp;" "&amp;RADataTable[[#This Row],[prop_id0]], "PIs@")</f>
        <v>PIs@</v>
      </c>
      <c r="AA139" t="s">
        <v>245</v>
      </c>
      <c r="AB139" t="s">
        <v>664</v>
      </c>
      <c r="AC139" s="30" t="s">
        <v>736</v>
      </c>
      <c r="AD139" t="s">
        <v>737</v>
      </c>
      <c r="AE139" t="s">
        <v>284</v>
      </c>
      <c r="AF139" s="36">
        <v>500000</v>
      </c>
      <c r="AG139" s="36">
        <v>500000</v>
      </c>
      <c r="AH139" s="24"/>
      <c r="AJ139" s="34"/>
      <c r="AK139" t="s">
        <v>923</v>
      </c>
      <c r="AL139" t="s">
        <v>232</v>
      </c>
      <c r="AM139" s="34" t="s">
        <v>925</v>
      </c>
      <c r="AN139" s="34">
        <v>43032</v>
      </c>
      <c r="AO139" s="24">
        <v>3</v>
      </c>
      <c r="AP139" t="s">
        <v>936</v>
      </c>
      <c r="AR139" s="35"/>
      <c r="AS139"/>
      <c r="AT139" s="34"/>
      <c r="AV139" s="34"/>
      <c r="AX139" s="34"/>
      <c r="AY139"/>
      <c r="BA139" s="34"/>
      <c r="BB139"/>
      <c r="BC139" t="s">
        <v>740</v>
      </c>
      <c r="BD139" s="36">
        <v>500000</v>
      </c>
      <c r="BE139" s="36">
        <v>500000</v>
      </c>
      <c r="BF139">
        <v>0</v>
      </c>
      <c r="BG139" s="34">
        <v>43344</v>
      </c>
      <c r="BH139">
        <v>60</v>
      </c>
      <c r="BI139" t="s">
        <v>283</v>
      </c>
      <c r="BJ139" t="s">
        <v>928</v>
      </c>
      <c r="BK139" t="s">
        <v>234</v>
      </c>
      <c r="BL139" t="s">
        <v>194</v>
      </c>
      <c r="BM139" s="8" t="s">
        <v>192</v>
      </c>
      <c r="BN139" t="s">
        <v>189</v>
      </c>
      <c r="BO139" t="s">
        <v>190</v>
      </c>
      <c r="BP139" s="35" t="s">
        <v>718</v>
      </c>
      <c r="BQ139"/>
      <c r="BU139" s="35"/>
      <c r="BV139" s="35"/>
      <c r="BX139"/>
      <c r="CA139" s="35"/>
      <c r="CB139" s="35"/>
      <c r="CC139"/>
      <c r="CG139" s="35"/>
      <c r="CH139" s="35"/>
      <c r="CK139"/>
      <c r="CM139" s="35"/>
      <c r="CN139" s="35"/>
      <c r="CQ139"/>
      <c r="CS139" s="35"/>
      <c r="CT139" s="35"/>
      <c r="CX139"/>
      <c r="CZ139" s="35"/>
      <c r="DD139" s="34"/>
      <c r="DG139" t="s">
        <v>738</v>
      </c>
      <c r="DH139" t="s">
        <v>937</v>
      </c>
      <c r="DI139" t="s">
        <v>233</v>
      </c>
      <c r="DL139" t="s">
        <v>664</v>
      </c>
      <c r="DM139">
        <v>6</v>
      </c>
      <c r="DN139">
        <v>8</v>
      </c>
      <c r="DO139" t="s">
        <v>739</v>
      </c>
      <c r="DQ139" t="s">
        <v>927</v>
      </c>
      <c r="DR139">
        <v>14</v>
      </c>
      <c r="DS139">
        <v>0</v>
      </c>
      <c r="DU139">
        <v>14</v>
      </c>
      <c r="DV139">
        <v>0</v>
      </c>
      <c r="DX139">
        <v>14</v>
      </c>
      <c r="DY139">
        <v>0</v>
      </c>
      <c r="DZ139" t="s">
        <v>246</v>
      </c>
      <c r="EA139" t="s">
        <v>929</v>
      </c>
    </row>
    <row r="140" spans="1:131" x14ac:dyDescent="0.4">
      <c r="A140" s="34">
        <v>43067.305104166669</v>
      </c>
      <c r="B140" s="25">
        <v>42933.713888888888</v>
      </c>
      <c r="D140" s="34"/>
      <c r="E140" s="34" t="s">
        <v>193</v>
      </c>
      <c r="F140" s="34" t="s">
        <v>191</v>
      </c>
      <c r="G140" s="34" t="s">
        <v>100</v>
      </c>
      <c r="H140" t="s">
        <v>279</v>
      </c>
      <c r="I140" t="s">
        <v>243</v>
      </c>
      <c r="J140" t="s">
        <v>712</v>
      </c>
      <c r="K140" t="s">
        <v>713</v>
      </c>
      <c r="L140" t="s">
        <v>711</v>
      </c>
      <c r="M140" s="30">
        <v>2.0299999999999998</v>
      </c>
      <c r="N140">
        <v>7</v>
      </c>
      <c r="P140" s="24" t="str">
        <f>IFERROR(MID(RADataTable[[#This Row],[RATemplate]],1,LEN(RADataTable[[#This Row],[RATemplate]])-8),"RA") &amp; " " &amp; RADataTable[[#This Row],[prop_id0]] &amp; " " &amp; RADataTable[[#This Row],[last0]]</f>
        <v>RA 1749563 Del Pia</v>
      </c>
      <c r="T140">
        <v>4</v>
      </c>
      <c r="U140">
        <v>4</v>
      </c>
      <c r="V140" s="34">
        <v>43031.584027777775</v>
      </c>
      <c r="W140">
        <v>1</v>
      </c>
      <c r="X140" s="15" t="str">
        <f>HYPERLINK("https://www.ejacket.nsf.gov/ej/showProposal.do?Continue=Y&amp;ID="&amp;RADataTable[[#This Row],[prop_id0]],"eJ")</f>
        <v>eJ</v>
      </c>
      <c r="Y140" s="15" t="str">
        <f>HYPERLINK("mailto:"&amp;RADataTable[[#This Row],[email]]&amp;"&amp;subject=Your NSF Proposal:  "&amp;RADataTable[[#This Row],[Div]]&amp;" "&amp;RADataTable[[#This Row],[prop_id0]], RADataTable[[#This Row],[email]])</f>
        <v>delpia@wisc.edu</v>
      </c>
      <c r="Z140" s="15" t="str">
        <f>HYPERLINK("mailto:"&amp;RADataTable[[#This Row],[allPIemail]]&amp;"&amp;subject=NSF Proposal:  "&amp;RADataTable[[#This Row],[Div]]&amp;" "&amp;RADataTable[[#This Row],[prop_id0]], "PIs@")</f>
        <v>PIs@</v>
      </c>
      <c r="AA140" t="s">
        <v>245</v>
      </c>
      <c r="AB140" t="s">
        <v>664</v>
      </c>
      <c r="AC140" s="30" t="s">
        <v>736</v>
      </c>
      <c r="AD140" t="s">
        <v>737</v>
      </c>
      <c r="AE140" t="s">
        <v>284</v>
      </c>
      <c r="AF140" s="36">
        <v>500000</v>
      </c>
      <c r="AG140" s="36">
        <v>500000</v>
      </c>
      <c r="AH140" s="24"/>
      <c r="AJ140" s="34"/>
      <c r="AK140" t="s">
        <v>923</v>
      </c>
      <c r="AL140" t="s">
        <v>232</v>
      </c>
      <c r="AM140" s="34" t="s">
        <v>925</v>
      </c>
      <c r="AN140" s="34">
        <v>43032</v>
      </c>
      <c r="AO140" s="24">
        <v>3</v>
      </c>
      <c r="AP140" t="s">
        <v>936</v>
      </c>
      <c r="AR140" s="35"/>
      <c r="AS140"/>
      <c r="AT140" s="34"/>
      <c r="AV140" s="34"/>
      <c r="AX140" s="34"/>
      <c r="AY140"/>
      <c r="BA140" s="34"/>
      <c r="BB140"/>
      <c r="BC140" t="s">
        <v>740</v>
      </c>
      <c r="BD140" s="36">
        <v>500000</v>
      </c>
      <c r="BE140" s="36">
        <v>500000</v>
      </c>
      <c r="BF140">
        <v>0</v>
      </c>
      <c r="BG140" s="34">
        <v>43344</v>
      </c>
      <c r="BH140">
        <v>60</v>
      </c>
      <c r="BI140" t="s">
        <v>283</v>
      </c>
      <c r="BJ140" t="s">
        <v>928</v>
      </c>
      <c r="BK140" t="s">
        <v>234</v>
      </c>
      <c r="BL140" t="s">
        <v>194</v>
      </c>
      <c r="BM140" s="8" t="s">
        <v>192</v>
      </c>
      <c r="BN140" t="s">
        <v>189</v>
      </c>
      <c r="BO140" t="s">
        <v>190</v>
      </c>
      <c r="BP140" s="35" t="s">
        <v>718</v>
      </c>
      <c r="BQ140"/>
      <c r="BU140" s="35"/>
      <c r="BV140" s="35"/>
      <c r="BX140"/>
      <c r="CA140" s="35"/>
      <c r="CB140" s="35"/>
      <c r="CC140"/>
      <c r="CG140" s="35"/>
      <c r="CH140" s="35"/>
      <c r="CK140"/>
      <c r="CM140" s="35"/>
      <c r="CN140" s="35"/>
      <c r="CQ140"/>
      <c r="CS140" s="35"/>
      <c r="CT140" s="35"/>
      <c r="CX140"/>
      <c r="CZ140" s="35"/>
      <c r="DD140" s="34"/>
      <c r="DG140" t="s">
        <v>738</v>
      </c>
      <c r="DH140" t="s">
        <v>937</v>
      </c>
      <c r="DI140" t="s">
        <v>233</v>
      </c>
      <c r="DL140" t="s">
        <v>664</v>
      </c>
      <c r="DM140">
        <v>6</v>
      </c>
      <c r="DN140">
        <v>8</v>
      </c>
      <c r="DO140" t="s">
        <v>739</v>
      </c>
      <c r="DQ140" t="s">
        <v>927</v>
      </c>
      <c r="DR140">
        <v>14</v>
      </c>
      <c r="DS140">
        <v>0</v>
      </c>
      <c r="DU140">
        <v>14</v>
      </c>
      <c r="DV140">
        <v>0</v>
      </c>
      <c r="DX140">
        <v>14</v>
      </c>
      <c r="DY140">
        <v>0</v>
      </c>
      <c r="DZ140" t="s">
        <v>246</v>
      </c>
      <c r="EA140" t="s">
        <v>929</v>
      </c>
    </row>
    <row r="141" spans="1:131" x14ac:dyDescent="0.4">
      <c r="A141" s="34">
        <v>43067.305104166669</v>
      </c>
      <c r="B141" s="25">
        <v>42933.713888888888</v>
      </c>
      <c r="D141" s="34"/>
      <c r="E141" s="34" t="s">
        <v>193</v>
      </c>
      <c r="F141" s="34" t="s">
        <v>191</v>
      </c>
      <c r="G141" s="34" t="s">
        <v>100</v>
      </c>
      <c r="H141" t="s">
        <v>279</v>
      </c>
      <c r="I141" t="s">
        <v>243</v>
      </c>
      <c r="J141" t="s">
        <v>712</v>
      </c>
      <c r="K141" t="s">
        <v>713</v>
      </c>
      <c r="L141" t="s">
        <v>711</v>
      </c>
      <c r="M141" s="30">
        <v>2.0299999999999998</v>
      </c>
      <c r="N141">
        <v>7</v>
      </c>
      <c r="P141" s="24" t="str">
        <f>IFERROR(MID(RADataTable[[#This Row],[RATemplate]],1,LEN(RADataTable[[#This Row],[RATemplate]])-8),"RA") &amp; " " &amp; RADataTable[[#This Row],[prop_id0]] &amp; " " &amp; RADataTable[[#This Row],[last0]]</f>
        <v>RA 1749563 Del Pia</v>
      </c>
      <c r="T141">
        <v>4</v>
      </c>
      <c r="U141">
        <v>4</v>
      </c>
      <c r="V141" s="34">
        <v>43031.584027777775</v>
      </c>
      <c r="W141">
        <v>1</v>
      </c>
      <c r="X141" s="15" t="str">
        <f>HYPERLINK("https://www.ejacket.nsf.gov/ej/showProposal.do?Continue=Y&amp;ID="&amp;RADataTable[[#This Row],[prop_id0]],"eJ")</f>
        <v>eJ</v>
      </c>
      <c r="Y141" s="15" t="str">
        <f>HYPERLINK("mailto:"&amp;RADataTable[[#This Row],[email]]&amp;"&amp;subject=Your NSF Proposal:  "&amp;RADataTable[[#This Row],[Div]]&amp;" "&amp;RADataTable[[#This Row],[prop_id0]], RADataTable[[#This Row],[email]])</f>
        <v>delpia@wisc.edu</v>
      </c>
      <c r="Z141" s="15" t="str">
        <f>HYPERLINK("mailto:"&amp;RADataTable[[#This Row],[allPIemail]]&amp;"&amp;subject=NSF Proposal:  "&amp;RADataTable[[#This Row],[Div]]&amp;" "&amp;RADataTable[[#This Row],[prop_id0]], "PIs@")</f>
        <v>PIs@</v>
      </c>
      <c r="AA141" t="s">
        <v>245</v>
      </c>
      <c r="AB141" t="s">
        <v>664</v>
      </c>
      <c r="AC141" s="30" t="s">
        <v>736</v>
      </c>
      <c r="AD141" t="s">
        <v>737</v>
      </c>
      <c r="AE141" t="s">
        <v>284</v>
      </c>
      <c r="AF141" s="36">
        <v>500000</v>
      </c>
      <c r="AG141" s="36">
        <v>500000</v>
      </c>
      <c r="AH141" s="24"/>
      <c r="AJ141" s="34"/>
      <c r="AK141" t="s">
        <v>923</v>
      </c>
      <c r="AL141" t="s">
        <v>232</v>
      </c>
      <c r="AM141" s="34" t="s">
        <v>925</v>
      </c>
      <c r="AN141" s="34">
        <v>43032</v>
      </c>
      <c r="AO141" s="24">
        <v>3</v>
      </c>
      <c r="AP141" t="s">
        <v>936</v>
      </c>
      <c r="AR141" s="35"/>
      <c r="AS141"/>
      <c r="AT141" s="34"/>
      <c r="AV141" s="34"/>
      <c r="AX141" s="34"/>
      <c r="AY141"/>
      <c r="BA141" s="34"/>
      <c r="BB141"/>
      <c r="BC141" t="s">
        <v>740</v>
      </c>
      <c r="BD141" s="36">
        <v>500000</v>
      </c>
      <c r="BE141" s="36">
        <v>500000</v>
      </c>
      <c r="BF141">
        <v>0</v>
      </c>
      <c r="BG141" s="34">
        <v>43344</v>
      </c>
      <c r="BH141">
        <v>60</v>
      </c>
      <c r="BI141" t="s">
        <v>283</v>
      </c>
      <c r="BJ141" t="s">
        <v>928</v>
      </c>
      <c r="BK141" t="s">
        <v>234</v>
      </c>
      <c r="BL141" t="s">
        <v>194</v>
      </c>
      <c r="BM141" s="8" t="s">
        <v>192</v>
      </c>
      <c r="BN141" t="s">
        <v>189</v>
      </c>
      <c r="BO141" t="s">
        <v>190</v>
      </c>
      <c r="BP141" s="35" t="s">
        <v>718</v>
      </c>
      <c r="BQ141"/>
      <c r="BU141" s="35"/>
      <c r="BV141" s="35"/>
      <c r="BX141"/>
      <c r="CA141" s="35"/>
      <c r="CB141" s="35"/>
      <c r="CC141"/>
      <c r="CG141" s="35"/>
      <c r="CH141" s="35"/>
      <c r="CK141"/>
      <c r="CM141" s="35"/>
      <c r="CN141" s="35"/>
      <c r="CQ141"/>
      <c r="CS141" s="35"/>
      <c r="CT141" s="35"/>
      <c r="CX141"/>
      <c r="CZ141" s="35"/>
      <c r="DD141" s="34"/>
      <c r="DG141" t="s">
        <v>738</v>
      </c>
      <c r="DH141" t="s">
        <v>937</v>
      </c>
      <c r="DI141" t="s">
        <v>233</v>
      </c>
      <c r="DL141" t="s">
        <v>664</v>
      </c>
      <c r="DM141">
        <v>6</v>
      </c>
      <c r="DN141">
        <v>8</v>
      </c>
      <c r="DO141" t="s">
        <v>739</v>
      </c>
      <c r="DQ141" t="s">
        <v>927</v>
      </c>
      <c r="DR141">
        <v>14</v>
      </c>
      <c r="DS141">
        <v>0</v>
      </c>
      <c r="DU141">
        <v>14</v>
      </c>
      <c r="DV141">
        <v>0</v>
      </c>
      <c r="DX141">
        <v>14</v>
      </c>
      <c r="DY141">
        <v>0</v>
      </c>
      <c r="DZ141" t="s">
        <v>246</v>
      </c>
      <c r="EA141" t="s">
        <v>929</v>
      </c>
    </row>
    <row r="142" spans="1:131" x14ac:dyDescent="0.4">
      <c r="A142" s="34">
        <v>43067.305104166669</v>
      </c>
      <c r="B142" s="25">
        <v>42933.713888888888</v>
      </c>
      <c r="D142" s="34"/>
      <c r="E142" s="34" t="s">
        <v>193</v>
      </c>
      <c r="F142" s="34" t="s">
        <v>191</v>
      </c>
      <c r="G142" s="34" t="s">
        <v>100</v>
      </c>
      <c r="H142" t="s">
        <v>279</v>
      </c>
      <c r="I142" t="s">
        <v>243</v>
      </c>
      <c r="J142" t="s">
        <v>712</v>
      </c>
      <c r="K142" t="s">
        <v>713</v>
      </c>
      <c r="L142" t="s">
        <v>711</v>
      </c>
      <c r="M142" s="30">
        <v>2.0299999999999998</v>
      </c>
      <c r="N142">
        <v>7</v>
      </c>
      <c r="P142" s="24" t="str">
        <f>IFERROR(MID(RADataTable[[#This Row],[RATemplate]],1,LEN(RADataTable[[#This Row],[RATemplate]])-8),"RA") &amp; " " &amp; RADataTable[[#This Row],[prop_id0]] &amp; " " &amp; RADataTable[[#This Row],[last0]]</f>
        <v>RA 1749563 Del Pia</v>
      </c>
      <c r="T142">
        <v>4</v>
      </c>
      <c r="U142">
        <v>4</v>
      </c>
      <c r="V142" s="34">
        <v>43031.584027777775</v>
      </c>
      <c r="W142">
        <v>1</v>
      </c>
      <c r="X142" s="15" t="str">
        <f>HYPERLINK("https://www.ejacket.nsf.gov/ej/showProposal.do?Continue=Y&amp;ID="&amp;RADataTable[[#This Row],[prop_id0]],"eJ")</f>
        <v>eJ</v>
      </c>
      <c r="Y142" s="15" t="str">
        <f>HYPERLINK("mailto:"&amp;RADataTable[[#This Row],[email]]&amp;"&amp;subject=Your NSF Proposal:  "&amp;RADataTable[[#This Row],[Div]]&amp;" "&amp;RADataTable[[#This Row],[prop_id0]], RADataTable[[#This Row],[email]])</f>
        <v>delpia@wisc.edu</v>
      </c>
      <c r="Z142" s="15" t="str">
        <f>HYPERLINK("mailto:"&amp;RADataTable[[#This Row],[allPIemail]]&amp;"&amp;subject=NSF Proposal:  "&amp;RADataTable[[#This Row],[Div]]&amp;" "&amp;RADataTable[[#This Row],[prop_id0]], "PIs@")</f>
        <v>PIs@</v>
      </c>
      <c r="AA142" t="s">
        <v>245</v>
      </c>
      <c r="AB142" t="s">
        <v>664</v>
      </c>
      <c r="AC142" s="30" t="s">
        <v>736</v>
      </c>
      <c r="AD142" t="s">
        <v>737</v>
      </c>
      <c r="AE142" t="s">
        <v>284</v>
      </c>
      <c r="AF142" s="36">
        <v>500000</v>
      </c>
      <c r="AG142" s="36">
        <v>500000</v>
      </c>
      <c r="AH142" s="24"/>
      <c r="AJ142" s="34"/>
      <c r="AK142" t="s">
        <v>923</v>
      </c>
      <c r="AL142" t="s">
        <v>232</v>
      </c>
      <c r="AM142" s="34" t="s">
        <v>925</v>
      </c>
      <c r="AN142" s="34">
        <v>43032</v>
      </c>
      <c r="AO142" s="24">
        <v>3</v>
      </c>
      <c r="AP142" t="s">
        <v>936</v>
      </c>
      <c r="AR142" s="35"/>
      <c r="AS142"/>
      <c r="AT142" s="34"/>
      <c r="AV142" s="34"/>
      <c r="AX142" s="34"/>
      <c r="AY142"/>
      <c r="BA142" s="34"/>
      <c r="BB142"/>
      <c r="BC142" t="s">
        <v>740</v>
      </c>
      <c r="BD142" s="36">
        <v>500000</v>
      </c>
      <c r="BE142" s="36">
        <v>500000</v>
      </c>
      <c r="BF142">
        <v>0</v>
      </c>
      <c r="BG142" s="34">
        <v>43344</v>
      </c>
      <c r="BH142">
        <v>60</v>
      </c>
      <c r="BI142" t="s">
        <v>283</v>
      </c>
      <c r="BJ142" t="s">
        <v>928</v>
      </c>
      <c r="BK142" t="s">
        <v>234</v>
      </c>
      <c r="BL142" t="s">
        <v>194</v>
      </c>
      <c r="BM142" s="8" t="s">
        <v>192</v>
      </c>
      <c r="BN142" t="s">
        <v>189</v>
      </c>
      <c r="BO142" t="s">
        <v>190</v>
      </c>
      <c r="BP142" s="35" t="s">
        <v>718</v>
      </c>
      <c r="BQ142"/>
      <c r="BU142" s="35"/>
      <c r="BV142" s="35"/>
      <c r="BX142"/>
      <c r="CA142" s="35"/>
      <c r="CB142" s="35"/>
      <c r="CC142"/>
      <c r="CG142" s="35"/>
      <c r="CH142" s="35"/>
      <c r="CK142"/>
      <c r="CM142" s="35"/>
      <c r="CN142" s="35"/>
      <c r="CQ142"/>
      <c r="CS142" s="35"/>
      <c r="CT142" s="35"/>
      <c r="CX142"/>
      <c r="CZ142" s="35"/>
      <c r="DD142" s="34"/>
      <c r="DG142" t="s">
        <v>738</v>
      </c>
      <c r="DH142" t="s">
        <v>937</v>
      </c>
      <c r="DI142" t="s">
        <v>233</v>
      </c>
      <c r="DL142" t="s">
        <v>664</v>
      </c>
      <c r="DM142">
        <v>6</v>
      </c>
      <c r="DN142">
        <v>8</v>
      </c>
      <c r="DO142" t="s">
        <v>739</v>
      </c>
      <c r="DQ142" t="s">
        <v>927</v>
      </c>
      <c r="DR142">
        <v>14</v>
      </c>
      <c r="DS142">
        <v>0</v>
      </c>
      <c r="DU142">
        <v>14</v>
      </c>
      <c r="DV142">
        <v>0</v>
      </c>
      <c r="DX142">
        <v>14</v>
      </c>
      <c r="DY142">
        <v>0</v>
      </c>
      <c r="DZ142" t="s">
        <v>246</v>
      </c>
      <c r="EA142" t="s">
        <v>929</v>
      </c>
    </row>
    <row r="143" spans="1:131" x14ac:dyDescent="0.4">
      <c r="A143" s="34">
        <v>43067.305104166669</v>
      </c>
      <c r="B143" s="25">
        <v>42933.713888888888</v>
      </c>
      <c r="D143" s="34"/>
      <c r="E143" s="34" t="s">
        <v>193</v>
      </c>
      <c r="F143" s="34" t="s">
        <v>191</v>
      </c>
      <c r="G143" s="34" t="s">
        <v>100</v>
      </c>
      <c r="H143" t="s">
        <v>279</v>
      </c>
      <c r="I143" t="s">
        <v>243</v>
      </c>
      <c r="J143" t="s">
        <v>712</v>
      </c>
      <c r="K143" t="s">
        <v>713</v>
      </c>
      <c r="L143" t="s">
        <v>711</v>
      </c>
      <c r="M143" s="30">
        <v>2.0299999999999998</v>
      </c>
      <c r="N143">
        <v>7</v>
      </c>
      <c r="P143" s="24" t="str">
        <f>IFERROR(MID(RADataTable[[#This Row],[RATemplate]],1,LEN(RADataTable[[#This Row],[RATemplate]])-8),"RA") &amp; " " &amp; RADataTable[[#This Row],[prop_id0]] &amp; " " &amp; RADataTable[[#This Row],[last0]]</f>
        <v>RA 1749563 Del Pia</v>
      </c>
      <c r="T143">
        <v>4</v>
      </c>
      <c r="U143">
        <v>4</v>
      </c>
      <c r="V143" s="34">
        <v>43031.584027777775</v>
      </c>
      <c r="W143">
        <v>1</v>
      </c>
      <c r="X143" s="15" t="str">
        <f>HYPERLINK("https://www.ejacket.nsf.gov/ej/showProposal.do?Continue=Y&amp;ID="&amp;RADataTable[[#This Row],[prop_id0]],"eJ")</f>
        <v>eJ</v>
      </c>
      <c r="Y143" s="15" t="str">
        <f>HYPERLINK("mailto:"&amp;RADataTable[[#This Row],[email]]&amp;"&amp;subject=Your NSF Proposal:  "&amp;RADataTable[[#This Row],[Div]]&amp;" "&amp;RADataTable[[#This Row],[prop_id0]], RADataTable[[#This Row],[email]])</f>
        <v>delpia@wisc.edu</v>
      </c>
      <c r="Z143" s="15" t="str">
        <f>HYPERLINK("mailto:"&amp;RADataTable[[#This Row],[allPIemail]]&amp;"&amp;subject=NSF Proposal:  "&amp;RADataTable[[#This Row],[Div]]&amp;" "&amp;RADataTable[[#This Row],[prop_id0]], "PIs@")</f>
        <v>PIs@</v>
      </c>
      <c r="AA143" t="s">
        <v>245</v>
      </c>
      <c r="AB143" t="s">
        <v>664</v>
      </c>
      <c r="AC143" s="30" t="s">
        <v>736</v>
      </c>
      <c r="AD143" t="s">
        <v>737</v>
      </c>
      <c r="AE143" t="s">
        <v>284</v>
      </c>
      <c r="AF143" s="36">
        <v>500000</v>
      </c>
      <c r="AG143" s="36">
        <v>500000</v>
      </c>
      <c r="AH143" s="24"/>
      <c r="AJ143" s="34"/>
      <c r="AK143" t="s">
        <v>923</v>
      </c>
      <c r="AL143" t="s">
        <v>232</v>
      </c>
      <c r="AM143" s="34" t="s">
        <v>925</v>
      </c>
      <c r="AN143" s="34">
        <v>43032</v>
      </c>
      <c r="AO143" s="24">
        <v>3</v>
      </c>
      <c r="AP143" t="s">
        <v>936</v>
      </c>
      <c r="AR143" s="35"/>
      <c r="AS143"/>
      <c r="AT143" s="34"/>
      <c r="AV143" s="34"/>
      <c r="AX143" s="34"/>
      <c r="AY143"/>
      <c r="BA143" s="34"/>
      <c r="BB143"/>
      <c r="BC143" t="s">
        <v>740</v>
      </c>
      <c r="BD143" s="36">
        <v>500000</v>
      </c>
      <c r="BE143" s="36">
        <v>500000</v>
      </c>
      <c r="BF143">
        <v>0</v>
      </c>
      <c r="BG143" s="34">
        <v>43344</v>
      </c>
      <c r="BH143">
        <v>60</v>
      </c>
      <c r="BI143" t="s">
        <v>283</v>
      </c>
      <c r="BJ143" t="s">
        <v>928</v>
      </c>
      <c r="BK143" t="s">
        <v>234</v>
      </c>
      <c r="BL143" t="s">
        <v>194</v>
      </c>
      <c r="BM143" s="8" t="s">
        <v>192</v>
      </c>
      <c r="BN143" t="s">
        <v>189</v>
      </c>
      <c r="BO143" t="s">
        <v>190</v>
      </c>
      <c r="BP143" s="35" t="s">
        <v>718</v>
      </c>
      <c r="BQ143"/>
      <c r="BU143" s="35"/>
      <c r="BV143" s="35"/>
      <c r="BX143"/>
      <c r="CA143" s="35"/>
      <c r="CB143" s="35"/>
      <c r="CC143"/>
      <c r="CG143" s="35"/>
      <c r="CH143" s="35"/>
      <c r="CK143"/>
      <c r="CM143" s="35"/>
      <c r="CN143" s="35"/>
      <c r="CQ143"/>
      <c r="CS143" s="35"/>
      <c r="CT143" s="35"/>
      <c r="CX143"/>
      <c r="CZ143" s="35"/>
      <c r="DD143" s="34"/>
      <c r="DG143" t="s">
        <v>738</v>
      </c>
      <c r="DH143" t="s">
        <v>937</v>
      </c>
      <c r="DI143" t="s">
        <v>233</v>
      </c>
      <c r="DL143" t="s">
        <v>664</v>
      </c>
      <c r="DM143">
        <v>6</v>
      </c>
      <c r="DN143">
        <v>8</v>
      </c>
      <c r="DO143" t="s">
        <v>739</v>
      </c>
      <c r="DQ143" t="s">
        <v>927</v>
      </c>
      <c r="DR143">
        <v>14</v>
      </c>
      <c r="DS143">
        <v>0</v>
      </c>
      <c r="DU143">
        <v>14</v>
      </c>
      <c r="DV143">
        <v>0</v>
      </c>
      <c r="DX143">
        <v>14</v>
      </c>
      <c r="DY143">
        <v>0</v>
      </c>
      <c r="DZ143" t="s">
        <v>246</v>
      </c>
      <c r="EA143" t="s">
        <v>929</v>
      </c>
    </row>
    <row r="144" spans="1:131" x14ac:dyDescent="0.4">
      <c r="A144" s="34">
        <v>43067.305104166669</v>
      </c>
      <c r="B144" s="25">
        <v>42933.713888888888</v>
      </c>
      <c r="D144" s="34"/>
      <c r="E144" s="34" t="s">
        <v>193</v>
      </c>
      <c r="F144" s="34" t="s">
        <v>191</v>
      </c>
      <c r="G144" s="34" t="s">
        <v>100</v>
      </c>
      <c r="H144" t="s">
        <v>279</v>
      </c>
      <c r="I144" t="s">
        <v>243</v>
      </c>
      <c r="J144" t="s">
        <v>712</v>
      </c>
      <c r="K144" t="s">
        <v>713</v>
      </c>
      <c r="L144" t="s">
        <v>711</v>
      </c>
      <c r="M144" s="30">
        <v>2.0299999999999998</v>
      </c>
      <c r="N144">
        <v>7</v>
      </c>
      <c r="P144" s="24" t="str">
        <f>IFERROR(MID(RADataTable[[#This Row],[RATemplate]],1,LEN(RADataTable[[#This Row],[RATemplate]])-8),"RA") &amp; " " &amp; RADataTable[[#This Row],[prop_id0]] &amp; " " &amp; RADataTable[[#This Row],[last0]]</f>
        <v>RA 1749563 Del Pia</v>
      </c>
      <c r="T144">
        <v>4</v>
      </c>
      <c r="U144">
        <v>4</v>
      </c>
      <c r="V144" s="34">
        <v>43031.584027777775</v>
      </c>
      <c r="W144">
        <v>1</v>
      </c>
      <c r="X144" s="15" t="str">
        <f>HYPERLINK("https://www.ejacket.nsf.gov/ej/showProposal.do?Continue=Y&amp;ID="&amp;RADataTable[[#This Row],[prop_id0]],"eJ")</f>
        <v>eJ</v>
      </c>
      <c r="Y144" s="15" t="str">
        <f>HYPERLINK("mailto:"&amp;RADataTable[[#This Row],[email]]&amp;"&amp;subject=Your NSF Proposal:  "&amp;RADataTable[[#This Row],[Div]]&amp;" "&amp;RADataTable[[#This Row],[prop_id0]], RADataTable[[#This Row],[email]])</f>
        <v>delpia@wisc.edu</v>
      </c>
      <c r="Z144" s="15" t="str">
        <f>HYPERLINK("mailto:"&amp;RADataTable[[#This Row],[allPIemail]]&amp;"&amp;subject=NSF Proposal:  "&amp;RADataTable[[#This Row],[Div]]&amp;" "&amp;RADataTable[[#This Row],[prop_id0]], "PIs@")</f>
        <v>PIs@</v>
      </c>
      <c r="AA144" t="s">
        <v>245</v>
      </c>
      <c r="AB144" t="s">
        <v>664</v>
      </c>
      <c r="AC144" s="30" t="s">
        <v>736</v>
      </c>
      <c r="AD144" t="s">
        <v>737</v>
      </c>
      <c r="AE144" t="s">
        <v>284</v>
      </c>
      <c r="AF144" s="36">
        <v>500000</v>
      </c>
      <c r="AG144" s="36">
        <v>500000</v>
      </c>
      <c r="AH144" s="24"/>
      <c r="AJ144" s="34"/>
      <c r="AK144" t="s">
        <v>923</v>
      </c>
      <c r="AL144" t="s">
        <v>232</v>
      </c>
      <c r="AM144" s="34" t="s">
        <v>925</v>
      </c>
      <c r="AN144" s="34">
        <v>43032</v>
      </c>
      <c r="AO144" s="24">
        <v>3</v>
      </c>
      <c r="AP144" t="s">
        <v>936</v>
      </c>
      <c r="AR144" s="35"/>
      <c r="AS144"/>
      <c r="AT144" s="34"/>
      <c r="AV144" s="34"/>
      <c r="AX144" s="34"/>
      <c r="AY144"/>
      <c r="BA144" s="34"/>
      <c r="BB144"/>
      <c r="BC144" t="s">
        <v>740</v>
      </c>
      <c r="BD144" s="36">
        <v>500000</v>
      </c>
      <c r="BE144" s="36">
        <v>500000</v>
      </c>
      <c r="BF144">
        <v>0</v>
      </c>
      <c r="BG144" s="34">
        <v>43344</v>
      </c>
      <c r="BH144">
        <v>60</v>
      </c>
      <c r="BI144" t="s">
        <v>283</v>
      </c>
      <c r="BJ144" t="s">
        <v>928</v>
      </c>
      <c r="BK144" t="s">
        <v>234</v>
      </c>
      <c r="BL144" t="s">
        <v>194</v>
      </c>
      <c r="BM144" s="8" t="s">
        <v>192</v>
      </c>
      <c r="BN144" t="s">
        <v>189</v>
      </c>
      <c r="BO144" t="s">
        <v>190</v>
      </c>
      <c r="BP144" s="35" t="s">
        <v>718</v>
      </c>
      <c r="BQ144"/>
      <c r="BU144" s="35"/>
      <c r="BV144" s="35"/>
      <c r="BX144"/>
      <c r="CA144" s="35"/>
      <c r="CB144" s="35"/>
      <c r="CC144"/>
      <c r="CG144" s="35"/>
      <c r="CH144" s="35"/>
      <c r="CK144"/>
      <c r="CM144" s="35"/>
      <c r="CN144" s="35"/>
      <c r="CQ144"/>
      <c r="CS144" s="35"/>
      <c r="CT144" s="35"/>
      <c r="CX144"/>
      <c r="CZ144" s="35"/>
      <c r="DD144" s="34"/>
      <c r="DG144" t="s">
        <v>738</v>
      </c>
      <c r="DH144" t="s">
        <v>937</v>
      </c>
      <c r="DI144" t="s">
        <v>233</v>
      </c>
      <c r="DL144" t="s">
        <v>664</v>
      </c>
      <c r="DM144">
        <v>6</v>
      </c>
      <c r="DN144">
        <v>8</v>
      </c>
      <c r="DO144" t="s">
        <v>739</v>
      </c>
      <c r="DQ144" t="s">
        <v>927</v>
      </c>
      <c r="DR144">
        <v>14</v>
      </c>
      <c r="DS144">
        <v>0</v>
      </c>
      <c r="DU144">
        <v>14</v>
      </c>
      <c r="DV144">
        <v>0</v>
      </c>
      <c r="DX144">
        <v>14</v>
      </c>
      <c r="DY144">
        <v>0</v>
      </c>
      <c r="DZ144" t="s">
        <v>246</v>
      </c>
      <c r="EA144" t="s">
        <v>929</v>
      </c>
    </row>
    <row r="145" spans="1:131" x14ac:dyDescent="0.4">
      <c r="A145" s="34">
        <v>43067.305104166669</v>
      </c>
      <c r="B145" s="25">
        <v>42933.713888888888</v>
      </c>
      <c r="D145" s="34"/>
      <c r="E145" s="34" t="s">
        <v>193</v>
      </c>
      <c r="F145" s="34" t="s">
        <v>191</v>
      </c>
      <c r="G145" s="34" t="s">
        <v>100</v>
      </c>
      <c r="H145" t="s">
        <v>279</v>
      </c>
      <c r="I145" t="s">
        <v>243</v>
      </c>
      <c r="J145" t="s">
        <v>712</v>
      </c>
      <c r="K145" t="s">
        <v>713</v>
      </c>
      <c r="L145" t="s">
        <v>711</v>
      </c>
      <c r="M145" s="30">
        <v>2.0299999999999998</v>
      </c>
      <c r="N145">
        <v>7</v>
      </c>
      <c r="P145" s="24" t="str">
        <f>IFERROR(MID(RADataTable[[#This Row],[RATemplate]],1,LEN(RADataTable[[#This Row],[RATemplate]])-8),"RA") &amp; " " &amp; RADataTable[[#This Row],[prop_id0]] &amp; " " &amp; RADataTable[[#This Row],[last0]]</f>
        <v>RA 1749563 Del Pia</v>
      </c>
      <c r="T145">
        <v>4</v>
      </c>
      <c r="U145">
        <v>4</v>
      </c>
      <c r="V145" s="34">
        <v>43031.584027777775</v>
      </c>
      <c r="W145">
        <v>1</v>
      </c>
      <c r="X145" s="15" t="str">
        <f>HYPERLINK("https://www.ejacket.nsf.gov/ej/showProposal.do?Continue=Y&amp;ID="&amp;RADataTable[[#This Row],[prop_id0]],"eJ")</f>
        <v>eJ</v>
      </c>
      <c r="Y145" s="15" t="str">
        <f>HYPERLINK("mailto:"&amp;RADataTable[[#This Row],[email]]&amp;"&amp;subject=Your NSF Proposal:  "&amp;RADataTable[[#This Row],[Div]]&amp;" "&amp;RADataTable[[#This Row],[prop_id0]], RADataTable[[#This Row],[email]])</f>
        <v>delpia@wisc.edu</v>
      </c>
      <c r="Z145" s="15" t="str">
        <f>HYPERLINK("mailto:"&amp;RADataTable[[#This Row],[allPIemail]]&amp;"&amp;subject=NSF Proposal:  "&amp;RADataTable[[#This Row],[Div]]&amp;" "&amp;RADataTable[[#This Row],[prop_id0]], "PIs@")</f>
        <v>PIs@</v>
      </c>
      <c r="AA145" t="s">
        <v>245</v>
      </c>
      <c r="AB145" t="s">
        <v>664</v>
      </c>
      <c r="AC145" s="30" t="s">
        <v>736</v>
      </c>
      <c r="AD145" t="s">
        <v>737</v>
      </c>
      <c r="AE145" t="s">
        <v>284</v>
      </c>
      <c r="AF145" s="36">
        <v>500000</v>
      </c>
      <c r="AG145" s="36">
        <v>500000</v>
      </c>
      <c r="AH145" s="24"/>
      <c r="AJ145" s="34"/>
      <c r="AK145" t="s">
        <v>923</v>
      </c>
      <c r="AL145" t="s">
        <v>232</v>
      </c>
      <c r="AM145" s="34" t="s">
        <v>925</v>
      </c>
      <c r="AN145" s="34">
        <v>43032</v>
      </c>
      <c r="AO145" s="24">
        <v>3</v>
      </c>
      <c r="AP145" t="s">
        <v>936</v>
      </c>
      <c r="AR145" s="35"/>
      <c r="AS145"/>
      <c r="AT145" s="34"/>
      <c r="AV145" s="34"/>
      <c r="AX145" s="34"/>
      <c r="AY145"/>
      <c r="BA145" s="34"/>
      <c r="BB145"/>
      <c r="BC145" t="s">
        <v>740</v>
      </c>
      <c r="BD145" s="36">
        <v>500000</v>
      </c>
      <c r="BE145" s="36">
        <v>500000</v>
      </c>
      <c r="BF145">
        <v>0</v>
      </c>
      <c r="BG145" s="34">
        <v>43344</v>
      </c>
      <c r="BH145">
        <v>60</v>
      </c>
      <c r="BI145" t="s">
        <v>283</v>
      </c>
      <c r="BJ145" t="s">
        <v>928</v>
      </c>
      <c r="BK145" t="s">
        <v>234</v>
      </c>
      <c r="BL145" t="s">
        <v>194</v>
      </c>
      <c r="BM145" s="8" t="s">
        <v>192</v>
      </c>
      <c r="BN145" t="s">
        <v>189</v>
      </c>
      <c r="BO145" t="s">
        <v>190</v>
      </c>
      <c r="BP145" s="35" t="s">
        <v>718</v>
      </c>
      <c r="BQ145"/>
      <c r="BU145" s="35"/>
      <c r="BV145" s="35"/>
      <c r="BX145"/>
      <c r="CA145" s="35"/>
      <c r="CB145" s="35"/>
      <c r="CC145"/>
      <c r="CG145" s="35"/>
      <c r="CH145" s="35"/>
      <c r="CK145"/>
      <c r="CM145" s="35"/>
      <c r="CN145" s="35"/>
      <c r="CQ145"/>
      <c r="CS145" s="35"/>
      <c r="CT145" s="35"/>
      <c r="CX145"/>
      <c r="CZ145" s="35"/>
      <c r="DD145" s="34"/>
      <c r="DG145" t="s">
        <v>738</v>
      </c>
      <c r="DH145" t="s">
        <v>937</v>
      </c>
      <c r="DI145" t="s">
        <v>233</v>
      </c>
      <c r="DL145" t="s">
        <v>664</v>
      </c>
      <c r="DM145">
        <v>6</v>
      </c>
      <c r="DN145">
        <v>8</v>
      </c>
      <c r="DO145" t="s">
        <v>739</v>
      </c>
      <c r="DQ145" t="s">
        <v>927</v>
      </c>
      <c r="DR145">
        <v>14</v>
      </c>
      <c r="DS145">
        <v>0</v>
      </c>
      <c r="DU145">
        <v>14</v>
      </c>
      <c r="DV145">
        <v>0</v>
      </c>
      <c r="DX145">
        <v>14</v>
      </c>
      <c r="DY145">
        <v>0</v>
      </c>
      <c r="DZ145" t="s">
        <v>246</v>
      </c>
      <c r="EA145" t="s">
        <v>929</v>
      </c>
    </row>
    <row r="146" spans="1:131" x14ac:dyDescent="0.4">
      <c r="A146" s="34">
        <v>43067.305104166669</v>
      </c>
      <c r="B146" s="25">
        <v>42933.713888888888</v>
      </c>
      <c r="D146" s="34"/>
      <c r="E146" s="34" t="s">
        <v>193</v>
      </c>
      <c r="F146" s="34" t="s">
        <v>191</v>
      </c>
      <c r="G146" s="34" t="s">
        <v>100</v>
      </c>
      <c r="H146" t="s">
        <v>279</v>
      </c>
      <c r="I146" t="s">
        <v>243</v>
      </c>
      <c r="J146" t="s">
        <v>712</v>
      </c>
      <c r="K146" t="s">
        <v>713</v>
      </c>
      <c r="L146" t="s">
        <v>711</v>
      </c>
      <c r="M146" s="30">
        <v>2.0299999999999998</v>
      </c>
      <c r="N146">
        <v>7</v>
      </c>
      <c r="P146" s="24" t="str">
        <f>IFERROR(MID(RADataTable[[#This Row],[RATemplate]],1,LEN(RADataTable[[#This Row],[RATemplate]])-8),"RA") &amp; " " &amp; RADataTable[[#This Row],[prop_id0]] &amp; " " &amp; RADataTable[[#This Row],[last0]]</f>
        <v>RA 1749563 Del Pia</v>
      </c>
      <c r="T146">
        <v>4</v>
      </c>
      <c r="U146">
        <v>4</v>
      </c>
      <c r="V146" s="34">
        <v>43031.584027777775</v>
      </c>
      <c r="W146">
        <v>1</v>
      </c>
      <c r="X146" s="15" t="str">
        <f>HYPERLINK("https://www.ejacket.nsf.gov/ej/showProposal.do?Continue=Y&amp;ID="&amp;RADataTable[[#This Row],[prop_id0]],"eJ")</f>
        <v>eJ</v>
      </c>
      <c r="Y146" s="15" t="str">
        <f>HYPERLINK("mailto:"&amp;RADataTable[[#This Row],[email]]&amp;"&amp;subject=Your NSF Proposal:  "&amp;RADataTable[[#This Row],[Div]]&amp;" "&amp;RADataTable[[#This Row],[prop_id0]], RADataTable[[#This Row],[email]])</f>
        <v>delpia@wisc.edu</v>
      </c>
      <c r="Z146" s="15" t="str">
        <f>HYPERLINK("mailto:"&amp;RADataTable[[#This Row],[allPIemail]]&amp;"&amp;subject=NSF Proposal:  "&amp;RADataTable[[#This Row],[Div]]&amp;" "&amp;RADataTable[[#This Row],[prop_id0]], "PIs@")</f>
        <v>PIs@</v>
      </c>
      <c r="AA146" t="s">
        <v>245</v>
      </c>
      <c r="AB146" t="s">
        <v>664</v>
      </c>
      <c r="AC146" s="30" t="s">
        <v>736</v>
      </c>
      <c r="AD146" t="s">
        <v>737</v>
      </c>
      <c r="AE146" t="s">
        <v>284</v>
      </c>
      <c r="AF146" s="36">
        <v>500000</v>
      </c>
      <c r="AG146" s="36">
        <v>500000</v>
      </c>
      <c r="AH146" s="24"/>
      <c r="AJ146" s="34"/>
      <c r="AK146" t="s">
        <v>923</v>
      </c>
      <c r="AL146" t="s">
        <v>232</v>
      </c>
      <c r="AM146" s="34" t="s">
        <v>925</v>
      </c>
      <c r="AN146" s="34">
        <v>43032</v>
      </c>
      <c r="AO146" s="24">
        <v>3</v>
      </c>
      <c r="AP146" t="s">
        <v>936</v>
      </c>
      <c r="AR146" s="35"/>
      <c r="AS146"/>
      <c r="AT146" s="34"/>
      <c r="AV146" s="34"/>
      <c r="AX146" s="34"/>
      <c r="AY146"/>
      <c r="BA146" s="34"/>
      <c r="BB146"/>
      <c r="BC146" t="s">
        <v>740</v>
      </c>
      <c r="BD146" s="36">
        <v>500000</v>
      </c>
      <c r="BE146" s="36">
        <v>500000</v>
      </c>
      <c r="BF146">
        <v>0</v>
      </c>
      <c r="BG146" s="34">
        <v>43344</v>
      </c>
      <c r="BH146">
        <v>60</v>
      </c>
      <c r="BI146" t="s">
        <v>283</v>
      </c>
      <c r="BJ146" t="s">
        <v>928</v>
      </c>
      <c r="BK146" t="s">
        <v>234</v>
      </c>
      <c r="BL146" t="s">
        <v>194</v>
      </c>
      <c r="BM146" s="8" t="s">
        <v>192</v>
      </c>
      <c r="BN146" t="s">
        <v>189</v>
      </c>
      <c r="BO146" t="s">
        <v>190</v>
      </c>
      <c r="BP146" s="35" t="s">
        <v>718</v>
      </c>
      <c r="BQ146"/>
      <c r="BU146" s="35"/>
      <c r="BV146" s="35"/>
      <c r="BX146"/>
      <c r="CA146" s="35"/>
      <c r="CB146" s="35"/>
      <c r="CC146"/>
      <c r="CG146" s="35"/>
      <c r="CH146" s="35"/>
      <c r="CK146"/>
      <c r="CM146" s="35"/>
      <c r="CN146" s="35"/>
      <c r="CQ146"/>
      <c r="CS146" s="35"/>
      <c r="CT146" s="35"/>
      <c r="CX146"/>
      <c r="CZ146" s="35"/>
      <c r="DD146" s="34"/>
      <c r="DG146" t="s">
        <v>738</v>
      </c>
      <c r="DH146" t="s">
        <v>937</v>
      </c>
      <c r="DI146" t="s">
        <v>233</v>
      </c>
      <c r="DL146" t="s">
        <v>664</v>
      </c>
      <c r="DM146">
        <v>6</v>
      </c>
      <c r="DN146">
        <v>8</v>
      </c>
      <c r="DO146" t="s">
        <v>739</v>
      </c>
      <c r="DQ146" t="s">
        <v>927</v>
      </c>
      <c r="DR146">
        <v>14</v>
      </c>
      <c r="DS146">
        <v>0</v>
      </c>
      <c r="DU146">
        <v>14</v>
      </c>
      <c r="DV146">
        <v>0</v>
      </c>
      <c r="DX146">
        <v>14</v>
      </c>
      <c r="DY146">
        <v>0</v>
      </c>
      <c r="DZ146" t="s">
        <v>246</v>
      </c>
      <c r="EA146" t="s">
        <v>929</v>
      </c>
    </row>
    <row r="147" spans="1:131" x14ac:dyDescent="0.4">
      <c r="A147" s="34">
        <v>43067.305104166669</v>
      </c>
      <c r="B147" s="25">
        <v>42933.713888888888</v>
      </c>
      <c r="D147" s="34"/>
      <c r="E147" s="34" t="s">
        <v>193</v>
      </c>
      <c r="F147" s="34" t="s">
        <v>191</v>
      </c>
      <c r="G147" s="34" t="s">
        <v>100</v>
      </c>
      <c r="H147" t="s">
        <v>279</v>
      </c>
      <c r="I147" t="s">
        <v>243</v>
      </c>
      <c r="J147" t="s">
        <v>712</v>
      </c>
      <c r="K147" t="s">
        <v>713</v>
      </c>
      <c r="L147" t="s">
        <v>711</v>
      </c>
      <c r="M147" s="30">
        <v>2.0299999999999998</v>
      </c>
      <c r="N147">
        <v>7</v>
      </c>
      <c r="P147" s="24" t="str">
        <f>IFERROR(MID(RADataTable[[#This Row],[RATemplate]],1,LEN(RADataTable[[#This Row],[RATemplate]])-8),"RA") &amp; " " &amp; RADataTable[[#This Row],[prop_id0]] &amp; " " &amp; RADataTable[[#This Row],[last0]]</f>
        <v>RA 1749563 Del Pia</v>
      </c>
      <c r="T147">
        <v>4</v>
      </c>
      <c r="U147">
        <v>4</v>
      </c>
      <c r="V147" s="34">
        <v>43031.584027777775</v>
      </c>
      <c r="W147">
        <v>1</v>
      </c>
      <c r="X147" s="15" t="str">
        <f>HYPERLINK("https://www.ejacket.nsf.gov/ej/showProposal.do?Continue=Y&amp;ID="&amp;RADataTable[[#This Row],[prop_id0]],"eJ")</f>
        <v>eJ</v>
      </c>
      <c r="Y147" s="15" t="str">
        <f>HYPERLINK("mailto:"&amp;RADataTable[[#This Row],[email]]&amp;"&amp;subject=Your NSF Proposal:  "&amp;RADataTable[[#This Row],[Div]]&amp;" "&amp;RADataTable[[#This Row],[prop_id0]], RADataTable[[#This Row],[email]])</f>
        <v>delpia@wisc.edu</v>
      </c>
      <c r="Z147" s="15" t="str">
        <f>HYPERLINK("mailto:"&amp;RADataTable[[#This Row],[allPIemail]]&amp;"&amp;subject=NSF Proposal:  "&amp;RADataTable[[#This Row],[Div]]&amp;" "&amp;RADataTable[[#This Row],[prop_id0]], "PIs@")</f>
        <v>PIs@</v>
      </c>
      <c r="AA147" t="s">
        <v>245</v>
      </c>
      <c r="AB147" t="s">
        <v>664</v>
      </c>
      <c r="AC147" s="30" t="s">
        <v>736</v>
      </c>
      <c r="AD147" t="s">
        <v>737</v>
      </c>
      <c r="AE147" t="s">
        <v>284</v>
      </c>
      <c r="AF147" s="36">
        <v>500000</v>
      </c>
      <c r="AG147" s="36">
        <v>500000</v>
      </c>
      <c r="AH147" s="24"/>
      <c r="AJ147" s="34"/>
      <c r="AK147" t="s">
        <v>923</v>
      </c>
      <c r="AL147" t="s">
        <v>232</v>
      </c>
      <c r="AM147" s="34" t="s">
        <v>925</v>
      </c>
      <c r="AN147" s="34">
        <v>43032</v>
      </c>
      <c r="AO147" s="24">
        <v>3</v>
      </c>
      <c r="AP147" t="s">
        <v>936</v>
      </c>
      <c r="AR147" s="35"/>
      <c r="AS147"/>
      <c r="AT147" s="34"/>
      <c r="AV147" s="34"/>
      <c r="AX147" s="34"/>
      <c r="AY147"/>
      <c r="BA147" s="34"/>
      <c r="BB147"/>
      <c r="BC147" t="s">
        <v>740</v>
      </c>
      <c r="BD147" s="36">
        <v>500000</v>
      </c>
      <c r="BE147" s="36">
        <v>500000</v>
      </c>
      <c r="BF147">
        <v>0</v>
      </c>
      <c r="BG147" s="34">
        <v>43344</v>
      </c>
      <c r="BH147">
        <v>60</v>
      </c>
      <c r="BI147" t="s">
        <v>283</v>
      </c>
      <c r="BJ147" t="s">
        <v>928</v>
      </c>
      <c r="BK147" t="s">
        <v>234</v>
      </c>
      <c r="BL147" t="s">
        <v>194</v>
      </c>
      <c r="BM147" s="8" t="s">
        <v>192</v>
      </c>
      <c r="BN147" t="s">
        <v>189</v>
      </c>
      <c r="BO147" t="s">
        <v>190</v>
      </c>
      <c r="BP147" s="35" t="s">
        <v>718</v>
      </c>
      <c r="BQ147"/>
      <c r="BU147" s="35"/>
      <c r="BV147" s="35"/>
      <c r="BX147"/>
      <c r="CA147" s="35"/>
      <c r="CB147" s="35"/>
      <c r="CC147"/>
      <c r="CG147" s="35"/>
      <c r="CH147" s="35"/>
      <c r="CK147"/>
      <c r="CM147" s="35"/>
      <c r="CN147" s="35"/>
      <c r="CQ147"/>
      <c r="CS147" s="35"/>
      <c r="CT147" s="35"/>
      <c r="CX147"/>
      <c r="CZ147" s="35"/>
      <c r="DD147" s="34"/>
      <c r="DG147" t="s">
        <v>738</v>
      </c>
      <c r="DH147" t="s">
        <v>937</v>
      </c>
      <c r="DI147" t="s">
        <v>233</v>
      </c>
      <c r="DL147" t="s">
        <v>664</v>
      </c>
      <c r="DM147">
        <v>6</v>
      </c>
      <c r="DN147">
        <v>8</v>
      </c>
      <c r="DO147" t="s">
        <v>739</v>
      </c>
      <c r="DQ147" t="s">
        <v>927</v>
      </c>
      <c r="DR147">
        <v>14</v>
      </c>
      <c r="DS147">
        <v>0</v>
      </c>
      <c r="DU147">
        <v>14</v>
      </c>
      <c r="DV147">
        <v>0</v>
      </c>
      <c r="DX147">
        <v>14</v>
      </c>
      <c r="DY147">
        <v>0</v>
      </c>
      <c r="DZ147" t="s">
        <v>246</v>
      </c>
      <c r="EA147" t="s">
        <v>929</v>
      </c>
    </row>
    <row r="148" spans="1:131" x14ac:dyDescent="0.4">
      <c r="A148" s="34">
        <v>43067.305104166669</v>
      </c>
      <c r="B148" s="25">
        <v>42933.713888888888</v>
      </c>
      <c r="D148" s="34"/>
      <c r="E148" s="34" t="s">
        <v>193</v>
      </c>
      <c r="F148" s="34" t="s">
        <v>191</v>
      </c>
      <c r="G148" s="34" t="s">
        <v>100</v>
      </c>
      <c r="H148" t="s">
        <v>279</v>
      </c>
      <c r="I148" t="s">
        <v>243</v>
      </c>
      <c r="J148" t="s">
        <v>712</v>
      </c>
      <c r="K148" t="s">
        <v>713</v>
      </c>
      <c r="L148" t="s">
        <v>711</v>
      </c>
      <c r="M148" s="30">
        <v>2.0299999999999998</v>
      </c>
      <c r="N148">
        <v>7</v>
      </c>
      <c r="P148" s="24" t="str">
        <f>IFERROR(MID(RADataTable[[#This Row],[RATemplate]],1,LEN(RADataTable[[#This Row],[RATemplate]])-8),"RA") &amp; " " &amp; RADataTable[[#This Row],[prop_id0]] &amp; " " &amp; RADataTable[[#This Row],[last0]]</f>
        <v>RA 1749563 Del Pia</v>
      </c>
      <c r="T148">
        <v>4</v>
      </c>
      <c r="U148">
        <v>4</v>
      </c>
      <c r="V148" s="34">
        <v>43031.584027777775</v>
      </c>
      <c r="W148">
        <v>1</v>
      </c>
      <c r="X148" s="15" t="str">
        <f>HYPERLINK("https://www.ejacket.nsf.gov/ej/showProposal.do?Continue=Y&amp;ID="&amp;RADataTable[[#This Row],[prop_id0]],"eJ")</f>
        <v>eJ</v>
      </c>
      <c r="Y148" s="15" t="str">
        <f>HYPERLINK("mailto:"&amp;RADataTable[[#This Row],[email]]&amp;"&amp;subject=Your NSF Proposal:  "&amp;RADataTable[[#This Row],[Div]]&amp;" "&amp;RADataTable[[#This Row],[prop_id0]], RADataTable[[#This Row],[email]])</f>
        <v>delpia@wisc.edu</v>
      </c>
      <c r="Z148" s="15" t="str">
        <f>HYPERLINK("mailto:"&amp;RADataTable[[#This Row],[allPIemail]]&amp;"&amp;subject=NSF Proposal:  "&amp;RADataTable[[#This Row],[Div]]&amp;" "&amp;RADataTable[[#This Row],[prop_id0]], "PIs@")</f>
        <v>PIs@</v>
      </c>
      <c r="AA148" t="s">
        <v>245</v>
      </c>
      <c r="AB148" t="s">
        <v>664</v>
      </c>
      <c r="AC148" s="30" t="s">
        <v>736</v>
      </c>
      <c r="AD148" t="s">
        <v>737</v>
      </c>
      <c r="AE148" t="s">
        <v>284</v>
      </c>
      <c r="AF148" s="36">
        <v>500000</v>
      </c>
      <c r="AG148" s="36">
        <v>500000</v>
      </c>
      <c r="AH148" s="24"/>
      <c r="AJ148" s="34"/>
      <c r="AK148" t="s">
        <v>923</v>
      </c>
      <c r="AL148" t="s">
        <v>232</v>
      </c>
      <c r="AM148" s="34" t="s">
        <v>925</v>
      </c>
      <c r="AN148" s="34">
        <v>43032</v>
      </c>
      <c r="AO148" s="24">
        <v>3</v>
      </c>
      <c r="AP148" t="s">
        <v>936</v>
      </c>
      <c r="AR148" s="35"/>
      <c r="AS148"/>
      <c r="AT148" s="34"/>
      <c r="AV148" s="34"/>
      <c r="AX148" s="34"/>
      <c r="AY148"/>
      <c r="BA148" s="34"/>
      <c r="BB148"/>
      <c r="BC148" t="s">
        <v>740</v>
      </c>
      <c r="BD148" s="36">
        <v>500000</v>
      </c>
      <c r="BE148" s="36">
        <v>500000</v>
      </c>
      <c r="BF148">
        <v>0</v>
      </c>
      <c r="BG148" s="34">
        <v>43344</v>
      </c>
      <c r="BH148">
        <v>60</v>
      </c>
      <c r="BI148" t="s">
        <v>283</v>
      </c>
      <c r="BJ148" t="s">
        <v>928</v>
      </c>
      <c r="BK148" t="s">
        <v>234</v>
      </c>
      <c r="BL148" t="s">
        <v>194</v>
      </c>
      <c r="BM148" s="8" t="s">
        <v>192</v>
      </c>
      <c r="BN148" t="s">
        <v>189</v>
      </c>
      <c r="BO148" t="s">
        <v>190</v>
      </c>
      <c r="BP148" s="35" t="s">
        <v>718</v>
      </c>
      <c r="BQ148"/>
      <c r="BU148" s="35"/>
      <c r="BV148" s="35"/>
      <c r="BX148"/>
      <c r="CA148" s="35"/>
      <c r="CB148" s="35"/>
      <c r="CC148"/>
      <c r="CG148" s="35"/>
      <c r="CH148" s="35"/>
      <c r="CK148"/>
      <c r="CM148" s="35"/>
      <c r="CN148" s="35"/>
      <c r="CQ148"/>
      <c r="CS148" s="35"/>
      <c r="CT148" s="35"/>
      <c r="CX148"/>
      <c r="CZ148" s="35"/>
      <c r="DD148" s="34"/>
      <c r="DG148" t="s">
        <v>738</v>
      </c>
      <c r="DH148" t="s">
        <v>937</v>
      </c>
      <c r="DI148" t="s">
        <v>233</v>
      </c>
      <c r="DL148" t="s">
        <v>664</v>
      </c>
      <c r="DM148">
        <v>6</v>
      </c>
      <c r="DN148">
        <v>8</v>
      </c>
      <c r="DO148" t="s">
        <v>739</v>
      </c>
      <c r="DQ148" t="s">
        <v>927</v>
      </c>
      <c r="DR148">
        <v>14</v>
      </c>
      <c r="DS148">
        <v>0</v>
      </c>
      <c r="DU148">
        <v>14</v>
      </c>
      <c r="DV148">
        <v>0</v>
      </c>
      <c r="DX148">
        <v>14</v>
      </c>
      <c r="DY148">
        <v>0</v>
      </c>
      <c r="DZ148" t="s">
        <v>246</v>
      </c>
      <c r="EA148" t="s">
        <v>929</v>
      </c>
    </row>
    <row r="149" spans="1:131" x14ac:dyDescent="0.4">
      <c r="A149" s="34">
        <v>43067.305104166669</v>
      </c>
      <c r="B149" s="25">
        <v>42933.713888888888</v>
      </c>
      <c r="D149" s="34"/>
      <c r="E149" s="34" t="s">
        <v>193</v>
      </c>
      <c r="F149" s="34" t="s">
        <v>191</v>
      </c>
      <c r="G149" s="34" t="s">
        <v>100</v>
      </c>
      <c r="H149" t="s">
        <v>279</v>
      </c>
      <c r="I149" t="s">
        <v>243</v>
      </c>
      <c r="J149" t="s">
        <v>712</v>
      </c>
      <c r="K149" t="s">
        <v>713</v>
      </c>
      <c r="L149" t="s">
        <v>711</v>
      </c>
      <c r="M149" s="30">
        <v>2.0299999999999998</v>
      </c>
      <c r="N149">
        <v>7</v>
      </c>
      <c r="P149" s="24" t="str">
        <f>IFERROR(MID(RADataTable[[#This Row],[RATemplate]],1,LEN(RADataTable[[#This Row],[RATemplate]])-8),"RA") &amp; " " &amp; RADataTable[[#This Row],[prop_id0]] &amp; " " &amp; RADataTable[[#This Row],[last0]]</f>
        <v>RA 1749563 Del Pia</v>
      </c>
      <c r="T149">
        <v>4</v>
      </c>
      <c r="U149">
        <v>4</v>
      </c>
      <c r="V149" s="34">
        <v>43031.584027777775</v>
      </c>
      <c r="W149">
        <v>1</v>
      </c>
      <c r="X149" s="15" t="str">
        <f>HYPERLINK("https://www.ejacket.nsf.gov/ej/showProposal.do?Continue=Y&amp;ID="&amp;RADataTable[[#This Row],[prop_id0]],"eJ")</f>
        <v>eJ</v>
      </c>
      <c r="Y149" s="15" t="str">
        <f>HYPERLINK("mailto:"&amp;RADataTable[[#This Row],[email]]&amp;"&amp;subject=Your NSF Proposal:  "&amp;RADataTable[[#This Row],[Div]]&amp;" "&amp;RADataTable[[#This Row],[prop_id0]], RADataTable[[#This Row],[email]])</f>
        <v>delpia@wisc.edu</v>
      </c>
      <c r="Z149" s="15" t="str">
        <f>HYPERLINK("mailto:"&amp;RADataTable[[#This Row],[allPIemail]]&amp;"&amp;subject=NSF Proposal:  "&amp;RADataTable[[#This Row],[Div]]&amp;" "&amp;RADataTable[[#This Row],[prop_id0]], "PIs@")</f>
        <v>PIs@</v>
      </c>
      <c r="AA149" t="s">
        <v>245</v>
      </c>
      <c r="AB149" t="s">
        <v>664</v>
      </c>
      <c r="AC149" s="30" t="s">
        <v>736</v>
      </c>
      <c r="AD149" t="s">
        <v>737</v>
      </c>
      <c r="AE149" t="s">
        <v>284</v>
      </c>
      <c r="AF149" s="36">
        <v>500000</v>
      </c>
      <c r="AG149" s="36">
        <v>500000</v>
      </c>
      <c r="AH149" s="24"/>
      <c r="AJ149" s="34"/>
      <c r="AK149" t="s">
        <v>923</v>
      </c>
      <c r="AL149" t="s">
        <v>232</v>
      </c>
      <c r="AM149" s="34" t="s">
        <v>925</v>
      </c>
      <c r="AN149" s="34">
        <v>43032</v>
      </c>
      <c r="AO149" s="24">
        <v>3</v>
      </c>
      <c r="AP149" t="s">
        <v>936</v>
      </c>
      <c r="AR149" s="35"/>
      <c r="AS149"/>
      <c r="AT149" s="34"/>
      <c r="AV149" s="34"/>
      <c r="AX149" s="34"/>
      <c r="AY149"/>
      <c r="BA149" s="34"/>
      <c r="BB149"/>
      <c r="BC149" t="s">
        <v>740</v>
      </c>
      <c r="BD149" s="36">
        <v>500000</v>
      </c>
      <c r="BE149" s="36">
        <v>500000</v>
      </c>
      <c r="BF149">
        <v>0</v>
      </c>
      <c r="BG149" s="34">
        <v>43344</v>
      </c>
      <c r="BH149">
        <v>60</v>
      </c>
      <c r="BI149" t="s">
        <v>283</v>
      </c>
      <c r="BJ149" t="s">
        <v>928</v>
      </c>
      <c r="BK149" t="s">
        <v>234</v>
      </c>
      <c r="BL149" t="s">
        <v>194</v>
      </c>
      <c r="BM149" s="8" t="s">
        <v>192</v>
      </c>
      <c r="BN149" t="s">
        <v>189</v>
      </c>
      <c r="BO149" t="s">
        <v>190</v>
      </c>
      <c r="BP149" s="35" t="s">
        <v>718</v>
      </c>
      <c r="BQ149"/>
      <c r="BU149" s="35"/>
      <c r="BV149" s="35"/>
      <c r="BX149"/>
      <c r="CA149" s="35"/>
      <c r="CB149" s="35"/>
      <c r="CC149"/>
      <c r="CG149" s="35"/>
      <c r="CH149" s="35"/>
      <c r="CK149"/>
      <c r="CM149" s="35"/>
      <c r="CN149" s="35"/>
      <c r="CQ149"/>
      <c r="CS149" s="35"/>
      <c r="CT149" s="35"/>
      <c r="CX149"/>
      <c r="CZ149" s="35"/>
      <c r="DD149" s="34"/>
      <c r="DG149" t="s">
        <v>738</v>
      </c>
      <c r="DH149" t="s">
        <v>937</v>
      </c>
      <c r="DI149" t="s">
        <v>233</v>
      </c>
      <c r="DL149" t="s">
        <v>664</v>
      </c>
      <c r="DM149">
        <v>6</v>
      </c>
      <c r="DN149">
        <v>8</v>
      </c>
      <c r="DO149" t="s">
        <v>739</v>
      </c>
      <c r="DQ149" t="s">
        <v>927</v>
      </c>
      <c r="DR149">
        <v>14</v>
      </c>
      <c r="DS149">
        <v>0</v>
      </c>
      <c r="DU149">
        <v>14</v>
      </c>
      <c r="DV149">
        <v>0</v>
      </c>
      <c r="DX149">
        <v>14</v>
      </c>
      <c r="DY149">
        <v>0</v>
      </c>
      <c r="DZ149" t="s">
        <v>246</v>
      </c>
      <c r="EA149" t="s">
        <v>929</v>
      </c>
    </row>
    <row r="150" spans="1:131" x14ac:dyDescent="0.4">
      <c r="A150" s="34">
        <v>43067.305104166669</v>
      </c>
      <c r="B150" s="25">
        <v>42933.713888888888</v>
      </c>
      <c r="D150" s="34"/>
      <c r="E150" s="34" t="s">
        <v>193</v>
      </c>
      <c r="F150" s="34" t="s">
        <v>191</v>
      </c>
      <c r="G150" s="34" t="s">
        <v>100</v>
      </c>
      <c r="H150" t="s">
        <v>279</v>
      </c>
      <c r="I150" t="s">
        <v>243</v>
      </c>
      <c r="J150" t="s">
        <v>712</v>
      </c>
      <c r="K150" t="s">
        <v>713</v>
      </c>
      <c r="L150" t="s">
        <v>711</v>
      </c>
      <c r="M150" s="30">
        <v>2.0299999999999998</v>
      </c>
      <c r="N150">
        <v>7</v>
      </c>
      <c r="P150" s="24" t="str">
        <f>IFERROR(MID(RADataTable[[#This Row],[RATemplate]],1,LEN(RADataTable[[#This Row],[RATemplate]])-8),"RA") &amp; " " &amp; RADataTable[[#This Row],[prop_id0]] &amp; " " &amp; RADataTable[[#This Row],[last0]]</f>
        <v>RA 1749563 Del Pia</v>
      </c>
      <c r="T150">
        <v>4</v>
      </c>
      <c r="U150">
        <v>4</v>
      </c>
      <c r="V150" s="34">
        <v>43031.584027777775</v>
      </c>
      <c r="W150">
        <v>1</v>
      </c>
      <c r="X150" s="15" t="str">
        <f>HYPERLINK("https://www.ejacket.nsf.gov/ej/showProposal.do?Continue=Y&amp;ID="&amp;RADataTable[[#This Row],[prop_id0]],"eJ")</f>
        <v>eJ</v>
      </c>
      <c r="Y150" s="15" t="str">
        <f>HYPERLINK("mailto:"&amp;RADataTable[[#This Row],[email]]&amp;"&amp;subject=Your NSF Proposal:  "&amp;RADataTable[[#This Row],[Div]]&amp;" "&amp;RADataTable[[#This Row],[prop_id0]], RADataTable[[#This Row],[email]])</f>
        <v>delpia@wisc.edu</v>
      </c>
      <c r="Z150" s="15" t="str">
        <f>HYPERLINK("mailto:"&amp;RADataTable[[#This Row],[allPIemail]]&amp;"&amp;subject=NSF Proposal:  "&amp;RADataTable[[#This Row],[Div]]&amp;" "&amp;RADataTable[[#This Row],[prop_id0]], "PIs@")</f>
        <v>PIs@</v>
      </c>
      <c r="AA150" t="s">
        <v>245</v>
      </c>
      <c r="AB150" t="s">
        <v>664</v>
      </c>
      <c r="AC150" s="30" t="s">
        <v>736</v>
      </c>
      <c r="AD150" t="s">
        <v>737</v>
      </c>
      <c r="AE150" t="s">
        <v>284</v>
      </c>
      <c r="AF150" s="36">
        <v>500000</v>
      </c>
      <c r="AG150" s="36">
        <v>500000</v>
      </c>
      <c r="AH150" s="24"/>
      <c r="AJ150" s="34"/>
      <c r="AK150" t="s">
        <v>923</v>
      </c>
      <c r="AL150" t="s">
        <v>232</v>
      </c>
      <c r="AM150" s="34" t="s">
        <v>925</v>
      </c>
      <c r="AN150" s="34">
        <v>43032</v>
      </c>
      <c r="AO150" s="24">
        <v>3</v>
      </c>
      <c r="AP150" t="s">
        <v>936</v>
      </c>
      <c r="AR150" s="35"/>
      <c r="AS150"/>
      <c r="AT150" s="34"/>
      <c r="AV150" s="34"/>
      <c r="AX150" s="34"/>
      <c r="AY150"/>
      <c r="BA150" s="34"/>
      <c r="BB150"/>
      <c r="BC150" t="s">
        <v>740</v>
      </c>
      <c r="BD150" s="36">
        <v>500000</v>
      </c>
      <c r="BE150" s="36">
        <v>500000</v>
      </c>
      <c r="BF150">
        <v>0</v>
      </c>
      <c r="BG150" s="34">
        <v>43344</v>
      </c>
      <c r="BH150">
        <v>60</v>
      </c>
      <c r="BI150" t="s">
        <v>283</v>
      </c>
      <c r="BJ150" t="s">
        <v>928</v>
      </c>
      <c r="BK150" t="s">
        <v>234</v>
      </c>
      <c r="BL150" t="s">
        <v>194</v>
      </c>
      <c r="BM150" s="8" t="s">
        <v>192</v>
      </c>
      <c r="BN150" t="s">
        <v>189</v>
      </c>
      <c r="BO150" t="s">
        <v>190</v>
      </c>
      <c r="BP150" s="35" t="s">
        <v>718</v>
      </c>
      <c r="BQ150"/>
      <c r="BU150" s="35"/>
      <c r="BV150" s="35"/>
      <c r="BX150"/>
      <c r="CA150" s="35"/>
      <c r="CB150" s="35"/>
      <c r="CC150"/>
      <c r="CG150" s="35"/>
      <c r="CH150" s="35"/>
      <c r="CK150"/>
      <c r="CM150" s="35"/>
      <c r="CN150" s="35"/>
      <c r="CQ150"/>
      <c r="CS150" s="35"/>
      <c r="CT150" s="35"/>
      <c r="CX150"/>
      <c r="CZ150" s="35"/>
      <c r="DD150" s="34"/>
      <c r="DG150" t="s">
        <v>738</v>
      </c>
      <c r="DH150" t="s">
        <v>937</v>
      </c>
      <c r="DI150" t="s">
        <v>233</v>
      </c>
      <c r="DL150" t="s">
        <v>664</v>
      </c>
      <c r="DM150">
        <v>6</v>
      </c>
      <c r="DN150">
        <v>8</v>
      </c>
      <c r="DO150" t="s">
        <v>739</v>
      </c>
      <c r="DQ150" t="s">
        <v>927</v>
      </c>
      <c r="DR150">
        <v>14</v>
      </c>
      <c r="DS150">
        <v>0</v>
      </c>
      <c r="DU150">
        <v>14</v>
      </c>
      <c r="DV150">
        <v>0</v>
      </c>
      <c r="DX150">
        <v>14</v>
      </c>
      <c r="DY150">
        <v>0</v>
      </c>
      <c r="DZ150" t="s">
        <v>246</v>
      </c>
      <c r="EA150" t="s">
        <v>929</v>
      </c>
    </row>
    <row r="151" spans="1:131" x14ac:dyDescent="0.4">
      <c r="A151" s="34">
        <v>43067.305104166669</v>
      </c>
      <c r="B151" s="25">
        <v>42933.713888888888</v>
      </c>
      <c r="D151" s="34"/>
      <c r="E151" s="34" t="s">
        <v>193</v>
      </c>
      <c r="F151" s="34" t="s">
        <v>191</v>
      </c>
      <c r="G151" s="34" t="s">
        <v>100</v>
      </c>
      <c r="H151" t="s">
        <v>279</v>
      </c>
      <c r="I151" t="s">
        <v>243</v>
      </c>
      <c r="J151" t="s">
        <v>712</v>
      </c>
      <c r="K151" t="s">
        <v>713</v>
      </c>
      <c r="L151" t="s">
        <v>711</v>
      </c>
      <c r="M151" s="30">
        <v>2.0299999999999998</v>
      </c>
      <c r="N151">
        <v>7</v>
      </c>
      <c r="P151" s="24" t="str">
        <f>IFERROR(MID(RADataTable[[#This Row],[RATemplate]],1,LEN(RADataTable[[#This Row],[RATemplate]])-8),"RA") &amp; " " &amp; RADataTable[[#This Row],[prop_id0]] &amp; " " &amp; RADataTable[[#This Row],[last0]]</f>
        <v>RA 1749563 Del Pia</v>
      </c>
      <c r="T151">
        <v>4</v>
      </c>
      <c r="U151">
        <v>4</v>
      </c>
      <c r="V151" s="34">
        <v>43031.584027777775</v>
      </c>
      <c r="W151">
        <v>1</v>
      </c>
      <c r="X151" s="15" t="str">
        <f>HYPERLINK("https://www.ejacket.nsf.gov/ej/showProposal.do?Continue=Y&amp;ID="&amp;RADataTable[[#This Row],[prop_id0]],"eJ")</f>
        <v>eJ</v>
      </c>
      <c r="Y151" s="15" t="str">
        <f>HYPERLINK("mailto:"&amp;RADataTable[[#This Row],[email]]&amp;"&amp;subject=Your NSF Proposal:  "&amp;RADataTable[[#This Row],[Div]]&amp;" "&amp;RADataTable[[#This Row],[prop_id0]], RADataTable[[#This Row],[email]])</f>
        <v>delpia@wisc.edu</v>
      </c>
      <c r="Z151" s="15" t="str">
        <f>HYPERLINK("mailto:"&amp;RADataTable[[#This Row],[allPIemail]]&amp;"&amp;subject=NSF Proposal:  "&amp;RADataTable[[#This Row],[Div]]&amp;" "&amp;RADataTable[[#This Row],[prop_id0]], "PIs@")</f>
        <v>PIs@</v>
      </c>
      <c r="AA151" t="s">
        <v>245</v>
      </c>
      <c r="AB151" t="s">
        <v>664</v>
      </c>
      <c r="AC151" s="30" t="s">
        <v>736</v>
      </c>
      <c r="AD151" t="s">
        <v>737</v>
      </c>
      <c r="AE151" t="s">
        <v>284</v>
      </c>
      <c r="AF151" s="36">
        <v>500000</v>
      </c>
      <c r="AG151" s="36">
        <v>500000</v>
      </c>
      <c r="AH151" s="24"/>
      <c r="AJ151" s="34"/>
      <c r="AK151" t="s">
        <v>923</v>
      </c>
      <c r="AL151" t="s">
        <v>232</v>
      </c>
      <c r="AM151" s="34" t="s">
        <v>925</v>
      </c>
      <c r="AN151" s="34">
        <v>43032</v>
      </c>
      <c r="AO151" s="24">
        <v>3</v>
      </c>
      <c r="AP151" t="s">
        <v>936</v>
      </c>
      <c r="AR151" s="35"/>
      <c r="AS151"/>
      <c r="AT151" s="34"/>
      <c r="AV151" s="34"/>
      <c r="AX151" s="34"/>
      <c r="AY151"/>
      <c r="BA151" s="34"/>
      <c r="BB151"/>
      <c r="BC151" t="s">
        <v>740</v>
      </c>
      <c r="BD151" s="36">
        <v>500000</v>
      </c>
      <c r="BE151" s="36">
        <v>500000</v>
      </c>
      <c r="BF151">
        <v>0</v>
      </c>
      <c r="BG151" s="34">
        <v>43344</v>
      </c>
      <c r="BH151">
        <v>60</v>
      </c>
      <c r="BI151" t="s">
        <v>283</v>
      </c>
      <c r="BJ151" t="s">
        <v>928</v>
      </c>
      <c r="BK151" t="s">
        <v>234</v>
      </c>
      <c r="BL151" t="s">
        <v>194</v>
      </c>
      <c r="BM151" s="8" t="s">
        <v>192</v>
      </c>
      <c r="BN151" t="s">
        <v>189</v>
      </c>
      <c r="BO151" t="s">
        <v>190</v>
      </c>
      <c r="BP151" s="35" t="s">
        <v>718</v>
      </c>
      <c r="BQ151"/>
      <c r="BU151" s="35"/>
      <c r="BV151" s="35"/>
      <c r="BX151"/>
      <c r="CA151" s="35"/>
      <c r="CB151" s="35"/>
      <c r="CC151"/>
      <c r="CG151" s="35"/>
      <c r="CH151" s="35"/>
      <c r="CK151"/>
      <c r="CM151" s="35"/>
      <c r="CN151" s="35"/>
      <c r="CQ151"/>
      <c r="CS151" s="35"/>
      <c r="CT151" s="35"/>
      <c r="CX151"/>
      <c r="CZ151" s="35"/>
      <c r="DD151" s="34"/>
      <c r="DG151" t="s">
        <v>738</v>
      </c>
      <c r="DH151" t="s">
        <v>937</v>
      </c>
      <c r="DI151" t="s">
        <v>233</v>
      </c>
      <c r="DL151" t="s">
        <v>664</v>
      </c>
      <c r="DM151">
        <v>6</v>
      </c>
      <c r="DN151">
        <v>8</v>
      </c>
      <c r="DO151" t="s">
        <v>739</v>
      </c>
      <c r="DQ151" t="s">
        <v>927</v>
      </c>
      <c r="DR151">
        <v>14</v>
      </c>
      <c r="DS151">
        <v>0</v>
      </c>
      <c r="DU151">
        <v>14</v>
      </c>
      <c r="DV151">
        <v>0</v>
      </c>
      <c r="DX151">
        <v>14</v>
      </c>
      <c r="DY151">
        <v>0</v>
      </c>
      <c r="DZ151" t="s">
        <v>246</v>
      </c>
      <c r="EA151" t="s">
        <v>929</v>
      </c>
    </row>
    <row r="152" spans="1:131" x14ac:dyDescent="0.4">
      <c r="A152" s="34">
        <v>43067.305104166669</v>
      </c>
      <c r="B152" s="25">
        <v>42933.713888888888</v>
      </c>
      <c r="D152" s="34"/>
      <c r="E152" s="34" t="s">
        <v>193</v>
      </c>
      <c r="F152" s="34" t="s">
        <v>191</v>
      </c>
      <c r="G152" s="34" t="s">
        <v>100</v>
      </c>
      <c r="H152" t="s">
        <v>279</v>
      </c>
      <c r="I152" t="s">
        <v>243</v>
      </c>
      <c r="J152" t="s">
        <v>712</v>
      </c>
      <c r="K152" t="s">
        <v>713</v>
      </c>
      <c r="L152" t="s">
        <v>711</v>
      </c>
      <c r="M152" s="30">
        <v>2.0299999999999998</v>
      </c>
      <c r="N152">
        <v>7</v>
      </c>
      <c r="P152" s="24" t="str">
        <f>IFERROR(MID(RADataTable[[#This Row],[RATemplate]],1,LEN(RADataTable[[#This Row],[RATemplate]])-8),"RA") &amp; " " &amp; RADataTable[[#This Row],[prop_id0]] &amp; " " &amp; RADataTable[[#This Row],[last0]]</f>
        <v>RA 1749563 Del Pia</v>
      </c>
      <c r="T152">
        <v>4</v>
      </c>
      <c r="U152">
        <v>4</v>
      </c>
      <c r="V152" s="34">
        <v>43031.584027777775</v>
      </c>
      <c r="W152">
        <v>1</v>
      </c>
      <c r="X152" s="15" t="str">
        <f>HYPERLINK("https://www.ejacket.nsf.gov/ej/showProposal.do?Continue=Y&amp;ID="&amp;RADataTable[[#This Row],[prop_id0]],"eJ")</f>
        <v>eJ</v>
      </c>
      <c r="Y152" s="15" t="str">
        <f>HYPERLINK("mailto:"&amp;RADataTable[[#This Row],[email]]&amp;"&amp;subject=Your NSF Proposal:  "&amp;RADataTable[[#This Row],[Div]]&amp;" "&amp;RADataTable[[#This Row],[prop_id0]], RADataTable[[#This Row],[email]])</f>
        <v>delpia@wisc.edu</v>
      </c>
      <c r="Z152" s="15" t="str">
        <f>HYPERLINK("mailto:"&amp;RADataTable[[#This Row],[allPIemail]]&amp;"&amp;subject=NSF Proposal:  "&amp;RADataTable[[#This Row],[Div]]&amp;" "&amp;RADataTable[[#This Row],[prop_id0]], "PIs@")</f>
        <v>PIs@</v>
      </c>
      <c r="AA152" t="s">
        <v>245</v>
      </c>
      <c r="AB152" t="s">
        <v>664</v>
      </c>
      <c r="AC152" s="30" t="s">
        <v>736</v>
      </c>
      <c r="AD152" t="s">
        <v>737</v>
      </c>
      <c r="AE152" t="s">
        <v>284</v>
      </c>
      <c r="AF152" s="36">
        <v>500000</v>
      </c>
      <c r="AG152" s="36">
        <v>500000</v>
      </c>
      <c r="AH152" s="24"/>
      <c r="AJ152" s="34"/>
      <c r="AK152" t="s">
        <v>923</v>
      </c>
      <c r="AL152" t="s">
        <v>232</v>
      </c>
      <c r="AM152" s="34" t="s">
        <v>925</v>
      </c>
      <c r="AN152" s="34">
        <v>43032</v>
      </c>
      <c r="AO152" s="24">
        <v>3</v>
      </c>
      <c r="AP152" t="s">
        <v>936</v>
      </c>
      <c r="AR152" s="35"/>
      <c r="AS152"/>
      <c r="AT152" s="34"/>
      <c r="AV152" s="34"/>
      <c r="AX152" s="34"/>
      <c r="AY152"/>
      <c r="BA152" s="34"/>
      <c r="BB152"/>
      <c r="BC152" t="s">
        <v>740</v>
      </c>
      <c r="BD152" s="36">
        <v>500000</v>
      </c>
      <c r="BE152" s="36">
        <v>500000</v>
      </c>
      <c r="BF152">
        <v>0</v>
      </c>
      <c r="BG152" s="34">
        <v>43344</v>
      </c>
      <c r="BH152">
        <v>60</v>
      </c>
      <c r="BI152" t="s">
        <v>283</v>
      </c>
      <c r="BJ152" t="s">
        <v>928</v>
      </c>
      <c r="BK152" t="s">
        <v>234</v>
      </c>
      <c r="BL152" t="s">
        <v>194</v>
      </c>
      <c r="BM152" s="8" t="s">
        <v>192</v>
      </c>
      <c r="BN152" t="s">
        <v>189</v>
      </c>
      <c r="BO152" t="s">
        <v>190</v>
      </c>
      <c r="BP152" s="35" t="s">
        <v>718</v>
      </c>
      <c r="BQ152"/>
      <c r="BU152" s="35"/>
      <c r="BV152" s="35"/>
      <c r="BX152"/>
      <c r="CA152" s="35"/>
      <c r="CB152" s="35"/>
      <c r="CC152"/>
      <c r="CG152" s="35"/>
      <c r="CH152" s="35"/>
      <c r="CK152"/>
      <c r="CM152" s="35"/>
      <c r="CN152" s="35"/>
      <c r="CQ152"/>
      <c r="CS152" s="35"/>
      <c r="CT152" s="35"/>
      <c r="CX152"/>
      <c r="CZ152" s="35"/>
      <c r="DD152" s="34"/>
      <c r="DG152" t="s">
        <v>738</v>
      </c>
      <c r="DH152" t="s">
        <v>937</v>
      </c>
      <c r="DI152" t="s">
        <v>233</v>
      </c>
      <c r="DL152" t="s">
        <v>664</v>
      </c>
      <c r="DM152">
        <v>6</v>
      </c>
      <c r="DN152">
        <v>8</v>
      </c>
      <c r="DO152" t="s">
        <v>739</v>
      </c>
      <c r="DQ152" t="s">
        <v>927</v>
      </c>
      <c r="DR152">
        <v>14</v>
      </c>
      <c r="DS152">
        <v>0</v>
      </c>
      <c r="DU152">
        <v>14</v>
      </c>
      <c r="DV152">
        <v>0</v>
      </c>
      <c r="DX152">
        <v>14</v>
      </c>
      <c r="DY152">
        <v>0</v>
      </c>
      <c r="DZ152" t="s">
        <v>246</v>
      </c>
      <c r="EA152" t="s">
        <v>929</v>
      </c>
    </row>
    <row r="153" spans="1:131" x14ac:dyDescent="0.4">
      <c r="A153" s="34">
        <v>43067.305104166669</v>
      </c>
      <c r="B153" s="25">
        <v>42933.713888888888</v>
      </c>
      <c r="D153" s="34"/>
      <c r="E153" s="34" t="s">
        <v>193</v>
      </c>
      <c r="F153" s="34" t="s">
        <v>191</v>
      </c>
      <c r="G153" s="34" t="s">
        <v>100</v>
      </c>
      <c r="H153" t="s">
        <v>279</v>
      </c>
      <c r="I153" t="s">
        <v>243</v>
      </c>
      <c r="J153" t="s">
        <v>712</v>
      </c>
      <c r="K153" t="s">
        <v>713</v>
      </c>
      <c r="L153" t="s">
        <v>711</v>
      </c>
      <c r="M153" s="30">
        <v>2.0299999999999998</v>
      </c>
      <c r="N153">
        <v>7</v>
      </c>
      <c r="P153" s="24" t="str">
        <f>IFERROR(MID(RADataTable[[#This Row],[RATemplate]],1,LEN(RADataTable[[#This Row],[RATemplate]])-8),"RA") &amp; " " &amp; RADataTable[[#This Row],[prop_id0]] &amp; " " &amp; RADataTable[[#This Row],[last0]]</f>
        <v>RA 1749563 Del Pia</v>
      </c>
      <c r="T153">
        <v>4</v>
      </c>
      <c r="U153">
        <v>4</v>
      </c>
      <c r="V153" s="34">
        <v>43031.584027777775</v>
      </c>
      <c r="W153">
        <v>1</v>
      </c>
      <c r="X153" s="15" t="str">
        <f>HYPERLINK("https://www.ejacket.nsf.gov/ej/showProposal.do?Continue=Y&amp;ID="&amp;RADataTable[[#This Row],[prop_id0]],"eJ")</f>
        <v>eJ</v>
      </c>
      <c r="Y153" s="15" t="str">
        <f>HYPERLINK("mailto:"&amp;RADataTable[[#This Row],[email]]&amp;"&amp;subject=Your NSF Proposal:  "&amp;RADataTable[[#This Row],[Div]]&amp;" "&amp;RADataTable[[#This Row],[prop_id0]], RADataTable[[#This Row],[email]])</f>
        <v>delpia@wisc.edu</v>
      </c>
      <c r="Z153" s="15" t="str">
        <f>HYPERLINK("mailto:"&amp;RADataTable[[#This Row],[allPIemail]]&amp;"&amp;subject=NSF Proposal:  "&amp;RADataTable[[#This Row],[Div]]&amp;" "&amp;RADataTable[[#This Row],[prop_id0]], "PIs@")</f>
        <v>PIs@</v>
      </c>
      <c r="AA153" t="s">
        <v>245</v>
      </c>
      <c r="AB153" t="s">
        <v>664</v>
      </c>
      <c r="AC153" s="30" t="s">
        <v>736</v>
      </c>
      <c r="AD153" t="s">
        <v>737</v>
      </c>
      <c r="AE153" t="s">
        <v>284</v>
      </c>
      <c r="AF153" s="36">
        <v>500000</v>
      </c>
      <c r="AG153" s="36">
        <v>500000</v>
      </c>
      <c r="AH153" s="24"/>
      <c r="AJ153" s="34"/>
      <c r="AK153" t="s">
        <v>923</v>
      </c>
      <c r="AL153" t="s">
        <v>232</v>
      </c>
      <c r="AM153" s="34" t="s">
        <v>925</v>
      </c>
      <c r="AN153" s="34">
        <v>43032</v>
      </c>
      <c r="AO153" s="24">
        <v>3</v>
      </c>
      <c r="AP153" t="s">
        <v>936</v>
      </c>
      <c r="AR153" s="35"/>
      <c r="AS153"/>
      <c r="AT153" s="34"/>
      <c r="AV153" s="34"/>
      <c r="AX153" s="34"/>
      <c r="AY153"/>
      <c r="BA153" s="34"/>
      <c r="BB153"/>
      <c r="BC153" t="s">
        <v>740</v>
      </c>
      <c r="BD153" s="36">
        <v>500000</v>
      </c>
      <c r="BE153" s="36">
        <v>500000</v>
      </c>
      <c r="BF153">
        <v>0</v>
      </c>
      <c r="BG153" s="34">
        <v>43344</v>
      </c>
      <c r="BH153">
        <v>60</v>
      </c>
      <c r="BI153" t="s">
        <v>283</v>
      </c>
      <c r="BJ153" t="s">
        <v>928</v>
      </c>
      <c r="BK153" t="s">
        <v>234</v>
      </c>
      <c r="BL153" t="s">
        <v>194</v>
      </c>
      <c r="BM153" s="8" t="s">
        <v>192</v>
      </c>
      <c r="BN153" t="s">
        <v>189</v>
      </c>
      <c r="BO153" t="s">
        <v>190</v>
      </c>
      <c r="BP153" s="35" t="s">
        <v>718</v>
      </c>
      <c r="BQ153"/>
      <c r="BU153" s="35"/>
      <c r="BV153" s="35"/>
      <c r="BX153"/>
      <c r="CA153" s="35"/>
      <c r="CB153" s="35"/>
      <c r="CC153"/>
      <c r="CG153" s="35"/>
      <c r="CH153" s="35"/>
      <c r="CK153"/>
      <c r="CM153" s="35"/>
      <c r="CN153" s="35"/>
      <c r="CQ153"/>
      <c r="CS153" s="35"/>
      <c r="CT153" s="35"/>
      <c r="CX153"/>
      <c r="CZ153" s="35"/>
      <c r="DD153" s="34"/>
      <c r="DG153" t="s">
        <v>738</v>
      </c>
      <c r="DH153" t="s">
        <v>937</v>
      </c>
      <c r="DI153" t="s">
        <v>233</v>
      </c>
      <c r="DL153" t="s">
        <v>664</v>
      </c>
      <c r="DM153">
        <v>6</v>
      </c>
      <c r="DN153">
        <v>8</v>
      </c>
      <c r="DO153" t="s">
        <v>739</v>
      </c>
      <c r="DQ153" t="s">
        <v>927</v>
      </c>
      <c r="DR153">
        <v>14</v>
      </c>
      <c r="DS153">
        <v>0</v>
      </c>
      <c r="DU153">
        <v>14</v>
      </c>
      <c r="DV153">
        <v>0</v>
      </c>
      <c r="DX153">
        <v>14</v>
      </c>
      <c r="DY153">
        <v>0</v>
      </c>
      <c r="DZ153" t="s">
        <v>246</v>
      </c>
      <c r="EA153" t="s">
        <v>929</v>
      </c>
    </row>
    <row r="154" spans="1:131" x14ac:dyDescent="0.4">
      <c r="A154" s="34">
        <v>43067.305104166669</v>
      </c>
      <c r="B154" s="25">
        <v>42933.713888888888</v>
      </c>
      <c r="D154" s="34"/>
      <c r="E154" s="34" t="s">
        <v>193</v>
      </c>
      <c r="F154" s="34" t="s">
        <v>191</v>
      </c>
      <c r="G154" s="34" t="s">
        <v>100</v>
      </c>
      <c r="H154" t="s">
        <v>279</v>
      </c>
      <c r="I154" t="s">
        <v>243</v>
      </c>
      <c r="J154" t="s">
        <v>712</v>
      </c>
      <c r="K154" t="s">
        <v>713</v>
      </c>
      <c r="L154" t="s">
        <v>711</v>
      </c>
      <c r="M154" s="30">
        <v>2.0299999999999998</v>
      </c>
      <c r="N154">
        <v>7</v>
      </c>
      <c r="P154" s="24" t="str">
        <f>IFERROR(MID(RADataTable[[#This Row],[RATemplate]],1,LEN(RADataTable[[#This Row],[RATemplate]])-8),"RA") &amp; " " &amp; RADataTable[[#This Row],[prop_id0]] &amp; " " &amp; RADataTable[[#This Row],[last0]]</f>
        <v>RA 1749563 Del Pia</v>
      </c>
      <c r="T154">
        <v>4</v>
      </c>
      <c r="U154">
        <v>4</v>
      </c>
      <c r="V154" s="34">
        <v>43031.584027777775</v>
      </c>
      <c r="W154">
        <v>1</v>
      </c>
      <c r="X154" s="15" t="str">
        <f>HYPERLINK("https://www.ejacket.nsf.gov/ej/showProposal.do?Continue=Y&amp;ID="&amp;RADataTable[[#This Row],[prop_id0]],"eJ")</f>
        <v>eJ</v>
      </c>
      <c r="Y154" s="15" t="str">
        <f>HYPERLINK("mailto:"&amp;RADataTable[[#This Row],[email]]&amp;"&amp;subject=Your NSF Proposal:  "&amp;RADataTable[[#This Row],[Div]]&amp;" "&amp;RADataTable[[#This Row],[prop_id0]], RADataTable[[#This Row],[email]])</f>
        <v>delpia@wisc.edu</v>
      </c>
      <c r="Z154" s="15" t="str">
        <f>HYPERLINK("mailto:"&amp;RADataTable[[#This Row],[allPIemail]]&amp;"&amp;subject=NSF Proposal:  "&amp;RADataTable[[#This Row],[Div]]&amp;" "&amp;RADataTable[[#This Row],[prop_id0]], "PIs@")</f>
        <v>PIs@</v>
      </c>
      <c r="AA154" t="s">
        <v>245</v>
      </c>
      <c r="AB154" t="s">
        <v>664</v>
      </c>
      <c r="AC154" s="30" t="s">
        <v>736</v>
      </c>
      <c r="AD154" t="s">
        <v>737</v>
      </c>
      <c r="AE154" t="s">
        <v>284</v>
      </c>
      <c r="AF154" s="36">
        <v>500000</v>
      </c>
      <c r="AG154" s="36">
        <v>500000</v>
      </c>
      <c r="AH154" s="24"/>
      <c r="AJ154" s="34"/>
      <c r="AK154" t="s">
        <v>923</v>
      </c>
      <c r="AL154" t="s">
        <v>232</v>
      </c>
      <c r="AM154" s="34" t="s">
        <v>925</v>
      </c>
      <c r="AN154" s="34">
        <v>43032</v>
      </c>
      <c r="AO154" s="24">
        <v>3</v>
      </c>
      <c r="AP154" t="s">
        <v>936</v>
      </c>
      <c r="AR154" s="35"/>
      <c r="AS154"/>
      <c r="AT154" s="34"/>
      <c r="AV154" s="34"/>
      <c r="AX154" s="34"/>
      <c r="AY154"/>
      <c r="BA154" s="34"/>
      <c r="BB154"/>
      <c r="BC154" t="s">
        <v>740</v>
      </c>
      <c r="BD154" s="36">
        <v>500000</v>
      </c>
      <c r="BE154" s="36">
        <v>500000</v>
      </c>
      <c r="BF154">
        <v>0</v>
      </c>
      <c r="BG154" s="34">
        <v>43344</v>
      </c>
      <c r="BH154">
        <v>60</v>
      </c>
      <c r="BI154" t="s">
        <v>283</v>
      </c>
      <c r="BJ154" t="s">
        <v>928</v>
      </c>
      <c r="BK154" t="s">
        <v>234</v>
      </c>
      <c r="BL154" t="s">
        <v>194</v>
      </c>
      <c r="BM154" s="8" t="s">
        <v>192</v>
      </c>
      <c r="BN154" t="s">
        <v>189</v>
      </c>
      <c r="BO154" t="s">
        <v>190</v>
      </c>
      <c r="BP154" s="35" t="s">
        <v>718</v>
      </c>
      <c r="BQ154"/>
      <c r="BU154" s="35"/>
      <c r="BV154" s="35"/>
      <c r="BX154"/>
      <c r="CA154" s="35"/>
      <c r="CB154" s="35"/>
      <c r="CC154"/>
      <c r="CG154" s="35"/>
      <c r="CH154" s="35"/>
      <c r="CK154"/>
      <c r="CM154" s="35"/>
      <c r="CN154" s="35"/>
      <c r="CQ154"/>
      <c r="CS154" s="35"/>
      <c r="CT154" s="35"/>
      <c r="CX154"/>
      <c r="CZ154" s="35"/>
      <c r="DD154" s="34"/>
      <c r="DG154" t="s">
        <v>738</v>
      </c>
      <c r="DH154" t="s">
        <v>937</v>
      </c>
      <c r="DI154" t="s">
        <v>233</v>
      </c>
      <c r="DL154" t="s">
        <v>664</v>
      </c>
      <c r="DM154">
        <v>6</v>
      </c>
      <c r="DN154">
        <v>8</v>
      </c>
      <c r="DO154" t="s">
        <v>739</v>
      </c>
      <c r="DQ154" t="s">
        <v>927</v>
      </c>
      <c r="DR154">
        <v>14</v>
      </c>
      <c r="DS154">
        <v>0</v>
      </c>
      <c r="DU154">
        <v>14</v>
      </c>
      <c r="DV154">
        <v>0</v>
      </c>
      <c r="DX154">
        <v>14</v>
      </c>
      <c r="DY154">
        <v>0</v>
      </c>
      <c r="DZ154" t="s">
        <v>246</v>
      </c>
      <c r="EA154" t="s">
        <v>929</v>
      </c>
    </row>
    <row r="155" spans="1:131" x14ac:dyDescent="0.4">
      <c r="A155" s="34">
        <v>43067.305104166669</v>
      </c>
      <c r="B155" s="25">
        <v>42933.713888888888</v>
      </c>
      <c r="D155" s="34"/>
      <c r="E155" s="34" t="s">
        <v>193</v>
      </c>
      <c r="F155" s="34" t="s">
        <v>191</v>
      </c>
      <c r="G155" s="34" t="s">
        <v>100</v>
      </c>
      <c r="H155" t="s">
        <v>279</v>
      </c>
      <c r="I155" t="s">
        <v>243</v>
      </c>
      <c r="J155" t="s">
        <v>712</v>
      </c>
      <c r="K155" t="s">
        <v>713</v>
      </c>
      <c r="L155" t="s">
        <v>711</v>
      </c>
      <c r="M155" s="30">
        <v>2.0299999999999998</v>
      </c>
      <c r="N155">
        <v>7</v>
      </c>
      <c r="P155" s="24" t="str">
        <f>IFERROR(MID(RADataTable[[#This Row],[RATemplate]],1,LEN(RADataTable[[#This Row],[RATemplate]])-8),"RA") &amp; " " &amp; RADataTable[[#This Row],[prop_id0]] &amp; " " &amp; RADataTable[[#This Row],[last0]]</f>
        <v>RA 1749563 Del Pia</v>
      </c>
      <c r="T155">
        <v>4</v>
      </c>
      <c r="U155">
        <v>4</v>
      </c>
      <c r="V155" s="34">
        <v>43031.584027777775</v>
      </c>
      <c r="W155">
        <v>1</v>
      </c>
      <c r="X155" s="15" t="str">
        <f>HYPERLINK("https://www.ejacket.nsf.gov/ej/showProposal.do?Continue=Y&amp;ID="&amp;RADataTable[[#This Row],[prop_id0]],"eJ")</f>
        <v>eJ</v>
      </c>
      <c r="Y155" s="15" t="str">
        <f>HYPERLINK("mailto:"&amp;RADataTable[[#This Row],[email]]&amp;"&amp;subject=Your NSF Proposal:  "&amp;RADataTable[[#This Row],[Div]]&amp;" "&amp;RADataTable[[#This Row],[prop_id0]], RADataTable[[#This Row],[email]])</f>
        <v>delpia@wisc.edu</v>
      </c>
      <c r="Z155" s="15" t="str">
        <f>HYPERLINK("mailto:"&amp;RADataTable[[#This Row],[allPIemail]]&amp;"&amp;subject=NSF Proposal:  "&amp;RADataTable[[#This Row],[Div]]&amp;" "&amp;RADataTable[[#This Row],[prop_id0]], "PIs@")</f>
        <v>PIs@</v>
      </c>
      <c r="AA155" t="s">
        <v>245</v>
      </c>
      <c r="AB155" t="s">
        <v>664</v>
      </c>
      <c r="AC155" s="30" t="s">
        <v>736</v>
      </c>
      <c r="AD155" t="s">
        <v>737</v>
      </c>
      <c r="AE155" t="s">
        <v>284</v>
      </c>
      <c r="AF155" s="36">
        <v>500000</v>
      </c>
      <c r="AG155" s="36">
        <v>500000</v>
      </c>
      <c r="AH155" s="24"/>
      <c r="AJ155" s="34"/>
      <c r="AK155" t="s">
        <v>923</v>
      </c>
      <c r="AL155" t="s">
        <v>232</v>
      </c>
      <c r="AM155" s="34" t="s">
        <v>925</v>
      </c>
      <c r="AN155" s="34">
        <v>43032</v>
      </c>
      <c r="AO155" s="24">
        <v>3</v>
      </c>
      <c r="AP155" t="s">
        <v>936</v>
      </c>
      <c r="AR155" s="35"/>
      <c r="AS155"/>
      <c r="AT155" s="34"/>
      <c r="AV155" s="34"/>
      <c r="AX155" s="34"/>
      <c r="AY155"/>
      <c r="BA155" s="34"/>
      <c r="BB155"/>
      <c r="BC155" t="s">
        <v>740</v>
      </c>
      <c r="BD155" s="36">
        <v>500000</v>
      </c>
      <c r="BE155" s="36">
        <v>500000</v>
      </c>
      <c r="BF155">
        <v>0</v>
      </c>
      <c r="BG155" s="34">
        <v>43344</v>
      </c>
      <c r="BH155">
        <v>60</v>
      </c>
      <c r="BI155" t="s">
        <v>283</v>
      </c>
      <c r="BJ155" t="s">
        <v>928</v>
      </c>
      <c r="BK155" t="s">
        <v>234</v>
      </c>
      <c r="BL155" t="s">
        <v>194</v>
      </c>
      <c r="BM155" s="8" t="s">
        <v>192</v>
      </c>
      <c r="BN155" t="s">
        <v>189</v>
      </c>
      <c r="BO155" t="s">
        <v>190</v>
      </c>
      <c r="BP155" s="35" t="s">
        <v>718</v>
      </c>
      <c r="BQ155"/>
      <c r="BU155" s="35"/>
      <c r="BV155" s="35"/>
      <c r="BX155"/>
      <c r="CA155" s="35"/>
      <c r="CB155" s="35"/>
      <c r="CC155"/>
      <c r="CG155" s="35"/>
      <c r="CH155" s="35"/>
      <c r="CK155"/>
      <c r="CM155" s="35"/>
      <c r="CN155" s="35"/>
      <c r="CQ155"/>
      <c r="CS155" s="35"/>
      <c r="CT155" s="35"/>
      <c r="CX155"/>
      <c r="CZ155" s="35"/>
      <c r="DD155" s="34"/>
      <c r="DG155" t="s">
        <v>738</v>
      </c>
      <c r="DH155" t="s">
        <v>937</v>
      </c>
      <c r="DI155" t="s">
        <v>233</v>
      </c>
      <c r="DL155" t="s">
        <v>664</v>
      </c>
      <c r="DM155">
        <v>6</v>
      </c>
      <c r="DN155">
        <v>8</v>
      </c>
      <c r="DO155" t="s">
        <v>739</v>
      </c>
      <c r="DQ155" t="s">
        <v>927</v>
      </c>
      <c r="DR155">
        <v>14</v>
      </c>
      <c r="DS155">
        <v>0</v>
      </c>
      <c r="DU155">
        <v>14</v>
      </c>
      <c r="DV155">
        <v>0</v>
      </c>
      <c r="DX155">
        <v>14</v>
      </c>
      <c r="DY155">
        <v>0</v>
      </c>
      <c r="DZ155" t="s">
        <v>246</v>
      </c>
      <c r="EA155" t="s">
        <v>929</v>
      </c>
    </row>
    <row r="156" spans="1:131" x14ac:dyDescent="0.4">
      <c r="A156" s="34">
        <v>43067.305104166669</v>
      </c>
      <c r="B156" s="25">
        <v>42933.713888888888</v>
      </c>
      <c r="D156" s="34"/>
      <c r="E156" s="34" t="s">
        <v>193</v>
      </c>
      <c r="F156" s="34" t="s">
        <v>191</v>
      </c>
      <c r="G156" s="34" t="s">
        <v>100</v>
      </c>
      <c r="H156" t="s">
        <v>279</v>
      </c>
      <c r="I156" t="s">
        <v>243</v>
      </c>
      <c r="J156" t="s">
        <v>712</v>
      </c>
      <c r="K156" t="s">
        <v>713</v>
      </c>
      <c r="L156" t="s">
        <v>711</v>
      </c>
      <c r="M156" s="30">
        <v>2.0299999999999998</v>
      </c>
      <c r="N156">
        <v>7</v>
      </c>
      <c r="P156" s="24" t="str">
        <f>IFERROR(MID(RADataTable[[#This Row],[RATemplate]],1,LEN(RADataTable[[#This Row],[RATemplate]])-8),"RA") &amp; " " &amp; RADataTable[[#This Row],[prop_id0]] &amp; " " &amp; RADataTable[[#This Row],[last0]]</f>
        <v>RA 1749563 Del Pia</v>
      </c>
      <c r="T156">
        <v>4</v>
      </c>
      <c r="U156">
        <v>4</v>
      </c>
      <c r="V156" s="34">
        <v>43031.584027777775</v>
      </c>
      <c r="W156">
        <v>1</v>
      </c>
      <c r="X156" s="15" t="str">
        <f>HYPERLINK("https://www.ejacket.nsf.gov/ej/showProposal.do?Continue=Y&amp;ID="&amp;RADataTable[[#This Row],[prop_id0]],"eJ")</f>
        <v>eJ</v>
      </c>
      <c r="Y156" s="15" t="str">
        <f>HYPERLINK("mailto:"&amp;RADataTable[[#This Row],[email]]&amp;"&amp;subject=Your NSF Proposal:  "&amp;RADataTable[[#This Row],[Div]]&amp;" "&amp;RADataTable[[#This Row],[prop_id0]], RADataTable[[#This Row],[email]])</f>
        <v>delpia@wisc.edu</v>
      </c>
      <c r="Z156" s="15" t="str">
        <f>HYPERLINK("mailto:"&amp;RADataTable[[#This Row],[allPIemail]]&amp;"&amp;subject=NSF Proposal:  "&amp;RADataTable[[#This Row],[Div]]&amp;" "&amp;RADataTable[[#This Row],[prop_id0]], "PIs@")</f>
        <v>PIs@</v>
      </c>
      <c r="AA156" t="s">
        <v>245</v>
      </c>
      <c r="AB156" t="s">
        <v>664</v>
      </c>
      <c r="AC156" s="30" t="s">
        <v>736</v>
      </c>
      <c r="AD156" t="s">
        <v>737</v>
      </c>
      <c r="AE156" t="s">
        <v>284</v>
      </c>
      <c r="AF156" s="36">
        <v>500000</v>
      </c>
      <c r="AG156" s="36">
        <v>500000</v>
      </c>
      <c r="AH156" s="24"/>
      <c r="AJ156" s="34"/>
      <c r="AK156" t="s">
        <v>923</v>
      </c>
      <c r="AL156" t="s">
        <v>232</v>
      </c>
      <c r="AM156" s="34" t="s">
        <v>925</v>
      </c>
      <c r="AN156" s="34">
        <v>43032</v>
      </c>
      <c r="AO156" s="24">
        <v>3</v>
      </c>
      <c r="AP156" t="s">
        <v>936</v>
      </c>
      <c r="AR156" s="35"/>
      <c r="AS156"/>
      <c r="AT156" s="34"/>
      <c r="AV156" s="34"/>
      <c r="AX156" s="34"/>
      <c r="AY156"/>
      <c r="BA156" s="34"/>
      <c r="BB156"/>
      <c r="BC156" t="s">
        <v>740</v>
      </c>
      <c r="BD156" s="36">
        <v>500000</v>
      </c>
      <c r="BE156" s="36">
        <v>500000</v>
      </c>
      <c r="BF156">
        <v>0</v>
      </c>
      <c r="BG156" s="34">
        <v>43344</v>
      </c>
      <c r="BH156">
        <v>60</v>
      </c>
      <c r="BI156" t="s">
        <v>283</v>
      </c>
      <c r="BJ156" t="s">
        <v>928</v>
      </c>
      <c r="BK156" t="s">
        <v>234</v>
      </c>
      <c r="BL156" t="s">
        <v>194</v>
      </c>
      <c r="BM156" s="8" t="s">
        <v>192</v>
      </c>
      <c r="BN156" t="s">
        <v>189</v>
      </c>
      <c r="BO156" t="s">
        <v>190</v>
      </c>
      <c r="BP156" s="35" t="s">
        <v>718</v>
      </c>
      <c r="BQ156"/>
      <c r="BU156" s="35"/>
      <c r="BV156" s="35"/>
      <c r="BX156"/>
      <c r="CA156" s="35"/>
      <c r="CB156" s="35"/>
      <c r="CC156"/>
      <c r="CG156" s="35"/>
      <c r="CH156" s="35"/>
      <c r="CK156"/>
      <c r="CM156" s="35"/>
      <c r="CN156" s="35"/>
      <c r="CQ156"/>
      <c r="CS156" s="35"/>
      <c r="CT156" s="35"/>
      <c r="CX156"/>
      <c r="CZ156" s="35"/>
      <c r="DD156" s="34"/>
      <c r="DG156" t="s">
        <v>738</v>
      </c>
      <c r="DH156" t="s">
        <v>937</v>
      </c>
      <c r="DI156" t="s">
        <v>233</v>
      </c>
      <c r="DL156" t="s">
        <v>664</v>
      </c>
      <c r="DM156">
        <v>6</v>
      </c>
      <c r="DN156">
        <v>8</v>
      </c>
      <c r="DO156" t="s">
        <v>739</v>
      </c>
      <c r="DQ156" t="s">
        <v>927</v>
      </c>
      <c r="DR156">
        <v>14</v>
      </c>
      <c r="DS156">
        <v>0</v>
      </c>
      <c r="DU156">
        <v>14</v>
      </c>
      <c r="DV156">
        <v>0</v>
      </c>
      <c r="DX156">
        <v>14</v>
      </c>
      <c r="DY156">
        <v>0</v>
      </c>
      <c r="DZ156" t="s">
        <v>246</v>
      </c>
      <c r="EA156" t="s">
        <v>929</v>
      </c>
    </row>
    <row r="157" spans="1:131" x14ac:dyDescent="0.4">
      <c r="A157" s="34">
        <v>43067.305104166669</v>
      </c>
      <c r="B157" s="25">
        <v>42933.713888888888</v>
      </c>
      <c r="D157" s="34"/>
      <c r="E157" s="34" t="s">
        <v>193</v>
      </c>
      <c r="F157" s="34" t="s">
        <v>191</v>
      </c>
      <c r="G157" s="34" t="s">
        <v>100</v>
      </c>
      <c r="H157" t="s">
        <v>279</v>
      </c>
      <c r="I157" t="s">
        <v>243</v>
      </c>
      <c r="J157" t="s">
        <v>712</v>
      </c>
      <c r="K157" t="s">
        <v>713</v>
      </c>
      <c r="L157" t="s">
        <v>711</v>
      </c>
      <c r="M157" s="30">
        <v>2.0299999999999998</v>
      </c>
      <c r="N157">
        <v>7</v>
      </c>
      <c r="P157" s="24" t="str">
        <f>IFERROR(MID(RADataTable[[#This Row],[RATemplate]],1,LEN(RADataTable[[#This Row],[RATemplate]])-8),"RA") &amp; " " &amp; RADataTable[[#This Row],[prop_id0]] &amp; " " &amp; RADataTable[[#This Row],[last0]]</f>
        <v>RA 1749563 Del Pia</v>
      </c>
      <c r="T157">
        <v>4</v>
      </c>
      <c r="U157">
        <v>4</v>
      </c>
      <c r="V157" s="34">
        <v>43031.584027777775</v>
      </c>
      <c r="W157">
        <v>1</v>
      </c>
      <c r="X157" s="15" t="str">
        <f>HYPERLINK("https://www.ejacket.nsf.gov/ej/showProposal.do?Continue=Y&amp;ID="&amp;RADataTable[[#This Row],[prop_id0]],"eJ")</f>
        <v>eJ</v>
      </c>
      <c r="Y157" s="15" t="str">
        <f>HYPERLINK("mailto:"&amp;RADataTable[[#This Row],[email]]&amp;"&amp;subject=Your NSF Proposal:  "&amp;RADataTable[[#This Row],[Div]]&amp;" "&amp;RADataTable[[#This Row],[prop_id0]], RADataTable[[#This Row],[email]])</f>
        <v>delpia@wisc.edu</v>
      </c>
      <c r="Z157" s="15" t="str">
        <f>HYPERLINK("mailto:"&amp;RADataTable[[#This Row],[allPIemail]]&amp;"&amp;subject=NSF Proposal:  "&amp;RADataTable[[#This Row],[Div]]&amp;" "&amp;RADataTable[[#This Row],[prop_id0]], "PIs@")</f>
        <v>PIs@</v>
      </c>
      <c r="AA157" t="s">
        <v>245</v>
      </c>
      <c r="AB157" t="s">
        <v>664</v>
      </c>
      <c r="AC157" s="30" t="s">
        <v>736</v>
      </c>
      <c r="AD157" t="s">
        <v>737</v>
      </c>
      <c r="AE157" t="s">
        <v>284</v>
      </c>
      <c r="AF157" s="36">
        <v>500000</v>
      </c>
      <c r="AG157" s="36">
        <v>500000</v>
      </c>
      <c r="AH157" s="24"/>
      <c r="AJ157" s="34"/>
      <c r="AK157" t="s">
        <v>923</v>
      </c>
      <c r="AL157" t="s">
        <v>232</v>
      </c>
      <c r="AM157" s="34" t="s">
        <v>925</v>
      </c>
      <c r="AN157" s="34">
        <v>43032</v>
      </c>
      <c r="AO157" s="24">
        <v>3</v>
      </c>
      <c r="AP157" t="s">
        <v>936</v>
      </c>
      <c r="AR157" s="35"/>
      <c r="AS157"/>
      <c r="AT157" s="34"/>
      <c r="AV157" s="34"/>
      <c r="AX157" s="34"/>
      <c r="AY157"/>
      <c r="BA157" s="34"/>
      <c r="BB157"/>
      <c r="BC157" t="s">
        <v>740</v>
      </c>
      <c r="BD157" s="36">
        <v>500000</v>
      </c>
      <c r="BE157" s="36">
        <v>500000</v>
      </c>
      <c r="BF157">
        <v>0</v>
      </c>
      <c r="BG157" s="34">
        <v>43344</v>
      </c>
      <c r="BH157">
        <v>60</v>
      </c>
      <c r="BI157" t="s">
        <v>283</v>
      </c>
      <c r="BJ157" t="s">
        <v>928</v>
      </c>
      <c r="BK157" t="s">
        <v>234</v>
      </c>
      <c r="BL157" t="s">
        <v>194</v>
      </c>
      <c r="BM157" s="8" t="s">
        <v>192</v>
      </c>
      <c r="BN157" t="s">
        <v>189</v>
      </c>
      <c r="BO157" t="s">
        <v>190</v>
      </c>
      <c r="BP157" s="35" t="s">
        <v>718</v>
      </c>
      <c r="BQ157"/>
      <c r="BU157" s="35"/>
      <c r="BV157" s="35"/>
      <c r="BX157"/>
      <c r="CA157" s="35"/>
      <c r="CB157" s="35"/>
      <c r="CC157"/>
      <c r="CG157" s="35"/>
      <c r="CH157" s="35"/>
      <c r="CK157"/>
      <c r="CM157" s="35"/>
      <c r="CN157" s="35"/>
      <c r="CQ157"/>
      <c r="CS157" s="35"/>
      <c r="CT157" s="35"/>
      <c r="CX157"/>
      <c r="CZ157" s="35"/>
      <c r="DD157" s="34"/>
      <c r="DG157" t="s">
        <v>738</v>
      </c>
      <c r="DH157" t="s">
        <v>937</v>
      </c>
      <c r="DI157" t="s">
        <v>233</v>
      </c>
      <c r="DL157" t="s">
        <v>664</v>
      </c>
      <c r="DM157">
        <v>6</v>
      </c>
      <c r="DN157">
        <v>8</v>
      </c>
      <c r="DO157" t="s">
        <v>739</v>
      </c>
      <c r="DQ157" t="s">
        <v>927</v>
      </c>
      <c r="DR157">
        <v>14</v>
      </c>
      <c r="DS157">
        <v>0</v>
      </c>
      <c r="DU157">
        <v>14</v>
      </c>
      <c r="DV157">
        <v>0</v>
      </c>
      <c r="DX157">
        <v>14</v>
      </c>
      <c r="DY157">
        <v>0</v>
      </c>
      <c r="DZ157" t="s">
        <v>246</v>
      </c>
      <c r="EA157" t="s">
        <v>929</v>
      </c>
    </row>
    <row r="158" spans="1:131" x14ac:dyDescent="0.4">
      <c r="A158" s="34">
        <v>43067.305104166669</v>
      </c>
      <c r="B158" s="25">
        <v>42935.387499999997</v>
      </c>
      <c r="D158" s="34"/>
      <c r="E158" s="34" t="s">
        <v>193</v>
      </c>
      <c r="F158" s="34" t="s">
        <v>191</v>
      </c>
      <c r="G158" s="34" t="s">
        <v>100</v>
      </c>
      <c r="H158" t="s">
        <v>279</v>
      </c>
      <c r="I158" t="s">
        <v>243</v>
      </c>
      <c r="J158" t="s">
        <v>712</v>
      </c>
      <c r="K158" t="s">
        <v>729</v>
      </c>
      <c r="L158" t="s">
        <v>711</v>
      </c>
      <c r="M158" s="30">
        <v>2.0299999999999998</v>
      </c>
      <c r="N158">
        <v>7.75</v>
      </c>
      <c r="P158" s="24" t="str">
        <f>IFERROR(MID(RADataTable[[#This Row],[RATemplate]],1,LEN(RADataTable[[#This Row],[RATemplate]])-8),"RA") &amp; " " &amp; RADataTable[[#This Row],[prop_id0]] &amp; " " &amp; RADataTable[[#This Row],[last0]]</f>
        <v>RA 1750140 Panigrahi</v>
      </c>
      <c r="T158">
        <v>4</v>
      </c>
      <c r="U158">
        <v>4</v>
      </c>
      <c r="V158" s="34">
        <v>43032.520138888889</v>
      </c>
      <c r="W158">
        <v>1</v>
      </c>
      <c r="X158" s="15" t="str">
        <f>HYPERLINK("https://www.ejacket.nsf.gov/ej/showProposal.do?Continue=Y&amp;ID="&amp;RADataTable[[#This Row],[prop_id0]],"eJ")</f>
        <v>eJ</v>
      </c>
      <c r="Y158" s="15" t="str">
        <f>HYPERLINK("mailto:"&amp;RADataTable[[#This Row],[email]]&amp;"&amp;subject=Your NSF Proposal:  "&amp;RADataTable[[#This Row],[Div]]&amp;" "&amp;RADataTable[[#This Row],[prop_id0]], RADataTable[[#This Row],[email]])</f>
        <v>debmalya.panigrahi@gmail.com</v>
      </c>
      <c r="Z158" s="15" t="str">
        <f>HYPERLINK("mailto:"&amp;RADataTable[[#This Row],[allPIemail]]&amp;"&amp;subject=NSF Proposal:  "&amp;RADataTable[[#This Row],[Div]]&amp;" "&amp;RADataTable[[#This Row],[prop_id0]], "PIs@")</f>
        <v>PIs@</v>
      </c>
      <c r="AA158" t="s">
        <v>245</v>
      </c>
      <c r="AB158" t="s">
        <v>674</v>
      </c>
      <c r="AC158" s="30" t="s">
        <v>795</v>
      </c>
      <c r="AD158" t="s">
        <v>796</v>
      </c>
      <c r="AE158" t="s">
        <v>797</v>
      </c>
      <c r="AF158" s="36">
        <v>602288</v>
      </c>
      <c r="AG158" s="36">
        <v>602288</v>
      </c>
      <c r="AH158" s="24"/>
      <c r="AJ158" s="34"/>
      <c r="AK158" t="s">
        <v>923</v>
      </c>
      <c r="AL158" t="s">
        <v>232</v>
      </c>
      <c r="AM158" s="34" t="s">
        <v>925</v>
      </c>
      <c r="AN158" s="34">
        <v>43032</v>
      </c>
      <c r="AO158" s="24">
        <v>3</v>
      </c>
      <c r="AP158" t="s">
        <v>295</v>
      </c>
      <c r="AR158" s="35"/>
      <c r="AS158"/>
      <c r="AT158" s="34"/>
      <c r="AV158" s="34"/>
      <c r="AX158" s="34"/>
      <c r="AY158"/>
      <c r="BA158" s="34"/>
      <c r="BB158"/>
      <c r="BC158" t="s">
        <v>800</v>
      </c>
      <c r="BD158" s="36">
        <v>602288</v>
      </c>
      <c r="BE158" s="36">
        <v>602288</v>
      </c>
      <c r="BF158">
        <v>0</v>
      </c>
      <c r="BG158" s="34">
        <v>43160</v>
      </c>
      <c r="BH158">
        <v>60</v>
      </c>
      <c r="BI158" t="s">
        <v>283</v>
      </c>
      <c r="BJ158" t="s">
        <v>928</v>
      </c>
      <c r="BK158" t="s">
        <v>934</v>
      </c>
      <c r="BL158" t="s">
        <v>194</v>
      </c>
      <c r="BM158" s="8" t="s">
        <v>192</v>
      </c>
      <c r="BN158" t="s">
        <v>189</v>
      </c>
      <c r="BO158" t="s">
        <v>190</v>
      </c>
      <c r="BP158" s="35" t="s">
        <v>718</v>
      </c>
      <c r="BQ158"/>
      <c r="BU158" s="35"/>
      <c r="BV158" s="35"/>
      <c r="BX158"/>
      <c r="CA158" s="35"/>
      <c r="CB158" s="35"/>
      <c r="CC158"/>
      <c r="CG158" s="35"/>
      <c r="CH158" s="35"/>
      <c r="CK158"/>
      <c r="CM158" s="35"/>
      <c r="CN158" s="35"/>
      <c r="CQ158"/>
      <c r="CS158" s="35"/>
      <c r="CT158" s="35"/>
      <c r="CX158"/>
      <c r="CZ158" s="35"/>
      <c r="DD158" s="34"/>
      <c r="DG158" t="s">
        <v>799</v>
      </c>
      <c r="DH158" t="s">
        <v>957</v>
      </c>
      <c r="DI158" t="s">
        <v>233</v>
      </c>
      <c r="DL158" t="s">
        <v>674</v>
      </c>
      <c r="DM158">
        <v>7</v>
      </c>
      <c r="DN158">
        <v>9</v>
      </c>
      <c r="DO158" t="s">
        <v>294</v>
      </c>
      <c r="DQ158" t="s">
        <v>927</v>
      </c>
      <c r="DR158">
        <v>14</v>
      </c>
      <c r="DS158">
        <v>2</v>
      </c>
      <c r="DU158">
        <v>14</v>
      </c>
      <c r="DV158">
        <v>2</v>
      </c>
      <c r="DX158">
        <v>14</v>
      </c>
      <c r="DY158">
        <v>2</v>
      </c>
      <c r="DZ158" t="s">
        <v>246</v>
      </c>
      <c r="EA158" t="s">
        <v>929</v>
      </c>
    </row>
    <row r="159" spans="1:131" x14ac:dyDescent="0.4">
      <c r="A159" s="34">
        <v>43067.305104166669</v>
      </c>
      <c r="B159" s="25">
        <v>42935.387499999997</v>
      </c>
      <c r="D159" s="34"/>
      <c r="E159" s="34" t="s">
        <v>193</v>
      </c>
      <c r="F159" s="34" t="s">
        <v>191</v>
      </c>
      <c r="G159" s="34" t="s">
        <v>100</v>
      </c>
      <c r="H159" t="s">
        <v>279</v>
      </c>
      <c r="I159" t="s">
        <v>243</v>
      </c>
      <c r="J159" t="s">
        <v>712</v>
      </c>
      <c r="K159" t="s">
        <v>729</v>
      </c>
      <c r="L159" t="s">
        <v>711</v>
      </c>
      <c r="M159" s="30">
        <v>2.0299999999999998</v>
      </c>
      <c r="N159">
        <v>7.75</v>
      </c>
      <c r="P159" s="24" t="str">
        <f>IFERROR(MID(RADataTable[[#This Row],[RATemplate]],1,LEN(RADataTable[[#This Row],[RATemplate]])-8),"RA") &amp; " " &amp; RADataTable[[#This Row],[prop_id0]] &amp; " " &amp; RADataTable[[#This Row],[last0]]</f>
        <v>RA 1750140 Panigrahi</v>
      </c>
      <c r="T159">
        <v>4</v>
      </c>
      <c r="U159">
        <v>4</v>
      </c>
      <c r="V159" s="34">
        <v>43032.520138888889</v>
      </c>
      <c r="W159">
        <v>1</v>
      </c>
      <c r="X159" s="15" t="str">
        <f>HYPERLINK("https://www.ejacket.nsf.gov/ej/showProposal.do?Continue=Y&amp;ID="&amp;RADataTable[[#This Row],[prop_id0]],"eJ")</f>
        <v>eJ</v>
      </c>
      <c r="Y159" s="15" t="str">
        <f>HYPERLINK("mailto:"&amp;RADataTable[[#This Row],[email]]&amp;"&amp;subject=Your NSF Proposal:  "&amp;RADataTable[[#This Row],[Div]]&amp;" "&amp;RADataTable[[#This Row],[prop_id0]], RADataTable[[#This Row],[email]])</f>
        <v>debmalya.panigrahi@gmail.com</v>
      </c>
      <c r="Z159" s="15" t="str">
        <f>HYPERLINK("mailto:"&amp;RADataTable[[#This Row],[allPIemail]]&amp;"&amp;subject=NSF Proposal:  "&amp;RADataTable[[#This Row],[Div]]&amp;" "&amp;RADataTable[[#This Row],[prop_id0]], "PIs@")</f>
        <v>PIs@</v>
      </c>
      <c r="AA159" t="s">
        <v>245</v>
      </c>
      <c r="AB159" t="s">
        <v>674</v>
      </c>
      <c r="AC159" s="30" t="s">
        <v>795</v>
      </c>
      <c r="AD159" t="s">
        <v>796</v>
      </c>
      <c r="AE159" t="s">
        <v>797</v>
      </c>
      <c r="AF159" s="36">
        <v>602288</v>
      </c>
      <c r="AG159" s="36">
        <v>602288</v>
      </c>
      <c r="AH159" s="24"/>
      <c r="AJ159" s="34"/>
      <c r="AK159" t="s">
        <v>923</v>
      </c>
      <c r="AL159" t="s">
        <v>232</v>
      </c>
      <c r="AM159" s="34" t="s">
        <v>925</v>
      </c>
      <c r="AN159" s="34">
        <v>43032</v>
      </c>
      <c r="AO159" s="24">
        <v>3</v>
      </c>
      <c r="AP159" t="s">
        <v>295</v>
      </c>
      <c r="AR159" s="35"/>
      <c r="AS159"/>
      <c r="AT159" s="34"/>
      <c r="AV159" s="34"/>
      <c r="AX159" s="34"/>
      <c r="AY159"/>
      <c r="BA159" s="34"/>
      <c r="BB159"/>
      <c r="BC159" t="s">
        <v>800</v>
      </c>
      <c r="BD159" s="36">
        <v>602288</v>
      </c>
      <c r="BE159" s="36">
        <v>602288</v>
      </c>
      <c r="BF159">
        <v>0</v>
      </c>
      <c r="BG159" s="34">
        <v>43160</v>
      </c>
      <c r="BH159">
        <v>60</v>
      </c>
      <c r="BI159" t="s">
        <v>283</v>
      </c>
      <c r="BJ159" t="s">
        <v>928</v>
      </c>
      <c r="BK159" t="s">
        <v>934</v>
      </c>
      <c r="BL159" t="s">
        <v>194</v>
      </c>
      <c r="BM159" s="8" t="s">
        <v>192</v>
      </c>
      <c r="BN159" t="s">
        <v>189</v>
      </c>
      <c r="BO159" t="s">
        <v>190</v>
      </c>
      <c r="BP159" s="35" t="s">
        <v>718</v>
      </c>
      <c r="BQ159"/>
      <c r="BU159" s="35"/>
      <c r="BV159" s="35"/>
      <c r="BX159"/>
      <c r="CA159" s="35"/>
      <c r="CB159" s="35"/>
      <c r="CC159"/>
      <c r="CG159" s="35"/>
      <c r="CH159" s="35"/>
      <c r="CK159"/>
      <c r="CM159" s="35"/>
      <c r="CN159" s="35"/>
      <c r="CQ159"/>
      <c r="CS159" s="35"/>
      <c r="CT159" s="35"/>
      <c r="CX159"/>
      <c r="CZ159" s="35"/>
      <c r="DD159" s="34"/>
      <c r="DG159" t="s">
        <v>799</v>
      </c>
      <c r="DH159" t="s">
        <v>957</v>
      </c>
      <c r="DI159" t="s">
        <v>233</v>
      </c>
      <c r="DL159" t="s">
        <v>674</v>
      </c>
      <c r="DM159">
        <v>7</v>
      </c>
      <c r="DN159">
        <v>9</v>
      </c>
      <c r="DO159" t="s">
        <v>294</v>
      </c>
      <c r="DQ159" t="s">
        <v>927</v>
      </c>
      <c r="DR159">
        <v>14</v>
      </c>
      <c r="DS159">
        <v>2</v>
      </c>
      <c r="DU159">
        <v>14</v>
      </c>
      <c r="DV159">
        <v>2</v>
      </c>
      <c r="DX159">
        <v>14</v>
      </c>
      <c r="DY159">
        <v>2</v>
      </c>
      <c r="DZ159" t="s">
        <v>246</v>
      </c>
      <c r="EA159" t="s">
        <v>929</v>
      </c>
    </row>
    <row r="160" spans="1:131" x14ac:dyDescent="0.4">
      <c r="A160" s="34">
        <v>43067.305104166669</v>
      </c>
      <c r="B160" s="25">
        <v>42935.387499999997</v>
      </c>
      <c r="D160" s="34"/>
      <c r="E160" s="34" t="s">
        <v>193</v>
      </c>
      <c r="F160" s="34" t="s">
        <v>191</v>
      </c>
      <c r="G160" s="34" t="s">
        <v>100</v>
      </c>
      <c r="H160" t="s">
        <v>279</v>
      </c>
      <c r="I160" t="s">
        <v>243</v>
      </c>
      <c r="J160" t="s">
        <v>712</v>
      </c>
      <c r="K160" t="s">
        <v>729</v>
      </c>
      <c r="L160" t="s">
        <v>711</v>
      </c>
      <c r="M160" s="30">
        <v>2.0299999999999998</v>
      </c>
      <c r="N160">
        <v>7.75</v>
      </c>
      <c r="P160" s="24" t="str">
        <f>IFERROR(MID(RADataTable[[#This Row],[RATemplate]],1,LEN(RADataTable[[#This Row],[RATemplate]])-8),"RA") &amp; " " &amp; RADataTable[[#This Row],[prop_id0]] &amp; " " &amp; RADataTable[[#This Row],[last0]]</f>
        <v>RA 1750140 Panigrahi</v>
      </c>
      <c r="T160">
        <v>4</v>
      </c>
      <c r="U160">
        <v>4</v>
      </c>
      <c r="V160" s="34">
        <v>43032.520138888889</v>
      </c>
      <c r="W160">
        <v>1</v>
      </c>
      <c r="X160" s="15" t="str">
        <f>HYPERLINK("https://www.ejacket.nsf.gov/ej/showProposal.do?Continue=Y&amp;ID="&amp;RADataTable[[#This Row],[prop_id0]],"eJ")</f>
        <v>eJ</v>
      </c>
      <c r="Y160" s="15" t="str">
        <f>HYPERLINK("mailto:"&amp;RADataTable[[#This Row],[email]]&amp;"&amp;subject=Your NSF Proposal:  "&amp;RADataTable[[#This Row],[Div]]&amp;" "&amp;RADataTable[[#This Row],[prop_id0]], RADataTable[[#This Row],[email]])</f>
        <v>debmalya.panigrahi@gmail.com</v>
      </c>
      <c r="Z160" s="15" t="str">
        <f>HYPERLINK("mailto:"&amp;RADataTable[[#This Row],[allPIemail]]&amp;"&amp;subject=NSF Proposal:  "&amp;RADataTable[[#This Row],[Div]]&amp;" "&amp;RADataTable[[#This Row],[prop_id0]], "PIs@")</f>
        <v>PIs@</v>
      </c>
      <c r="AA160" t="s">
        <v>245</v>
      </c>
      <c r="AB160" t="s">
        <v>674</v>
      </c>
      <c r="AC160" s="30" t="s">
        <v>795</v>
      </c>
      <c r="AD160" t="s">
        <v>796</v>
      </c>
      <c r="AE160" t="s">
        <v>797</v>
      </c>
      <c r="AF160" s="36">
        <v>602288</v>
      </c>
      <c r="AG160" s="36">
        <v>602288</v>
      </c>
      <c r="AH160" s="24"/>
      <c r="AJ160" s="34"/>
      <c r="AK160" t="s">
        <v>923</v>
      </c>
      <c r="AL160" t="s">
        <v>232</v>
      </c>
      <c r="AM160" s="34" t="s">
        <v>925</v>
      </c>
      <c r="AN160" s="34">
        <v>43032</v>
      </c>
      <c r="AO160" s="24">
        <v>3</v>
      </c>
      <c r="AP160" t="s">
        <v>295</v>
      </c>
      <c r="AR160" s="35"/>
      <c r="AS160"/>
      <c r="AT160" s="34"/>
      <c r="AV160" s="34"/>
      <c r="AX160" s="34"/>
      <c r="AY160"/>
      <c r="BA160" s="34"/>
      <c r="BB160"/>
      <c r="BC160" t="s">
        <v>800</v>
      </c>
      <c r="BD160" s="36">
        <v>602288</v>
      </c>
      <c r="BE160" s="36">
        <v>602288</v>
      </c>
      <c r="BF160">
        <v>0</v>
      </c>
      <c r="BG160" s="34">
        <v>43160</v>
      </c>
      <c r="BH160">
        <v>60</v>
      </c>
      <c r="BI160" t="s">
        <v>283</v>
      </c>
      <c r="BJ160" t="s">
        <v>928</v>
      </c>
      <c r="BK160" t="s">
        <v>934</v>
      </c>
      <c r="BL160" t="s">
        <v>194</v>
      </c>
      <c r="BM160" s="8" t="s">
        <v>192</v>
      </c>
      <c r="BN160" t="s">
        <v>189</v>
      </c>
      <c r="BO160" t="s">
        <v>190</v>
      </c>
      <c r="BP160" s="35" t="s">
        <v>718</v>
      </c>
      <c r="BQ160"/>
      <c r="BU160" s="35"/>
      <c r="BV160" s="35"/>
      <c r="BX160"/>
      <c r="CA160" s="35"/>
      <c r="CB160" s="35"/>
      <c r="CC160"/>
      <c r="CG160" s="35"/>
      <c r="CH160" s="35"/>
      <c r="CK160"/>
      <c r="CM160" s="35"/>
      <c r="CN160" s="35"/>
      <c r="CQ160"/>
      <c r="CS160" s="35"/>
      <c r="CT160" s="35"/>
      <c r="CX160"/>
      <c r="CZ160" s="35"/>
      <c r="DD160" s="34"/>
      <c r="DG160" t="s">
        <v>799</v>
      </c>
      <c r="DH160" t="s">
        <v>957</v>
      </c>
      <c r="DI160" t="s">
        <v>233</v>
      </c>
      <c r="DL160" t="s">
        <v>674</v>
      </c>
      <c r="DM160">
        <v>7</v>
      </c>
      <c r="DN160">
        <v>9</v>
      </c>
      <c r="DO160" t="s">
        <v>294</v>
      </c>
      <c r="DQ160" t="s">
        <v>927</v>
      </c>
      <c r="DR160">
        <v>14</v>
      </c>
      <c r="DS160">
        <v>2</v>
      </c>
      <c r="DU160">
        <v>14</v>
      </c>
      <c r="DV160">
        <v>2</v>
      </c>
      <c r="DX160">
        <v>14</v>
      </c>
      <c r="DY160">
        <v>2</v>
      </c>
      <c r="DZ160" t="s">
        <v>246</v>
      </c>
      <c r="EA160" t="s">
        <v>929</v>
      </c>
    </row>
    <row r="161" spans="1:131" x14ac:dyDescent="0.4">
      <c r="A161" s="34">
        <v>43067.305104166669</v>
      </c>
      <c r="B161" s="25">
        <v>42935.387499999997</v>
      </c>
      <c r="D161" s="34"/>
      <c r="E161" s="34" t="s">
        <v>193</v>
      </c>
      <c r="F161" s="34" t="s">
        <v>191</v>
      </c>
      <c r="G161" s="34" t="s">
        <v>100</v>
      </c>
      <c r="H161" t="s">
        <v>279</v>
      </c>
      <c r="I161" t="s">
        <v>243</v>
      </c>
      <c r="J161" t="s">
        <v>712</v>
      </c>
      <c r="K161" t="s">
        <v>729</v>
      </c>
      <c r="L161" t="s">
        <v>711</v>
      </c>
      <c r="M161" s="30">
        <v>2.0299999999999998</v>
      </c>
      <c r="N161">
        <v>7.75</v>
      </c>
      <c r="P161" s="24" t="str">
        <f>IFERROR(MID(RADataTable[[#This Row],[RATemplate]],1,LEN(RADataTable[[#This Row],[RATemplate]])-8),"RA") &amp; " " &amp; RADataTable[[#This Row],[prop_id0]] &amp; " " &amp; RADataTable[[#This Row],[last0]]</f>
        <v>RA 1750140 Panigrahi</v>
      </c>
      <c r="T161">
        <v>4</v>
      </c>
      <c r="U161">
        <v>4</v>
      </c>
      <c r="V161" s="34">
        <v>43032.520138888889</v>
      </c>
      <c r="W161">
        <v>1</v>
      </c>
      <c r="X161" s="15" t="str">
        <f>HYPERLINK("https://www.ejacket.nsf.gov/ej/showProposal.do?Continue=Y&amp;ID="&amp;RADataTable[[#This Row],[prop_id0]],"eJ")</f>
        <v>eJ</v>
      </c>
      <c r="Y161" s="15" t="str">
        <f>HYPERLINK("mailto:"&amp;RADataTable[[#This Row],[email]]&amp;"&amp;subject=Your NSF Proposal:  "&amp;RADataTable[[#This Row],[Div]]&amp;" "&amp;RADataTable[[#This Row],[prop_id0]], RADataTable[[#This Row],[email]])</f>
        <v>debmalya.panigrahi@gmail.com</v>
      </c>
      <c r="Z161" s="15" t="str">
        <f>HYPERLINK("mailto:"&amp;RADataTable[[#This Row],[allPIemail]]&amp;"&amp;subject=NSF Proposal:  "&amp;RADataTable[[#This Row],[Div]]&amp;" "&amp;RADataTable[[#This Row],[prop_id0]], "PIs@")</f>
        <v>PIs@</v>
      </c>
      <c r="AA161" t="s">
        <v>245</v>
      </c>
      <c r="AB161" t="s">
        <v>674</v>
      </c>
      <c r="AC161" s="30" t="s">
        <v>795</v>
      </c>
      <c r="AD161" t="s">
        <v>796</v>
      </c>
      <c r="AE161" t="s">
        <v>797</v>
      </c>
      <c r="AF161" s="36">
        <v>602288</v>
      </c>
      <c r="AG161" s="36">
        <v>602288</v>
      </c>
      <c r="AH161" s="24"/>
      <c r="AJ161" s="34"/>
      <c r="AK161" t="s">
        <v>923</v>
      </c>
      <c r="AL161" t="s">
        <v>232</v>
      </c>
      <c r="AM161" s="34" t="s">
        <v>925</v>
      </c>
      <c r="AN161" s="34">
        <v>43032</v>
      </c>
      <c r="AO161" s="24">
        <v>3</v>
      </c>
      <c r="AP161" t="s">
        <v>295</v>
      </c>
      <c r="AR161" s="35"/>
      <c r="AS161"/>
      <c r="AT161" s="34"/>
      <c r="AV161" s="34"/>
      <c r="AX161" s="34"/>
      <c r="AY161"/>
      <c r="BA161" s="34"/>
      <c r="BB161"/>
      <c r="BC161" t="s">
        <v>800</v>
      </c>
      <c r="BD161" s="36">
        <v>602288</v>
      </c>
      <c r="BE161" s="36">
        <v>602288</v>
      </c>
      <c r="BF161">
        <v>0</v>
      </c>
      <c r="BG161" s="34">
        <v>43160</v>
      </c>
      <c r="BH161">
        <v>60</v>
      </c>
      <c r="BI161" t="s">
        <v>283</v>
      </c>
      <c r="BJ161" t="s">
        <v>928</v>
      </c>
      <c r="BK161" t="s">
        <v>934</v>
      </c>
      <c r="BL161" t="s">
        <v>194</v>
      </c>
      <c r="BM161" s="8" t="s">
        <v>192</v>
      </c>
      <c r="BN161" t="s">
        <v>189</v>
      </c>
      <c r="BO161" t="s">
        <v>190</v>
      </c>
      <c r="BP161" s="35" t="s">
        <v>718</v>
      </c>
      <c r="BQ161"/>
      <c r="BU161" s="35"/>
      <c r="BV161" s="35"/>
      <c r="BX161"/>
      <c r="CA161" s="35"/>
      <c r="CB161" s="35"/>
      <c r="CC161"/>
      <c r="CG161" s="35"/>
      <c r="CH161" s="35"/>
      <c r="CK161"/>
      <c r="CM161" s="35"/>
      <c r="CN161" s="35"/>
      <c r="CQ161"/>
      <c r="CS161" s="35"/>
      <c r="CT161" s="35"/>
      <c r="CX161"/>
      <c r="CZ161" s="35"/>
      <c r="DD161" s="34"/>
      <c r="DG161" t="s">
        <v>799</v>
      </c>
      <c r="DH161" t="s">
        <v>957</v>
      </c>
      <c r="DI161" t="s">
        <v>233</v>
      </c>
      <c r="DL161" t="s">
        <v>674</v>
      </c>
      <c r="DM161">
        <v>7</v>
      </c>
      <c r="DN161">
        <v>9</v>
      </c>
      <c r="DO161" t="s">
        <v>294</v>
      </c>
      <c r="DQ161" t="s">
        <v>927</v>
      </c>
      <c r="DR161">
        <v>14</v>
      </c>
      <c r="DS161">
        <v>2</v>
      </c>
      <c r="DU161">
        <v>14</v>
      </c>
      <c r="DV161">
        <v>2</v>
      </c>
      <c r="DX161">
        <v>14</v>
      </c>
      <c r="DY161">
        <v>2</v>
      </c>
      <c r="DZ161" t="s">
        <v>246</v>
      </c>
      <c r="EA161" t="s">
        <v>929</v>
      </c>
    </row>
    <row r="162" spans="1:131" x14ac:dyDescent="0.4">
      <c r="A162" s="34">
        <v>43067.305104166669</v>
      </c>
      <c r="B162" s="25">
        <v>42935.387499999997</v>
      </c>
      <c r="D162" s="34"/>
      <c r="E162" s="34" t="s">
        <v>193</v>
      </c>
      <c r="F162" s="34" t="s">
        <v>191</v>
      </c>
      <c r="G162" s="34" t="s">
        <v>100</v>
      </c>
      <c r="H162" t="s">
        <v>279</v>
      </c>
      <c r="I162" t="s">
        <v>243</v>
      </c>
      <c r="J162" t="s">
        <v>712</v>
      </c>
      <c r="K162" t="s">
        <v>729</v>
      </c>
      <c r="L162" t="s">
        <v>711</v>
      </c>
      <c r="M162" s="30">
        <v>2.0299999999999998</v>
      </c>
      <c r="N162">
        <v>7.75</v>
      </c>
      <c r="P162" s="24" t="str">
        <f>IFERROR(MID(RADataTable[[#This Row],[RATemplate]],1,LEN(RADataTable[[#This Row],[RATemplate]])-8),"RA") &amp; " " &amp; RADataTable[[#This Row],[prop_id0]] &amp; " " &amp; RADataTable[[#This Row],[last0]]</f>
        <v>RA 1750140 Panigrahi</v>
      </c>
      <c r="T162">
        <v>4</v>
      </c>
      <c r="U162">
        <v>4</v>
      </c>
      <c r="V162" s="34">
        <v>43032.520138888889</v>
      </c>
      <c r="W162">
        <v>1</v>
      </c>
      <c r="X162" s="15" t="str">
        <f>HYPERLINK("https://www.ejacket.nsf.gov/ej/showProposal.do?Continue=Y&amp;ID="&amp;RADataTable[[#This Row],[prop_id0]],"eJ")</f>
        <v>eJ</v>
      </c>
      <c r="Y162" s="15" t="str">
        <f>HYPERLINK("mailto:"&amp;RADataTable[[#This Row],[email]]&amp;"&amp;subject=Your NSF Proposal:  "&amp;RADataTable[[#This Row],[Div]]&amp;" "&amp;RADataTable[[#This Row],[prop_id0]], RADataTable[[#This Row],[email]])</f>
        <v>debmalya.panigrahi@gmail.com</v>
      </c>
      <c r="Z162" s="15" t="str">
        <f>HYPERLINK("mailto:"&amp;RADataTable[[#This Row],[allPIemail]]&amp;"&amp;subject=NSF Proposal:  "&amp;RADataTable[[#This Row],[Div]]&amp;" "&amp;RADataTable[[#This Row],[prop_id0]], "PIs@")</f>
        <v>PIs@</v>
      </c>
      <c r="AA162" t="s">
        <v>245</v>
      </c>
      <c r="AB162" t="s">
        <v>674</v>
      </c>
      <c r="AC162" s="30" t="s">
        <v>795</v>
      </c>
      <c r="AD162" t="s">
        <v>796</v>
      </c>
      <c r="AE162" t="s">
        <v>797</v>
      </c>
      <c r="AF162" s="36">
        <v>602288</v>
      </c>
      <c r="AG162" s="36">
        <v>602288</v>
      </c>
      <c r="AH162" s="24"/>
      <c r="AJ162" s="34"/>
      <c r="AK162" t="s">
        <v>923</v>
      </c>
      <c r="AL162" t="s">
        <v>232</v>
      </c>
      <c r="AM162" s="34" t="s">
        <v>925</v>
      </c>
      <c r="AN162" s="34">
        <v>43032</v>
      </c>
      <c r="AO162" s="24">
        <v>3</v>
      </c>
      <c r="AP162" t="s">
        <v>295</v>
      </c>
      <c r="AR162" s="35"/>
      <c r="AS162"/>
      <c r="AT162" s="34"/>
      <c r="AV162" s="34"/>
      <c r="AX162" s="34"/>
      <c r="AY162"/>
      <c r="BA162" s="34"/>
      <c r="BB162"/>
      <c r="BC162" t="s">
        <v>800</v>
      </c>
      <c r="BD162" s="36">
        <v>602288</v>
      </c>
      <c r="BE162" s="36">
        <v>602288</v>
      </c>
      <c r="BF162">
        <v>0</v>
      </c>
      <c r="BG162" s="34">
        <v>43160</v>
      </c>
      <c r="BH162">
        <v>60</v>
      </c>
      <c r="BI162" t="s">
        <v>283</v>
      </c>
      <c r="BJ162" t="s">
        <v>928</v>
      </c>
      <c r="BK162" t="s">
        <v>934</v>
      </c>
      <c r="BL162" t="s">
        <v>194</v>
      </c>
      <c r="BM162" s="8" t="s">
        <v>192</v>
      </c>
      <c r="BN162" t="s">
        <v>189</v>
      </c>
      <c r="BO162" t="s">
        <v>190</v>
      </c>
      <c r="BP162" s="35" t="s">
        <v>718</v>
      </c>
      <c r="BQ162"/>
      <c r="BU162" s="35"/>
      <c r="BV162" s="35"/>
      <c r="BX162"/>
      <c r="CA162" s="35"/>
      <c r="CB162" s="35"/>
      <c r="CC162"/>
      <c r="CG162" s="35"/>
      <c r="CH162" s="35"/>
      <c r="CK162"/>
      <c r="CM162" s="35"/>
      <c r="CN162" s="35"/>
      <c r="CQ162"/>
      <c r="CS162" s="35"/>
      <c r="CT162" s="35"/>
      <c r="CX162"/>
      <c r="CZ162" s="35"/>
      <c r="DD162" s="34"/>
      <c r="DG162" t="s">
        <v>799</v>
      </c>
      <c r="DH162" t="s">
        <v>957</v>
      </c>
      <c r="DI162" t="s">
        <v>233</v>
      </c>
      <c r="DL162" t="s">
        <v>674</v>
      </c>
      <c r="DM162">
        <v>7</v>
      </c>
      <c r="DN162">
        <v>9</v>
      </c>
      <c r="DO162" t="s">
        <v>294</v>
      </c>
      <c r="DQ162" t="s">
        <v>927</v>
      </c>
      <c r="DR162">
        <v>14</v>
      </c>
      <c r="DS162">
        <v>2</v>
      </c>
      <c r="DU162">
        <v>14</v>
      </c>
      <c r="DV162">
        <v>2</v>
      </c>
      <c r="DX162">
        <v>14</v>
      </c>
      <c r="DY162">
        <v>2</v>
      </c>
      <c r="DZ162" t="s">
        <v>246</v>
      </c>
      <c r="EA162" t="s">
        <v>929</v>
      </c>
    </row>
    <row r="163" spans="1:131" x14ac:dyDescent="0.4">
      <c r="A163" s="34">
        <v>43067.305104166669</v>
      </c>
      <c r="B163" s="25">
        <v>42935.387499999997</v>
      </c>
      <c r="D163" s="34"/>
      <c r="E163" s="34" t="s">
        <v>193</v>
      </c>
      <c r="F163" s="34" t="s">
        <v>191</v>
      </c>
      <c r="G163" s="34" t="s">
        <v>100</v>
      </c>
      <c r="H163" t="s">
        <v>279</v>
      </c>
      <c r="I163" t="s">
        <v>243</v>
      </c>
      <c r="J163" t="s">
        <v>712</v>
      </c>
      <c r="K163" t="s">
        <v>729</v>
      </c>
      <c r="L163" t="s">
        <v>711</v>
      </c>
      <c r="M163" s="30">
        <v>2.0299999999999998</v>
      </c>
      <c r="N163">
        <v>7.75</v>
      </c>
      <c r="P163" s="24" t="str">
        <f>IFERROR(MID(RADataTable[[#This Row],[RATemplate]],1,LEN(RADataTable[[#This Row],[RATemplate]])-8),"RA") &amp; " " &amp; RADataTable[[#This Row],[prop_id0]] &amp; " " &amp; RADataTable[[#This Row],[last0]]</f>
        <v>RA 1750140 Panigrahi</v>
      </c>
      <c r="T163">
        <v>4</v>
      </c>
      <c r="U163">
        <v>4</v>
      </c>
      <c r="V163" s="34">
        <v>43032.520138888889</v>
      </c>
      <c r="W163">
        <v>1</v>
      </c>
      <c r="X163" s="15" t="str">
        <f>HYPERLINK("https://www.ejacket.nsf.gov/ej/showProposal.do?Continue=Y&amp;ID="&amp;RADataTable[[#This Row],[prop_id0]],"eJ")</f>
        <v>eJ</v>
      </c>
      <c r="Y163" s="15" t="str">
        <f>HYPERLINK("mailto:"&amp;RADataTable[[#This Row],[email]]&amp;"&amp;subject=Your NSF Proposal:  "&amp;RADataTable[[#This Row],[Div]]&amp;" "&amp;RADataTable[[#This Row],[prop_id0]], RADataTable[[#This Row],[email]])</f>
        <v>debmalya.panigrahi@gmail.com</v>
      </c>
      <c r="Z163" s="15" t="str">
        <f>HYPERLINK("mailto:"&amp;RADataTable[[#This Row],[allPIemail]]&amp;"&amp;subject=NSF Proposal:  "&amp;RADataTable[[#This Row],[Div]]&amp;" "&amp;RADataTable[[#This Row],[prop_id0]], "PIs@")</f>
        <v>PIs@</v>
      </c>
      <c r="AA163" t="s">
        <v>245</v>
      </c>
      <c r="AB163" t="s">
        <v>674</v>
      </c>
      <c r="AC163" s="30" t="s">
        <v>795</v>
      </c>
      <c r="AD163" t="s">
        <v>796</v>
      </c>
      <c r="AE163" t="s">
        <v>797</v>
      </c>
      <c r="AF163" s="36">
        <v>602288</v>
      </c>
      <c r="AG163" s="36">
        <v>602288</v>
      </c>
      <c r="AH163" s="24"/>
      <c r="AJ163" s="34"/>
      <c r="AK163" t="s">
        <v>923</v>
      </c>
      <c r="AL163" t="s">
        <v>232</v>
      </c>
      <c r="AM163" s="34" t="s">
        <v>925</v>
      </c>
      <c r="AN163" s="34">
        <v>43032</v>
      </c>
      <c r="AO163" s="24">
        <v>3</v>
      </c>
      <c r="AP163" t="s">
        <v>295</v>
      </c>
      <c r="AR163" s="35"/>
      <c r="AS163"/>
      <c r="AT163" s="34"/>
      <c r="AV163" s="34"/>
      <c r="AX163" s="34"/>
      <c r="AY163"/>
      <c r="BA163" s="34"/>
      <c r="BB163"/>
      <c r="BC163" t="s">
        <v>800</v>
      </c>
      <c r="BD163" s="36">
        <v>602288</v>
      </c>
      <c r="BE163" s="36">
        <v>602288</v>
      </c>
      <c r="BF163">
        <v>0</v>
      </c>
      <c r="BG163" s="34">
        <v>43160</v>
      </c>
      <c r="BH163">
        <v>60</v>
      </c>
      <c r="BI163" t="s">
        <v>283</v>
      </c>
      <c r="BJ163" t="s">
        <v>928</v>
      </c>
      <c r="BK163" t="s">
        <v>934</v>
      </c>
      <c r="BL163" t="s">
        <v>194</v>
      </c>
      <c r="BM163" s="8" t="s">
        <v>192</v>
      </c>
      <c r="BN163" t="s">
        <v>189</v>
      </c>
      <c r="BO163" t="s">
        <v>190</v>
      </c>
      <c r="BP163" s="35" t="s">
        <v>718</v>
      </c>
      <c r="BQ163"/>
      <c r="BU163" s="35"/>
      <c r="BV163" s="35"/>
      <c r="BX163"/>
      <c r="CA163" s="35"/>
      <c r="CB163" s="35"/>
      <c r="CC163"/>
      <c r="CG163" s="35"/>
      <c r="CH163" s="35"/>
      <c r="CK163"/>
      <c r="CM163" s="35"/>
      <c r="CN163" s="35"/>
      <c r="CQ163"/>
      <c r="CS163" s="35"/>
      <c r="CT163" s="35"/>
      <c r="CX163"/>
      <c r="CZ163" s="35"/>
      <c r="DD163" s="34"/>
      <c r="DG163" t="s">
        <v>799</v>
      </c>
      <c r="DH163" t="s">
        <v>957</v>
      </c>
      <c r="DI163" t="s">
        <v>233</v>
      </c>
      <c r="DL163" t="s">
        <v>674</v>
      </c>
      <c r="DM163">
        <v>7</v>
      </c>
      <c r="DN163">
        <v>9</v>
      </c>
      <c r="DO163" t="s">
        <v>294</v>
      </c>
      <c r="DQ163" t="s">
        <v>927</v>
      </c>
      <c r="DR163">
        <v>14</v>
      </c>
      <c r="DS163">
        <v>2</v>
      </c>
      <c r="DU163">
        <v>14</v>
      </c>
      <c r="DV163">
        <v>2</v>
      </c>
      <c r="DX163">
        <v>14</v>
      </c>
      <c r="DY163">
        <v>2</v>
      </c>
      <c r="DZ163" t="s">
        <v>246</v>
      </c>
      <c r="EA163" t="s">
        <v>929</v>
      </c>
    </row>
    <row r="164" spans="1:131" x14ac:dyDescent="0.4">
      <c r="A164" s="34">
        <v>43067.305104166669</v>
      </c>
      <c r="B164" s="25">
        <v>42935.387499999997</v>
      </c>
      <c r="D164" s="34"/>
      <c r="E164" s="34" t="s">
        <v>193</v>
      </c>
      <c r="F164" s="34" t="s">
        <v>191</v>
      </c>
      <c r="G164" s="34" t="s">
        <v>100</v>
      </c>
      <c r="H164" t="s">
        <v>279</v>
      </c>
      <c r="I164" t="s">
        <v>243</v>
      </c>
      <c r="J164" t="s">
        <v>712</v>
      </c>
      <c r="K164" t="s">
        <v>729</v>
      </c>
      <c r="L164" t="s">
        <v>711</v>
      </c>
      <c r="M164" s="30">
        <v>2.0299999999999998</v>
      </c>
      <c r="N164">
        <v>7.75</v>
      </c>
      <c r="P164" s="24" t="str">
        <f>IFERROR(MID(RADataTable[[#This Row],[RATemplate]],1,LEN(RADataTable[[#This Row],[RATemplate]])-8),"RA") &amp; " " &amp; RADataTable[[#This Row],[prop_id0]] &amp; " " &amp; RADataTable[[#This Row],[last0]]</f>
        <v>RA 1750140 Panigrahi</v>
      </c>
      <c r="T164">
        <v>4</v>
      </c>
      <c r="U164">
        <v>4</v>
      </c>
      <c r="V164" s="34">
        <v>43032.520138888889</v>
      </c>
      <c r="W164">
        <v>1</v>
      </c>
      <c r="X164" s="15" t="str">
        <f>HYPERLINK("https://www.ejacket.nsf.gov/ej/showProposal.do?Continue=Y&amp;ID="&amp;RADataTable[[#This Row],[prop_id0]],"eJ")</f>
        <v>eJ</v>
      </c>
      <c r="Y164" s="15" t="str">
        <f>HYPERLINK("mailto:"&amp;RADataTable[[#This Row],[email]]&amp;"&amp;subject=Your NSF Proposal:  "&amp;RADataTable[[#This Row],[Div]]&amp;" "&amp;RADataTable[[#This Row],[prop_id0]], RADataTable[[#This Row],[email]])</f>
        <v>debmalya.panigrahi@gmail.com</v>
      </c>
      <c r="Z164" s="15" t="str">
        <f>HYPERLINK("mailto:"&amp;RADataTable[[#This Row],[allPIemail]]&amp;"&amp;subject=NSF Proposal:  "&amp;RADataTable[[#This Row],[Div]]&amp;" "&amp;RADataTable[[#This Row],[prop_id0]], "PIs@")</f>
        <v>PIs@</v>
      </c>
      <c r="AA164" t="s">
        <v>245</v>
      </c>
      <c r="AB164" t="s">
        <v>674</v>
      </c>
      <c r="AC164" s="30" t="s">
        <v>795</v>
      </c>
      <c r="AD164" t="s">
        <v>796</v>
      </c>
      <c r="AE164" t="s">
        <v>797</v>
      </c>
      <c r="AF164" s="36">
        <v>602288</v>
      </c>
      <c r="AG164" s="36">
        <v>602288</v>
      </c>
      <c r="AH164" s="24"/>
      <c r="AJ164" s="34"/>
      <c r="AK164" t="s">
        <v>923</v>
      </c>
      <c r="AL164" t="s">
        <v>232</v>
      </c>
      <c r="AM164" s="34" t="s">
        <v>925</v>
      </c>
      <c r="AN164" s="34">
        <v>43032</v>
      </c>
      <c r="AO164" s="24">
        <v>3</v>
      </c>
      <c r="AP164" t="s">
        <v>295</v>
      </c>
      <c r="AR164" s="35"/>
      <c r="AS164"/>
      <c r="AT164" s="34"/>
      <c r="AV164" s="34"/>
      <c r="AX164" s="34"/>
      <c r="AY164"/>
      <c r="BA164" s="34"/>
      <c r="BB164"/>
      <c r="BC164" t="s">
        <v>800</v>
      </c>
      <c r="BD164" s="36">
        <v>602288</v>
      </c>
      <c r="BE164" s="36">
        <v>602288</v>
      </c>
      <c r="BF164">
        <v>0</v>
      </c>
      <c r="BG164" s="34">
        <v>43160</v>
      </c>
      <c r="BH164">
        <v>60</v>
      </c>
      <c r="BI164" t="s">
        <v>283</v>
      </c>
      <c r="BJ164" t="s">
        <v>928</v>
      </c>
      <c r="BK164" t="s">
        <v>934</v>
      </c>
      <c r="BL164" t="s">
        <v>194</v>
      </c>
      <c r="BM164" s="8" t="s">
        <v>192</v>
      </c>
      <c r="BN164" t="s">
        <v>189</v>
      </c>
      <c r="BO164" t="s">
        <v>190</v>
      </c>
      <c r="BP164" s="35" t="s">
        <v>718</v>
      </c>
      <c r="BQ164"/>
      <c r="BU164" s="35"/>
      <c r="BV164" s="35"/>
      <c r="BX164"/>
      <c r="CA164" s="35"/>
      <c r="CB164" s="35"/>
      <c r="CC164"/>
      <c r="CG164" s="35"/>
      <c r="CH164" s="35"/>
      <c r="CK164"/>
      <c r="CM164" s="35"/>
      <c r="CN164" s="35"/>
      <c r="CQ164"/>
      <c r="CS164" s="35"/>
      <c r="CT164" s="35"/>
      <c r="CX164"/>
      <c r="CZ164" s="35"/>
      <c r="DD164" s="34"/>
      <c r="DG164" t="s">
        <v>799</v>
      </c>
      <c r="DH164" t="s">
        <v>957</v>
      </c>
      <c r="DI164" t="s">
        <v>233</v>
      </c>
      <c r="DL164" t="s">
        <v>674</v>
      </c>
      <c r="DM164">
        <v>7</v>
      </c>
      <c r="DN164">
        <v>9</v>
      </c>
      <c r="DO164" t="s">
        <v>294</v>
      </c>
      <c r="DQ164" t="s">
        <v>927</v>
      </c>
      <c r="DR164">
        <v>14</v>
      </c>
      <c r="DS164">
        <v>2</v>
      </c>
      <c r="DU164">
        <v>14</v>
      </c>
      <c r="DV164">
        <v>2</v>
      </c>
      <c r="DX164">
        <v>14</v>
      </c>
      <c r="DY164">
        <v>2</v>
      </c>
      <c r="DZ164" t="s">
        <v>246</v>
      </c>
      <c r="EA164" t="s">
        <v>929</v>
      </c>
    </row>
    <row r="165" spans="1:131" x14ac:dyDescent="0.4">
      <c r="A165" s="34">
        <v>43067.305104166669</v>
      </c>
      <c r="B165" s="25">
        <v>42935.387499999997</v>
      </c>
      <c r="D165" s="34"/>
      <c r="E165" s="34" t="s">
        <v>193</v>
      </c>
      <c r="F165" s="34" t="s">
        <v>191</v>
      </c>
      <c r="G165" s="34" t="s">
        <v>100</v>
      </c>
      <c r="H165" t="s">
        <v>279</v>
      </c>
      <c r="I165" t="s">
        <v>243</v>
      </c>
      <c r="J165" t="s">
        <v>712</v>
      </c>
      <c r="K165" t="s">
        <v>729</v>
      </c>
      <c r="L165" t="s">
        <v>711</v>
      </c>
      <c r="M165" s="30">
        <v>2.0299999999999998</v>
      </c>
      <c r="N165">
        <v>7.75</v>
      </c>
      <c r="P165" s="24" t="str">
        <f>IFERROR(MID(RADataTable[[#This Row],[RATemplate]],1,LEN(RADataTable[[#This Row],[RATemplate]])-8),"RA") &amp; " " &amp; RADataTable[[#This Row],[prop_id0]] &amp; " " &amp; RADataTable[[#This Row],[last0]]</f>
        <v>RA 1750140 Panigrahi</v>
      </c>
      <c r="T165">
        <v>4</v>
      </c>
      <c r="U165">
        <v>4</v>
      </c>
      <c r="V165" s="34">
        <v>43032.520138888889</v>
      </c>
      <c r="W165">
        <v>1</v>
      </c>
      <c r="X165" s="15" t="str">
        <f>HYPERLINK("https://www.ejacket.nsf.gov/ej/showProposal.do?Continue=Y&amp;ID="&amp;RADataTable[[#This Row],[prop_id0]],"eJ")</f>
        <v>eJ</v>
      </c>
      <c r="Y165" s="15" t="str">
        <f>HYPERLINK("mailto:"&amp;RADataTable[[#This Row],[email]]&amp;"&amp;subject=Your NSF Proposal:  "&amp;RADataTable[[#This Row],[Div]]&amp;" "&amp;RADataTable[[#This Row],[prop_id0]], RADataTable[[#This Row],[email]])</f>
        <v>debmalya.panigrahi@gmail.com</v>
      </c>
      <c r="Z165" s="15" t="str">
        <f>HYPERLINK("mailto:"&amp;RADataTable[[#This Row],[allPIemail]]&amp;"&amp;subject=NSF Proposal:  "&amp;RADataTable[[#This Row],[Div]]&amp;" "&amp;RADataTable[[#This Row],[prop_id0]], "PIs@")</f>
        <v>PIs@</v>
      </c>
      <c r="AA165" t="s">
        <v>245</v>
      </c>
      <c r="AB165" t="s">
        <v>674</v>
      </c>
      <c r="AC165" s="30" t="s">
        <v>795</v>
      </c>
      <c r="AD165" t="s">
        <v>796</v>
      </c>
      <c r="AE165" t="s">
        <v>797</v>
      </c>
      <c r="AF165" s="36">
        <v>602288</v>
      </c>
      <c r="AG165" s="36">
        <v>602288</v>
      </c>
      <c r="AH165" s="24"/>
      <c r="AJ165" s="34"/>
      <c r="AK165" t="s">
        <v>923</v>
      </c>
      <c r="AL165" t="s">
        <v>232</v>
      </c>
      <c r="AM165" s="34" t="s">
        <v>925</v>
      </c>
      <c r="AN165" s="34">
        <v>43032</v>
      </c>
      <c r="AO165" s="24">
        <v>3</v>
      </c>
      <c r="AP165" t="s">
        <v>295</v>
      </c>
      <c r="AR165" s="35"/>
      <c r="AS165"/>
      <c r="AT165" s="34"/>
      <c r="AV165" s="34"/>
      <c r="AX165" s="34"/>
      <c r="AY165"/>
      <c r="BA165" s="34"/>
      <c r="BB165"/>
      <c r="BC165" t="s">
        <v>800</v>
      </c>
      <c r="BD165" s="36">
        <v>602288</v>
      </c>
      <c r="BE165" s="36">
        <v>602288</v>
      </c>
      <c r="BF165">
        <v>0</v>
      </c>
      <c r="BG165" s="34">
        <v>43160</v>
      </c>
      <c r="BH165">
        <v>60</v>
      </c>
      <c r="BI165" t="s">
        <v>283</v>
      </c>
      <c r="BJ165" t="s">
        <v>928</v>
      </c>
      <c r="BK165" t="s">
        <v>934</v>
      </c>
      <c r="BL165" t="s">
        <v>194</v>
      </c>
      <c r="BM165" s="8" t="s">
        <v>192</v>
      </c>
      <c r="BN165" t="s">
        <v>189</v>
      </c>
      <c r="BO165" t="s">
        <v>190</v>
      </c>
      <c r="BP165" s="35" t="s">
        <v>718</v>
      </c>
      <c r="BQ165"/>
      <c r="BU165" s="35"/>
      <c r="BV165" s="35"/>
      <c r="BX165"/>
      <c r="CA165" s="35"/>
      <c r="CB165" s="35"/>
      <c r="CC165"/>
      <c r="CG165" s="35"/>
      <c r="CH165" s="35"/>
      <c r="CK165"/>
      <c r="CM165" s="35"/>
      <c r="CN165" s="35"/>
      <c r="CQ165"/>
      <c r="CS165" s="35"/>
      <c r="CT165" s="35"/>
      <c r="CX165"/>
      <c r="CZ165" s="35"/>
      <c r="DD165" s="34"/>
      <c r="DG165" t="s">
        <v>799</v>
      </c>
      <c r="DH165" t="s">
        <v>957</v>
      </c>
      <c r="DI165" t="s">
        <v>233</v>
      </c>
      <c r="DL165" t="s">
        <v>674</v>
      </c>
      <c r="DM165">
        <v>7</v>
      </c>
      <c r="DN165">
        <v>9</v>
      </c>
      <c r="DO165" t="s">
        <v>294</v>
      </c>
      <c r="DQ165" t="s">
        <v>927</v>
      </c>
      <c r="DR165">
        <v>14</v>
      </c>
      <c r="DS165">
        <v>2</v>
      </c>
      <c r="DU165">
        <v>14</v>
      </c>
      <c r="DV165">
        <v>2</v>
      </c>
      <c r="DX165">
        <v>14</v>
      </c>
      <c r="DY165">
        <v>2</v>
      </c>
      <c r="DZ165" t="s">
        <v>246</v>
      </c>
      <c r="EA165" t="s">
        <v>929</v>
      </c>
    </row>
    <row r="166" spans="1:131" x14ac:dyDescent="0.4">
      <c r="A166" s="34">
        <v>43067.305104166669</v>
      </c>
      <c r="B166" s="25">
        <v>42935.387499999997</v>
      </c>
      <c r="D166" s="34"/>
      <c r="E166" s="34" t="s">
        <v>193</v>
      </c>
      <c r="F166" s="34" t="s">
        <v>191</v>
      </c>
      <c r="G166" s="34" t="s">
        <v>100</v>
      </c>
      <c r="H166" t="s">
        <v>279</v>
      </c>
      <c r="I166" t="s">
        <v>243</v>
      </c>
      <c r="J166" t="s">
        <v>712</v>
      </c>
      <c r="K166" t="s">
        <v>729</v>
      </c>
      <c r="L166" t="s">
        <v>711</v>
      </c>
      <c r="M166" s="30">
        <v>2.0299999999999998</v>
      </c>
      <c r="N166">
        <v>7.75</v>
      </c>
      <c r="P166" s="24" t="str">
        <f>IFERROR(MID(RADataTable[[#This Row],[RATemplate]],1,LEN(RADataTable[[#This Row],[RATemplate]])-8),"RA") &amp; " " &amp; RADataTable[[#This Row],[prop_id0]] &amp; " " &amp; RADataTable[[#This Row],[last0]]</f>
        <v>RA 1750140 Panigrahi</v>
      </c>
      <c r="T166">
        <v>4</v>
      </c>
      <c r="U166">
        <v>4</v>
      </c>
      <c r="V166" s="34">
        <v>43032.520138888889</v>
      </c>
      <c r="W166">
        <v>1</v>
      </c>
      <c r="X166" s="15" t="str">
        <f>HYPERLINK("https://www.ejacket.nsf.gov/ej/showProposal.do?Continue=Y&amp;ID="&amp;RADataTable[[#This Row],[prop_id0]],"eJ")</f>
        <v>eJ</v>
      </c>
      <c r="Y166" s="15" t="str">
        <f>HYPERLINK("mailto:"&amp;RADataTable[[#This Row],[email]]&amp;"&amp;subject=Your NSF Proposal:  "&amp;RADataTable[[#This Row],[Div]]&amp;" "&amp;RADataTable[[#This Row],[prop_id0]], RADataTable[[#This Row],[email]])</f>
        <v>debmalya.panigrahi@gmail.com</v>
      </c>
      <c r="Z166" s="15" t="str">
        <f>HYPERLINK("mailto:"&amp;RADataTable[[#This Row],[allPIemail]]&amp;"&amp;subject=NSF Proposal:  "&amp;RADataTable[[#This Row],[Div]]&amp;" "&amp;RADataTable[[#This Row],[prop_id0]], "PIs@")</f>
        <v>PIs@</v>
      </c>
      <c r="AA166" t="s">
        <v>245</v>
      </c>
      <c r="AB166" t="s">
        <v>674</v>
      </c>
      <c r="AC166" s="30" t="s">
        <v>795</v>
      </c>
      <c r="AD166" t="s">
        <v>796</v>
      </c>
      <c r="AE166" t="s">
        <v>797</v>
      </c>
      <c r="AF166" s="36">
        <v>602288</v>
      </c>
      <c r="AG166" s="36">
        <v>602288</v>
      </c>
      <c r="AH166" s="24"/>
      <c r="AJ166" s="34"/>
      <c r="AK166" t="s">
        <v>923</v>
      </c>
      <c r="AL166" t="s">
        <v>232</v>
      </c>
      <c r="AM166" s="34" t="s">
        <v>925</v>
      </c>
      <c r="AN166" s="34">
        <v>43032</v>
      </c>
      <c r="AO166" s="24">
        <v>3</v>
      </c>
      <c r="AP166" t="s">
        <v>295</v>
      </c>
      <c r="AR166" s="35"/>
      <c r="AS166"/>
      <c r="AT166" s="34"/>
      <c r="AV166" s="34"/>
      <c r="AX166" s="34"/>
      <c r="AY166"/>
      <c r="BA166" s="34"/>
      <c r="BB166"/>
      <c r="BC166" t="s">
        <v>800</v>
      </c>
      <c r="BD166" s="36">
        <v>602288</v>
      </c>
      <c r="BE166" s="36">
        <v>602288</v>
      </c>
      <c r="BF166">
        <v>0</v>
      </c>
      <c r="BG166" s="34">
        <v>43160</v>
      </c>
      <c r="BH166">
        <v>60</v>
      </c>
      <c r="BI166" t="s">
        <v>283</v>
      </c>
      <c r="BJ166" t="s">
        <v>928</v>
      </c>
      <c r="BK166" t="s">
        <v>934</v>
      </c>
      <c r="BL166" t="s">
        <v>194</v>
      </c>
      <c r="BM166" s="8" t="s">
        <v>192</v>
      </c>
      <c r="BN166" t="s">
        <v>189</v>
      </c>
      <c r="BO166" t="s">
        <v>190</v>
      </c>
      <c r="BP166" s="35" t="s">
        <v>718</v>
      </c>
      <c r="BQ166"/>
      <c r="BU166" s="35"/>
      <c r="BV166" s="35"/>
      <c r="BX166"/>
      <c r="CA166" s="35"/>
      <c r="CB166" s="35"/>
      <c r="CC166"/>
      <c r="CG166" s="35"/>
      <c r="CH166" s="35"/>
      <c r="CK166"/>
      <c r="CM166" s="35"/>
      <c r="CN166" s="35"/>
      <c r="CQ166"/>
      <c r="CS166" s="35"/>
      <c r="CT166" s="35"/>
      <c r="CX166"/>
      <c r="CZ166" s="35"/>
      <c r="DD166" s="34"/>
      <c r="DG166" t="s">
        <v>799</v>
      </c>
      <c r="DH166" t="s">
        <v>957</v>
      </c>
      <c r="DI166" t="s">
        <v>233</v>
      </c>
      <c r="DL166" t="s">
        <v>674</v>
      </c>
      <c r="DM166">
        <v>7</v>
      </c>
      <c r="DN166">
        <v>9</v>
      </c>
      <c r="DO166" t="s">
        <v>294</v>
      </c>
      <c r="DQ166" t="s">
        <v>927</v>
      </c>
      <c r="DR166">
        <v>14</v>
      </c>
      <c r="DS166">
        <v>2</v>
      </c>
      <c r="DU166">
        <v>14</v>
      </c>
      <c r="DV166">
        <v>2</v>
      </c>
      <c r="DX166">
        <v>14</v>
      </c>
      <c r="DY166">
        <v>2</v>
      </c>
      <c r="DZ166" t="s">
        <v>246</v>
      </c>
      <c r="EA166" t="s">
        <v>929</v>
      </c>
    </row>
    <row r="167" spans="1:131" x14ac:dyDescent="0.4">
      <c r="A167" s="34">
        <v>43067.305104166669</v>
      </c>
      <c r="B167" s="25">
        <v>42935.387499999997</v>
      </c>
      <c r="D167" s="34"/>
      <c r="E167" s="34" t="s">
        <v>193</v>
      </c>
      <c r="F167" s="34" t="s">
        <v>191</v>
      </c>
      <c r="G167" s="34" t="s">
        <v>100</v>
      </c>
      <c r="H167" t="s">
        <v>279</v>
      </c>
      <c r="I167" t="s">
        <v>243</v>
      </c>
      <c r="J167" t="s">
        <v>712</v>
      </c>
      <c r="K167" t="s">
        <v>729</v>
      </c>
      <c r="L167" t="s">
        <v>711</v>
      </c>
      <c r="M167" s="30">
        <v>2.0299999999999998</v>
      </c>
      <c r="N167">
        <v>7.75</v>
      </c>
      <c r="P167" s="24" t="str">
        <f>IFERROR(MID(RADataTable[[#This Row],[RATemplate]],1,LEN(RADataTable[[#This Row],[RATemplate]])-8),"RA") &amp; " " &amp; RADataTable[[#This Row],[prop_id0]] &amp; " " &amp; RADataTable[[#This Row],[last0]]</f>
        <v>RA 1750140 Panigrahi</v>
      </c>
      <c r="T167">
        <v>4</v>
      </c>
      <c r="U167">
        <v>4</v>
      </c>
      <c r="V167" s="34">
        <v>43032.520138888889</v>
      </c>
      <c r="W167">
        <v>1</v>
      </c>
      <c r="X167" s="15" t="str">
        <f>HYPERLINK("https://www.ejacket.nsf.gov/ej/showProposal.do?Continue=Y&amp;ID="&amp;RADataTable[[#This Row],[prop_id0]],"eJ")</f>
        <v>eJ</v>
      </c>
      <c r="Y167" s="15" t="str">
        <f>HYPERLINK("mailto:"&amp;RADataTable[[#This Row],[email]]&amp;"&amp;subject=Your NSF Proposal:  "&amp;RADataTable[[#This Row],[Div]]&amp;" "&amp;RADataTable[[#This Row],[prop_id0]], RADataTable[[#This Row],[email]])</f>
        <v>debmalya.panigrahi@gmail.com</v>
      </c>
      <c r="Z167" s="15" t="str">
        <f>HYPERLINK("mailto:"&amp;RADataTable[[#This Row],[allPIemail]]&amp;"&amp;subject=NSF Proposal:  "&amp;RADataTable[[#This Row],[Div]]&amp;" "&amp;RADataTable[[#This Row],[prop_id0]], "PIs@")</f>
        <v>PIs@</v>
      </c>
      <c r="AA167" t="s">
        <v>245</v>
      </c>
      <c r="AB167" t="s">
        <v>674</v>
      </c>
      <c r="AC167" s="30" t="s">
        <v>795</v>
      </c>
      <c r="AD167" t="s">
        <v>796</v>
      </c>
      <c r="AE167" t="s">
        <v>797</v>
      </c>
      <c r="AF167" s="36">
        <v>602288</v>
      </c>
      <c r="AG167" s="36">
        <v>602288</v>
      </c>
      <c r="AH167" s="24"/>
      <c r="AJ167" s="34"/>
      <c r="AK167" t="s">
        <v>923</v>
      </c>
      <c r="AL167" t="s">
        <v>232</v>
      </c>
      <c r="AM167" s="34" t="s">
        <v>925</v>
      </c>
      <c r="AN167" s="34">
        <v>43032</v>
      </c>
      <c r="AO167" s="24">
        <v>3</v>
      </c>
      <c r="AP167" t="s">
        <v>295</v>
      </c>
      <c r="AR167" s="35"/>
      <c r="AS167"/>
      <c r="AT167" s="34"/>
      <c r="AV167" s="34"/>
      <c r="AX167" s="34"/>
      <c r="AY167"/>
      <c r="BA167" s="34"/>
      <c r="BB167"/>
      <c r="BC167" t="s">
        <v>800</v>
      </c>
      <c r="BD167" s="36">
        <v>602288</v>
      </c>
      <c r="BE167" s="36">
        <v>602288</v>
      </c>
      <c r="BF167">
        <v>0</v>
      </c>
      <c r="BG167" s="34">
        <v>43160</v>
      </c>
      <c r="BH167">
        <v>60</v>
      </c>
      <c r="BI167" t="s">
        <v>283</v>
      </c>
      <c r="BJ167" t="s">
        <v>928</v>
      </c>
      <c r="BK167" t="s">
        <v>934</v>
      </c>
      <c r="BL167" t="s">
        <v>194</v>
      </c>
      <c r="BM167" s="8" t="s">
        <v>192</v>
      </c>
      <c r="BN167" t="s">
        <v>189</v>
      </c>
      <c r="BO167" t="s">
        <v>190</v>
      </c>
      <c r="BP167" s="35" t="s">
        <v>718</v>
      </c>
      <c r="BQ167"/>
      <c r="BU167" s="35"/>
      <c r="BV167" s="35"/>
      <c r="BX167"/>
      <c r="CA167" s="35"/>
      <c r="CB167" s="35"/>
      <c r="CC167"/>
      <c r="CG167" s="35"/>
      <c r="CH167" s="35"/>
      <c r="CK167"/>
      <c r="CM167" s="35"/>
      <c r="CN167" s="35"/>
      <c r="CQ167"/>
      <c r="CS167" s="35"/>
      <c r="CT167" s="35"/>
      <c r="CX167"/>
      <c r="CZ167" s="35"/>
      <c r="DD167" s="34"/>
      <c r="DG167" t="s">
        <v>799</v>
      </c>
      <c r="DH167" t="s">
        <v>957</v>
      </c>
      <c r="DI167" t="s">
        <v>233</v>
      </c>
      <c r="DL167" t="s">
        <v>674</v>
      </c>
      <c r="DM167">
        <v>7</v>
      </c>
      <c r="DN167">
        <v>9</v>
      </c>
      <c r="DO167" t="s">
        <v>294</v>
      </c>
      <c r="DQ167" t="s">
        <v>927</v>
      </c>
      <c r="DR167">
        <v>14</v>
      </c>
      <c r="DS167">
        <v>2</v>
      </c>
      <c r="DU167">
        <v>14</v>
      </c>
      <c r="DV167">
        <v>2</v>
      </c>
      <c r="DX167">
        <v>14</v>
      </c>
      <c r="DY167">
        <v>2</v>
      </c>
      <c r="DZ167" t="s">
        <v>246</v>
      </c>
      <c r="EA167" t="s">
        <v>929</v>
      </c>
    </row>
    <row r="168" spans="1:131" x14ac:dyDescent="0.4">
      <c r="A168" s="34">
        <v>43067.305104166669</v>
      </c>
      <c r="B168" s="25">
        <v>42935.387499999997</v>
      </c>
      <c r="D168" s="34"/>
      <c r="E168" s="34" t="s">
        <v>193</v>
      </c>
      <c r="F168" s="34" t="s">
        <v>191</v>
      </c>
      <c r="G168" s="34" t="s">
        <v>100</v>
      </c>
      <c r="H168" t="s">
        <v>279</v>
      </c>
      <c r="I168" t="s">
        <v>243</v>
      </c>
      <c r="J168" t="s">
        <v>712</v>
      </c>
      <c r="K168" t="s">
        <v>729</v>
      </c>
      <c r="L168" t="s">
        <v>711</v>
      </c>
      <c r="M168" s="30">
        <v>2.0299999999999998</v>
      </c>
      <c r="N168">
        <v>7.75</v>
      </c>
      <c r="P168" s="24" t="str">
        <f>IFERROR(MID(RADataTable[[#This Row],[RATemplate]],1,LEN(RADataTable[[#This Row],[RATemplate]])-8),"RA") &amp; " " &amp; RADataTable[[#This Row],[prop_id0]] &amp; " " &amp; RADataTable[[#This Row],[last0]]</f>
        <v>RA 1750140 Panigrahi</v>
      </c>
      <c r="T168">
        <v>4</v>
      </c>
      <c r="U168">
        <v>4</v>
      </c>
      <c r="V168" s="34">
        <v>43032.520138888889</v>
      </c>
      <c r="W168">
        <v>1</v>
      </c>
      <c r="X168" s="15" t="str">
        <f>HYPERLINK("https://www.ejacket.nsf.gov/ej/showProposal.do?Continue=Y&amp;ID="&amp;RADataTable[[#This Row],[prop_id0]],"eJ")</f>
        <v>eJ</v>
      </c>
      <c r="Y168" s="15" t="str">
        <f>HYPERLINK("mailto:"&amp;RADataTable[[#This Row],[email]]&amp;"&amp;subject=Your NSF Proposal:  "&amp;RADataTable[[#This Row],[Div]]&amp;" "&amp;RADataTable[[#This Row],[prop_id0]], RADataTable[[#This Row],[email]])</f>
        <v>debmalya.panigrahi@gmail.com</v>
      </c>
      <c r="Z168" s="15" t="str">
        <f>HYPERLINK("mailto:"&amp;RADataTable[[#This Row],[allPIemail]]&amp;"&amp;subject=NSF Proposal:  "&amp;RADataTable[[#This Row],[Div]]&amp;" "&amp;RADataTable[[#This Row],[prop_id0]], "PIs@")</f>
        <v>PIs@</v>
      </c>
      <c r="AA168" t="s">
        <v>245</v>
      </c>
      <c r="AB168" t="s">
        <v>674</v>
      </c>
      <c r="AC168" s="30" t="s">
        <v>795</v>
      </c>
      <c r="AD168" t="s">
        <v>796</v>
      </c>
      <c r="AE168" t="s">
        <v>797</v>
      </c>
      <c r="AF168" s="36">
        <v>602288</v>
      </c>
      <c r="AG168" s="36">
        <v>602288</v>
      </c>
      <c r="AH168" s="24"/>
      <c r="AJ168" s="34"/>
      <c r="AK168" t="s">
        <v>923</v>
      </c>
      <c r="AL168" t="s">
        <v>232</v>
      </c>
      <c r="AM168" s="34" t="s">
        <v>925</v>
      </c>
      <c r="AN168" s="34">
        <v>43032</v>
      </c>
      <c r="AO168" s="24">
        <v>3</v>
      </c>
      <c r="AP168" t="s">
        <v>295</v>
      </c>
      <c r="AR168" s="35"/>
      <c r="AS168"/>
      <c r="AT168" s="34"/>
      <c r="AV168" s="34"/>
      <c r="AX168" s="34"/>
      <c r="AY168"/>
      <c r="BA168" s="34"/>
      <c r="BB168"/>
      <c r="BC168" t="s">
        <v>800</v>
      </c>
      <c r="BD168" s="36">
        <v>602288</v>
      </c>
      <c r="BE168" s="36">
        <v>602288</v>
      </c>
      <c r="BF168">
        <v>0</v>
      </c>
      <c r="BG168" s="34">
        <v>43160</v>
      </c>
      <c r="BH168">
        <v>60</v>
      </c>
      <c r="BI168" t="s">
        <v>283</v>
      </c>
      <c r="BJ168" t="s">
        <v>928</v>
      </c>
      <c r="BK168" t="s">
        <v>934</v>
      </c>
      <c r="BL168" t="s">
        <v>194</v>
      </c>
      <c r="BM168" s="8" t="s">
        <v>192</v>
      </c>
      <c r="BN168" t="s">
        <v>189</v>
      </c>
      <c r="BO168" t="s">
        <v>190</v>
      </c>
      <c r="BP168" s="35" t="s">
        <v>718</v>
      </c>
      <c r="BQ168"/>
      <c r="BU168" s="35"/>
      <c r="BV168" s="35"/>
      <c r="BX168"/>
      <c r="CA168" s="35"/>
      <c r="CB168" s="35"/>
      <c r="CC168"/>
      <c r="CG168" s="35"/>
      <c r="CH168" s="35"/>
      <c r="CK168"/>
      <c r="CM168" s="35"/>
      <c r="CN168" s="35"/>
      <c r="CQ168"/>
      <c r="CS168" s="35"/>
      <c r="CT168" s="35"/>
      <c r="CX168"/>
      <c r="CZ168" s="35"/>
      <c r="DD168" s="34"/>
      <c r="DG168" t="s">
        <v>799</v>
      </c>
      <c r="DH168" t="s">
        <v>957</v>
      </c>
      <c r="DI168" t="s">
        <v>233</v>
      </c>
      <c r="DL168" t="s">
        <v>674</v>
      </c>
      <c r="DM168">
        <v>7</v>
      </c>
      <c r="DN168">
        <v>9</v>
      </c>
      <c r="DO168" t="s">
        <v>294</v>
      </c>
      <c r="DQ168" t="s">
        <v>927</v>
      </c>
      <c r="DR168">
        <v>14</v>
      </c>
      <c r="DS168">
        <v>2</v>
      </c>
      <c r="DU168">
        <v>14</v>
      </c>
      <c r="DV168">
        <v>2</v>
      </c>
      <c r="DX168">
        <v>14</v>
      </c>
      <c r="DY168">
        <v>2</v>
      </c>
      <c r="DZ168" t="s">
        <v>246</v>
      </c>
      <c r="EA168" t="s">
        <v>929</v>
      </c>
    </row>
    <row r="169" spans="1:131" x14ac:dyDescent="0.4">
      <c r="A169" s="34">
        <v>43067.305104166669</v>
      </c>
      <c r="B169" s="25">
        <v>42935.387499999997</v>
      </c>
      <c r="D169" s="34"/>
      <c r="E169" s="34" t="s">
        <v>193</v>
      </c>
      <c r="F169" s="34" t="s">
        <v>191</v>
      </c>
      <c r="G169" s="34" t="s">
        <v>100</v>
      </c>
      <c r="H169" t="s">
        <v>279</v>
      </c>
      <c r="I169" t="s">
        <v>243</v>
      </c>
      <c r="J169" t="s">
        <v>712</v>
      </c>
      <c r="K169" t="s">
        <v>729</v>
      </c>
      <c r="L169" t="s">
        <v>711</v>
      </c>
      <c r="M169" s="30">
        <v>2.0299999999999998</v>
      </c>
      <c r="N169">
        <v>7.75</v>
      </c>
      <c r="P169" s="24" t="str">
        <f>IFERROR(MID(RADataTable[[#This Row],[RATemplate]],1,LEN(RADataTable[[#This Row],[RATemplate]])-8),"RA") &amp; " " &amp; RADataTable[[#This Row],[prop_id0]] &amp; " " &amp; RADataTable[[#This Row],[last0]]</f>
        <v>RA 1750140 Panigrahi</v>
      </c>
      <c r="T169">
        <v>4</v>
      </c>
      <c r="U169">
        <v>4</v>
      </c>
      <c r="V169" s="34">
        <v>43032.520138888889</v>
      </c>
      <c r="W169">
        <v>1</v>
      </c>
      <c r="X169" s="15" t="str">
        <f>HYPERLINK("https://www.ejacket.nsf.gov/ej/showProposal.do?Continue=Y&amp;ID="&amp;RADataTable[[#This Row],[prop_id0]],"eJ")</f>
        <v>eJ</v>
      </c>
      <c r="Y169" s="15" t="str">
        <f>HYPERLINK("mailto:"&amp;RADataTable[[#This Row],[email]]&amp;"&amp;subject=Your NSF Proposal:  "&amp;RADataTable[[#This Row],[Div]]&amp;" "&amp;RADataTable[[#This Row],[prop_id0]], RADataTable[[#This Row],[email]])</f>
        <v>debmalya.panigrahi@gmail.com</v>
      </c>
      <c r="Z169" s="15" t="str">
        <f>HYPERLINK("mailto:"&amp;RADataTable[[#This Row],[allPIemail]]&amp;"&amp;subject=NSF Proposal:  "&amp;RADataTable[[#This Row],[Div]]&amp;" "&amp;RADataTable[[#This Row],[prop_id0]], "PIs@")</f>
        <v>PIs@</v>
      </c>
      <c r="AA169" t="s">
        <v>245</v>
      </c>
      <c r="AB169" t="s">
        <v>674</v>
      </c>
      <c r="AC169" s="30" t="s">
        <v>795</v>
      </c>
      <c r="AD169" t="s">
        <v>796</v>
      </c>
      <c r="AE169" t="s">
        <v>797</v>
      </c>
      <c r="AF169" s="36">
        <v>602288</v>
      </c>
      <c r="AG169" s="36">
        <v>602288</v>
      </c>
      <c r="AH169" s="24"/>
      <c r="AJ169" s="34"/>
      <c r="AK169" t="s">
        <v>923</v>
      </c>
      <c r="AL169" t="s">
        <v>232</v>
      </c>
      <c r="AM169" s="34" t="s">
        <v>925</v>
      </c>
      <c r="AN169" s="34">
        <v>43032</v>
      </c>
      <c r="AO169" s="24">
        <v>3</v>
      </c>
      <c r="AP169" t="s">
        <v>295</v>
      </c>
      <c r="AR169" s="35"/>
      <c r="AS169"/>
      <c r="AT169" s="34"/>
      <c r="AV169" s="34"/>
      <c r="AX169" s="34"/>
      <c r="AY169"/>
      <c r="BA169" s="34"/>
      <c r="BB169"/>
      <c r="BC169" t="s">
        <v>800</v>
      </c>
      <c r="BD169" s="36">
        <v>602288</v>
      </c>
      <c r="BE169" s="36">
        <v>602288</v>
      </c>
      <c r="BF169">
        <v>0</v>
      </c>
      <c r="BG169" s="34">
        <v>43160</v>
      </c>
      <c r="BH169">
        <v>60</v>
      </c>
      <c r="BI169" t="s">
        <v>283</v>
      </c>
      <c r="BJ169" t="s">
        <v>928</v>
      </c>
      <c r="BK169" t="s">
        <v>934</v>
      </c>
      <c r="BL169" t="s">
        <v>194</v>
      </c>
      <c r="BM169" s="8" t="s">
        <v>192</v>
      </c>
      <c r="BN169" t="s">
        <v>189</v>
      </c>
      <c r="BO169" t="s">
        <v>190</v>
      </c>
      <c r="BP169" s="35" t="s">
        <v>718</v>
      </c>
      <c r="BQ169"/>
      <c r="BU169" s="35"/>
      <c r="BV169" s="35"/>
      <c r="BX169"/>
      <c r="CA169" s="35"/>
      <c r="CB169" s="35"/>
      <c r="CC169"/>
      <c r="CG169" s="35"/>
      <c r="CH169" s="35"/>
      <c r="CK169"/>
      <c r="CM169" s="35"/>
      <c r="CN169" s="35"/>
      <c r="CQ169"/>
      <c r="CS169" s="35"/>
      <c r="CT169" s="35"/>
      <c r="CX169"/>
      <c r="CZ169" s="35"/>
      <c r="DD169" s="34"/>
      <c r="DG169" t="s">
        <v>799</v>
      </c>
      <c r="DH169" t="s">
        <v>957</v>
      </c>
      <c r="DI169" t="s">
        <v>233</v>
      </c>
      <c r="DL169" t="s">
        <v>674</v>
      </c>
      <c r="DM169">
        <v>7</v>
      </c>
      <c r="DN169">
        <v>9</v>
      </c>
      <c r="DO169" t="s">
        <v>294</v>
      </c>
      <c r="DQ169" t="s">
        <v>927</v>
      </c>
      <c r="DR169">
        <v>14</v>
      </c>
      <c r="DS169">
        <v>2</v>
      </c>
      <c r="DU169">
        <v>14</v>
      </c>
      <c r="DV169">
        <v>2</v>
      </c>
      <c r="DX169">
        <v>14</v>
      </c>
      <c r="DY169">
        <v>2</v>
      </c>
      <c r="DZ169" t="s">
        <v>246</v>
      </c>
      <c r="EA169" t="s">
        <v>929</v>
      </c>
    </row>
    <row r="170" spans="1:131" x14ac:dyDescent="0.4">
      <c r="A170" s="34">
        <v>43067.305104166669</v>
      </c>
      <c r="B170" s="25">
        <v>42935.387499999997</v>
      </c>
      <c r="D170" s="34"/>
      <c r="E170" s="34" t="s">
        <v>193</v>
      </c>
      <c r="F170" s="34" t="s">
        <v>191</v>
      </c>
      <c r="G170" s="34" t="s">
        <v>100</v>
      </c>
      <c r="H170" t="s">
        <v>279</v>
      </c>
      <c r="I170" t="s">
        <v>243</v>
      </c>
      <c r="J170" t="s">
        <v>712</v>
      </c>
      <c r="K170" t="s">
        <v>729</v>
      </c>
      <c r="L170" t="s">
        <v>711</v>
      </c>
      <c r="M170" s="30">
        <v>2.0299999999999998</v>
      </c>
      <c r="N170">
        <v>7.75</v>
      </c>
      <c r="P170" s="24" t="str">
        <f>IFERROR(MID(RADataTable[[#This Row],[RATemplate]],1,LEN(RADataTable[[#This Row],[RATemplate]])-8),"RA") &amp; " " &amp; RADataTable[[#This Row],[prop_id0]] &amp; " " &amp; RADataTable[[#This Row],[last0]]</f>
        <v>RA 1750140 Panigrahi</v>
      </c>
      <c r="T170">
        <v>4</v>
      </c>
      <c r="U170">
        <v>4</v>
      </c>
      <c r="V170" s="34">
        <v>43032.520138888889</v>
      </c>
      <c r="W170">
        <v>1</v>
      </c>
      <c r="X170" s="15" t="str">
        <f>HYPERLINK("https://www.ejacket.nsf.gov/ej/showProposal.do?Continue=Y&amp;ID="&amp;RADataTable[[#This Row],[prop_id0]],"eJ")</f>
        <v>eJ</v>
      </c>
      <c r="Y170" s="15" t="str">
        <f>HYPERLINK("mailto:"&amp;RADataTable[[#This Row],[email]]&amp;"&amp;subject=Your NSF Proposal:  "&amp;RADataTable[[#This Row],[Div]]&amp;" "&amp;RADataTable[[#This Row],[prop_id0]], RADataTable[[#This Row],[email]])</f>
        <v>debmalya.panigrahi@gmail.com</v>
      </c>
      <c r="Z170" s="15" t="str">
        <f>HYPERLINK("mailto:"&amp;RADataTable[[#This Row],[allPIemail]]&amp;"&amp;subject=NSF Proposal:  "&amp;RADataTable[[#This Row],[Div]]&amp;" "&amp;RADataTable[[#This Row],[prop_id0]], "PIs@")</f>
        <v>PIs@</v>
      </c>
      <c r="AA170" t="s">
        <v>245</v>
      </c>
      <c r="AB170" t="s">
        <v>674</v>
      </c>
      <c r="AC170" s="30" t="s">
        <v>795</v>
      </c>
      <c r="AD170" t="s">
        <v>796</v>
      </c>
      <c r="AE170" t="s">
        <v>797</v>
      </c>
      <c r="AF170" s="36">
        <v>602288</v>
      </c>
      <c r="AG170" s="36">
        <v>602288</v>
      </c>
      <c r="AH170" s="24"/>
      <c r="AJ170" s="34"/>
      <c r="AK170" t="s">
        <v>923</v>
      </c>
      <c r="AL170" t="s">
        <v>232</v>
      </c>
      <c r="AM170" s="34" t="s">
        <v>925</v>
      </c>
      <c r="AN170" s="34">
        <v>43032</v>
      </c>
      <c r="AO170" s="24">
        <v>3</v>
      </c>
      <c r="AP170" t="s">
        <v>295</v>
      </c>
      <c r="AR170" s="35"/>
      <c r="AS170"/>
      <c r="AT170" s="34"/>
      <c r="AV170" s="34"/>
      <c r="AX170" s="34"/>
      <c r="AY170"/>
      <c r="BA170" s="34"/>
      <c r="BB170"/>
      <c r="BC170" t="s">
        <v>800</v>
      </c>
      <c r="BD170" s="36">
        <v>602288</v>
      </c>
      <c r="BE170" s="36">
        <v>602288</v>
      </c>
      <c r="BF170">
        <v>0</v>
      </c>
      <c r="BG170" s="34">
        <v>43160</v>
      </c>
      <c r="BH170">
        <v>60</v>
      </c>
      <c r="BI170" t="s">
        <v>283</v>
      </c>
      <c r="BJ170" t="s">
        <v>928</v>
      </c>
      <c r="BK170" t="s">
        <v>934</v>
      </c>
      <c r="BL170" t="s">
        <v>194</v>
      </c>
      <c r="BM170" s="8" t="s">
        <v>192</v>
      </c>
      <c r="BN170" t="s">
        <v>189</v>
      </c>
      <c r="BO170" t="s">
        <v>190</v>
      </c>
      <c r="BP170" s="35" t="s">
        <v>718</v>
      </c>
      <c r="BQ170"/>
      <c r="BU170" s="35"/>
      <c r="BV170" s="35"/>
      <c r="BX170"/>
      <c r="CA170" s="35"/>
      <c r="CB170" s="35"/>
      <c r="CC170"/>
      <c r="CG170" s="35"/>
      <c r="CH170" s="35"/>
      <c r="CK170"/>
      <c r="CM170" s="35"/>
      <c r="CN170" s="35"/>
      <c r="CQ170"/>
      <c r="CS170" s="35"/>
      <c r="CT170" s="35"/>
      <c r="CX170"/>
      <c r="CZ170" s="35"/>
      <c r="DD170" s="34"/>
      <c r="DG170" t="s">
        <v>799</v>
      </c>
      <c r="DH170" t="s">
        <v>957</v>
      </c>
      <c r="DI170" t="s">
        <v>233</v>
      </c>
      <c r="DL170" t="s">
        <v>674</v>
      </c>
      <c r="DM170">
        <v>7</v>
      </c>
      <c r="DN170">
        <v>9</v>
      </c>
      <c r="DO170" t="s">
        <v>294</v>
      </c>
      <c r="DQ170" t="s">
        <v>927</v>
      </c>
      <c r="DR170">
        <v>14</v>
      </c>
      <c r="DS170">
        <v>2</v>
      </c>
      <c r="DU170">
        <v>14</v>
      </c>
      <c r="DV170">
        <v>2</v>
      </c>
      <c r="DX170">
        <v>14</v>
      </c>
      <c r="DY170">
        <v>2</v>
      </c>
      <c r="DZ170" t="s">
        <v>246</v>
      </c>
      <c r="EA170" t="s">
        <v>929</v>
      </c>
    </row>
    <row r="171" spans="1:131" x14ac:dyDescent="0.4">
      <c r="A171" s="34">
        <v>43067.305104166669</v>
      </c>
      <c r="B171" s="25">
        <v>42935.387499999997</v>
      </c>
      <c r="D171" s="34"/>
      <c r="E171" s="34" t="s">
        <v>193</v>
      </c>
      <c r="F171" s="34" t="s">
        <v>191</v>
      </c>
      <c r="G171" s="34" t="s">
        <v>100</v>
      </c>
      <c r="H171" t="s">
        <v>279</v>
      </c>
      <c r="I171" t="s">
        <v>243</v>
      </c>
      <c r="J171" t="s">
        <v>712</v>
      </c>
      <c r="K171" t="s">
        <v>729</v>
      </c>
      <c r="L171" t="s">
        <v>711</v>
      </c>
      <c r="M171" s="30">
        <v>2.0299999999999998</v>
      </c>
      <c r="N171">
        <v>7.75</v>
      </c>
      <c r="P171" s="24" t="str">
        <f>IFERROR(MID(RADataTable[[#This Row],[RATemplate]],1,LEN(RADataTable[[#This Row],[RATemplate]])-8),"RA") &amp; " " &amp; RADataTable[[#This Row],[prop_id0]] &amp; " " &amp; RADataTable[[#This Row],[last0]]</f>
        <v>RA 1750140 Panigrahi</v>
      </c>
      <c r="T171">
        <v>4</v>
      </c>
      <c r="U171">
        <v>4</v>
      </c>
      <c r="V171" s="34">
        <v>43032.520138888889</v>
      </c>
      <c r="W171">
        <v>1</v>
      </c>
      <c r="X171" s="15" t="str">
        <f>HYPERLINK("https://www.ejacket.nsf.gov/ej/showProposal.do?Continue=Y&amp;ID="&amp;RADataTable[[#This Row],[prop_id0]],"eJ")</f>
        <v>eJ</v>
      </c>
      <c r="Y171" s="15" t="str">
        <f>HYPERLINK("mailto:"&amp;RADataTable[[#This Row],[email]]&amp;"&amp;subject=Your NSF Proposal:  "&amp;RADataTable[[#This Row],[Div]]&amp;" "&amp;RADataTable[[#This Row],[prop_id0]], RADataTable[[#This Row],[email]])</f>
        <v>debmalya.panigrahi@gmail.com</v>
      </c>
      <c r="Z171" s="15" t="str">
        <f>HYPERLINK("mailto:"&amp;RADataTable[[#This Row],[allPIemail]]&amp;"&amp;subject=NSF Proposal:  "&amp;RADataTable[[#This Row],[Div]]&amp;" "&amp;RADataTable[[#This Row],[prop_id0]], "PIs@")</f>
        <v>PIs@</v>
      </c>
      <c r="AA171" t="s">
        <v>245</v>
      </c>
      <c r="AB171" t="s">
        <v>674</v>
      </c>
      <c r="AC171" s="30" t="s">
        <v>795</v>
      </c>
      <c r="AD171" t="s">
        <v>796</v>
      </c>
      <c r="AE171" t="s">
        <v>797</v>
      </c>
      <c r="AF171" s="36">
        <v>602288</v>
      </c>
      <c r="AG171" s="36">
        <v>602288</v>
      </c>
      <c r="AH171" s="24"/>
      <c r="AJ171" s="34"/>
      <c r="AK171" t="s">
        <v>923</v>
      </c>
      <c r="AL171" t="s">
        <v>232</v>
      </c>
      <c r="AM171" s="34" t="s">
        <v>925</v>
      </c>
      <c r="AN171" s="34">
        <v>43032</v>
      </c>
      <c r="AO171" s="24">
        <v>3</v>
      </c>
      <c r="AP171" t="s">
        <v>295</v>
      </c>
      <c r="AR171" s="35"/>
      <c r="AS171"/>
      <c r="AT171" s="34"/>
      <c r="AV171" s="34"/>
      <c r="AX171" s="34"/>
      <c r="AY171"/>
      <c r="BA171" s="34"/>
      <c r="BB171"/>
      <c r="BC171" t="s">
        <v>800</v>
      </c>
      <c r="BD171" s="36">
        <v>602288</v>
      </c>
      <c r="BE171" s="36">
        <v>602288</v>
      </c>
      <c r="BF171">
        <v>0</v>
      </c>
      <c r="BG171" s="34">
        <v>43160</v>
      </c>
      <c r="BH171">
        <v>60</v>
      </c>
      <c r="BI171" t="s">
        <v>283</v>
      </c>
      <c r="BJ171" t="s">
        <v>928</v>
      </c>
      <c r="BK171" t="s">
        <v>934</v>
      </c>
      <c r="BL171" t="s">
        <v>194</v>
      </c>
      <c r="BM171" s="8" t="s">
        <v>192</v>
      </c>
      <c r="BN171" t="s">
        <v>189</v>
      </c>
      <c r="BO171" t="s">
        <v>190</v>
      </c>
      <c r="BP171" s="35" t="s">
        <v>718</v>
      </c>
      <c r="BQ171"/>
      <c r="BU171" s="35"/>
      <c r="BV171" s="35"/>
      <c r="BX171"/>
      <c r="CA171" s="35"/>
      <c r="CB171" s="35"/>
      <c r="CC171"/>
      <c r="CG171" s="35"/>
      <c r="CH171" s="35"/>
      <c r="CK171"/>
      <c r="CM171" s="35"/>
      <c r="CN171" s="35"/>
      <c r="CQ171"/>
      <c r="CS171" s="35"/>
      <c r="CT171" s="35"/>
      <c r="CX171"/>
      <c r="CZ171" s="35"/>
      <c r="DD171" s="34"/>
      <c r="DG171" t="s">
        <v>799</v>
      </c>
      <c r="DH171" t="s">
        <v>957</v>
      </c>
      <c r="DI171" t="s">
        <v>233</v>
      </c>
      <c r="DL171" t="s">
        <v>674</v>
      </c>
      <c r="DM171">
        <v>7</v>
      </c>
      <c r="DN171">
        <v>9</v>
      </c>
      <c r="DO171" t="s">
        <v>294</v>
      </c>
      <c r="DQ171" t="s">
        <v>927</v>
      </c>
      <c r="DR171">
        <v>14</v>
      </c>
      <c r="DS171">
        <v>2</v>
      </c>
      <c r="DU171">
        <v>14</v>
      </c>
      <c r="DV171">
        <v>2</v>
      </c>
      <c r="DX171">
        <v>14</v>
      </c>
      <c r="DY171">
        <v>2</v>
      </c>
      <c r="DZ171" t="s">
        <v>246</v>
      </c>
      <c r="EA171" t="s">
        <v>929</v>
      </c>
    </row>
    <row r="172" spans="1:131" x14ac:dyDescent="0.4">
      <c r="A172" s="34">
        <v>43067.305104166669</v>
      </c>
      <c r="B172" s="25">
        <v>42935.387499999997</v>
      </c>
      <c r="D172" s="34"/>
      <c r="E172" s="34" t="s">
        <v>193</v>
      </c>
      <c r="F172" s="34" t="s">
        <v>191</v>
      </c>
      <c r="G172" s="34" t="s">
        <v>100</v>
      </c>
      <c r="H172" t="s">
        <v>279</v>
      </c>
      <c r="I172" t="s">
        <v>243</v>
      </c>
      <c r="J172" t="s">
        <v>712</v>
      </c>
      <c r="K172" t="s">
        <v>729</v>
      </c>
      <c r="L172" t="s">
        <v>711</v>
      </c>
      <c r="M172" s="30">
        <v>2.0299999999999998</v>
      </c>
      <c r="N172">
        <v>7.75</v>
      </c>
      <c r="P172" s="24" t="str">
        <f>IFERROR(MID(RADataTable[[#This Row],[RATemplate]],1,LEN(RADataTable[[#This Row],[RATemplate]])-8),"RA") &amp; " " &amp; RADataTable[[#This Row],[prop_id0]] &amp; " " &amp; RADataTable[[#This Row],[last0]]</f>
        <v>RA 1750140 Panigrahi</v>
      </c>
      <c r="T172">
        <v>4</v>
      </c>
      <c r="U172">
        <v>4</v>
      </c>
      <c r="V172" s="34">
        <v>43032.520138888889</v>
      </c>
      <c r="W172">
        <v>1</v>
      </c>
      <c r="X172" s="15" t="str">
        <f>HYPERLINK("https://www.ejacket.nsf.gov/ej/showProposal.do?Continue=Y&amp;ID="&amp;RADataTable[[#This Row],[prop_id0]],"eJ")</f>
        <v>eJ</v>
      </c>
      <c r="Y172" s="15" t="str">
        <f>HYPERLINK("mailto:"&amp;RADataTable[[#This Row],[email]]&amp;"&amp;subject=Your NSF Proposal:  "&amp;RADataTable[[#This Row],[Div]]&amp;" "&amp;RADataTable[[#This Row],[prop_id0]], RADataTable[[#This Row],[email]])</f>
        <v>debmalya.panigrahi@gmail.com</v>
      </c>
      <c r="Z172" s="15" t="str">
        <f>HYPERLINK("mailto:"&amp;RADataTable[[#This Row],[allPIemail]]&amp;"&amp;subject=NSF Proposal:  "&amp;RADataTable[[#This Row],[Div]]&amp;" "&amp;RADataTable[[#This Row],[prop_id0]], "PIs@")</f>
        <v>PIs@</v>
      </c>
      <c r="AA172" t="s">
        <v>245</v>
      </c>
      <c r="AB172" t="s">
        <v>674</v>
      </c>
      <c r="AC172" s="30" t="s">
        <v>795</v>
      </c>
      <c r="AD172" t="s">
        <v>796</v>
      </c>
      <c r="AE172" t="s">
        <v>797</v>
      </c>
      <c r="AF172" s="36">
        <v>602288</v>
      </c>
      <c r="AG172" s="36">
        <v>602288</v>
      </c>
      <c r="AH172" s="24"/>
      <c r="AJ172" s="34"/>
      <c r="AK172" t="s">
        <v>923</v>
      </c>
      <c r="AL172" t="s">
        <v>232</v>
      </c>
      <c r="AM172" s="34" t="s">
        <v>925</v>
      </c>
      <c r="AN172" s="34">
        <v>43032</v>
      </c>
      <c r="AO172" s="24">
        <v>3</v>
      </c>
      <c r="AP172" t="s">
        <v>295</v>
      </c>
      <c r="AR172" s="35"/>
      <c r="AS172"/>
      <c r="AT172" s="34"/>
      <c r="AV172" s="34"/>
      <c r="AX172" s="34"/>
      <c r="AY172"/>
      <c r="BA172" s="34"/>
      <c r="BB172"/>
      <c r="BC172" t="s">
        <v>800</v>
      </c>
      <c r="BD172" s="36">
        <v>602288</v>
      </c>
      <c r="BE172" s="36">
        <v>602288</v>
      </c>
      <c r="BF172">
        <v>0</v>
      </c>
      <c r="BG172" s="34">
        <v>43160</v>
      </c>
      <c r="BH172">
        <v>60</v>
      </c>
      <c r="BI172" t="s">
        <v>283</v>
      </c>
      <c r="BJ172" t="s">
        <v>928</v>
      </c>
      <c r="BK172" t="s">
        <v>934</v>
      </c>
      <c r="BL172" t="s">
        <v>194</v>
      </c>
      <c r="BM172" s="8" t="s">
        <v>192</v>
      </c>
      <c r="BN172" t="s">
        <v>189</v>
      </c>
      <c r="BO172" t="s">
        <v>190</v>
      </c>
      <c r="BP172" s="35" t="s">
        <v>718</v>
      </c>
      <c r="BQ172"/>
      <c r="BU172" s="35"/>
      <c r="BV172" s="35"/>
      <c r="BX172"/>
      <c r="CA172" s="35"/>
      <c r="CB172" s="35"/>
      <c r="CC172"/>
      <c r="CG172" s="35"/>
      <c r="CH172" s="35"/>
      <c r="CK172"/>
      <c r="CM172" s="35"/>
      <c r="CN172" s="35"/>
      <c r="CQ172"/>
      <c r="CS172" s="35"/>
      <c r="CT172" s="35"/>
      <c r="CX172"/>
      <c r="CZ172" s="35"/>
      <c r="DD172" s="34"/>
      <c r="DG172" t="s">
        <v>799</v>
      </c>
      <c r="DH172" t="s">
        <v>957</v>
      </c>
      <c r="DI172" t="s">
        <v>233</v>
      </c>
      <c r="DL172" t="s">
        <v>674</v>
      </c>
      <c r="DM172">
        <v>7</v>
      </c>
      <c r="DN172">
        <v>9</v>
      </c>
      <c r="DO172" t="s">
        <v>294</v>
      </c>
      <c r="DQ172" t="s">
        <v>927</v>
      </c>
      <c r="DR172">
        <v>14</v>
      </c>
      <c r="DS172">
        <v>2</v>
      </c>
      <c r="DU172">
        <v>14</v>
      </c>
      <c r="DV172">
        <v>2</v>
      </c>
      <c r="DX172">
        <v>14</v>
      </c>
      <c r="DY172">
        <v>2</v>
      </c>
      <c r="DZ172" t="s">
        <v>246</v>
      </c>
      <c r="EA172" t="s">
        <v>929</v>
      </c>
    </row>
    <row r="173" spans="1:131" x14ac:dyDescent="0.4">
      <c r="A173" s="34">
        <v>43067.305104166669</v>
      </c>
      <c r="B173" s="25">
        <v>42935.387499999997</v>
      </c>
      <c r="D173" s="34"/>
      <c r="E173" s="34" t="s">
        <v>193</v>
      </c>
      <c r="F173" s="34" t="s">
        <v>191</v>
      </c>
      <c r="G173" s="34" t="s">
        <v>100</v>
      </c>
      <c r="H173" t="s">
        <v>279</v>
      </c>
      <c r="I173" t="s">
        <v>243</v>
      </c>
      <c r="J173" t="s">
        <v>712</v>
      </c>
      <c r="K173" t="s">
        <v>729</v>
      </c>
      <c r="L173" t="s">
        <v>711</v>
      </c>
      <c r="M173" s="30">
        <v>2.0299999999999998</v>
      </c>
      <c r="N173">
        <v>7.75</v>
      </c>
      <c r="P173" s="24" t="str">
        <f>IFERROR(MID(RADataTable[[#This Row],[RATemplate]],1,LEN(RADataTable[[#This Row],[RATemplate]])-8),"RA") &amp; " " &amp; RADataTable[[#This Row],[prop_id0]] &amp; " " &amp; RADataTable[[#This Row],[last0]]</f>
        <v>RA 1750140 Panigrahi</v>
      </c>
      <c r="T173">
        <v>4</v>
      </c>
      <c r="U173">
        <v>4</v>
      </c>
      <c r="V173" s="34">
        <v>43032.520138888889</v>
      </c>
      <c r="W173">
        <v>1</v>
      </c>
      <c r="X173" s="15" t="str">
        <f>HYPERLINK("https://www.ejacket.nsf.gov/ej/showProposal.do?Continue=Y&amp;ID="&amp;RADataTable[[#This Row],[prop_id0]],"eJ")</f>
        <v>eJ</v>
      </c>
      <c r="Y173" s="15" t="str">
        <f>HYPERLINK("mailto:"&amp;RADataTable[[#This Row],[email]]&amp;"&amp;subject=Your NSF Proposal:  "&amp;RADataTable[[#This Row],[Div]]&amp;" "&amp;RADataTable[[#This Row],[prop_id0]], RADataTable[[#This Row],[email]])</f>
        <v>debmalya.panigrahi@gmail.com</v>
      </c>
      <c r="Z173" s="15" t="str">
        <f>HYPERLINK("mailto:"&amp;RADataTable[[#This Row],[allPIemail]]&amp;"&amp;subject=NSF Proposal:  "&amp;RADataTable[[#This Row],[Div]]&amp;" "&amp;RADataTable[[#This Row],[prop_id0]], "PIs@")</f>
        <v>PIs@</v>
      </c>
      <c r="AA173" t="s">
        <v>245</v>
      </c>
      <c r="AB173" t="s">
        <v>674</v>
      </c>
      <c r="AC173" s="30" t="s">
        <v>795</v>
      </c>
      <c r="AD173" t="s">
        <v>796</v>
      </c>
      <c r="AE173" t="s">
        <v>797</v>
      </c>
      <c r="AF173" s="36">
        <v>602288</v>
      </c>
      <c r="AG173" s="36">
        <v>602288</v>
      </c>
      <c r="AH173" s="24"/>
      <c r="AJ173" s="34"/>
      <c r="AK173" t="s">
        <v>923</v>
      </c>
      <c r="AL173" t="s">
        <v>232</v>
      </c>
      <c r="AM173" s="34" t="s">
        <v>925</v>
      </c>
      <c r="AN173" s="34">
        <v>43032</v>
      </c>
      <c r="AO173" s="24">
        <v>3</v>
      </c>
      <c r="AP173" t="s">
        <v>295</v>
      </c>
      <c r="AR173" s="35"/>
      <c r="AS173"/>
      <c r="AT173" s="34"/>
      <c r="AV173" s="34"/>
      <c r="AX173" s="34"/>
      <c r="AY173"/>
      <c r="BA173" s="34"/>
      <c r="BB173"/>
      <c r="BC173" t="s">
        <v>800</v>
      </c>
      <c r="BD173" s="36">
        <v>602288</v>
      </c>
      <c r="BE173" s="36">
        <v>602288</v>
      </c>
      <c r="BF173">
        <v>0</v>
      </c>
      <c r="BG173" s="34">
        <v>43160</v>
      </c>
      <c r="BH173">
        <v>60</v>
      </c>
      <c r="BI173" t="s">
        <v>283</v>
      </c>
      <c r="BJ173" t="s">
        <v>928</v>
      </c>
      <c r="BK173" t="s">
        <v>934</v>
      </c>
      <c r="BL173" t="s">
        <v>194</v>
      </c>
      <c r="BM173" s="8" t="s">
        <v>192</v>
      </c>
      <c r="BN173" t="s">
        <v>189</v>
      </c>
      <c r="BO173" t="s">
        <v>190</v>
      </c>
      <c r="BP173" s="35" t="s">
        <v>718</v>
      </c>
      <c r="BQ173"/>
      <c r="BU173" s="35"/>
      <c r="BV173" s="35"/>
      <c r="BX173"/>
      <c r="CA173" s="35"/>
      <c r="CB173" s="35"/>
      <c r="CC173"/>
      <c r="CG173" s="35"/>
      <c r="CH173" s="35"/>
      <c r="CK173"/>
      <c r="CM173" s="35"/>
      <c r="CN173" s="35"/>
      <c r="CQ173"/>
      <c r="CS173" s="35"/>
      <c r="CT173" s="35"/>
      <c r="CX173"/>
      <c r="CZ173" s="35"/>
      <c r="DD173" s="34"/>
      <c r="DG173" t="s">
        <v>799</v>
      </c>
      <c r="DH173" t="s">
        <v>957</v>
      </c>
      <c r="DI173" t="s">
        <v>233</v>
      </c>
      <c r="DL173" t="s">
        <v>674</v>
      </c>
      <c r="DM173">
        <v>7</v>
      </c>
      <c r="DN173">
        <v>9</v>
      </c>
      <c r="DO173" t="s">
        <v>294</v>
      </c>
      <c r="DQ173" t="s">
        <v>927</v>
      </c>
      <c r="DR173">
        <v>14</v>
      </c>
      <c r="DS173">
        <v>2</v>
      </c>
      <c r="DU173">
        <v>14</v>
      </c>
      <c r="DV173">
        <v>2</v>
      </c>
      <c r="DX173">
        <v>14</v>
      </c>
      <c r="DY173">
        <v>2</v>
      </c>
      <c r="DZ173" t="s">
        <v>246</v>
      </c>
      <c r="EA173" t="s">
        <v>929</v>
      </c>
    </row>
    <row r="174" spans="1:131" x14ac:dyDescent="0.4">
      <c r="A174" s="34">
        <v>43067.305104166669</v>
      </c>
      <c r="B174" s="25">
        <v>42935.387499999997</v>
      </c>
      <c r="D174" s="34"/>
      <c r="E174" s="34" t="s">
        <v>193</v>
      </c>
      <c r="F174" s="34" t="s">
        <v>191</v>
      </c>
      <c r="G174" s="34" t="s">
        <v>100</v>
      </c>
      <c r="H174" t="s">
        <v>279</v>
      </c>
      <c r="I174" t="s">
        <v>243</v>
      </c>
      <c r="J174" t="s">
        <v>712</v>
      </c>
      <c r="K174" t="s">
        <v>729</v>
      </c>
      <c r="L174" t="s">
        <v>711</v>
      </c>
      <c r="M174" s="30">
        <v>2.0299999999999998</v>
      </c>
      <c r="N174">
        <v>7.75</v>
      </c>
      <c r="P174" s="24" t="str">
        <f>IFERROR(MID(RADataTable[[#This Row],[RATemplate]],1,LEN(RADataTable[[#This Row],[RATemplate]])-8),"RA") &amp; " " &amp; RADataTable[[#This Row],[prop_id0]] &amp; " " &amp; RADataTable[[#This Row],[last0]]</f>
        <v>RA 1750140 Panigrahi</v>
      </c>
      <c r="T174">
        <v>4</v>
      </c>
      <c r="U174">
        <v>4</v>
      </c>
      <c r="V174" s="34">
        <v>43032.520138888889</v>
      </c>
      <c r="W174">
        <v>1</v>
      </c>
      <c r="X174" s="15" t="str">
        <f>HYPERLINK("https://www.ejacket.nsf.gov/ej/showProposal.do?Continue=Y&amp;ID="&amp;RADataTable[[#This Row],[prop_id0]],"eJ")</f>
        <v>eJ</v>
      </c>
      <c r="Y174" s="15" t="str">
        <f>HYPERLINK("mailto:"&amp;RADataTable[[#This Row],[email]]&amp;"&amp;subject=Your NSF Proposal:  "&amp;RADataTable[[#This Row],[Div]]&amp;" "&amp;RADataTable[[#This Row],[prop_id0]], RADataTable[[#This Row],[email]])</f>
        <v>debmalya.panigrahi@gmail.com</v>
      </c>
      <c r="Z174" s="15" t="str">
        <f>HYPERLINK("mailto:"&amp;RADataTable[[#This Row],[allPIemail]]&amp;"&amp;subject=NSF Proposal:  "&amp;RADataTable[[#This Row],[Div]]&amp;" "&amp;RADataTable[[#This Row],[prop_id0]], "PIs@")</f>
        <v>PIs@</v>
      </c>
      <c r="AA174" t="s">
        <v>245</v>
      </c>
      <c r="AB174" t="s">
        <v>674</v>
      </c>
      <c r="AC174" s="30" t="s">
        <v>795</v>
      </c>
      <c r="AD174" t="s">
        <v>796</v>
      </c>
      <c r="AE174" t="s">
        <v>797</v>
      </c>
      <c r="AF174" s="36">
        <v>602288</v>
      </c>
      <c r="AG174" s="36">
        <v>602288</v>
      </c>
      <c r="AH174" s="24"/>
      <c r="AJ174" s="34"/>
      <c r="AK174" t="s">
        <v>923</v>
      </c>
      <c r="AL174" t="s">
        <v>232</v>
      </c>
      <c r="AM174" s="34" t="s">
        <v>925</v>
      </c>
      <c r="AN174" s="34">
        <v>43032</v>
      </c>
      <c r="AO174" s="24">
        <v>3</v>
      </c>
      <c r="AP174" t="s">
        <v>295</v>
      </c>
      <c r="AR174" s="35"/>
      <c r="AS174"/>
      <c r="AT174" s="34"/>
      <c r="AV174" s="34"/>
      <c r="AX174" s="34"/>
      <c r="AY174"/>
      <c r="BA174" s="34"/>
      <c r="BB174"/>
      <c r="BC174" t="s">
        <v>800</v>
      </c>
      <c r="BD174" s="36">
        <v>602288</v>
      </c>
      <c r="BE174" s="36">
        <v>602288</v>
      </c>
      <c r="BF174">
        <v>0</v>
      </c>
      <c r="BG174" s="34">
        <v>43160</v>
      </c>
      <c r="BH174">
        <v>60</v>
      </c>
      <c r="BI174" t="s">
        <v>283</v>
      </c>
      <c r="BJ174" t="s">
        <v>928</v>
      </c>
      <c r="BK174" t="s">
        <v>934</v>
      </c>
      <c r="BL174" t="s">
        <v>194</v>
      </c>
      <c r="BM174" s="8" t="s">
        <v>192</v>
      </c>
      <c r="BN174" t="s">
        <v>189</v>
      </c>
      <c r="BO174" t="s">
        <v>190</v>
      </c>
      <c r="BP174" s="35" t="s">
        <v>718</v>
      </c>
      <c r="BQ174"/>
      <c r="BU174" s="35"/>
      <c r="BV174" s="35"/>
      <c r="BX174"/>
      <c r="CA174" s="35"/>
      <c r="CB174" s="35"/>
      <c r="CC174"/>
      <c r="CG174" s="35"/>
      <c r="CH174" s="35"/>
      <c r="CK174"/>
      <c r="CM174" s="35"/>
      <c r="CN174" s="35"/>
      <c r="CQ174"/>
      <c r="CS174" s="35"/>
      <c r="CT174" s="35"/>
      <c r="CX174"/>
      <c r="CZ174" s="35"/>
      <c r="DD174" s="34"/>
      <c r="DG174" t="s">
        <v>799</v>
      </c>
      <c r="DH174" t="s">
        <v>957</v>
      </c>
      <c r="DI174" t="s">
        <v>233</v>
      </c>
      <c r="DL174" t="s">
        <v>674</v>
      </c>
      <c r="DM174">
        <v>7</v>
      </c>
      <c r="DN174">
        <v>9</v>
      </c>
      <c r="DO174" t="s">
        <v>294</v>
      </c>
      <c r="DQ174" t="s">
        <v>927</v>
      </c>
      <c r="DR174">
        <v>14</v>
      </c>
      <c r="DS174">
        <v>2</v>
      </c>
      <c r="DU174">
        <v>14</v>
      </c>
      <c r="DV174">
        <v>2</v>
      </c>
      <c r="DX174">
        <v>14</v>
      </c>
      <c r="DY174">
        <v>2</v>
      </c>
      <c r="DZ174" t="s">
        <v>246</v>
      </c>
      <c r="EA174" t="s">
        <v>929</v>
      </c>
    </row>
    <row r="175" spans="1:131" x14ac:dyDescent="0.4">
      <c r="A175" s="34">
        <v>43067.305104166669</v>
      </c>
      <c r="B175" s="25">
        <v>42935.387499999997</v>
      </c>
      <c r="D175" s="34"/>
      <c r="E175" s="34" t="s">
        <v>193</v>
      </c>
      <c r="F175" s="34" t="s">
        <v>191</v>
      </c>
      <c r="G175" s="34" t="s">
        <v>100</v>
      </c>
      <c r="H175" t="s">
        <v>279</v>
      </c>
      <c r="I175" t="s">
        <v>243</v>
      </c>
      <c r="J175" t="s">
        <v>712</v>
      </c>
      <c r="K175" t="s">
        <v>729</v>
      </c>
      <c r="L175" t="s">
        <v>711</v>
      </c>
      <c r="M175" s="30">
        <v>2.0299999999999998</v>
      </c>
      <c r="N175">
        <v>7.75</v>
      </c>
      <c r="P175" s="24" t="str">
        <f>IFERROR(MID(RADataTable[[#This Row],[RATemplate]],1,LEN(RADataTable[[#This Row],[RATemplate]])-8),"RA") &amp; " " &amp; RADataTable[[#This Row],[prop_id0]] &amp; " " &amp; RADataTable[[#This Row],[last0]]</f>
        <v>RA 1750140 Panigrahi</v>
      </c>
      <c r="T175">
        <v>4</v>
      </c>
      <c r="U175">
        <v>4</v>
      </c>
      <c r="V175" s="34">
        <v>43032.520138888889</v>
      </c>
      <c r="W175">
        <v>1</v>
      </c>
      <c r="X175" s="15" t="str">
        <f>HYPERLINK("https://www.ejacket.nsf.gov/ej/showProposal.do?Continue=Y&amp;ID="&amp;RADataTable[[#This Row],[prop_id0]],"eJ")</f>
        <v>eJ</v>
      </c>
      <c r="Y175" s="15" t="str">
        <f>HYPERLINK("mailto:"&amp;RADataTable[[#This Row],[email]]&amp;"&amp;subject=Your NSF Proposal:  "&amp;RADataTable[[#This Row],[Div]]&amp;" "&amp;RADataTable[[#This Row],[prop_id0]], RADataTable[[#This Row],[email]])</f>
        <v>debmalya.panigrahi@gmail.com</v>
      </c>
      <c r="Z175" s="15" t="str">
        <f>HYPERLINK("mailto:"&amp;RADataTable[[#This Row],[allPIemail]]&amp;"&amp;subject=NSF Proposal:  "&amp;RADataTable[[#This Row],[Div]]&amp;" "&amp;RADataTable[[#This Row],[prop_id0]], "PIs@")</f>
        <v>PIs@</v>
      </c>
      <c r="AA175" t="s">
        <v>245</v>
      </c>
      <c r="AB175" t="s">
        <v>674</v>
      </c>
      <c r="AC175" s="30" t="s">
        <v>795</v>
      </c>
      <c r="AD175" t="s">
        <v>796</v>
      </c>
      <c r="AE175" t="s">
        <v>797</v>
      </c>
      <c r="AF175" s="36">
        <v>602288</v>
      </c>
      <c r="AG175" s="36">
        <v>602288</v>
      </c>
      <c r="AH175" s="24"/>
      <c r="AJ175" s="34"/>
      <c r="AK175" t="s">
        <v>923</v>
      </c>
      <c r="AL175" t="s">
        <v>232</v>
      </c>
      <c r="AM175" s="34" t="s">
        <v>925</v>
      </c>
      <c r="AN175" s="34">
        <v>43032</v>
      </c>
      <c r="AO175" s="24">
        <v>3</v>
      </c>
      <c r="AP175" t="s">
        <v>295</v>
      </c>
      <c r="AR175" s="35"/>
      <c r="AS175"/>
      <c r="AT175" s="34"/>
      <c r="AV175" s="34"/>
      <c r="AX175" s="34"/>
      <c r="AY175"/>
      <c r="BA175" s="34"/>
      <c r="BB175"/>
      <c r="BC175" t="s">
        <v>800</v>
      </c>
      <c r="BD175" s="36">
        <v>602288</v>
      </c>
      <c r="BE175" s="36">
        <v>602288</v>
      </c>
      <c r="BF175">
        <v>0</v>
      </c>
      <c r="BG175" s="34">
        <v>43160</v>
      </c>
      <c r="BH175">
        <v>60</v>
      </c>
      <c r="BI175" t="s">
        <v>283</v>
      </c>
      <c r="BJ175" t="s">
        <v>928</v>
      </c>
      <c r="BK175" t="s">
        <v>934</v>
      </c>
      <c r="BL175" t="s">
        <v>194</v>
      </c>
      <c r="BM175" s="8" t="s">
        <v>192</v>
      </c>
      <c r="BN175" t="s">
        <v>189</v>
      </c>
      <c r="BO175" t="s">
        <v>190</v>
      </c>
      <c r="BP175" s="35" t="s">
        <v>718</v>
      </c>
      <c r="BQ175"/>
      <c r="BU175" s="35"/>
      <c r="BV175" s="35"/>
      <c r="BX175"/>
      <c r="CA175" s="35"/>
      <c r="CB175" s="35"/>
      <c r="CC175"/>
      <c r="CG175" s="35"/>
      <c r="CH175" s="35"/>
      <c r="CK175"/>
      <c r="CM175" s="35"/>
      <c r="CN175" s="35"/>
      <c r="CQ175"/>
      <c r="CS175" s="35"/>
      <c r="CT175" s="35"/>
      <c r="CX175"/>
      <c r="CZ175" s="35"/>
      <c r="DD175" s="34"/>
      <c r="DG175" t="s">
        <v>799</v>
      </c>
      <c r="DH175" t="s">
        <v>957</v>
      </c>
      <c r="DI175" t="s">
        <v>233</v>
      </c>
      <c r="DL175" t="s">
        <v>674</v>
      </c>
      <c r="DM175">
        <v>7</v>
      </c>
      <c r="DN175">
        <v>9</v>
      </c>
      <c r="DO175" t="s">
        <v>294</v>
      </c>
      <c r="DQ175" t="s">
        <v>927</v>
      </c>
      <c r="DR175">
        <v>14</v>
      </c>
      <c r="DS175">
        <v>2</v>
      </c>
      <c r="DU175">
        <v>14</v>
      </c>
      <c r="DV175">
        <v>2</v>
      </c>
      <c r="DX175">
        <v>14</v>
      </c>
      <c r="DY175">
        <v>2</v>
      </c>
      <c r="DZ175" t="s">
        <v>246</v>
      </c>
      <c r="EA175" t="s">
        <v>929</v>
      </c>
    </row>
    <row r="176" spans="1:131" x14ac:dyDescent="0.4">
      <c r="A176" s="34">
        <v>43067.305104166669</v>
      </c>
      <c r="B176" s="25">
        <v>42935.387499999997</v>
      </c>
      <c r="D176" s="34"/>
      <c r="E176" s="34" t="s">
        <v>193</v>
      </c>
      <c r="F176" s="34" t="s">
        <v>191</v>
      </c>
      <c r="G176" s="34" t="s">
        <v>100</v>
      </c>
      <c r="H176" t="s">
        <v>279</v>
      </c>
      <c r="I176" t="s">
        <v>243</v>
      </c>
      <c r="J176" t="s">
        <v>712</v>
      </c>
      <c r="K176" t="s">
        <v>729</v>
      </c>
      <c r="L176" t="s">
        <v>711</v>
      </c>
      <c r="M176" s="30">
        <v>2.0299999999999998</v>
      </c>
      <c r="N176">
        <v>7.75</v>
      </c>
      <c r="P176" s="24" t="str">
        <f>IFERROR(MID(RADataTable[[#This Row],[RATemplate]],1,LEN(RADataTable[[#This Row],[RATemplate]])-8),"RA") &amp; " " &amp; RADataTable[[#This Row],[prop_id0]] &amp; " " &amp; RADataTable[[#This Row],[last0]]</f>
        <v>RA 1750140 Panigrahi</v>
      </c>
      <c r="T176">
        <v>4</v>
      </c>
      <c r="U176">
        <v>4</v>
      </c>
      <c r="V176" s="34">
        <v>43032.520138888889</v>
      </c>
      <c r="W176">
        <v>1</v>
      </c>
      <c r="X176" s="15" t="str">
        <f>HYPERLINK("https://www.ejacket.nsf.gov/ej/showProposal.do?Continue=Y&amp;ID="&amp;RADataTable[[#This Row],[prop_id0]],"eJ")</f>
        <v>eJ</v>
      </c>
      <c r="Y176" s="15" t="str">
        <f>HYPERLINK("mailto:"&amp;RADataTable[[#This Row],[email]]&amp;"&amp;subject=Your NSF Proposal:  "&amp;RADataTable[[#This Row],[Div]]&amp;" "&amp;RADataTable[[#This Row],[prop_id0]], RADataTable[[#This Row],[email]])</f>
        <v>debmalya.panigrahi@gmail.com</v>
      </c>
      <c r="Z176" s="15" t="str">
        <f>HYPERLINK("mailto:"&amp;RADataTable[[#This Row],[allPIemail]]&amp;"&amp;subject=NSF Proposal:  "&amp;RADataTable[[#This Row],[Div]]&amp;" "&amp;RADataTable[[#This Row],[prop_id0]], "PIs@")</f>
        <v>PIs@</v>
      </c>
      <c r="AA176" t="s">
        <v>245</v>
      </c>
      <c r="AB176" t="s">
        <v>674</v>
      </c>
      <c r="AC176" s="30" t="s">
        <v>795</v>
      </c>
      <c r="AD176" t="s">
        <v>796</v>
      </c>
      <c r="AE176" t="s">
        <v>797</v>
      </c>
      <c r="AF176" s="36">
        <v>602288</v>
      </c>
      <c r="AG176" s="36">
        <v>602288</v>
      </c>
      <c r="AH176" s="24"/>
      <c r="AJ176" s="34"/>
      <c r="AK176" t="s">
        <v>923</v>
      </c>
      <c r="AL176" t="s">
        <v>232</v>
      </c>
      <c r="AM176" s="34" t="s">
        <v>925</v>
      </c>
      <c r="AN176" s="34">
        <v>43032</v>
      </c>
      <c r="AO176" s="24">
        <v>3</v>
      </c>
      <c r="AP176" t="s">
        <v>295</v>
      </c>
      <c r="AR176" s="35"/>
      <c r="AS176"/>
      <c r="AT176" s="34"/>
      <c r="AV176" s="34"/>
      <c r="AX176" s="34"/>
      <c r="AY176"/>
      <c r="BA176" s="34"/>
      <c r="BB176"/>
      <c r="BC176" t="s">
        <v>800</v>
      </c>
      <c r="BD176" s="36">
        <v>602288</v>
      </c>
      <c r="BE176" s="36">
        <v>602288</v>
      </c>
      <c r="BF176">
        <v>0</v>
      </c>
      <c r="BG176" s="34">
        <v>43160</v>
      </c>
      <c r="BH176">
        <v>60</v>
      </c>
      <c r="BI176" t="s">
        <v>283</v>
      </c>
      <c r="BJ176" t="s">
        <v>928</v>
      </c>
      <c r="BK176" t="s">
        <v>934</v>
      </c>
      <c r="BL176" t="s">
        <v>194</v>
      </c>
      <c r="BM176" s="8" t="s">
        <v>192</v>
      </c>
      <c r="BN176" t="s">
        <v>189</v>
      </c>
      <c r="BO176" t="s">
        <v>190</v>
      </c>
      <c r="BP176" s="35" t="s">
        <v>718</v>
      </c>
      <c r="BQ176"/>
      <c r="BU176" s="35"/>
      <c r="BV176" s="35"/>
      <c r="BX176"/>
      <c r="CA176" s="35"/>
      <c r="CB176" s="35"/>
      <c r="CC176"/>
      <c r="CG176" s="35"/>
      <c r="CH176" s="35"/>
      <c r="CK176"/>
      <c r="CM176" s="35"/>
      <c r="CN176" s="35"/>
      <c r="CQ176"/>
      <c r="CS176" s="35"/>
      <c r="CT176" s="35"/>
      <c r="CX176"/>
      <c r="CZ176" s="35"/>
      <c r="DD176" s="34"/>
      <c r="DG176" t="s">
        <v>799</v>
      </c>
      <c r="DH176" t="s">
        <v>957</v>
      </c>
      <c r="DI176" t="s">
        <v>233</v>
      </c>
      <c r="DL176" t="s">
        <v>674</v>
      </c>
      <c r="DM176">
        <v>7</v>
      </c>
      <c r="DN176">
        <v>9</v>
      </c>
      <c r="DO176" t="s">
        <v>294</v>
      </c>
      <c r="DQ176" t="s">
        <v>927</v>
      </c>
      <c r="DR176">
        <v>14</v>
      </c>
      <c r="DS176">
        <v>2</v>
      </c>
      <c r="DU176">
        <v>14</v>
      </c>
      <c r="DV176">
        <v>2</v>
      </c>
      <c r="DX176">
        <v>14</v>
      </c>
      <c r="DY176">
        <v>2</v>
      </c>
      <c r="DZ176" t="s">
        <v>246</v>
      </c>
      <c r="EA176" t="s">
        <v>929</v>
      </c>
    </row>
    <row r="177" spans="1:131" x14ac:dyDescent="0.4">
      <c r="A177" s="34">
        <v>43067.305104166669</v>
      </c>
      <c r="B177" s="25">
        <v>42935.387499999997</v>
      </c>
      <c r="D177" s="34"/>
      <c r="E177" s="34" t="s">
        <v>193</v>
      </c>
      <c r="F177" s="34" t="s">
        <v>191</v>
      </c>
      <c r="G177" s="34" t="s">
        <v>100</v>
      </c>
      <c r="H177" t="s">
        <v>279</v>
      </c>
      <c r="I177" t="s">
        <v>243</v>
      </c>
      <c r="J177" t="s">
        <v>712</v>
      </c>
      <c r="K177" t="s">
        <v>729</v>
      </c>
      <c r="L177" t="s">
        <v>711</v>
      </c>
      <c r="M177" s="30">
        <v>2.0299999999999998</v>
      </c>
      <c r="N177">
        <v>7.75</v>
      </c>
      <c r="P177" s="24" t="str">
        <f>IFERROR(MID(RADataTable[[#This Row],[RATemplate]],1,LEN(RADataTable[[#This Row],[RATemplate]])-8),"RA") &amp; " " &amp; RADataTable[[#This Row],[prop_id0]] &amp; " " &amp; RADataTable[[#This Row],[last0]]</f>
        <v>RA 1750140 Panigrahi</v>
      </c>
      <c r="T177">
        <v>4</v>
      </c>
      <c r="U177">
        <v>4</v>
      </c>
      <c r="V177" s="34">
        <v>43032.520138888889</v>
      </c>
      <c r="W177">
        <v>1</v>
      </c>
      <c r="X177" s="15" t="str">
        <f>HYPERLINK("https://www.ejacket.nsf.gov/ej/showProposal.do?Continue=Y&amp;ID="&amp;RADataTable[[#This Row],[prop_id0]],"eJ")</f>
        <v>eJ</v>
      </c>
      <c r="Y177" s="15" t="str">
        <f>HYPERLINK("mailto:"&amp;RADataTable[[#This Row],[email]]&amp;"&amp;subject=Your NSF Proposal:  "&amp;RADataTable[[#This Row],[Div]]&amp;" "&amp;RADataTable[[#This Row],[prop_id0]], RADataTable[[#This Row],[email]])</f>
        <v>debmalya.panigrahi@gmail.com</v>
      </c>
      <c r="Z177" s="15" t="str">
        <f>HYPERLINK("mailto:"&amp;RADataTable[[#This Row],[allPIemail]]&amp;"&amp;subject=NSF Proposal:  "&amp;RADataTable[[#This Row],[Div]]&amp;" "&amp;RADataTable[[#This Row],[prop_id0]], "PIs@")</f>
        <v>PIs@</v>
      </c>
      <c r="AA177" t="s">
        <v>245</v>
      </c>
      <c r="AB177" t="s">
        <v>674</v>
      </c>
      <c r="AC177" s="30" t="s">
        <v>795</v>
      </c>
      <c r="AD177" t="s">
        <v>796</v>
      </c>
      <c r="AE177" t="s">
        <v>797</v>
      </c>
      <c r="AF177" s="36">
        <v>602288</v>
      </c>
      <c r="AG177" s="36">
        <v>602288</v>
      </c>
      <c r="AH177" s="24"/>
      <c r="AJ177" s="34"/>
      <c r="AK177" t="s">
        <v>923</v>
      </c>
      <c r="AL177" t="s">
        <v>232</v>
      </c>
      <c r="AM177" s="34" t="s">
        <v>925</v>
      </c>
      <c r="AN177" s="34">
        <v>43032</v>
      </c>
      <c r="AO177" s="24">
        <v>3</v>
      </c>
      <c r="AP177" t="s">
        <v>295</v>
      </c>
      <c r="AR177" s="35"/>
      <c r="AS177"/>
      <c r="AT177" s="34"/>
      <c r="AV177" s="34"/>
      <c r="AX177" s="34"/>
      <c r="AY177"/>
      <c r="BA177" s="34"/>
      <c r="BB177"/>
      <c r="BC177" t="s">
        <v>800</v>
      </c>
      <c r="BD177" s="36">
        <v>602288</v>
      </c>
      <c r="BE177" s="36">
        <v>602288</v>
      </c>
      <c r="BF177">
        <v>0</v>
      </c>
      <c r="BG177" s="34">
        <v>43160</v>
      </c>
      <c r="BH177">
        <v>60</v>
      </c>
      <c r="BI177" t="s">
        <v>283</v>
      </c>
      <c r="BJ177" t="s">
        <v>928</v>
      </c>
      <c r="BK177" t="s">
        <v>934</v>
      </c>
      <c r="BL177" t="s">
        <v>194</v>
      </c>
      <c r="BM177" s="8" t="s">
        <v>192</v>
      </c>
      <c r="BN177" t="s">
        <v>189</v>
      </c>
      <c r="BO177" t="s">
        <v>190</v>
      </c>
      <c r="BP177" s="35" t="s">
        <v>718</v>
      </c>
      <c r="BQ177"/>
      <c r="BU177" s="35"/>
      <c r="BV177" s="35"/>
      <c r="BX177"/>
      <c r="CA177" s="35"/>
      <c r="CB177" s="35"/>
      <c r="CC177"/>
      <c r="CG177" s="35"/>
      <c r="CH177" s="35"/>
      <c r="CK177"/>
      <c r="CM177" s="35"/>
      <c r="CN177" s="35"/>
      <c r="CQ177"/>
      <c r="CS177" s="35"/>
      <c r="CT177" s="35"/>
      <c r="CX177"/>
      <c r="CZ177" s="35"/>
      <c r="DD177" s="34"/>
      <c r="DG177" t="s">
        <v>799</v>
      </c>
      <c r="DH177" t="s">
        <v>957</v>
      </c>
      <c r="DI177" t="s">
        <v>233</v>
      </c>
      <c r="DL177" t="s">
        <v>674</v>
      </c>
      <c r="DM177">
        <v>7</v>
      </c>
      <c r="DN177">
        <v>9</v>
      </c>
      <c r="DO177" t="s">
        <v>294</v>
      </c>
      <c r="DQ177" t="s">
        <v>927</v>
      </c>
      <c r="DR177">
        <v>14</v>
      </c>
      <c r="DS177">
        <v>2</v>
      </c>
      <c r="DU177">
        <v>14</v>
      </c>
      <c r="DV177">
        <v>2</v>
      </c>
      <c r="DX177">
        <v>14</v>
      </c>
      <c r="DY177">
        <v>2</v>
      </c>
      <c r="DZ177" t="s">
        <v>246</v>
      </c>
      <c r="EA177" t="s">
        <v>929</v>
      </c>
    </row>
    <row r="178" spans="1:131" x14ac:dyDescent="0.4">
      <c r="A178" s="34">
        <v>43067.305104166669</v>
      </c>
      <c r="B178" s="25">
        <v>42935.387499999997</v>
      </c>
      <c r="D178" s="34"/>
      <c r="E178" s="34" t="s">
        <v>193</v>
      </c>
      <c r="F178" s="34" t="s">
        <v>191</v>
      </c>
      <c r="G178" s="34" t="s">
        <v>100</v>
      </c>
      <c r="H178" t="s">
        <v>279</v>
      </c>
      <c r="I178" t="s">
        <v>243</v>
      </c>
      <c r="J178" t="s">
        <v>712</v>
      </c>
      <c r="K178" t="s">
        <v>729</v>
      </c>
      <c r="L178" t="s">
        <v>711</v>
      </c>
      <c r="M178" s="30">
        <v>2.0299999999999998</v>
      </c>
      <c r="N178">
        <v>7.75</v>
      </c>
      <c r="P178" s="24" t="str">
        <f>IFERROR(MID(RADataTable[[#This Row],[RATemplate]],1,LEN(RADataTable[[#This Row],[RATemplate]])-8),"RA") &amp; " " &amp; RADataTable[[#This Row],[prop_id0]] &amp; " " &amp; RADataTable[[#This Row],[last0]]</f>
        <v>RA 1750140 Panigrahi</v>
      </c>
      <c r="T178">
        <v>4</v>
      </c>
      <c r="U178">
        <v>4</v>
      </c>
      <c r="V178" s="34">
        <v>43032.520138888889</v>
      </c>
      <c r="W178">
        <v>1</v>
      </c>
      <c r="X178" s="15" t="str">
        <f>HYPERLINK("https://www.ejacket.nsf.gov/ej/showProposal.do?Continue=Y&amp;ID="&amp;RADataTable[[#This Row],[prop_id0]],"eJ")</f>
        <v>eJ</v>
      </c>
      <c r="Y178" s="15" t="str">
        <f>HYPERLINK("mailto:"&amp;RADataTable[[#This Row],[email]]&amp;"&amp;subject=Your NSF Proposal:  "&amp;RADataTable[[#This Row],[Div]]&amp;" "&amp;RADataTable[[#This Row],[prop_id0]], RADataTable[[#This Row],[email]])</f>
        <v>debmalya.panigrahi@gmail.com</v>
      </c>
      <c r="Z178" s="15" t="str">
        <f>HYPERLINK("mailto:"&amp;RADataTable[[#This Row],[allPIemail]]&amp;"&amp;subject=NSF Proposal:  "&amp;RADataTable[[#This Row],[Div]]&amp;" "&amp;RADataTable[[#This Row],[prop_id0]], "PIs@")</f>
        <v>PIs@</v>
      </c>
      <c r="AA178" t="s">
        <v>245</v>
      </c>
      <c r="AB178" t="s">
        <v>674</v>
      </c>
      <c r="AC178" s="30" t="s">
        <v>795</v>
      </c>
      <c r="AD178" t="s">
        <v>796</v>
      </c>
      <c r="AE178" t="s">
        <v>797</v>
      </c>
      <c r="AF178" s="36">
        <v>602288</v>
      </c>
      <c r="AG178" s="36">
        <v>602288</v>
      </c>
      <c r="AH178" s="24"/>
      <c r="AJ178" s="34"/>
      <c r="AK178" t="s">
        <v>923</v>
      </c>
      <c r="AL178" t="s">
        <v>232</v>
      </c>
      <c r="AM178" s="34" t="s">
        <v>925</v>
      </c>
      <c r="AN178" s="34">
        <v>43032</v>
      </c>
      <c r="AO178" s="24">
        <v>3</v>
      </c>
      <c r="AP178" t="s">
        <v>295</v>
      </c>
      <c r="AR178" s="35"/>
      <c r="AS178"/>
      <c r="AT178" s="34"/>
      <c r="AV178" s="34"/>
      <c r="AX178" s="34"/>
      <c r="AY178"/>
      <c r="BA178" s="34"/>
      <c r="BB178"/>
      <c r="BC178" t="s">
        <v>800</v>
      </c>
      <c r="BD178" s="36">
        <v>602288</v>
      </c>
      <c r="BE178" s="36">
        <v>602288</v>
      </c>
      <c r="BF178">
        <v>0</v>
      </c>
      <c r="BG178" s="34">
        <v>43160</v>
      </c>
      <c r="BH178">
        <v>60</v>
      </c>
      <c r="BI178" t="s">
        <v>283</v>
      </c>
      <c r="BJ178" t="s">
        <v>928</v>
      </c>
      <c r="BK178" t="s">
        <v>934</v>
      </c>
      <c r="BL178" t="s">
        <v>194</v>
      </c>
      <c r="BM178" s="8" t="s">
        <v>192</v>
      </c>
      <c r="BN178" t="s">
        <v>189</v>
      </c>
      <c r="BO178" t="s">
        <v>190</v>
      </c>
      <c r="BP178" s="35" t="s">
        <v>718</v>
      </c>
      <c r="BQ178"/>
      <c r="BU178" s="35"/>
      <c r="BV178" s="35"/>
      <c r="BX178"/>
      <c r="CA178" s="35"/>
      <c r="CB178" s="35"/>
      <c r="CC178"/>
      <c r="CG178" s="35"/>
      <c r="CH178" s="35"/>
      <c r="CK178"/>
      <c r="CM178" s="35"/>
      <c r="CN178" s="35"/>
      <c r="CQ178"/>
      <c r="CS178" s="35"/>
      <c r="CT178" s="35"/>
      <c r="CX178"/>
      <c r="CZ178" s="35"/>
      <c r="DD178" s="34"/>
      <c r="DG178" t="s">
        <v>799</v>
      </c>
      <c r="DH178" t="s">
        <v>957</v>
      </c>
      <c r="DI178" t="s">
        <v>233</v>
      </c>
      <c r="DL178" t="s">
        <v>674</v>
      </c>
      <c r="DM178">
        <v>7</v>
      </c>
      <c r="DN178">
        <v>9</v>
      </c>
      <c r="DO178" t="s">
        <v>294</v>
      </c>
      <c r="DQ178" t="s">
        <v>927</v>
      </c>
      <c r="DR178">
        <v>14</v>
      </c>
      <c r="DS178">
        <v>2</v>
      </c>
      <c r="DU178">
        <v>14</v>
      </c>
      <c r="DV178">
        <v>2</v>
      </c>
      <c r="DX178">
        <v>14</v>
      </c>
      <c r="DY178">
        <v>2</v>
      </c>
      <c r="DZ178" t="s">
        <v>246</v>
      </c>
      <c r="EA178" t="s">
        <v>929</v>
      </c>
    </row>
    <row r="179" spans="1:131" x14ac:dyDescent="0.4">
      <c r="A179" s="34">
        <v>43067.305104166669</v>
      </c>
      <c r="B179" s="25">
        <v>42935.387499999997</v>
      </c>
      <c r="D179" s="34"/>
      <c r="E179" s="34" t="s">
        <v>193</v>
      </c>
      <c r="F179" s="34" t="s">
        <v>191</v>
      </c>
      <c r="G179" s="34" t="s">
        <v>100</v>
      </c>
      <c r="H179" t="s">
        <v>279</v>
      </c>
      <c r="I179" t="s">
        <v>243</v>
      </c>
      <c r="J179" t="s">
        <v>712</v>
      </c>
      <c r="K179" t="s">
        <v>729</v>
      </c>
      <c r="L179" t="s">
        <v>711</v>
      </c>
      <c r="M179" s="30">
        <v>2.0299999999999998</v>
      </c>
      <c r="N179">
        <v>7.75</v>
      </c>
      <c r="P179" s="24" t="str">
        <f>IFERROR(MID(RADataTable[[#This Row],[RATemplate]],1,LEN(RADataTable[[#This Row],[RATemplate]])-8),"RA") &amp; " " &amp; RADataTable[[#This Row],[prop_id0]] &amp; " " &amp; RADataTable[[#This Row],[last0]]</f>
        <v>RA 1750140 Panigrahi</v>
      </c>
      <c r="T179">
        <v>4</v>
      </c>
      <c r="U179">
        <v>4</v>
      </c>
      <c r="V179" s="34">
        <v>43032.520138888889</v>
      </c>
      <c r="W179">
        <v>1</v>
      </c>
      <c r="X179" s="15" t="str">
        <f>HYPERLINK("https://www.ejacket.nsf.gov/ej/showProposal.do?Continue=Y&amp;ID="&amp;RADataTable[[#This Row],[prop_id0]],"eJ")</f>
        <v>eJ</v>
      </c>
      <c r="Y179" s="15" t="str">
        <f>HYPERLINK("mailto:"&amp;RADataTable[[#This Row],[email]]&amp;"&amp;subject=Your NSF Proposal:  "&amp;RADataTable[[#This Row],[Div]]&amp;" "&amp;RADataTable[[#This Row],[prop_id0]], RADataTable[[#This Row],[email]])</f>
        <v>debmalya.panigrahi@gmail.com</v>
      </c>
      <c r="Z179" s="15" t="str">
        <f>HYPERLINK("mailto:"&amp;RADataTable[[#This Row],[allPIemail]]&amp;"&amp;subject=NSF Proposal:  "&amp;RADataTable[[#This Row],[Div]]&amp;" "&amp;RADataTable[[#This Row],[prop_id0]], "PIs@")</f>
        <v>PIs@</v>
      </c>
      <c r="AA179" t="s">
        <v>245</v>
      </c>
      <c r="AB179" t="s">
        <v>674</v>
      </c>
      <c r="AC179" s="30" t="s">
        <v>795</v>
      </c>
      <c r="AD179" t="s">
        <v>796</v>
      </c>
      <c r="AE179" t="s">
        <v>797</v>
      </c>
      <c r="AF179" s="36">
        <v>602288</v>
      </c>
      <c r="AG179" s="36">
        <v>602288</v>
      </c>
      <c r="AH179" s="24"/>
      <c r="AJ179" s="34"/>
      <c r="AK179" t="s">
        <v>923</v>
      </c>
      <c r="AL179" t="s">
        <v>232</v>
      </c>
      <c r="AM179" s="34" t="s">
        <v>925</v>
      </c>
      <c r="AN179" s="34">
        <v>43032</v>
      </c>
      <c r="AO179" s="24">
        <v>3</v>
      </c>
      <c r="AP179" t="s">
        <v>295</v>
      </c>
      <c r="AR179" s="35"/>
      <c r="AS179"/>
      <c r="AT179" s="34"/>
      <c r="AV179" s="34"/>
      <c r="AX179" s="34"/>
      <c r="AY179"/>
      <c r="BA179" s="34"/>
      <c r="BB179"/>
      <c r="BC179" t="s">
        <v>800</v>
      </c>
      <c r="BD179" s="36">
        <v>602288</v>
      </c>
      <c r="BE179" s="36">
        <v>602288</v>
      </c>
      <c r="BF179">
        <v>0</v>
      </c>
      <c r="BG179" s="34">
        <v>43160</v>
      </c>
      <c r="BH179">
        <v>60</v>
      </c>
      <c r="BI179" t="s">
        <v>283</v>
      </c>
      <c r="BJ179" t="s">
        <v>928</v>
      </c>
      <c r="BK179" t="s">
        <v>934</v>
      </c>
      <c r="BL179" t="s">
        <v>194</v>
      </c>
      <c r="BM179" s="8" t="s">
        <v>192</v>
      </c>
      <c r="BN179" t="s">
        <v>189</v>
      </c>
      <c r="BO179" t="s">
        <v>190</v>
      </c>
      <c r="BP179" s="35" t="s">
        <v>718</v>
      </c>
      <c r="BQ179"/>
      <c r="BU179" s="35"/>
      <c r="BV179" s="35"/>
      <c r="BX179"/>
      <c r="CA179" s="35"/>
      <c r="CB179" s="35"/>
      <c r="CC179"/>
      <c r="CG179" s="35"/>
      <c r="CH179" s="35"/>
      <c r="CK179"/>
      <c r="CM179" s="35"/>
      <c r="CN179" s="35"/>
      <c r="CQ179"/>
      <c r="CS179" s="35"/>
      <c r="CT179" s="35"/>
      <c r="CX179"/>
      <c r="CZ179" s="35"/>
      <c r="DD179" s="34"/>
      <c r="DG179" t="s">
        <v>799</v>
      </c>
      <c r="DH179" t="s">
        <v>957</v>
      </c>
      <c r="DI179" t="s">
        <v>233</v>
      </c>
      <c r="DL179" t="s">
        <v>674</v>
      </c>
      <c r="DM179">
        <v>7</v>
      </c>
      <c r="DN179">
        <v>9</v>
      </c>
      <c r="DO179" t="s">
        <v>294</v>
      </c>
      <c r="DQ179" t="s">
        <v>927</v>
      </c>
      <c r="DR179">
        <v>14</v>
      </c>
      <c r="DS179">
        <v>2</v>
      </c>
      <c r="DU179">
        <v>14</v>
      </c>
      <c r="DV179">
        <v>2</v>
      </c>
      <c r="DX179">
        <v>14</v>
      </c>
      <c r="DY179">
        <v>2</v>
      </c>
      <c r="DZ179" t="s">
        <v>246</v>
      </c>
      <c r="EA179" t="s">
        <v>929</v>
      </c>
    </row>
    <row r="180" spans="1:131" x14ac:dyDescent="0.4">
      <c r="A180" s="34">
        <v>43067.305104166669</v>
      </c>
      <c r="B180" s="25">
        <v>42935.387499999997</v>
      </c>
      <c r="D180" s="34"/>
      <c r="E180" s="34" t="s">
        <v>193</v>
      </c>
      <c r="F180" s="34" t="s">
        <v>191</v>
      </c>
      <c r="G180" s="34" t="s">
        <v>100</v>
      </c>
      <c r="H180" t="s">
        <v>279</v>
      </c>
      <c r="I180" t="s">
        <v>243</v>
      </c>
      <c r="J180" t="s">
        <v>712</v>
      </c>
      <c r="K180" t="s">
        <v>729</v>
      </c>
      <c r="L180" t="s">
        <v>711</v>
      </c>
      <c r="M180" s="30">
        <v>2.0299999999999998</v>
      </c>
      <c r="N180">
        <v>7.75</v>
      </c>
      <c r="P180" s="24" t="str">
        <f>IFERROR(MID(RADataTable[[#This Row],[RATemplate]],1,LEN(RADataTable[[#This Row],[RATemplate]])-8),"RA") &amp; " " &amp; RADataTable[[#This Row],[prop_id0]] &amp; " " &amp; RADataTable[[#This Row],[last0]]</f>
        <v>RA 1750140 Panigrahi</v>
      </c>
      <c r="T180">
        <v>4</v>
      </c>
      <c r="U180">
        <v>4</v>
      </c>
      <c r="V180" s="34">
        <v>43032.520138888889</v>
      </c>
      <c r="W180">
        <v>1</v>
      </c>
      <c r="X180" s="15" t="str">
        <f>HYPERLINK("https://www.ejacket.nsf.gov/ej/showProposal.do?Continue=Y&amp;ID="&amp;RADataTable[[#This Row],[prop_id0]],"eJ")</f>
        <v>eJ</v>
      </c>
      <c r="Y180" s="15" t="str">
        <f>HYPERLINK("mailto:"&amp;RADataTable[[#This Row],[email]]&amp;"&amp;subject=Your NSF Proposal:  "&amp;RADataTable[[#This Row],[Div]]&amp;" "&amp;RADataTable[[#This Row],[prop_id0]], RADataTable[[#This Row],[email]])</f>
        <v>debmalya.panigrahi@gmail.com</v>
      </c>
      <c r="Z180" s="15" t="str">
        <f>HYPERLINK("mailto:"&amp;RADataTable[[#This Row],[allPIemail]]&amp;"&amp;subject=NSF Proposal:  "&amp;RADataTable[[#This Row],[Div]]&amp;" "&amp;RADataTable[[#This Row],[prop_id0]], "PIs@")</f>
        <v>PIs@</v>
      </c>
      <c r="AA180" t="s">
        <v>245</v>
      </c>
      <c r="AB180" t="s">
        <v>674</v>
      </c>
      <c r="AC180" s="30" t="s">
        <v>795</v>
      </c>
      <c r="AD180" t="s">
        <v>796</v>
      </c>
      <c r="AE180" t="s">
        <v>797</v>
      </c>
      <c r="AF180" s="36">
        <v>602288</v>
      </c>
      <c r="AG180" s="36">
        <v>602288</v>
      </c>
      <c r="AH180" s="24"/>
      <c r="AJ180" s="34"/>
      <c r="AK180" t="s">
        <v>923</v>
      </c>
      <c r="AL180" t="s">
        <v>232</v>
      </c>
      <c r="AM180" s="34" t="s">
        <v>925</v>
      </c>
      <c r="AN180" s="34">
        <v>43032</v>
      </c>
      <c r="AO180" s="24">
        <v>3</v>
      </c>
      <c r="AP180" t="s">
        <v>295</v>
      </c>
      <c r="AR180" s="35"/>
      <c r="AS180"/>
      <c r="AT180" s="34"/>
      <c r="AV180" s="34"/>
      <c r="AX180" s="34"/>
      <c r="AY180"/>
      <c r="BA180" s="34"/>
      <c r="BB180"/>
      <c r="BC180" t="s">
        <v>800</v>
      </c>
      <c r="BD180" s="36">
        <v>602288</v>
      </c>
      <c r="BE180" s="36">
        <v>602288</v>
      </c>
      <c r="BF180">
        <v>0</v>
      </c>
      <c r="BG180" s="34">
        <v>43160</v>
      </c>
      <c r="BH180">
        <v>60</v>
      </c>
      <c r="BI180" t="s">
        <v>283</v>
      </c>
      <c r="BJ180" t="s">
        <v>928</v>
      </c>
      <c r="BK180" t="s">
        <v>934</v>
      </c>
      <c r="BL180" t="s">
        <v>194</v>
      </c>
      <c r="BM180" s="8" t="s">
        <v>192</v>
      </c>
      <c r="BN180" t="s">
        <v>189</v>
      </c>
      <c r="BO180" t="s">
        <v>190</v>
      </c>
      <c r="BP180" s="35" t="s">
        <v>718</v>
      </c>
      <c r="BQ180"/>
      <c r="BU180" s="35"/>
      <c r="BV180" s="35"/>
      <c r="BX180"/>
      <c r="CA180" s="35"/>
      <c r="CB180" s="35"/>
      <c r="CC180"/>
      <c r="CG180" s="35"/>
      <c r="CH180" s="35"/>
      <c r="CK180"/>
      <c r="CM180" s="35"/>
      <c r="CN180" s="35"/>
      <c r="CQ180"/>
      <c r="CS180" s="35"/>
      <c r="CT180" s="35"/>
      <c r="CX180"/>
      <c r="CZ180" s="35"/>
      <c r="DD180" s="34"/>
      <c r="DG180" t="s">
        <v>799</v>
      </c>
      <c r="DH180" t="s">
        <v>957</v>
      </c>
      <c r="DI180" t="s">
        <v>233</v>
      </c>
      <c r="DL180" t="s">
        <v>674</v>
      </c>
      <c r="DM180">
        <v>7</v>
      </c>
      <c r="DN180">
        <v>9</v>
      </c>
      <c r="DO180" t="s">
        <v>294</v>
      </c>
      <c r="DQ180" t="s">
        <v>927</v>
      </c>
      <c r="DR180">
        <v>14</v>
      </c>
      <c r="DS180">
        <v>2</v>
      </c>
      <c r="DU180">
        <v>14</v>
      </c>
      <c r="DV180">
        <v>2</v>
      </c>
      <c r="DX180">
        <v>14</v>
      </c>
      <c r="DY180">
        <v>2</v>
      </c>
      <c r="DZ180" t="s">
        <v>246</v>
      </c>
      <c r="EA180" t="s">
        <v>929</v>
      </c>
    </row>
    <row r="181" spans="1:131" x14ac:dyDescent="0.4">
      <c r="A181" s="34">
        <v>43067.305104166669</v>
      </c>
      <c r="B181" s="25">
        <v>42935.387499999997</v>
      </c>
      <c r="D181" s="34"/>
      <c r="E181" s="34" t="s">
        <v>193</v>
      </c>
      <c r="F181" s="34" t="s">
        <v>191</v>
      </c>
      <c r="G181" s="34" t="s">
        <v>100</v>
      </c>
      <c r="H181" t="s">
        <v>279</v>
      </c>
      <c r="I181" t="s">
        <v>243</v>
      </c>
      <c r="J181" t="s">
        <v>712</v>
      </c>
      <c r="K181" t="s">
        <v>729</v>
      </c>
      <c r="L181" t="s">
        <v>711</v>
      </c>
      <c r="M181" s="30">
        <v>2.0299999999999998</v>
      </c>
      <c r="N181">
        <v>7.75</v>
      </c>
      <c r="P181" s="24" t="str">
        <f>IFERROR(MID(RADataTable[[#This Row],[RATemplate]],1,LEN(RADataTable[[#This Row],[RATemplate]])-8),"RA") &amp; " " &amp; RADataTable[[#This Row],[prop_id0]] &amp; " " &amp; RADataTable[[#This Row],[last0]]</f>
        <v>RA 1750140 Panigrahi</v>
      </c>
      <c r="T181">
        <v>4</v>
      </c>
      <c r="U181">
        <v>4</v>
      </c>
      <c r="V181" s="34">
        <v>43032.520138888889</v>
      </c>
      <c r="W181">
        <v>1</v>
      </c>
      <c r="X181" s="15" t="str">
        <f>HYPERLINK("https://www.ejacket.nsf.gov/ej/showProposal.do?Continue=Y&amp;ID="&amp;RADataTable[[#This Row],[prop_id0]],"eJ")</f>
        <v>eJ</v>
      </c>
      <c r="Y181" s="15" t="str">
        <f>HYPERLINK("mailto:"&amp;RADataTable[[#This Row],[email]]&amp;"&amp;subject=Your NSF Proposal:  "&amp;RADataTable[[#This Row],[Div]]&amp;" "&amp;RADataTable[[#This Row],[prop_id0]], RADataTable[[#This Row],[email]])</f>
        <v>debmalya.panigrahi@gmail.com</v>
      </c>
      <c r="Z181" s="15" t="str">
        <f>HYPERLINK("mailto:"&amp;RADataTable[[#This Row],[allPIemail]]&amp;"&amp;subject=NSF Proposal:  "&amp;RADataTable[[#This Row],[Div]]&amp;" "&amp;RADataTable[[#This Row],[prop_id0]], "PIs@")</f>
        <v>PIs@</v>
      </c>
      <c r="AA181" t="s">
        <v>245</v>
      </c>
      <c r="AB181" t="s">
        <v>674</v>
      </c>
      <c r="AC181" s="30" t="s">
        <v>795</v>
      </c>
      <c r="AD181" t="s">
        <v>796</v>
      </c>
      <c r="AE181" t="s">
        <v>797</v>
      </c>
      <c r="AF181" s="36">
        <v>602288</v>
      </c>
      <c r="AG181" s="36">
        <v>602288</v>
      </c>
      <c r="AH181" s="24"/>
      <c r="AJ181" s="34"/>
      <c r="AK181" t="s">
        <v>923</v>
      </c>
      <c r="AL181" t="s">
        <v>232</v>
      </c>
      <c r="AM181" s="34" t="s">
        <v>925</v>
      </c>
      <c r="AN181" s="34">
        <v>43032</v>
      </c>
      <c r="AO181" s="24">
        <v>3</v>
      </c>
      <c r="AP181" t="s">
        <v>295</v>
      </c>
      <c r="AR181" s="35"/>
      <c r="AS181"/>
      <c r="AT181" s="34"/>
      <c r="AV181" s="34"/>
      <c r="AX181" s="34"/>
      <c r="AY181"/>
      <c r="BA181" s="34"/>
      <c r="BB181"/>
      <c r="BC181" t="s">
        <v>800</v>
      </c>
      <c r="BD181" s="36">
        <v>602288</v>
      </c>
      <c r="BE181" s="36">
        <v>602288</v>
      </c>
      <c r="BF181">
        <v>0</v>
      </c>
      <c r="BG181" s="34">
        <v>43160</v>
      </c>
      <c r="BH181">
        <v>60</v>
      </c>
      <c r="BI181" t="s">
        <v>283</v>
      </c>
      <c r="BJ181" t="s">
        <v>928</v>
      </c>
      <c r="BK181" t="s">
        <v>934</v>
      </c>
      <c r="BL181" t="s">
        <v>194</v>
      </c>
      <c r="BM181" s="8" t="s">
        <v>192</v>
      </c>
      <c r="BN181" t="s">
        <v>189</v>
      </c>
      <c r="BO181" t="s">
        <v>190</v>
      </c>
      <c r="BP181" s="35" t="s">
        <v>718</v>
      </c>
      <c r="BQ181"/>
      <c r="BU181" s="35"/>
      <c r="BV181" s="35"/>
      <c r="BX181"/>
      <c r="CA181" s="35"/>
      <c r="CB181" s="35"/>
      <c r="CC181"/>
      <c r="CG181" s="35"/>
      <c r="CH181" s="35"/>
      <c r="CK181"/>
      <c r="CM181" s="35"/>
      <c r="CN181" s="35"/>
      <c r="CQ181"/>
      <c r="CS181" s="35"/>
      <c r="CT181" s="35"/>
      <c r="CX181"/>
      <c r="CZ181" s="35"/>
      <c r="DD181" s="34"/>
      <c r="DG181" t="s">
        <v>799</v>
      </c>
      <c r="DH181" t="s">
        <v>957</v>
      </c>
      <c r="DI181" t="s">
        <v>233</v>
      </c>
      <c r="DL181" t="s">
        <v>674</v>
      </c>
      <c r="DM181">
        <v>7</v>
      </c>
      <c r="DN181">
        <v>9</v>
      </c>
      <c r="DO181" t="s">
        <v>294</v>
      </c>
      <c r="DQ181" t="s">
        <v>927</v>
      </c>
      <c r="DR181">
        <v>14</v>
      </c>
      <c r="DS181">
        <v>2</v>
      </c>
      <c r="DU181">
        <v>14</v>
      </c>
      <c r="DV181">
        <v>2</v>
      </c>
      <c r="DX181">
        <v>14</v>
      </c>
      <c r="DY181">
        <v>2</v>
      </c>
      <c r="DZ181" t="s">
        <v>246</v>
      </c>
      <c r="EA181" t="s">
        <v>929</v>
      </c>
    </row>
    <row r="182" spans="1:131" x14ac:dyDescent="0.4">
      <c r="A182" s="34">
        <v>43067.305104166669</v>
      </c>
      <c r="B182" s="25">
        <v>42935.387499999997</v>
      </c>
      <c r="D182" s="34"/>
      <c r="E182" s="34" t="s">
        <v>193</v>
      </c>
      <c r="F182" s="34" t="s">
        <v>191</v>
      </c>
      <c r="G182" s="34" t="s">
        <v>100</v>
      </c>
      <c r="H182" t="s">
        <v>279</v>
      </c>
      <c r="I182" t="s">
        <v>243</v>
      </c>
      <c r="J182" t="s">
        <v>712</v>
      </c>
      <c r="K182" t="s">
        <v>729</v>
      </c>
      <c r="L182" t="s">
        <v>711</v>
      </c>
      <c r="M182" s="30">
        <v>2.0299999999999998</v>
      </c>
      <c r="N182">
        <v>7.75</v>
      </c>
      <c r="P182" s="24" t="str">
        <f>IFERROR(MID(RADataTable[[#This Row],[RATemplate]],1,LEN(RADataTable[[#This Row],[RATemplate]])-8),"RA") &amp; " " &amp; RADataTable[[#This Row],[prop_id0]] &amp; " " &amp; RADataTable[[#This Row],[last0]]</f>
        <v>RA 1750140 Panigrahi</v>
      </c>
      <c r="T182">
        <v>4</v>
      </c>
      <c r="U182">
        <v>4</v>
      </c>
      <c r="V182" s="34">
        <v>43032.520138888889</v>
      </c>
      <c r="W182">
        <v>1</v>
      </c>
      <c r="X182" s="15" t="str">
        <f>HYPERLINK("https://www.ejacket.nsf.gov/ej/showProposal.do?Continue=Y&amp;ID="&amp;RADataTable[[#This Row],[prop_id0]],"eJ")</f>
        <v>eJ</v>
      </c>
      <c r="Y182" s="15" t="str">
        <f>HYPERLINK("mailto:"&amp;RADataTable[[#This Row],[email]]&amp;"&amp;subject=Your NSF Proposal:  "&amp;RADataTable[[#This Row],[Div]]&amp;" "&amp;RADataTable[[#This Row],[prop_id0]], RADataTable[[#This Row],[email]])</f>
        <v>debmalya.panigrahi@gmail.com</v>
      </c>
      <c r="Z182" s="15" t="str">
        <f>HYPERLINK("mailto:"&amp;RADataTable[[#This Row],[allPIemail]]&amp;"&amp;subject=NSF Proposal:  "&amp;RADataTable[[#This Row],[Div]]&amp;" "&amp;RADataTable[[#This Row],[prop_id0]], "PIs@")</f>
        <v>PIs@</v>
      </c>
      <c r="AA182" t="s">
        <v>245</v>
      </c>
      <c r="AB182" t="s">
        <v>674</v>
      </c>
      <c r="AC182" s="30" t="s">
        <v>795</v>
      </c>
      <c r="AD182" t="s">
        <v>796</v>
      </c>
      <c r="AE182" t="s">
        <v>797</v>
      </c>
      <c r="AF182" s="36">
        <v>602288</v>
      </c>
      <c r="AG182" s="36">
        <v>602288</v>
      </c>
      <c r="AH182" s="24"/>
      <c r="AJ182" s="34"/>
      <c r="AK182" t="s">
        <v>923</v>
      </c>
      <c r="AL182" t="s">
        <v>232</v>
      </c>
      <c r="AM182" s="34" t="s">
        <v>925</v>
      </c>
      <c r="AN182" s="34">
        <v>43032</v>
      </c>
      <c r="AO182" s="24">
        <v>3</v>
      </c>
      <c r="AP182" t="s">
        <v>295</v>
      </c>
      <c r="AR182" s="35"/>
      <c r="AS182"/>
      <c r="AT182" s="34"/>
      <c r="AV182" s="34"/>
      <c r="AX182" s="34"/>
      <c r="AY182"/>
      <c r="BA182" s="34"/>
      <c r="BB182"/>
      <c r="BC182" t="s">
        <v>800</v>
      </c>
      <c r="BD182" s="36">
        <v>602288</v>
      </c>
      <c r="BE182" s="36">
        <v>602288</v>
      </c>
      <c r="BF182">
        <v>0</v>
      </c>
      <c r="BG182" s="34">
        <v>43160</v>
      </c>
      <c r="BH182">
        <v>60</v>
      </c>
      <c r="BI182" t="s">
        <v>283</v>
      </c>
      <c r="BJ182" t="s">
        <v>928</v>
      </c>
      <c r="BK182" t="s">
        <v>934</v>
      </c>
      <c r="BL182" t="s">
        <v>194</v>
      </c>
      <c r="BM182" s="8" t="s">
        <v>192</v>
      </c>
      <c r="BN182" t="s">
        <v>189</v>
      </c>
      <c r="BO182" t="s">
        <v>190</v>
      </c>
      <c r="BP182" s="35" t="s">
        <v>718</v>
      </c>
      <c r="BQ182"/>
      <c r="BU182" s="35"/>
      <c r="BV182" s="35"/>
      <c r="BX182"/>
      <c r="CA182" s="35"/>
      <c r="CB182" s="35"/>
      <c r="CC182"/>
      <c r="CG182" s="35"/>
      <c r="CH182" s="35"/>
      <c r="CK182"/>
      <c r="CM182" s="35"/>
      <c r="CN182" s="35"/>
      <c r="CQ182"/>
      <c r="CS182" s="35"/>
      <c r="CT182" s="35"/>
      <c r="CX182"/>
      <c r="CZ182" s="35"/>
      <c r="DD182" s="34"/>
      <c r="DG182" t="s">
        <v>799</v>
      </c>
      <c r="DH182" t="s">
        <v>957</v>
      </c>
      <c r="DI182" t="s">
        <v>233</v>
      </c>
      <c r="DL182" t="s">
        <v>674</v>
      </c>
      <c r="DM182">
        <v>7</v>
      </c>
      <c r="DN182">
        <v>9</v>
      </c>
      <c r="DO182" t="s">
        <v>294</v>
      </c>
      <c r="DQ182" t="s">
        <v>927</v>
      </c>
      <c r="DR182">
        <v>14</v>
      </c>
      <c r="DS182">
        <v>2</v>
      </c>
      <c r="DU182">
        <v>14</v>
      </c>
      <c r="DV182">
        <v>2</v>
      </c>
      <c r="DX182">
        <v>14</v>
      </c>
      <c r="DY182">
        <v>2</v>
      </c>
      <c r="DZ182" t="s">
        <v>246</v>
      </c>
      <c r="EA182" t="s">
        <v>929</v>
      </c>
    </row>
    <row r="183" spans="1:131" x14ac:dyDescent="0.4">
      <c r="A183" s="34">
        <v>43067.305104166669</v>
      </c>
      <c r="B183" s="25">
        <v>42935.387499999997</v>
      </c>
      <c r="D183" s="34"/>
      <c r="E183" s="34" t="s">
        <v>193</v>
      </c>
      <c r="F183" s="34" t="s">
        <v>191</v>
      </c>
      <c r="G183" s="34" t="s">
        <v>100</v>
      </c>
      <c r="H183" t="s">
        <v>279</v>
      </c>
      <c r="I183" t="s">
        <v>243</v>
      </c>
      <c r="J183" t="s">
        <v>712</v>
      </c>
      <c r="K183" t="s">
        <v>729</v>
      </c>
      <c r="L183" t="s">
        <v>711</v>
      </c>
      <c r="M183" s="30">
        <v>2.0299999999999998</v>
      </c>
      <c r="N183">
        <v>7.75</v>
      </c>
      <c r="P183" s="24" t="str">
        <f>IFERROR(MID(RADataTable[[#This Row],[RATemplate]],1,LEN(RADataTable[[#This Row],[RATemplate]])-8),"RA") &amp; " " &amp; RADataTable[[#This Row],[prop_id0]] &amp; " " &amp; RADataTable[[#This Row],[last0]]</f>
        <v>RA 1750140 Panigrahi</v>
      </c>
      <c r="T183">
        <v>4</v>
      </c>
      <c r="U183">
        <v>4</v>
      </c>
      <c r="V183" s="34">
        <v>43032.520138888889</v>
      </c>
      <c r="W183">
        <v>1</v>
      </c>
      <c r="X183" s="15" t="str">
        <f>HYPERLINK("https://www.ejacket.nsf.gov/ej/showProposal.do?Continue=Y&amp;ID="&amp;RADataTable[[#This Row],[prop_id0]],"eJ")</f>
        <v>eJ</v>
      </c>
      <c r="Y183" s="15" t="str">
        <f>HYPERLINK("mailto:"&amp;RADataTable[[#This Row],[email]]&amp;"&amp;subject=Your NSF Proposal:  "&amp;RADataTable[[#This Row],[Div]]&amp;" "&amp;RADataTable[[#This Row],[prop_id0]], RADataTable[[#This Row],[email]])</f>
        <v>debmalya.panigrahi@gmail.com</v>
      </c>
      <c r="Z183" s="15" t="str">
        <f>HYPERLINK("mailto:"&amp;RADataTable[[#This Row],[allPIemail]]&amp;"&amp;subject=NSF Proposal:  "&amp;RADataTable[[#This Row],[Div]]&amp;" "&amp;RADataTable[[#This Row],[prop_id0]], "PIs@")</f>
        <v>PIs@</v>
      </c>
      <c r="AA183" t="s">
        <v>245</v>
      </c>
      <c r="AB183" t="s">
        <v>674</v>
      </c>
      <c r="AC183" s="30" t="s">
        <v>795</v>
      </c>
      <c r="AD183" t="s">
        <v>796</v>
      </c>
      <c r="AE183" t="s">
        <v>797</v>
      </c>
      <c r="AF183" s="36">
        <v>602288</v>
      </c>
      <c r="AG183" s="36">
        <v>602288</v>
      </c>
      <c r="AH183" s="24"/>
      <c r="AJ183" s="34"/>
      <c r="AK183" t="s">
        <v>923</v>
      </c>
      <c r="AL183" t="s">
        <v>232</v>
      </c>
      <c r="AM183" s="34" t="s">
        <v>925</v>
      </c>
      <c r="AN183" s="34">
        <v>43032</v>
      </c>
      <c r="AO183" s="24">
        <v>3</v>
      </c>
      <c r="AP183" t="s">
        <v>295</v>
      </c>
      <c r="AR183" s="35"/>
      <c r="AS183"/>
      <c r="AT183" s="34"/>
      <c r="AV183" s="34"/>
      <c r="AX183" s="34"/>
      <c r="AY183"/>
      <c r="BA183" s="34"/>
      <c r="BB183"/>
      <c r="BC183" t="s">
        <v>800</v>
      </c>
      <c r="BD183" s="36">
        <v>602288</v>
      </c>
      <c r="BE183" s="36">
        <v>602288</v>
      </c>
      <c r="BF183">
        <v>0</v>
      </c>
      <c r="BG183" s="34">
        <v>43160</v>
      </c>
      <c r="BH183">
        <v>60</v>
      </c>
      <c r="BI183" t="s">
        <v>283</v>
      </c>
      <c r="BJ183" t="s">
        <v>928</v>
      </c>
      <c r="BK183" t="s">
        <v>934</v>
      </c>
      <c r="BL183" t="s">
        <v>194</v>
      </c>
      <c r="BM183" s="8" t="s">
        <v>192</v>
      </c>
      <c r="BN183" t="s">
        <v>189</v>
      </c>
      <c r="BO183" t="s">
        <v>190</v>
      </c>
      <c r="BP183" s="35" t="s">
        <v>718</v>
      </c>
      <c r="BQ183"/>
      <c r="BU183" s="35"/>
      <c r="BV183" s="35"/>
      <c r="BX183"/>
      <c r="CA183" s="35"/>
      <c r="CB183" s="35"/>
      <c r="CC183"/>
      <c r="CG183" s="35"/>
      <c r="CH183" s="35"/>
      <c r="CK183"/>
      <c r="CM183" s="35"/>
      <c r="CN183" s="35"/>
      <c r="CQ183"/>
      <c r="CS183" s="35"/>
      <c r="CT183" s="35"/>
      <c r="CX183"/>
      <c r="CZ183" s="35"/>
      <c r="DD183" s="34"/>
      <c r="DG183" t="s">
        <v>799</v>
      </c>
      <c r="DH183" t="s">
        <v>957</v>
      </c>
      <c r="DI183" t="s">
        <v>233</v>
      </c>
      <c r="DL183" t="s">
        <v>674</v>
      </c>
      <c r="DM183">
        <v>7</v>
      </c>
      <c r="DN183">
        <v>9</v>
      </c>
      <c r="DO183" t="s">
        <v>294</v>
      </c>
      <c r="DQ183" t="s">
        <v>927</v>
      </c>
      <c r="DR183">
        <v>14</v>
      </c>
      <c r="DS183">
        <v>2</v>
      </c>
      <c r="DU183">
        <v>14</v>
      </c>
      <c r="DV183">
        <v>2</v>
      </c>
      <c r="DX183">
        <v>14</v>
      </c>
      <c r="DY183">
        <v>2</v>
      </c>
      <c r="DZ183" t="s">
        <v>246</v>
      </c>
      <c r="EA183" t="s">
        <v>929</v>
      </c>
    </row>
    <row r="184" spans="1:131" x14ac:dyDescent="0.4">
      <c r="A184" s="34">
        <v>43067.305104166669</v>
      </c>
      <c r="B184" s="25">
        <v>42935.387499999997</v>
      </c>
      <c r="D184" s="34"/>
      <c r="E184" s="34" t="s">
        <v>193</v>
      </c>
      <c r="F184" s="34" t="s">
        <v>191</v>
      </c>
      <c r="G184" s="34" t="s">
        <v>100</v>
      </c>
      <c r="H184" t="s">
        <v>279</v>
      </c>
      <c r="I184" t="s">
        <v>243</v>
      </c>
      <c r="J184" t="s">
        <v>712</v>
      </c>
      <c r="K184" t="s">
        <v>729</v>
      </c>
      <c r="L184" t="s">
        <v>711</v>
      </c>
      <c r="M184" s="30">
        <v>2.0299999999999998</v>
      </c>
      <c r="N184">
        <v>7.75</v>
      </c>
      <c r="P184" s="24" t="str">
        <f>IFERROR(MID(RADataTable[[#This Row],[RATemplate]],1,LEN(RADataTable[[#This Row],[RATemplate]])-8),"RA") &amp; " " &amp; RADataTable[[#This Row],[prop_id0]] &amp; " " &amp; RADataTable[[#This Row],[last0]]</f>
        <v>RA 1750140 Panigrahi</v>
      </c>
      <c r="T184">
        <v>4</v>
      </c>
      <c r="U184">
        <v>4</v>
      </c>
      <c r="V184" s="34">
        <v>43032.520138888889</v>
      </c>
      <c r="W184">
        <v>1</v>
      </c>
      <c r="X184" s="15" t="str">
        <f>HYPERLINK("https://www.ejacket.nsf.gov/ej/showProposal.do?Continue=Y&amp;ID="&amp;RADataTable[[#This Row],[prop_id0]],"eJ")</f>
        <v>eJ</v>
      </c>
      <c r="Y184" s="15" t="str">
        <f>HYPERLINK("mailto:"&amp;RADataTable[[#This Row],[email]]&amp;"&amp;subject=Your NSF Proposal:  "&amp;RADataTable[[#This Row],[Div]]&amp;" "&amp;RADataTable[[#This Row],[prop_id0]], RADataTable[[#This Row],[email]])</f>
        <v>debmalya.panigrahi@gmail.com</v>
      </c>
      <c r="Z184" s="15" t="str">
        <f>HYPERLINK("mailto:"&amp;RADataTable[[#This Row],[allPIemail]]&amp;"&amp;subject=NSF Proposal:  "&amp;RADataTable[[#This Row],[Div]]&amp;" "&amp;RADataTable[[#This Row],[prop_id0]], "PIs@")</f>
        <v>PIs@</v>
      </c>
      <c r="AA184" t="s">
        <v>245</v>
      </c>
      <c r="AB184" t="s">
        <v>674</v>
      </c>
      <c r="AC184" s="30" t="s">
        <v>795</v>
      </c>
      <c r="AD184" t="s">
        <v>796</v>
      </c>
      <c r="AE184" t="s">
        <v>797</v>
      </c>
      <c r="AF184" s="36">
        <v>602288</v>
      </c>
      <c r="AG184" s="36">
        <v>602288</v>
      </c>
      <c r="AH184" s="24"/>
      <c r="AJ184" s="34"/>
      <c r="AK184" t="s">
        <v>923</v>
      </c>
      <c r="AL184" t="s">
        <v>232</v>
      </c>
      <c r="AM184" s="34" t="s">
        <v>925</v>
      </c>
      <c r="AN184" s="34">
        <v>43032</v>
      </c>
      <c r="AO184" s="24">
        <v>3</v>
      </c>
      <c r="AP184" t="s">
        <v>295</v>
      </c>
      <c r="AR184" s="35"/>
      <c r="AS184"/>
      <c r="AT184" s="34"/>
      <c r="AV184" s="34"/>
      <c r="AX184" s="34"/>
      <c r="AY184"/>
      <c r="BA184" s="34"/>
      <c r="BB184"/>
      <c r="BC184" t="s">
        <v>800</v>
      </c>
      <c r="BD184" s="36">
        <v>602288</v>
      </c>
      <c r="BE184" s="36">
        <v>602288</v>
      </c>
      <c r="BF184">
        <v>0</v>
      </c>
      <c r="BG184" s="34">
        <v>43160</v>
      </c>
      <c r="BH184">
        <v>60</v>
      </c>
      <c r="BI184" t="s">
        <v>283</v>
      </c>
      <c r="BJ184" t="s">
        <v>928</v>
      </c>
      <c r="BK184" t="s">
        <v>934</v>
      </c>
      <c r="BL184" t="s">
        <v>194</v>
      </c>
      <c r="BM184" s="8" t="s">
        <v>192</v>
      </c>
      <c r="BN184" t="s">
        <v>189</v>
      </c>
      <c r="BO184" t="s">
        <v>190</v>
      </c>
      <c r="BP184" s="35" t="s">
        <v>718</v>
      </c>
      <c r="BQ184"/>
      <c r="BU184" s="35"/>
      <c r="BV184" s="35"/>
      <c r="BX184"/>
      <c r="CA184" s="35"/>
      <c r="CB184" s="35"/>
      <c r="CC184"/>
      <c r="CG184" s="35"/>
      <c r="CH184" s="35"/>
      <c r="CK184"/>
      <c r="CM184" s="35"/>
      <c r="CN184" s="35"/>
      <c r="CQ184"/>
      <c r="CS184" s="35"/>
      <c r="CT184" s="35"/>
      <c r="CX184"/>
      <c r="CZ184" s="35"/>
      <c r="DD184" s="34"/>
      <c r="DG184" t="s">
        <v>799</v>
      </c>
      <c r="DH184" t="s">
        <v>957</v>
      </c>
      <c r="DI184" t="s">
        <v>233</v>
      </c>
      <c r="DL184" t="s">
        <v>674</v>
      </c>
      <c r="DM184">
        <v>7</v>
      </c>
      <c r="DN184">
        <v>9</v>
      </c>
      <c r="DO184" t="s">
        <v>294</v>
      </c>
      <c r="DQ184" t="s">
        <v>927</v>
      </c>
      <c r="DR184">
        <v>14</v>
      </c>
      <c r="DS184">
        <v>2</v>
      </c>
      <c r="DU184">
        <v>14</v>
      </c>
      <c r="DV184">
        <v>2</v>
      </c>
      <c r="DX184">
        <v>14</v>
      </c>
      <c r="DY184">
        <v>2</v>
      </c>
      <c r="DZ184" t="s">
        <v>246</v>
      </c>
      <c r="EA184" t="s">
        <v>929</v>
      </c>
    </row>
    <row r="185" spans="1:131" x14ac:dyDescent="0.4">
      <c r="A185" s="34">
        <v>43067.305104166669</v>
      </c>
      <c r="B185" s="25">
        <v>42935.387499999997</v>
      </c>
      <c r="D185" s="34"/>
      <c r="E185" s="34" t="s">
        <v>193</v>
      </c>
      <c r="F185" s="34" t="s">
        <v>191</v>
      </c>
      <c r="G185" s="34" t="s">
        <v>100</v>
      </c>
      <c r="H185" t="s">
        <v>279</v>
      </c>
      <c r="I185" t="s">
        <v>243</v>
      </c>
      <c r="J185" t="s">
        <v>712</v>
      </c>
      <c r="K185" t="s">
        <v>729</v>
      </c>
      <c r="L185" t="s">
        <v>711</v>
      </c>
      <c r="M185" s="30">
        <v>2.0299999999999998</v>
      </c>
      <c r="N185">
        <v>7.75</v>
      </c>
      <c r="P185" s="24" t="str">
        <f>IFERROR(MID(RADataTable[[#This Row],[RATemplate]],1,LEN(RADataTable[[#This Row],[RATemplate]])-8),"RA") &amp; " " &amp; RADataTable[[#This Row],[prop_id0]] &amp; " " &amp; RADataTable[[#This Row],[last0]]</f>
        <v>RA 1750140 Panigrahi</v>
      </c>
      <c r="T185">
        <v>4</v>
      </c>
      <c r="U185">
        <v>4</v>
      </c>
      <c r="V185" s="34">
        <v>43032.520138888889</v>
      </c>
      <c r="W185">
        <v>1</v>
      </c>
      <c r="X185" s="15" t="str">
        <f>HYPERLINK("https://www.ejacket.nsf.gov/ej/showProposal.do?Continue=Y&amp;ID="&amp;RADataTable[[#This Row],[prop_id0]],"eJ")</f>
        <v>eJ</v>
      </c>
      <c r="Y185" s="15" t="str">
        <f>HYPERLINK("mailto:"&amp;RADataTable[[#This Row],[email]]&amp;"&amp;subject=Your NSF Proposal:  "&amp;RADataTable[[#This Row],[Div]]&amp;" "&amp;RADataTable[[#This Row],[prop_id0]], RADataTable[[#This Row],[email]])</f>
        <v>debmalya.panigrahi@gmail.com</v>
      </c>
      <c r="Z185" s="15" t="str">
        <f>HYPERLINK("mailto:"&amp;RADataTable[[#This Row],[allPIemail]]&amp;"&amp;subject=NSF Proposal:  "&amp;RADataTable[[#This Row],[Div]]&amp;" "&amp;RADataTable[[#This Row],[prop_id0]], "PIs@")</f>
        <v>PIs@</v>
      </c>
      <c r="AA185" t="s">
        <v>245</v>
      </c>
      <c r="AB185" t="s">
        <v>674</v>
      </c>
      <c r="AC185" s="30" t="s">
        <v>795</v>
      </c>
      <c r="AD185" t="s">
        <v>796</v>
      </c>
      <c r="AE185" t="s">
        <v>797</v>
      </c>
      <c r="AF185" s="36">
        <v>602288</v>
      </c>
      <c r="AG185" s="36">
        <v>602288</v>
      </c>
      <c r="AH185" s="24"/>
      <c r="AJ185" s="34"/>
      <c r="AK185" t="s">
        <v>923</v>
      </c>
      <c r="AL185" t="s">
        <v>232</v>
      </c>
      <c r="AM185" s="34" t="s">
        <v>925</v>
      </c>
      <c r="AN185" s="34">
        <v>43032</v>
      </c>
      <c r="AO185" s="24">
        <v>3</v>
      </c>
      <c r="AP185" t="s">
        <v>295</v>
      </c>
      <c r="AR185" s="35"/>
      <c r="AS185"/>
      <c r="AT185" s="34"/>
      <c r="AV185" s="34"/>
      <c r="AX185" s="34"/>
      <c r="AY185"/>
      <c r="BA185" s="34"/>
      <c r="BB185"/>
      <c r="BC185" t="s">
        <v>800</v>
      </c>
      <c r="BD185" s="36">
        <v>602288</v>
      </c>
      <c r="BE185" s="36">
        <v>602288</v>
      </c>
      <c r="BF185">
        <v>0</v>
      </c>
      <c r="BG185" s="34">
        <v>43160</v>
      </c>
      <c r="BH185">
        <v>60</v>
      </c>
      <c r="BI185" t="s">
        <v>283</v>
      </c>
      <c r="BJ185" t="s">
        <v>928</v>
      </c>
      <c r="BK185" t="s">
        <v>934</v>
      </c>
      <c r="BL185" t="s">
        <v>194</v>
      </c>
      <c r="BM185" s="8" t="s">
        <v>192</v>
      </c>
      <c r="BN185" t="s">
        <v>189</v>
      </c>
      <c r="BO185" t="s">
        <v>190</v>
      </c>
      <c r="BP185" s="35" t="s">
        <v>718</v>
      </c>
      <c r="BQ185"/>
      <c r="BU185" s="35"/>
      <c r="BV185" s="35"/>
      <c r="BX185"/>
      <c r="CA185" s="35"/>
      <c r="CB185" s="35"/>
      <c r="CC185"/>
      <c r="CG185" s="35"/>
      <c r="CH185" s="35"/>
      <c r="CK185"/>
      <c r="CM185" s="35"/>
      <c r="CN185" s="35"/>
      <c r="CQ185"/>
      <c r="CS185" s="35"/>
      <c r="CT185" s="35"/>
      <c r="CX185"/>
      <c r="CZ185" s="35"/>
      <c r="DD185" s="34"/>
      <c r="DG185" t="s">
        <v>799</v>
      </c>
      <c r="DH185" t="s">
        <v>957</v>
      </c>
      <c r="DI185" t="s">
        <v>233</v>
      </c>
      <c r="DL185" t="s">
        <v>674</v>
      </c>
      <c r="DM185">
        <v>7</v>
      </c>
      <c r="DN185">
        <v>9</v>
      </c>
      <c r="DO185" t="s">
        <v>294</v>
      </c>
      <c r="DQ185" t="s">
        <v>927</v>
      </c>
      <c r="DR185">
        <v>14</v>
      </c>
      <c r="DS185">
        <v>2</v>
      </c>
      <c r="DU185">
        <v>14</v>
      </c>
      <c r="DV185">
        <v>2</v>
      </c>
      <c r="DX185">
        <v>14</v>
      </c>
      <c r="DY185">
        <v>2</v>
      </c>
      <c r="DZ185" t="s">
        <v>246</v>
      </c>
      <c r="EA185" t="s">
        <v>929</v>
      </c>
    </row>
    <row r="186" spans="1:131" x14ac:dyDescent="0.4">
      <c r="A186" s="34">
        <v>43067.305104166669</v>
      </c>
      <c r="B186" s="25">
        <v>42935.387499999997</v>
      </c>
      <c r="D186" s="34"/>
      <c r="E186" s="34" t="s">
        <v>193</v>
      </c>
      <c r="F186" s="34" t="s">
        <v>191</v>
      </c>
      <c r="G186" s="34" t="s">
        <v>100</v>
      </c>
      <c r="H186" t="s">
        <v>279</v>
      </c>
      <c r="I186" t="s">
        <v>243</v>
      </c>
      <c r="J186" t="s">
        <v>712</v>
      </c>
      <c r="K186" t="s">
        <v>729</v>
      </c>
      <c r="L186" t="s">
        <v>711</v>
      </c>
      <c r="M186" s="30">
        <v>2.0299999999999998</v>
      </c>
      <c r="N186">
        <v>7.75</v>
      </c>
      <c r="P186" s="24" t="str">
        <f>IFERROR(MID(RADataTable[[#This Row],[RATemplate]],1,LEN(RADataTable[[#This Row],[RATemplate]])-8),"RA") &amp; " " &amp; RADataTable[[#This Row],[prop_id0]] &amp; " " &amp; RADataTable[[#This Row],[last0]]</f>
        <v>RA 1750140 Panigrahi</v>
      </c>
      <c r="T186">
        <v>4</v>
      </c>
      <c r="U186">
        <v>4</v>
      </c>
      <c r="V186" s="34">
        <v>43032.520138888889</v>
      </c>
      <c r="W186">
        <v>1</v>
      </c>
      <c r="X186" s="15" t="str">
        <f>HYPERLINK("https://www.ejacket.nsf.gov/ej/showProposal.do?Continue=Y&amp;ID="&amp;RADataTable[[#This Row],[prop_id0]],"eJ")</f>
        <v>eJ</v>
      </c>
      <c r="Y186" s="15" t="str">
        <f>HYPERLINK("mailto:"&amp;RADataTable[[#This Row],[email]]&amp;"&amp;subject=Your NSF Proposal:  "&amp;RADataTable[[#This Row],[Div]]&amp;" "&amp;RADataTable[[#This Row],[prop_id0]], RADataTable[[#This Row],[email]])</f>
        <v>debmalya.panigrahi@gmail.com</v>
      </c>
      <c r="Z186" s="15" t="str">
        <f>HYPERLINK("mailto:"&amp;RADataTable[[#This Row],[allPIemail]]&amp;"&amp;subject=NSF Proposal:  "&amp;RADataTable[[#This Row],[Div]]&amp;" "&amp;RADataTable[[#This Row],[prop_id0]], "PIs@")</f>
        <v>PIs@</v>
      </c>
      <c r="AA186" t="s">
        <v>245</v>
      </c>
      <c r="AB186" t="s">
        <v>674</v>
      </c>
      <c r="AC186" s="30" t="s">
        <v>795</v>
      </c>
      <c r="AD186" t="s">
        <v>796</v>
      </c>
      <c r="AE186" t="s">
        <v>797</v>
      </c>
      <c r="AF186" s="36">
        <v>602288</v>
      </c>
      <c r="AG186" s="36">
        <v>602288</v>
      </c>
      <c r="AH186" s="24"/>
      <c r="AJ186" s="34"/>
      <c r="AK186" t="s">
        <v>923</v>
      </c>
      <c r="AL186" t="s">
        <v>232</v>
      </c>
      <c r="AM186" s="34" t="s">
        <v>925</v>
      </c>
      <c r="AN186" s="34">
        <v>43032</v>
      </c>
      <c r="AO186" s="24">
        <v>3</v>
      </c>
      <c r="AP186" t="s">
        <v>295</v>
      </c>
      <c r="AR186" s="35"/>
      <c r="AS186"/>
      <c r="AT186" s="34"/>
      <c r="AV186" s="34"/>
      <c r="AX186" s="34"/>
      <c r="AY186"/>
      <c r="BA186" s="34"/>
      <c r="BB186"/>
      <c r="BC186" t="s">
        <v>800</v>
      </c>
      <c r="BD186" s="36">
        <v>602288</v>
      </c>
      <c r="BE186" s="36">
        <v>602288</v>
      </c>
      <c r="BF186">
        <v>0</v>
      </c>
      <c r="BG186" s="34">
        <v>43160</v>
      </c>
      <c r="BH186">
        <v>60</v>
      </c>
      <c r="BI186" t="s">
        <v>283</v>
      </c>
      <c r="BJ186" t="s">
        <v>928</v>
      </c>
      <c r="BK186" t="s">
        <v>934</v>
      </c>
      <c r="BL186" t="s">
        <v>194</v>
      </c>
      <c r="BM186" s="8" t="s">
        <v>192</v>
      </c>
      <c r="BN186" t="s">
        <v>189</v>
      </c>
      <c r="BO186" t="s">
        <v>190</v>
      </c>
      <c r="BP186" s="35" t="s">
        <v>718</v>
      </c>
      <c r="BQ186"/>
      <c r="BU186" s="35"/>
      <c r="BV186" s="35"/>
      <c r="BX186"/>
      <c r="CA186" s="35"/>
      <c r="CB186" s="35"/>
      <c r="CC186"/>
      <c r="CG186" s="35"/>
      <c r="CH186" s="35"/>
      <c r="CK186"/>
      <c r="CM186" s="35"/>
      <c r="CN186" s="35"/>
      <c r="CQ186"/>
      <c r="CS186" s="35"/>
      <c r="CT186" s="35"/>
      <c r="CX186"/>
      <c r="CZ186" s="35"/>
      <c r="DD186" s="34"/>
      <c r="DG186" t="s">
        <v>799</v>
      </c>
      <c r="DH186" t="s">
        <v>957</v>
      </c>
      <c r="DI186" t="s">
        <v>233</v>
      </c>
      <c r="DL186" t="s">
        <v>674</v>
      </c>
      <c r="DM186">
        <v>7</v>
      </c>
      <c r="DN186">
        <v>9</v>
      </c>
      <c r="DO186" t="s">
        <v>294</v>
      </c>
      <c r="DQ186" t="s">
        <v>927</v>
      </c>
      <c r="DR186">
        <v>14</v>
      </c>
      <c r="DS186">
        <v>2</v>
      </c>
      <c r="DU186">
        <v>14</v>
      </c>
      <c r="DV186">
        <v>2</v>
      </c>
      <c r="DX186">
        <v>14</v>
      </c>
      <c r="DY186">
        <v>2</v>
      </c>
      <c r="DZ186" t="s">
        <v>246</v>
      </c>
      <c r="EA186" t="s">
        <v>929</v>
      </c>
    </row>
    <row r="187" spans="1:131" x14ac:dyDescent="0.4">
      <c r="A187" s="34">
        <v>43067.305104166669</v>
      </c>
      <c r="B187" s="25">
        <v>42935.387499999997</v>
      </c>
      <c r="D187" s="34"/>
      <c r="E187" s="34" t="s">
        <v>193</v>
      </c>
      <c r="F187" s="34" t="s">
        <v>191</v>
      </c>
      <c r="G187" s="34" t="s">
        <v>100</v>
      </c>
      <c r="H187" t="s">
        <v>279</v>
      </c>
      <c r="I187" t="s">
        <v>243</v>
      </c>
      <c r="J187" t="s">
        <v>712</v>
      </c>
      <c r="K187" t="s">
        <v>729</v>
      </c>
      <c r="L187" t="s">
        <v>711</v>
      </c>
      <c r="M187" s="30">
        <v>2.0299999999999998</v>
      </c>
      <c r="N187">
        <v>7.75</v>
      </c>
      <c r="P187" s="24" t="str">
        <f>IFERROR(MID(RADataTable[[#This Row],[RATemplate]],1,LEN(RADataTable[[#This Row],[RATemplate]])-8),"RA") &amp; " " &amp; RADataTable[[#This Row],[prop_id0]] &amp; " " &amp; RADataTable[[#This Row],[last0]]</f>
        <v>RA 1750140 Panigrahi</v>
      </c>
      <c r="T187">
        <v>4</v>
      </c>
      <c r="U187">
        <v>4</v>
      </c>
      <c r="V187" s="34">
        <v>43032.520138888889</v>
      </c>
      <c r="W187">
        <v>1</v>
      </c>
      <c r="X187" s="15" t="str">
        <f>HYPERLINK("https://www.ejacket.nsf.gov/ej/showProposal.do?Continue=Y&amp;ID="&amp;RADataTable[[#This Row],[prop_id0]],"eJ")</f>
        <v>eJ</v>
      </c>
      <c r="Y187" s="15" t="str">
        <f>HYPERLINK("mailto:"&amp;RADataTable[[#This Row],[email]]&amp;"&amp;subject=Your NSF Proposal:  "&amp;RADataTable[[#This Row],[Div]]&amp;" "&amp;RADataTable[[#This Row],[prop_id0]], RADataTable[[#This Row],[email]])</f>
        <v>debmalya.panigrahi@gmail.com</v>
      </c>
      <c r="Z187" s="15" t="str">
        <f>HYPERLINK("mailto:"&amp;RADataTable[[#This Row],[allPIemail]]&amp;"&amp;subject=NSF Proposal:  "&amp;RADataTable[[#This Row],[Div]]&amp;" "&amp;RADataTable[[#This Row],[prop_id0]], "PIs@")</f>
        <v>PIs@</v>
      </c>
      <c r="AA187" t="s">
        <v>245</v>
      </c>
      <c r="AB187" t="s">
        <v>674</v>
      </c>
      <c r="AC187" s="30" t="s">
        <v>795</v>
      </c>
      <c r="AD187" t="s">
        <v>796</v>
      </c>
      <c r="AE187" t="s">
        <v>797</v>
      </c>
      <c r="AF187" s="36">
        <v>602288</v>
      </c>
      <c r="AG187" s="36">
        <v>602288</v>
      </c>
      <c r="AH187" s="24"/>
      <c r="AJ187" s="34"/>
      <c r="AK187" t="s">
        <v>923</v>
      </c>
      <c r="AL187" t="s">
        <v>232</v>
      </c>
      <c r="AM187" s="34" t="s">
        <v>925</v>
      </c>
      <c r="AN187" s="34">
        <v>43032</v>
      </c>
      <c r="AO187" s="24">
        <v>3</v>
      </c>
      <c r="AP187" t="s">
        <v>295</v>
      </c>
      <c r="AR187" s="35"/>
      <c r="AS187"/>
      <c r="AT187" s="34"/>
      <c r="AV187" s="34"/>
      <c r="AX187" s="34"/>
      <c r="AY187"/>
      <c r="BA187" s="34"/>
      <c r="BB187"/>
      <c r="BC187" t="s">
        <v>800</v>
      </c>
      <c r="BD187" s="36">
        <v>602288</v>
      </c>
      <c r="BE187" s="36">
        <v>602288</v>
      </c>
      <c r="BF187">
        <v>0</v>
      </c>
      <c r="BG187" s="34">
        <v>43160</v>
      </c>
      <c r="BH187">
        <v>60</v>
      </c>
      <c r="BI187" t="s">
        <v>283</v>
      </c>
      <c r="BJ187" t="s">
        <v>928</v>
      </c>
      <c r="BK187" t="s">
        <v>934</v>
      </c>
      <c r="BL187" t="s">
        <v>194</v>
      </c>
      <c r="BM187" s="8" t="s">
        <v>192</v>
      </c>
      <c r="BN187" t="s">
        <v>189</v>
      </c>
      <c r="BO187" t="s">
        <v>190</v>
      </c>
      <c r="BP187" s="35" t="s">
        <v>718</v>
      </c>
      <c r="BQ187"/>
      <c r="BU187" s="35"/>
      <c r="BV187" s="35"/>
      <c r="BX187"/>
      <c r="CA187" s="35"/>
      <c r="CB187" s="35"/>
      <c r="CC187"/>
      <c r="CG187" s="35"/>
      <c r="CH187" s="35"/>
      <c r="CK187"/>
      <c r="CM187" s="35"/>
      <c r="CN187" s="35"/>
      <c r="CQ187"/>
      <c r="CS187" s="35"/>
      <c r="CT187" s="35"/>
      <c r="CX187"/>
      <c r="CZ187" s="35"/>
      <c r="DD187" s="34"/>
      <c r="DG187" t="s">
        <v>799</v>
      </c>
      <c r="DH187" t="s">
        <v>957</v>
      </c>
      <c r="DI187" t="s">
        <v>233</v>
      </c>
      <c r="DL187" t="s">
        <v>674</v>
      </c>
      <c r="DM187">
        <v>7</v>
      </c>
      <c r="DN187">
        <v>9</v>
      </c>
      <c r="DO187" t="s">
        <v>294</v>
      </c>
      <c r="DQ187" t="s">
        <v>927</v>
      </c>
      <c r="DR187">
        <v>14</v>
      </c>
      <c r="DS187">
        <v>2</v>
      </c>
      <c r="DU187">
        <v>14</v>
      </c>
      <c r="DV187">
        <v>2</v>
      </c>
      <c r="DX187">
        <v>14</v>
      </c>
      <c r="DY187">
        <v>2</v>
      </c>
      <c r="DZ187" t="s">
        <v>246</v>
      </c>
      <c r="EA187" t="s">
        <v>929</v>
      </c>
    </row>
    <row r="188" spans="1:131" x14ac:dyDescent="0.4">
      <c r="A188" s="34">
        <v>43067.305104166669</v>
      </c>
      <c r="B188" s="25">
        <v>42935.387499999997</v>
      </c>
      <c r="D188" s="34"/>
      <c r="E188" s="34" t="s">
        <v>193</v>
      </c>
      <c r="F188" s="34" t="s">
        <v>191</v>
      </c>
      <c r="G188" s="34" t="s">
        <v>100</v>
      </c>
      <c r="H188" t="s">
        <v>279</v>
      </c>
      <c r="I188" t="s">
        <v>243</v>
      </c>
      <c r="J188" t="s">
        <v>712</v>
      </c>
      <c r="K188" t="s">
        <v>729</v>
      </c>
      <c r="L188" t="s">
        <v>711</v>
      </c>
      <c r="M188" s="30">
        <v>2.0299999999999998</v>
      </c>
      <c r="N188">
        <v>7.75</v>
      </c>
      <c r="P188" s="24" t="str">
        <f>IFERROR(MID(RADataTable[[#This Row],[RATemplate]],1,LEN(RADataTable[[#This Row],[RATemplate]])-8),"RA") &amp; " " &amp; RADataTable[[#This Row],[prop_id0]] &amp; " " &amp; RADataTable[[#This Row],[last0]]</f>
        <v>RA 1750140 Panigrahi</v>
      </c>
      <c r="T188">
        <v>4</v>
      </c>
      <c r="U188">
        <v>4</v>
      </c>
      <c r="V188" s="34">
        <v>43032.520138888889</v>
      </c>
      <c r="W188">
        <v>1</v>
      </c>
      <c r="X188" s="15" t="str">
        <f>HYPERLINK("https://www.ejacket.nsf.gov/ej/showProposal.do?Continue=Y&amp;ID="&amp;RADataTable[[#This Row],[prop_id0]],"eJ")</f>
        <v>eJ</v>
      </c>
      <c r="Y188" s="15" t="str">
        <f>HYPERLINK("mailto:"&amp;RADataTable[[#This Row],[email]]&amp;"&amp;subject=Your NSF Proposal:  "&amp;RADataTable[[#This Row],[Div]]&amp;" "&amp;RADataTable[[#This Row],[prop_id0]], RADataTable[[#This Row],[email]])</f>
        <v>debmalya.panigrahi@gmail.com</v>
      </c>
      <c r="Z188" s="15" t="str">
        <f>HYPERLINK("mailto:"&amp;RADataTable[[#This Row],[allPIemail]]&amp;"&amp;subject=NSF Proposal:  "&amp;RADataTable[[#This Row],[Div]]&amp;" "&amp;RADataTable[[#This Row],[prop_id0]], "PIs@")</f>
        <v>PIs@</v>
      </c>
      <c r="AA188" t="s">
        <v>245</v>
      </c>
      <c r="AB188" t="s">
        <v>674</v>
      </c>
      <c r="AC188" s="30" t="s">
        <v>795</v>
      </c>
      <c r="AD188" t="s">
        <v>796</v>
      </c>
      <c r="AE188" t="s">
        <v>797</v>
      </c>
      <c r="AF188" s="36">
        <v>602288</v>
      </c>
      <c r="AG188" s="36">
        <v>602288</v>
      </c>
      <c r="AH188" s="24"/>
      <c r="AJ188" s="34"/>
      <c r="AK188" t="s">
        <v>923</v>
      </c>
      <c r="AL188" t="s">
        <v>232</v>
      </c>
      <c r="AM188" s="34" t="s">
        <v>925</v>
      </c>
      <c r="AN188" s="34">
        <v>43032</v>
      </c>
      <c r="AO188" s="24">
        <v>3</v>
      </c>
      <c r="AP188" t="s">
        <v>295</v>
      </c>
      <c r="AR188" s="35"/>
      <c r="AS188"/>
      <c r="AT188" s="34"/>
      <c r="AV188" s="34"/>
      <c r="AX188" s="34"/>
      <c r="AY188"/>
      <c r="BA188" s="34"/>
      <c r="BB188"/>
      <c r="BC188" t="s">
        <v>800</v>
      </c>
      <c r="BD188" s="36">
        <v>602288</v>
      </c>
      <c r="BE188" s="36">
        <v>602288</v>
      </c>
      <c r="BF188">
        <v>0</v>
      </c>
      <c r="BG188" s="34">
        <v>43160</v>
      </c>
      <c r="BH188">
        <v>60</v>
      </c>
      <c r="BI188" t="s">
        <v>283</v>
      </c>
      <c r="BJ188" t="s">
        <v>928</v>
      </c>
      <c r="BK188" t="s">
        <v>934</v>
      </c>
      <c r="BL188" t="s">
        <v>194</v>
      </c>
      <c r="BM188" s="8" t="s">
        <v>192</v>
      </c>
      <c r="BN188" t="s">
        <v>189</v>
      </c>
      <c r="BO188" t="s">
        <v>190</v>
      </c>
      <c r="BP188" s="35" t="s">
        <v>718</v>
      </c>
      <c r="BQ188"/>
      <c r="BU188" s="35"/>
      <c r="BV188" s="35"/>
      <c r="BX188"/>
      <c r="CA188" s="35"/>
      <c r="CB188" s="35"/>
      <c r="CC188"/>
      <c r="CG188" s="35"/>
      <c r="CH188" s="35"/>
      <c r="CK188"/>
      <c r="CM188" s="35"/>
      <c r="CN188" s="35"/>
      <c r="CQ188"/>
      <c r="CS188" s="35"/>
      <c r="CT188" s="35"/>
      <c r="CX188"/>
      <c r="CZ188" s="35"/>
      <c r="DD188" s="34"/>
      <c r="DG188" t="s">
        <v>799</v>
      </c>
      <c r="DH188" t="s">
        <v>957</v>
      </c>
      <c r="DI188" t="s">
        <v>233</v>
      </c>
      <c r="DL188" t="s">
        <v>674</v>
      </c>
      <c r="DM188">
        <v>7</v>
      </c>
      <c r="DN188">
        <v>9</v>
      </c>
      <c r="DO188" t="s">
        <v>294</v>
      </c>
      <c r="DQ188" t="s">
        <v>927</v>
      </c>
      <c r="DR188">
        <v>14</v>
      </c>
      <c r="DS188">
        <v>2</v>
      </c>
      <c r="DU188">
        <v>14</v>
      </c>
      <c r="DV188">
        <v>2</v>
      </c>
      <c r="DX188">
        <v>14</v>
      </c>
      <c r="DY188">
        <v>2</v>
      </c>
      <c r="DZ188" t="s">
        <v>246</v>
      </c>
      <c r="EA188" t="s">
        <v>929</v>
      </c>
    </row>
    <row r="189" spans="1:131" x14ac:dyDescent="0.4">
      <c r="A189" s="34">
        <v>43067.305104166669</v>
      </c>
      <c r="B189" s="25">
        <v>42956.746527777781</v>
      </c>
      <c r="D189" s="34"/>
      <c r="E189" s="34" t="s">
        <v>193</v>
      </c>
      <c r="F189" s="34" t="s">
        <v>191</v>
      </c>
      <c r="G189" s="34" t="s">
        <v>100</v>
      </c>
      <c r="H189" t="s">
        <v>856</v>
      </c>
      <c r="I189" t="s">
        <v>243</v>
      </c>
      <c r="J189" t="s">
        <v>857</v>
      </c>
      <c r="K189" t="s">
        <v>729</v>
      </c>
      <c r="L189" t="s">
        <v>855</v>
      </c>
      <c r="M189" s="30">
        <v>2.0299999999999998</v>
      </c>
      <c r="N189">
        <v>6</v>
      </c>
      <c r="P189" s="24" t="str">
        <f>IFERROR(MID(RADataTable[[#This Row],[RATemplate]],1,LEN(RADataTable[[#This Row],[RATemplate]])-8),"RA") &amp; " " &amp; RADataTable[[#This Row],[prop_id0]] &amp; " " &amp; RADataTable[[#This Row],[last0]]</f>
        <v>RA 1756014 Chen</v>
      </c>
      <c r="T189">
        <v>3</v>
      </c>
      <c r="U189">
        <v>3</v>
      </c>
      <c r="V189" s="34">
        <v>43031.734027777777</v>
      </c>
      <c r="W189">
        <v>1</v>
      </c>
      <c r="X189" s="15" t="str">
        <f>HYPERLINK("https://www.ejacket.nsf.gov/ej/showProposal.do?Continue=Y&amp;ID="&amp;RADataTable[[#This Row],[prop_id0]],"eJ")</f>
        <v>eJ</v>
      </c>
      <c r="Y189" s="15" t="str">
        <f>HYPERLINK("mailto:"&amp;RADataTable[[#This Row],[email]]&amp;"&amp;subject=Your NSF Proposal:  "&amp;RADataTable[[#This Row],[Div]]&amp;" "&amp;RADataTable[[#This Row],[prop_id0]], RADataTable[[#This Row],[email]])</f>
        <v>lchen49@central.uh.edu</v>
      </c>
      <c r="Z189" s="15" t="str">
        <f>HYPERLINK("mailto:"&amp;RADataTable[[#This Row],[allPIemail]]&amp;"&amp;subject=NSF Proposal:  "&amp;RADataTable[[#This Row],[Div]]&amp;" "&amp;RADataTable[[#This Row],[prop_id0]], "PIs@")</f>
        <v>PIs@</v>
      </c>
      <c r="AA189" t="s">
        <v>245</v>
      </c>
      <c r="AB189" t="s">
        <v>691</v>
      </c>
      <c r="AC189" s="30" t="s">
        <v>289</v>
      </c>
      <c r="AD189" t="s">
        <v>902</v>
      </c>
      <c r="AE189" t="s">
        <v>903</v>
      </c>
      <c r="AF189" s="36">
        <v>148477</v>
      </c>
      <c r="AG189" s="36">
        <v>148477</v>
      </c>
      <c r="AH189" s="24"/>
      <c r="AJ189" s="34"/>
      <c r="AK189" t="s">
        <v>923</v>
      </c>
      <c r="AL189" t="s">
        <v>232</v>
      </c>
      <c r="AM189" s="34" t="s">
        <v>925</v>
      </c>
      <c r="AN189" s="34">
        <v>43032</v>
      </c>
      <c r="AO189" s="24">
        <v>3</v>
      </c>
      <c r="AP189" t="s">
        <v>989</v>
      </c>
      <c r="AR189" s="35"/>
      <c r="AS189"/>
      <c r="AT189" s="34"/>
      <c r="AV189" s="34"/>
      <c r="AX189" s="34"/>
      <c r="AY189"/>
      <c r="BA189" s="34"/>
      <c r="BB189"/>
      <c r="BC189" t="s">
        <v>906</v>
      </c>
      <c r="BD189" s="36">
        <v>148477</v>
      </c>
      <c r="BE189" s="36">
        <v>148477</v>
      </c>
      <c r="BF189">
        <v>0</v>
      </c>
      <c r="BG189" s="34">
        <v>43252</v>
      </c>
      <c r="BH189">
        <v>24</v>
      </c>
      <c r="BI189" t="s">
        <v>974</v>
      </c>
      <c r="BJ189" t="s">
        <v>975</v>
      </c>
      <c r="BK189" t="s">
        <v>934</v>
      </c>
      <c r="BL189" t="s">
        <v>194</v>
      </c>
      <c r="BM189" s="8" t="s">
        <v>192</v>
      </c>
      <c r="BN189" t="s">
        <v>189</v>
      </c>
      <c r="BO189" t="s">
        <v>190</v>
      </c>
      <c r="BP189" s="35" t="s">
        <v>861</v>
      </c>
      <c r="BQ189"/>
      <c r="BU189" s="35"/>
      <c r="BV189" s="35"/>
      <c r="BX189"/>
      <c r="CA189" s="35"/>
      <c r="CB189" s="35"/>
      <c r="CC189"/>
      <c r="CG189" s="35"/>
      <c r="CH189" s="35"/>
      <c r="CK189"/>
      <c r="CM189" s="35"/>
      <c r="CN189" s="35"/>
      <c r="CQ189"/>
      <c r="CS189" s="35"/>
      <c r="CT189" s="35"/>
      <c r="CX189"/>
      <c r="CZ189" s="35"/>
      <c r="DD189" s="34"/>
      <c r="DG189" t="s">
        <v>904</v>
      </c>
      <c r="DH189" t="s">
        <v>990</v>
      </c>
      <c r="DI189" t="s">
        <v>233</v>
      </c>
      <c r="DL189" t="s">
        <v>691</v>
      </c>
      <c r="DM189">
        <v>5</v>
      </c>
      <c r="DN189">
        <v>7</v>
      </c>
      <c r="DO189" t="s">
        <v>905</v>
      </c>
      <c r="DQ189" t="s">
        <v>927</v>
      </c>
      <c r="DR189">
        <v>14</v>
      </c>
      <c r="DS189">
        <v>0</v>
      </c>
      <c r="DU189">
        <v>14</v>
      </c>
      <c r="DV189">
        <v>0</v>
      </c>
      <c r="DX189">
        <v>14</v>
      </c>
      <c r="DY189">
        <v>0</v>
      </c>
      <c r="DZ189" t="s">
        <v>246</v>
      </c>
      <c r="EA189" t="s">
        <v>929</v>
      </c>
    </row>
    <row r="190" spans="1:131" x14ac:dyDescent="0.4">
      <c r="A190" s="34">
        <v>43067.305104166669</v>
      </c>
      <c r="B190" s="25">
        <v>42956.746527777781</v>
      </c>
      <c r="D190" s="34"/>
      <c r="E190" s="34" t="s">
        <v>193</v>
      </c>
      <c r="F190" s="34" t="s">
        <v>191</v>
      </c>
      <c r="G190" s="34" t="s">
        <v>100</v>
      </c>
      <c r="H190" t="s">
        <v>856</v>
      </c>
      <c r="I190" t="s">
        <v>243</v>
      </c>
      <c r="J190" t="s">
        <v>857</v>
      </c>
      <c r="K190" t="s">
        <v>729</v>
      </c>
      <c r="L190" t="s">
        <v>855</v>
      </c>
      <c r="M190" s="30">
        <v>2.0299999999999998</v>
      </c>
      <c r="N190">
        <v>6</v>
      </c>
      <c r="P190" s="24" t="str">
        <f>IFERROR(MID(RADataTable[[#This Row],[RATemplate]],1,LEN(RADataTable[[#This Row],[RATemplate]])-8),"RA") &amp; " " &amp; RADataTable[[#This Row],[prop_id0]] &amp; " " &amp; RADataTable[[#This Row],[last0]]</f>
        <v>RA 1756014 Chen</v>
      </c>
      <c r="T190">
        <v>3</v>
      </c>
      <c r="U190">
        <v>3</v>
      </c>
      <c r="V190" s="34">
        <v>43031.734027777777</v>
      </c>
      <c r="W190">
        <v>1</v>
      </c>
      <c r="X190" s="15" t="str">
        <f>HYPERLINK("https://www.ejacket.nsf.gov/ej/showProposal.do?Continue=Y&amp;ID="&amp;RADataTable[[#This Row],[prop_id0]],"eJ")</f>
        <v>eJ</v>
      </c>
      <c r="Y190" s="15" t="str">
        <f>HYPERLINK("mailto:"&amp;RADataTable[[#This Row],[email]]&amp;"&amp;subject=Your NSF Proposal:  "&amp;RADataTable[[#This Row],[Div]]&amp;" "&amp;RADataTable[[#This Row],[prop_id0]], RADataTable[[#This Row],[email]])</f>
        <v>lchen49@central.uh.edu</v>
      </c>
      <c r="Z190" s="15" t="str">
        <f>HYPERLINK("mailto:"&amp;RADataTable[[#This Row],[allPIemail]]&amp;"&amp;subject=NSF Proposal:  "&amp;RADataTable[[#This Row],[Div]]&amp;" "&amp;RADataTable[[#This Row],[prop_id0]], "PIs@")</f>
        <v>PIs@</v>
      </c>
      <c r="AA190" t="s">
        <v>245</v>
      </c>
      <c r="AB190" t="s">
        <v>691</v>
      </c>
      <c r="AC190" s="30" t="s">
        <v>289</v>
      </c>
      <c r="AD190" t="s">
        <v>902</v>
      </c>
      <c r="AE190" t="s">
        <v>903</v>
      </c>
      <c r="AF190" s="36">
        <v>148477</v>
      </c>
      <c r="AG190" s="36">
        <v>148477</v>
      </c>
      <c r="AH190" s="24"/>
      <c r="AJ190" s="34"/>
      <c r="AK190" t="s">
        <v>923</v>
      </c>
      <c r="AL190" t="s">
        <v>232</v>
      </c>
      <c r="AM190" s="34" t="s">
        <v>925</v>
      </c>
      <c r="AN190" s="34">
        <v>43032</v>
      </c>
      <c r="AO190" s="24">
        <v>3</v>
      </c>
      <c r="AP190" t="s">
        <v>989</v>
      </c>
      <c r="AR190" s="35"/>
      <c r="AS190"/>
      <c r="AT190" s="34"/>
      <c r="AV190" s="34"/>
      <c r="AX190" s="34"/>
      <c r="AY190"/>
      <c r="BA190" s="34"/>
      <c r="BB190"/>
      <c r="BC190" t="s">
        <v>906</v>
      </c>
      <c r="BD190" s="36">
        <v>148477</v>
      </c>
      <c r="BE190" s="36">
        <v>148477</v>
      </c>
      <c r="BF190">
        <v>0</v>
      </c>
      <c r="BG190" s="34">
        <v>43252</v>
      </c>
      <c r="BH190">
        <v>24</v>
      </c>
      <c r="BI190" t="s">
        <v>974</v>
      </c>
      <c r="BJ190" t="s">
        <v>975</v>
      </c>
      <c r="BK190" t="s">
        <v>934</v>
      </c>
      <c r="BL190" t="s">
        <v>194</v>
      </c>
      <c r="BM190" s="8" t="s">
        <v>192</v>
      </c>
      <c r="BN190" t="s">
        <v>189</v>
      </c>
      <c r="BO190" t="s">
        <v>190</v>
      </c>
      <c r="BP190" s="35" t="s">
        <v>861</v>
      </c>
      <c r="BQ190"/>
      <c r="BU190" s="35"/>
      <c r="BV190" s="35"/>
      <c r="BX190"/>
      <c r="CA190" s="35"/>
      <c r="CB190" s="35"/>
      <c r="CC190"/>
      <c r="CG190" s="35"/>
      <c r="CH190" s="35"/>
      <c r="CK190"/>
      <c r="CM190" s="35"/>
      <c r="CN190" s="35"/>
      <c r="CQ190"/>
      <c r="CS190" s="35"/>
      <c r="CT190" s="35"/>
      <c r="CX190"/>
      <c r="CZ190" s="35"/>
      <c r="DD190" s="34"/>
      <c r="DG190" t="s">
        <v>904</v>
      </c>
      <c r="DH190" t="s">
        <v>990</v>
      </c>
      <c r="DI190" t="s">
        <v>233</v>
      </c>
      <c r="DL190" t="s">
        <v>691</v>
      </c>
      <c r="DM190">
        <v>5</v>
      </c>
      <c r="DN190">
        <v>7</v>
      </c>
      <c r="DO190" t="s">
        <v>905</v>
      </c>
      <c r="DQ190" t="s">
        <v>927</v>
      </c>
      <c r="DR190">
        <v>14</v>
      </c>
      <c r="DS190">
        <v>0</v>
      </c>
      <c r="DU190">
        <v>14</v>
      </c>
      <c r="DV190">
        <v>0</v>
      </c>
      <c r="DX190">
        <v>14</v>
      </c>
      <c r="DY190">
        <v>0</v>
      </c>
      <c r="DZ190" t="s">
        <v>246</v>
      </c>
      <c r="EA190" t="s">
        <v>929</v>
      </c>
    </row>
    <row r="191" spans="1:131" x14ac:dyDescent="0.4">
      <c r="A191" s="34">
        <v>43067.305104166669</v>
      </c>
      <c r="B191" s="25">
        <v>42956.746527777781</v>
      </c>
      <c r="D191" s="34"/>
      <c r="E191" s="34" t="s">
        <v>193</v>
      </c>
      <c r="F191" s="34" t="s">
        <v>191</v>
      </c>
      <c r="G191" s="34" t="s">
        <v>100</v>
      </c>
      <c r="H191" t="s">
        <v>856</v>
      </c>
      <c r="I191" t="s">
        <v>243</v>
      </c>
      <c r="J191" t="s">
        <v>857</v>
      </c>
      <c r="K191" t="s">
        <v>729</v>
      </c>
      <c r="L191" t="s">
        <v>855</v>
      </c>
      <c r="M191" s="30">
        <v>2.0299999999999998</v>
      </c>
      <c r="N191">
        <v>6</v>
      </c>
      <c r="P191" s="24" t="str">
        <f>IFERROR(MID(RADataTable[[#This Row],[RATemplate]],1,LEN(RADataTable[[#This Row],[RATemplate]])-8),"RA") &amp; " " &amp; RADataTable[[#This Row],[prop_id0]] &amp; " " &amp; RADataTable[[#This Row],[last0]]</f>
        <v>RA 1756014 Chen</v>
      </c>
      <c r="T191">
        <v>3</v>
      </c>
      <c r="U191">
        <v>3</v>
      </c>
      <c r="V191" s="34">
        <v>43031.734027777777</v>
      </c>
      <c r="W191">
        <v>1</v>
      </c>
      <c r="X191" s="15" t="str">
        <f>HYPERLINK("https://www.ejacket.nsf.gov/ej/showProposal.do?Continue=Y&amp;ID="&amp;RADataTable[[#This Row],[prop_id0]],"eJ")</f>
        <v>eJ</v>
      </c>
      <c r="Y191" s="15" t="str">
        <f>HYPERLINK("mailto:"&amp;RADataTable[[#This Row],[email]]&amp;"&amp;subject=Your NSF Proposal:  "&amp;RADataTable[[#This Row],[Div]]&amp;" "&amp;RADataTable[[#This Row],[prop_id0]], RADataTable[[#This Row],[email]])</f>
        <v>lchen49@central.uh.edu</v>
      </c>
      <c r="Z191" s="15" t="str">
        <f>HYPERLINK("mailto:"&amp;RADataTable[[#This Row],[allPIemail]]&amp;"&amp;subject=NSF Proposal:  "&amp;RADataTable[[#This Row],[Div]]&amp;" "&amp;RADataTable[[#This Row],[prop_id0]], "PIs@")</f>
        <v>PIs@</v>
      </c>
      <c r="AA191" t="s">
        <v>245</v>
      </c>
      <c r="AB191" t="s">
        <v>691</v>
      </c>
      <c r="AC191" s="30" t="s">
        <v>289</v>
      </c>
      <c r="AD191" t="s">
        <v>902</v>
      </c>
      <c r="AE191" t="s">
        <v>903</v>
      </c>
      <c r="AF191" s="36">
        <v>148477</v>
      </c>
      <c r="AG191" s="36">
        <v>148477</v>
      </c>
      <c r="AH191" s="24"/>
      <c r="AJ191" s="34"/>
      <c r="AK191" t="s">
        <v>923</v>
      </c>
      <c r="AL191" t="s">
        <v>232</v>
      </c>
      <c r="AM191" s="34" t="s">
        <v>925</v>
      </c>
      <c r="AN191" s="34">
        <v>43032</v>
      </c>
      <c r="AO191" s="24">
        <v>3</v>
      </c>
      <c r="AP191" t="s">
        <v>989</v>
      </c>
      <c r="AR191" s="35"/>
      <c r="AS191"/>
      <c r="AT191" s="34"/>
      <c r="AV191" s="34"/>
      <c r="AX191" s="34"/>
      <c r="AY191"/>
      <c r="BA191" s="34"/>
      <c r="BB191"/>
      <c r="BC191" t="s">
        <v>906</v>
      </c>
      <c r="BD191" s="36">
        <v>148477</v>
      </c>
      <c r="BE191" s="36">
        <v>148477</v>
      </c>
      <c r="BF191">
        <v>0</v>
      </c>
      <c r="BG191" s="34">
        <v>43252</v>
      </c>
      <c r="BH191">
        <v>24</v>
      </c>
      <c r="BI191" t="s">
        <v>974</v>
      </c>
      <c r="BJ191" t="s">
        <v>975</v>
      </c>
      <c r="BK191" t="s">
        <v>934</v>
      </c>
      <c r="BL191" t="s">
        <v>194</v>
      </c>
      <c r="BM191" s="8" t="s">
        <v>192</v>
      </c>
      <c r="BN191" t="s">
        <v>189</v>
      </c>
      <c r="BO191" t="s">
        <v>190</v>
      </c>
      <c r="BP191" s="35" t="s">
        <v>861</v>
      </c>
      <c r="BQ191"/>
      <c r="BU191" s="35"/>
      <c r="BV191" s="35"/>
      <c r="BX191"/>
      <c r="CA191" s="35"/>
      <c r="CB191" s="35"/>
      <c r="CC191"/>
      <c r="CG191" s="35"/>
      <c r="CH191" s="35"/>
      <c r="CK191"/>
      <c r="CM191" s="35"/>
      <c r="CN191" s="35"/>
      <c r="CQ191"/>
      <c r="CS191" s="35"/>
      <c r="CT191" s="35"/>
      <c r="CX191"/>
      <c r="CZ191" s="35"/>
      <c r="DD191" s="34"/>
      <c r="DG191" t="s">
        <v>904</v>
      </c>
      <c r="DH191" t="s">
        <v>990</v>
      </c>
      <c r="DI191" t="s">
        <v>233</v>
      </c>
      <c r="DL191" t="s">
        <v>691</v>
      </c>
      <c r="DM191">
        <v>5</v>
      </c>
      <c r="DN191">
        <v>7</v>
      </c>
      <c r="DO191" t="s">
        <v>905</v>
      </c>
      <c r="DQ191" t="s">
        <v>927</v>
      </c>
      <c r="DR191">
        <v>14</v>
      </c>
      <c r="DS191">
        <v>0</v>
      </c>
      <c r="DU191">
        <v>14</v>
      </c>
      <c r="DV191">
        <v>0</v>
      </c>
      <c r="DX191">
        <v>14</v>
      </c>
      <c r="DY191">
        <v>0</v>
      </c>
      <c r="DZ191" t="s">
        <v>246</v>
      </c>
      <c r="EA191" t="s">
        <v>929</v>
      </c>
    </row>
    <row r="192" spans="1:131" x14ac:dyDescent="0.4">
      <c r="A192" s="34">
        <v>43067.305104166669</v>
      </c>
      <c r="B192" s="25">
        <v>42956.746527777781</v>
      </c>
      <c r="D192" s="34"/>
      <c r="E192" s="34" t="s">
        <v>193</v>
      </c>
      <c r="F192" s="34" t="s">
        <v>191</v>
      </c>
      <c r="G192" s="34" t="s">
        <v>100</v>
      </c>
      <c r="H192" t="s">
        <v>856</v>
      </c>
      <c r="I192" t="s">
        <v>243</v>
      </c>
      <c r="J192" t="s">
        <v>857</v>
      </c>
      <c r="K192" t="s">
        <v>729</v>
      </c>
      <c r="L192" t="s">
        <v>855</v>
      </c>
      <c r="M192" s="30">
        <v>2.0299999999999998</v>
      </c>
      <c r="N192">
        <v>6</v>
      </c>
      <c r="P192" s="24" t="str">
        <f>IFERROR(MID(RADataTable[[#This Row],[RATemplate]],1,LEN(RADataTable[[#This Row],[RATemplate]])-8),"RA") &amp; " " &amp; RADataTable[[#This Row],[prop_id0]] &amp; " " &amp; RADataTable[[#This Row],[last0]]</f>
        <v>RA 1756014 Chen</v>
      </c>
      <c r="T192">
        <v>3</v>
      </c>
      <c r="U192">
        <v>3</v>
      </c>
      <c r="V192" s="34">
        <v>43031.734027777777</v>
      </c>
      <c r="W192">
        <v>1</v>
      </c>
      <c r="X192" s="15" t="str">
        <f>HYPERLINK("https://www.ejacket.nsf.gov/ej/showProposal.do?Continue=Y&amp;ID="&amp;RADataTable[[#This Row],[prop_id0]],"eJ")</f>
        <v>eJ</v>
      </c>
      <c r="Y192" s="15" t="str">
        <f>HYPERLINK("mailto:"&amp;RADataTable[[#This Row],[email]]&amp;"&amp;subject=Your NSF Proposal:  "&amp;RADataTable[[#This Row],[Div]]&amp;" "&amp;RADataTable[[#This Row],[prop_id0]], RADataTable[[#This Row],[email]])</f>
        <v>lchen49@central.uh.edu</v>
      </c>
      <c r="Z192" s="15" t="str">
        <f>HYPERLINK("mailto:"&amp;RADataTable[[#This Row],[allPIemail]]&amp;"&amp;subject=NSF Proposal:  "&amp;RADataTable[[#This Row],[Div]]&amp;" "&amp;RADataTable[[#This Row],[prop_id0]], "PIs@")</f>
        <v>PIs@</v>
      </c>
      <c r="AA192" t="s">
        <v>245</v>
      </c>
      <c r="AB192" t="s">
        <v>691</v>
      </c>
      <c r="AC192" s="30" t="s">
        <v>289</v>
      </c>
      <c r="AD192" t="s">
        <v>902</v>
      </c>
      <c r="AE192" t="s">
        <v>903</v>
      </c>
      <c r="AF192" s="36">
        <v>148477</v>
      </c>
      <c r="AG192" s="36">
        <v>148477</v>
      </c>
      <c r="AH192" s="24"/>
      <c r="AJ192" s="34"/>
      <c r="AK192" t="s">
        <v>923</v>
      </c>
      <c r="AL192" t="s">
        <v>232</v>
      </c>
      <c r="AM192" s="34" t="s">
        <v>925</v>
      </c>
      <c r="AN192" s="34">
        <v>43032</v>
      </c>
      <c r="AO192" s="24">
        <v>3</v>
      </c>
      <c r="AP192" t="s">
        <v>989</v>
      </c>
      <c r="AR192" s="35"/>
      <c r="AS192"/>
      <c r="AT192" s="34"/>
      <c r="AV192" s="34"/>
      <c r="AX192" s="34"/>
      <c r="AY192"/>
      <c r="BA192" s="34"/>
      <c r="BB192"/>
      <c r="BC192" t="s">
        <v>906</v>
      </c>
      <c r="BD192" s="36">
        <v>148477</v>
      </c>
      <c r="BE192" s="36">
        <v>148477</v>
      </c>
      <c r="BF192">
        <v>0</v>
      </c>
      <c r="BG192" s="34">
        <v>43252</v>
      </c>
      <c r="BH192">
        <v>24</v>
      </c>
      <c r="BI192" t="s">
        <v>974</v>
      </c>
      <c r="BJ192" t="s">
        <v>975</v>
      </c>
      <c r="BK192" t="s">
        <v>934</v>
      </c>
      <c r="BL192" t="s">
        <v>194</v>
      </c>
      <c r="BM192" s="8" t="s">
        <v>192</v>
      </c>
      <c r="BN192" t="s">
        <v>189</v>
      </c>
      <c r="BO192" t="s">
        <v>190</v>
      </c>
      <c r="BP192" s="35" t="s">
        <v>861</v>
      </c>
      <c r="BQ192"/>
      <c r="BU192" s="35"/>
      <c r="BV192" s="35"/>
      <c r="BX192"/>
      <c r="CA192" s="35"/>
      <c r="CB192" s="35"/>
      <c r="CC192"/>
      <c r="CG192" s="35"/>
      <c r="CH192" s="35"/>
      <c r="CK192"/>
      <c r="CM192" s="35"/>
      <c r="CN192" s="35"/>
      <c r="CQ192"/>
      <c r="CS192" s="35"/>
      <c r="CT192" s="35"/>
      <c r="CX192"/>
      <c r="CZ192" s="35"/>
      <c r="DD192" s="34"/>
      <c r="DG192" t="s">
        <v>904</v>
      </c>
      <c r="DH192" t="s">
        <v>990</v>
      </c>
      <c r="DI192" t="s">
        <v>233</v>
      </c>
      <c r="DL192" t="s">
        <v>691</v>
      </c>
      <c r="DM192">
        <v>5</v>
      </c>
      <c r="DN192">
        <v>7</v>
      </c>
      <c r="DO192" t="s">
        <v>905</v>
      </c>
      <c r="DQ192" t="s">
        <v>927</v>
      </c>
      <c r="DR192">
        <v>14</v>
      </c>
      <c r="DS192">
        <v>0</v>
      </c>
      <c r="DU192">
        <v>14</v>
      </c>
      <c r="DV192">
        <v>0</v>
      </c>
      <c r="DX192">
        <v>14</v>
      </c>
      <c r="DY192">
        <v>0</v>
      </c>
      <c r="DZ192" t="s">
        <v>246</v>
      </c>
      <c r="EA192" t="s">
        <v>929</v>
      </c>
    </row>
    <row r="193" spans="1:131" x14ac:dyDescent="0.4">
      <c r="A193" s="34">
        <v>43067.305104166669</v>
      </c>
      <c r="B193" s="25">
        <v>42956.746527777781</v>
      </c>
      <c r="D193" s="34"/>
      <c r="E193" s="34" t="s">
        <v>193</v>
      </c>
      <c r="F193" s="34" t="s">
        <v>191</v>
      </c>
      <c r="G193" s="34" t="s">
        <v>100</v>
      </c>
      <c r="H193" t="s">
        <v>856</v>
      </c>
      <c r="I193" t="s">
        <v>243</v>
      </c>
      <c r="J193" t="s">
        <v>857</v>
      </c>
      <c r="K193" t="s">
        <v>729</v>
      </c>
      <c r="L193" t="s">
        <v>855</v>
      </c>
      <c r="M193" s="30">
        <v>2.0299999999999998</v>
      </c>
      <c r="N193">
        <v>6</v>
      </c>
      <c r="P193" s="24" t="str">
        <f>IFERROR(MID(RADataTable[[#This Row],[RATemplate]],1,LEN(RADataTable[[#This Row],[RATemplate]])-8),"RA") &amp; " " &amp; RADataTable[[#This Row],[prop_id0]] &amp; " " &amp; RADataTable[[#This Row],[last0]]</f>
        <v>RA 1756014 Chen</v>
      </c>
      <c r="T193">
        <v>3</v>
      </c>
      <c r="U193">
        <v>3</v>
      </c>
      <c r="V193" s="34">
        <v>43031.734027777777</v>
      </c>
      <c r="W193">
        <v>1</v>
      </c>
      <c r="X193" s="15" t="str">
        <f>HYPERLINK("https://www.ejacket.nsf.gov/ej/showProposal.do?Continue=Y&amp;ID="&amp;RADataTable[[#This Row],[prop_id0]],"eJ")</f>
        <v>eJ</v>
      </c>
      <c r="Y193" s="15" t="str">
        <f>HYPERLINK("mailto:"&amp;RADataTable[[#This Row],[email]]&amp;"&amp;subject=Your NSF Proposal:  "&amp;RADataTable[[#This Row],[Div]]&amp;" "&amp;RADataTable[[#This Row],[prop_id0]], RADataTable[[#This Row],[email]])</f>
        <v>lchen49@central.uh.edu</v>
      </c>
      <c r="Z193" s="15" t="str">
        <f>HYPERLINK("mailto:"&amp;RADataTable[[#This Row],[allPIemail]]&amp;"&amp;subject=NSF Proposal:  "&amp;RADataTable[[#This Row],[Div]]&amp;" "&amp;RADataTable[[#This Row],[prop_id0]], "PIs@")</f>
        <v>PIs@</v>
      </c>
      <c r="AA193" t="s">
        <v>245</v>
      </c>
      <c r="AB193" t="s">
        <v>691</v>
      </c>
      <c r="AC193" s="30" t="s">
        <v>289</v>
      </c>
      <c r="AD193" t="s">
        <v>902</v>
      </c>
      <c r="AE193" t="s">
        <v>903</v>
      </c>
      <c r="AF193" s="36">
        <v>148477</v>
      </c>
      <c r="AG193" s="36">
        <v>148477</v>
      </c>
      <c r="AH193" s="24"/>
      <c r="AJ193" s="34"/>
      <c r="AK193" t="s">
        <v>923</v>
      </c>
      <c r="AL193" t="s">
        <v>232</v>
      </c>
      <c r="AM193" s="34" t="s">
        <v>925</v>
      </c>
      <c r="AN193" s="34">
        <v>43032</v>
      </c>
      <c r="AO193" s="24">
        <v>3</v>
      </c>
      <c r="AP193" t="s">
        <v>989</v>
      </c>
      <c r="AR193" s="35"/>
      <c r="AS193"/>
      <c r="AT193" s="34"/>
      <c r="AV193" s="34"/>
      <c r="AX193" s="34"/>
      <c r="AY193"/>
      <c r="BA193" s="34"/>
      <c r="BB193"/>
      <c r="BC193" t="s">
        <v>906</v>
      </c>
      <c r="BD193" s="36">
        <v>148477</v>
      </c>
      <c r="BE193" s="36">
        <v>148477</v>
      </c>
      <c r="BF193">
        <v>0</v>
      </c>
      <c r="BG193" s="34">
        <v>43252</v>
      </c>
      <c r="BH193">
        <v>24</v>
      </c>
      <c r="BI193" t="s">
        <v>974</v>
      </c>
      <c r="BJ193" t="s">
        <v>975</v>
      </c>
      <c r="BK193" t="s">
        <v>934</v>
      </c>
      <c r="BL193" t="s">
        <v>194</v>
      </c>
      <c r="BM193" s="8" t="s">
        <v>192</v>
      </c>
      <c r="BN193" t="s">
        <v>189</v>
      </c>
      <c r="BO193" t="s">
        <v>190</v>
      </c>
      <c r="BP193" s="35" t="s">
        <v>861</v>
      </c>
      <c r="BQ193"/>
      <c r="BU193" s="35"/>
      <c r="BV193" s="35"/>
      <c r="BX193"/>
      <c r="CA193" s="35"/>
      <c r="CB193" s="35"/>
      <c r="CC193"/>
      <c r="CG193" s="35"/>
      <c r="CH193" s="35"/>
      <c r="CK193"/>
      <c r="CM193" s="35"/>
      <c r="CN193" s="35"/>
      <c r="CQ193"/>
      <c r="CS193" s="35"/>
      <c r="CT193" s="35"/>
      <c r="CX193"/>
      <c r="CZ193" s="35"/>
      <c r="DD193" s="34"/>
      <c r="DG193" t="s">
        <v>904</v>
      </c>
      <c r="DH193" t="s">
        <v>990</v>
      </c>
      <c r="DI193" t="s">
        <v>233</v>
      </c>
      <c r="DL193" t="s">
        <v>691</v>
      </c>
      <c r="DM193">
        <v>5</v>
      </c>
      <c r="DN193">
        <v>7</v>
      </c>
      <c r="DO193" t="s">
        <v>905</v>
      </c>
      <c r="DQ193" t="s">
        <v>927</v>
      </c>
      <c r="DR193">
        <v>14</v>
      </c>
      <c r="DS193">
        <v>0</v>
      </c>
      <c r="DU193">
        <v>14</v>
      </c>
      <c r="DV193">
        <v>0</v>
      </c>
      <c r="DX193">
        <v>14</v>
      </c>
      <c r="DY193">
        <v>0</v>
      </c>
      <c r="DZ193" t="s">
        <v>246</v>
      </c>
      <c r="EA193" t="s">
        <v>929</v>
      </c>
    </row>
    <row r="194" spans="1:131" x14ac:dyDescent="0.4">
      <c r="A194" s="34">
        <v>43067.305104166669</v>
      </c>
      <c r="B194" s="25">
        <v>42956.746527777781</v>
      </c>
      <c r="D194" s="34"/>
      <c r="E194" s="34" t="s">
        <v>193</v>
      </c>
      <c r="F194" s="34" t="s">
        <v>191</v>
      </c>
      <c r="G194" s="34" t="s">
        <v>100</v>
      </c>
      <c r="H194" t="s">
        <v>856</v>
      </c>
      <c r="I194" t="s">
        <v>243</v>
      </c>
      <c r="J194" t="s">
        <v>857</v>
      </c>
      <c r="K194" t="s">
        <v>729</v>
      </c>
      <c r="L194" t="s">
        <v>855</v>
      </c>
      <c r="M194" s="30">
        <v>2.0299999999999998</v>
      </c>
      <c r="N194">
        <v>6</v>
      </c>
      <c r="P194" s="24" t="str">
        <f>IFERROR(MID(RADataTable[[#This Row],[RATemplate]],1,LEN(RADataTable[[#This Row],[RATemplate]])-8),"RA") &amp; " " &amp; RADataTable[[#This Row],[prop_id0]] &amp; " " &amp; RADataTable[[#This Row],[last0]]</f>
        <v>RA 1756014 Chen</v>
      </c>
      <c r="T194">
        <v>3</v>
      </c>
      <c r="U194">
        <v>3</v>
      </c>
      <c r="V194" s="34">
        <v>43031.734027777777</v>
      </c>
      <c r="W194">
        <v>1</v>
      </c>
      <c r="X194" s="15" t="str">
        <f>HYPERLINK("https://www.ejacket.nsf.gov/ej/showProposal.do?Continue=Y&amp;ID="&amp;RADataTable[[#This Row],[prop_id0]],"eJ")</f>
        <v>eJ</v>
      </c>
      <c r="Y194" s="15" t="str">
        <f>HYPERLINK("mailto:"&amp;RADataTable[[#This Row],[email]]&amp;"&amp;subject=Your NSF Proposal:  "&amp;RADataTable[[#This Row],[Div]]&amp;" "&amp;RADataTable[[#This Row],[prop_id0]], RADataTable[[#This Row],[email]])</f>
        <v>lchen49@central.uh.edu</v>
      </c>
      <c r="Z194" s="15" t="str">
        <f>HYPERLINK("mailto:"&amp;RADataTable[[#This Row],[allPIemail]]&amp;"&amp;subject=NSF Proposal:  "&amp;RADataTable[[#This Row],[Div]]&amp;" "&amp;RADataTable[[#This Row],[prop_id0]], "PIs@")</f>
        <v>PIs@</v>
      </c>
      <c r="AA194" t="s">
        <v>245</v>
      </c>
      <c r="AB194" t="s">
        <v>691</v>
      </c>
      <c r="AC194" s="30" t="s">
        <v>289</v>
      </c>
      <c r="AD194" t="s">
        <v>902</v>
      </c>
      <c r="AE194" t="s">
        <v>903</v>
      </c>
      <c r="AF194" s="36">
        <v>148477</v>
      </c>
      <c r="AG194" s="36">
        <v>148477</v>
      </c>
      <c r="AH194" s="24"/>
      <c r="AJ194" s="34"/>
      <c r="AK194" t="s">
        <v>923</v>
      </c>
      <c r="AL194" t="s">
        <v>232</v>
      </c>
      <c r="AM194" s="34" t="s">
        <v>925</v>
      </c>
      <c r="AN194" s="34">
        <v>43032</v>
      </c>
      <c r="AO194" s="24">
        <v>3</v>
      </c>
      <c r="AP194" t="s">
        <v>989</v>
      </c>
      <c r="AR194" s="35"/>
      <c r="AS194"/>
      <c r="AT194" s="34"/>
      <c r="AV194" s="34"/>
      <c r="AX194" s="34"/>
      <c r="AY194"/>
      <c r="BA194" s="34"/>
      <c r="BB194"/>
      <c r="BC194" t="s">
        <v>906</v>
      </c>
      <c r="BD194" s="36">
        <v>148477</v>
      </c>
      <c r="BE194" s="36">
        <v>148477</v>
      </c>
      <c r="BF194">
        <v>0</v>
      </c>
      <c r="BG194" s="34">
        <v>43252</v>
      </c>
      <c r="BH194">
        <v>24</v>
      </c>
      <c r="BI194" t="s">
        <v>974</v>
      </c>
      <c r="BJ194" t="s">
        <v>975</v>
      </c>
      <c r="BK194" t="s">
        <v>934</v>
      </c>
      <c r="BL194" t="s">
        <v>194</v>
      </c>
      <c r="BM194" s="8" t="s">
        <v>192</v>
      </c>
      <c r="BN194" t="s">
        <v>189</v>
      </c>
      <c r="BO194" t="s">
        <v>190</v>
      </c>
      <c r="BP194" s="35" t="s">
        <v>861</v>
      </c>
      <c r="BQ194"/>
      <c r="BU194" s="35"/>
      <c r="BV194" s="35"/>
      <c r="BX194"/>
      <c r="CA194" s="35"/>
      <c r="CB194" s="35"/>
      <c r="CC194"/>
      <c r="CG194" s="35"/>
      <c r="CH194" s="35"/>
      <c r="CK194"/>
      <c r="CM194" s="35"/>
      <c r="CN194" s="35"/>
      <c r="CQ194"/>
      <c r="CS194" s="35"/>
      <c r="CT194" s="35"/>
      <c r="CX194"/>
      <c r="CZ194" s="35"/>
      <c r="DD194" s="34"/>
      <c r="DG194" t="s">
        <v>904</v>
      </c>
      <c r="DH194" t="s">
        <v>990</v>
      </c>
      <c r="DI194" t="s">
        <v>233</v>
      </c>
      <c r="DL194" t="s">
        <v>691</v>
      </c>
      <c r="DM194">
        <v>5</v>
      </c>
      <c r="DN194">
        <v>7</v>
      </c>
      <c r="DO194" t="s">
        <v>905</v>
      </c>
      <c r="DQ194" t="s">
        <v>927</v>
      </c>
      <c r="DR194">
        <v>14</v>
      </c>
      <c r="DS194">
        <v>0</v>
      </c>
      <c r="DU194">
        <v>14</v>
      </c>
      <c r="DV194">
        <v>0</v>
      </c>
      <c r="DX194">
        <v>14</v>
      </c>
      <c r="DY194">
        <v>0</v>
      </c>
      <c r="DZ194" t="s">
        <v>246</v>
      </c>
      <c r="EA194" t="s">
        <v>929</v>
      </c>
    </row>
    <row r="195" spans="1:131" x14ac:dyDescent="0.4">
      <c r="A195" s="34">
        <v>43067.305104166669</v>
      </c>
      <c r="B195" s="25">
        <v>42956.746527777781</v>
      </c>
      <c r="D195" s="34"/>
      <c r="E195" s="34" t="s">
        <v>193</v>
      </c>
      <c r="F195" s="34" t="s">
        <v>191</v>
      </c>
      <c r="G195" s="34" t="s">
        <v>100</v>
      </c>
      <c r="H195" t="s">
        <v>856</v>
      </c>
      <c r="I195" t="s">
        <v>243</v>
      </c>
      <c r="J195" t="s">
        <v>857</v>
      </c>
      <c r="K195" t="s">
        <v>729</v>
      </c>
      <c r="L195" t="s">
        <v>855</v>
      </c>
      <c r="M195" s="30">
        <v>2.0299999999999998</v>
      </c>
      <c r="N195">
        <v>6</v>
      </c>
      <c r="P195" s="24" t="str">
        <f>IFERROR(MID(RADataTable[[#This Row],[RATemplate]],1,LEN(RADataTable[[#This Row],[RATemplate]])-8),"RA") &amp; " " &amp; RADataTable[[#This Row],[prop_id0]] &amp; " " &amp; RADataTable[[#This Row],[last0]]</f>
        <v>RA 1756014 Chen</v>
      </c>
      <c r="T195">
        <v>3</v>
      </c>
      <c r="U195">
        <v>3</v>
      </c>
      <c r="V195" s="34">
        <v>43031.734027777777</v>
      </c>
      <c r="W195">
        <v>1</v>
      </c>
      <c r="X195" s="15" t="str">
        <f>HYPERLINK("https://www.ejacket.nsf.gov/ej/showProposal.do?Continue=Y&amp;ID="&amp;RADataTable[[#This Row],[prop_id0]],"eJ")</f>
        <v>eJ</v>
      </c>
      <c r="Y195" s="15" t="str">
        <f>HYPERLINK("mailto:"&amp;RADataTable[[#This Row],[email]]&amp;"&amp;subject=Your NSF Proposal:  "&amp;RADataTable[[#This Row],[Div]]&amp;" "&amp;RADataTable[[#This Row],[prop_id0]], RADataTable[[#This Row],[email]])</f>
        <v>lchen49@central.uh.edu</v>
      </c>
      <c r="Z195" s="15" t="str">
        <f>HYPERLINK("mailto:"&amp;RADataTable[[#This Row],[allPIemail]]&amp;"&amp;subject=NSF Proposal:  "&amp;RADataTable[[#This Row],[Div]]&amp;" "&amp;RADataTable[[#This Row],[prop_id0]], "PIs@")</f>
        <v>PIs@</v>
      </c>
      <c r="AA195" t="s">
        <v>245</v>
      </c>
      <c r="AB195" t="s">
        <v>691</v>
      </c>
      <c r="AC195" s="30" t="s">
        <v>289</v>
      </c>
      <c r="AD195" t="s">
        <v>902</v>
      </c>
      <c r="AE195" t="s">
        <v>903</v>
      </c>
      <c r="AF195" s="36">
        <v>148477</v>
      </c>
      <c r="AG195" s="36">
        <v>148477</v>
      </c>
      <c r="AH195" s="24"/>
      <c r="AJ195" s="34"/>
      <c r="AK195" t="s">
        <v>923</v>
      </c>
      <c r="AL195" t="s">
        <v>232</v>
      </c>
      <c r="AM195" s="34" t="s">
        <v>925</v>
      </c>
      <c r="AN195" s="34">
        <v>43032</v>
      </c>
      <c r="AO195" s="24">
        <v>3</v>
      </c>
      <c r="AP195" t="s">
        <v>989</v>
      </c>
      <c r="AR195" s="35"/>
      <c r="AS195"/>
      <c r="AT195" s="34"/>
      <c r="AV195" s="34"/>
      <c r="AX195" s="34"/>
      <c r="AY195"/>
      <c r="BA195" s="34"/>
      <c r="BB195"/>
      <c r="BC195" t="s">
        <v>906</v>
      </c>
      <c r="BD195" s="36">
        <v>148477</v>
      </c>
      <c r="BE195" s="36">
        <v>148477</v>
      </c>
      <c r="BF195">
        <v>0</v>
      </c>
      <c r="BG195" s="34">
        <v>43252</v>
      </c>
      <c r="BH195">
        <v>24</v>
      </c>
      <c r="BI195" t="s">
        <v>974</v>
      </c>
      <c r="BJ195" t="s">
        <v>975</v>
      </c>
      <c r="BK195" t="s">
        <v>934</v>
      </c>
      <c r="BL195" t="s">
        <v>194</v>
      </c>
      <c r="BM195" s="8" t="s">
        <v>192</v>
      </c>
      <c r="BN195" t="s">
        <v>189</v>
      </c>
      <c r="BO195" t="s">
        <v>190</v>
      </c>
      <c r="BP195" s="35" t="s">
        <v>861</v>
      </c>
      <c r="BQ195"/>
      <c r="BU195" s="35"/>
      <c r="BV195" s="35"/>
      <c r="BX195"/>
      <c r="CA195" s="35"/>
      <c r="CB195" s="35"/>
      <c r="CC195"/>
      <c r="CG195" s="35"/>
      <c r="CH195" s="35"/>
      <c r="CK195"/>
      <c r="CM195" s="35"/>
      <c r="CN195" s="35"/>
      <c r="CQ195"/>
      <c r="CS195" s="35"/>
      <c r="CT195" s="35"/>
      <c r="CX195"/>
      <c r="CZ195" s="35"/>
      <c r="DD195" s="34"/>
      <c r="DG195" t="s">
        <v>904</v>
      </c>
      <c r="DH195" t="s">
        <v>990</v>
      </c>
      <c r="DI195" t="s">
        <v>233</v>
      </c>
      <c r="DL195" t="s">
        <v>691</v>
      </c>
      <c r="DM195">
        <v>5</v>
      </c>
      <c r="DN195">
        <v>7</v>
      </c>
      <c r="DO195" t="s">
        <v>905</v>
      </c>
      <c r="DQ195" t="s">
        <v>927</v>
      </c>
      <c r="DR195">
        <v>14</v>
      </c>
      <c r="DS195">
        <v>0</v>
      </c>
      <c r="DU195">
        <v>14</v>
      </c>
      <c r="DV195">
        <v>0</v>
      </c>
      <c r="DX195">
        <v>14</v>
      </c>
      <c r="DY195">
        <v>0</v>
      </c>
      <c r="DZ195" t="s">
        <v>246</v>
      </c>
      <c r="EA195" t="s">
        <v>929</v>
      </c>
    </row>
    <row r="196" spans="1:131" x14ac:dyDescent="0.4">
      <c r="A196" s="34">
        <v>43067.305104166669</v>
      </c>
      <c r="B196" s="25">
        <v>42956.746527777781</v>
      </c>
      <c r="D196" s="34"/>
      <c r="E196" s="34" t="s">
        <v>193</v>
      </c>
      <c r="F196" s="34" t="s">
        <v>191</v>
      </c>
      <c r="G196" s="34" t="s">
        <v>100</v>
      </c>
      <c r="H196" t="s">
        <v>856</v>
      </c>
      <c r="I196" t="s">
        <v>243</v>
      </c>
      <c r="J196" t="s">
        <v>857</v>
      </c>
      <c r="K196" t="s">
        <v>729</v>
      </c>
      <c r="L196" t="s">
        <v>855</v>
      </c>
      <c r="M196" s="30">
        <v>2.0299999999999998</v>
      </c>
      <c r="N196">
        <v>6</v>
      </c>
      <c r="P196" s="24" t="str">
        <f>IFERROR(MID(RADataTable[[#This Row],[RATemplate]],1,LEN(RADataTable[[#This Row],[RATemplate]])-8),"RA") &amp; " " &amp; RADataTable[[#This Row],[prop_id0]] &amp; " " &amp; RADataTable[[#This Row],[last0]]</f>
        <v>RA 1756014 Chen</v>
      </c>
      <c r="T196">
        <v>3</v>
      </c>
      <c r="U196">
        <v>3</v>
      </c>
      <c r="V196" s="34">
        <v>43031.734027777777</v>
      </c>
      <c r="W196">
        <v>1</v>
      </c>
      <c r="X196" s="15" t="str">
        <f>HYPERLINK("https://www.ejacket.nsf.gov/ej/showProposal.do?Continue=Y&amp;ID="&amp;RADataTable[[#This Row],[prop_id0]],"eJ")</f>
        <v>eJ</v>
      </c>
      <c r="Y196" s="15" t="str">
        <f>HYPERLINK("mailto:"&amp;RADataTable[[#This Row],[email]]&amp;"&amp;subject=Your NSF Proposal:  "&amp;RADataTable[[#This Row],[Div]]&amp;" "&amp;RADataTable[[#This Row],[prop_id0]], RADataTable[[#This Row],[email]])</f>
        <v>lchen49@central.uh.edu</v>
      </c>
      <c r="Z196" s="15" t="str">
        <f>HYPERLINK("mailto:"&amp;RADataTable[[#This Row],[allPIemail]]&amp;"&amp;subject=NSF Proposal:  "&amp;RADataTable[[#This Row],[Div]]&amp;" "&amp;RADataTable[[#This Row],[prop_id0]], "PIs@")</f>
        <v>PIs@</v>
      </c>
      <c r="AA196" t="s">
        <v>245</v>
      </c>
      <c r="AB196" t="s">
        <v>691</v>
      </c>
      <c r="AC196" s="30" t="s">
        <v>289</v>
      </c>
      <c r="AD196" t="s">
        <v>902</v>
      </c>
      <c r="AE196" t="s">
        <v>903</v>
      </c>
      <c r="AF196" s="36">
        <v>148477</v>
      </c>
      <c r="AG196" s="36">
        <v>148477</v>
      </c>
      <c r="AH196" s="24"/>
      <c r="AJ196" s="34"/>
      <c r="AK196" t="s">
        <v>923</v>
      </c>
      <c r="AL196" t="s">
        <v>232</v>
      </c>
      <c r="AM196" s="34" t="s">
        <v>925</v>
      </c>
      <c r="AN196" s="34">
        <v>43032</v>
      </c>
      <c r="AO196" s="24">
        <v>3</v>
      </c>
      <c r="AP196" t="s">
        <v>989</v>
      </c>
      <c r="AR196" s="35"/>
      <c r="AS196"/>
      <c r="AT196" s="34"/>
      <c r="AV196" s="34"/>
      <c r="AX196" s="34"/>
      <c r="AY196"/>
      <c r="BA196" s="34"/>
      <c r="BB196"/>
      <c r="BC196" t="s">
        <v>906</v>
      </c>
      <c r="BD196" s="36">
        <v>148477</v>
      </c>
      <c r="BE196" s="36">
        <v>148477</v>
      </c>
      <c r="BF196">
        <v>0</v>
      </c>
      <c r="BG196" s="34">
        <v>43252</v>
      </c>
      <c r="BH196">
        <v>24</v>
      </c>
      <c r="BI196" t="s">
        <v>974</v>
      </c>
      <c r="BJ196" t="s">
        <v>975</v>
      </c>
      <c r="BK196" t="s">
        <v>934</v>
      </c>
      <c r="BL196" t="s">
        <v>194</v>
      </c>
      <c r="BM196" s="8" t="s">
        <v>192</v>
      </c>
      <c r="BN196" t="s">
        <v>189</v>
      </c>
      <c r="BO196" t="s">
        <v>190</v>
      </c>
      <c r="BP196" s="35" t="s">
        <v>861</v>
      </c>
      <c r="BQ196"/>
      <c r="BU196" s="35"/>
      <c r="BV196" s="35"/>
      <c r="BX196"/>
      <c r="CA196" s="35"/>
      <c r="CB196" s="35"/>
      <c r="CC196"/>
      <c r="CG196" s="35"/>
      <c r="CH196" s="35"/>
      <c r="CK196"/>
      <c r="CM196" s="35"/>
      <c r="CN196" s="35"/>
      <c r="CQ196"/>
      <c r="CS196" s="35"/>
      <c r="CT196" s="35"/>
      <c r="CX196"/>
      <c r="CZ196" s="35"/>
      <c r="DD196" s="34"/>
      <c r="DG196" t="s">
        <v>904</v>
      </c>
      <c r="DH196" t="s">
        <v>990</v>
      </c>
      <c r="DI196" t="s">
        <v>233</v>
      </c>
      <c r="DL196" t="s">
        <v>691</v>
      </c>
      <c r="DM196">
        <v>5</v>
      </c>
      <c r="DN196">
        <v>7</v>
      </c>
      <c r="DO196" t="s">
        <v>905</v>
      </c>
      <c r="DQ196" t="s">
        <v>927</v>
      </c>
      <c r="DR196">
        <v>14</v>
      </c>
      <c r="DS196">
        <v>0</v>
      </c>
      <c r="DU196">
        <v>14</v>
      </c>
      <c r="DV196">
        <v>0</v>
      </c>
      <c r="DX196">
        <v>14</v>
      </c>
      <c r="DY196">
        <v>0</v>
      </c>
      <c r="DZ196" t="s">
        <v>246</v>
      </c>
      <c r="EA196" t="s">
        <v>929</v>
      </c>
    </row>
    <row r="197" spans="1:131" x14ac:dyDescent="0.4">
      <c r="A197" s="34">
        <v>43067.305104166669</v>
      </c>
      <c r="B197" s="25">
        <v>42956.746527777781</v>
      </c>
      <c r="D197" s="34"/>
      <c r="E197" s="34" t="s">
        <v>193</v>
      </c>
      <c r="F197" s="34" t="s">
        <v>191</v>
      </c>
      <c r="G197" s="34" t="s">
        <v>100</v>
      </c>
      <c r="H197" t="s">
        <v>856</v>
      </c>
      <c r="I197" t="s">
        <v>243</v>
      </c>
      <c r="J197" t="s">
        <v>857</v>
      </c>
      <c r="K197" t="s">
        <v>729</v>
      </c>
      <c r="L197" t="s">
        <v>855</v>
      </c>
      <c r="M197" s="30">
        <v>2.0299999999999998</v>
      </c>
      <c r="N197">
        <v>6</v>
      </c>
      <c r="P197" s="24" t="str">
        <f>IFERROR(MID(RADataTable[[#This Row],[RATemplate]],1,LEN(RADataTable[[#This Row],[RATemplate]])-8),"RA") &amp; " " &amp; RADataTable[[#This Row],[prop_id0]] &amp; " " &amp; RADataTable[[#This Row],[last0]]</f>
        <v>RA 1756014 Chen</v>
      </c>
      <c r="T197">
        <v>3</v>
      </c>
      <c r="U197">
        <v>3</v>
      </c>
      <c r="V197" s="34">
        <v>43031.734027777777</v>
      </c>
      <c r="W197">
        <v>1</v>
      </c>
      <c r="X197" s="15" t="str">
        <f>HYPERLINK("https://www.ejacket.nsf.gov/ej/showProposal.do?Continue=Y&amp;ID="&amp;RADataTable[[#This Row],[prop_id0]],"eJ")</f>
        <v>eJ</v>
      </c>
      <c r="Y197" s="15" t="str">
        <f>HYPERLINK("mailto:"&amp;RADataTable[[#This Row],[email]]&amp;"&amp;subject=Your NSF Proposal:  "&amp;RADataTable[[#This Row],[Div]]&amp;" "&amp;RADataTable[[#This Row],[prop_id0]], RADataTable[[#This Row],[email]])</f>
        <v>lchen49@central.uh.edu</v>
      </c>
      <c r="Z197" s="15" t="str">
        <f>HYPERLINK("mailto:"&amp;RADataTable[[#This Row],[allPIemail]]&amp;"&amp;subject=NSF Proposal:  "&amp;RADataTable[[#This Row],[Div]]&amp;" "&amp;RADataTable[[#This Row],[prop_id0]], "PIs@")</f>
        <v>PIs@</v>
      </c>
      <c r="AA197" t="s">
        <v>245</v>
      </c>
      <c r="AB197" t="s">
        <v>691</v>
      </c>
      <c r="AC197" s="30" t="s">
        <v>289</v>
      </c>
      <c r="AD197" t="s">
        <v>902</v>
      </c>
      <c r="AE197" t="s">
        <v>903</v>
      </c>
      <c r="AF197" s="36">
        <v>148477</v>
      </c>
      <c r="AG197" s="36">
        <v>148477</v>
      </c>
      <c r="AH197" s="24"/>
      <c r="AJ197" s="34"/>
      <c r="AK197" t="s">
        <v>923</v>
      </c>
      <c r="AL197" t="s">
        <v>232</v>
      </c>
      <c r="AM197" s="34" t="s">
        <v>925</v>
      </c>
      <c r="AN197" s="34">
        <v>43032</v>
      </c>
      <c r="AO197" s="24">
        <v>3</v>
      </c>
      <c r="AP197" t="s">
        <v>989</v>
      </c>
      <c r="AR197" s="35"/>
      <c r="AS197"/>
      <c r="AT197" s="34"/>
      <c r="AV197" s="34"/>
      <c r="AX197" s="34"/>
      <c r="AY197"/>
      <c r="BA197" s="34"/>
      <c r="BB197"/>
      <c r="BC197" t="s">
        <v>906</v>
      </c>
      <c r="BD197" s="36">
        <v>148477</v>
      </c>
      <c r="BE197" s="36">
        <v>148477</v>
      </c>
      <c r="BF197">
        <v>0</v>
      </c>
      <c r="BG197" s="34">
        <v>43252</v>
      </c>
      <c r="BH197">
        <v>24</v>
      </c>
      <c r="BI197" t="s">
        <v>974</v>
      </c>
      <c r="BJ197" t="s">
        <v>975</v>
      </c>
      <c r="BK197" t="s">
        <v>934</v>
      </c>
      <c r="BL197" t="s">
        <v>194</v>
      </c>
      <c r="BM197" s="8" t="s">
        <v>192</v>
      </c>
      <c r="BN197" t="s">
        <v>189</v>
      </c>
      <c r="BO197" t="s">
        <v>190</v>
      </c>
      <c r="BP197" s="35" t="s">
        <v>861</v>
      </c>
      <c r="BQ197"/>
      <c r="BU197" s="35"/>
      <c r="BV197" s="35"/>
      <c r="BX197"/>
      <c r="CA197" s="35"/>
      <c r="CB197" s="35"/>
      <c r="CC197"/>
      <c r="CG197" s="35"/>
      <c r="CH197" s="35"/>
      <c r="CK197"/>
      <c r="CM197" s="35"/>
      <c r="CN197" s="35"/>
      <c r="CQ197"/>
      <c r="CS197" s="35"/>
      <c r="CT197" s="35"/>
      <c r="CX197"/>
      <c r="CZ197" s="35"/>
      <c r="DD197" s="34"/>
      <c r="DG197" t="s">
        <v>904</v>
      </c>
      <c r="DH197" t="s">
        <v>990</v>
      </c>
      <c r="DI197" t="s">
        <v>233</v>
      </c>
      <c r="DL197" t="s">
        <v>691</v>
      </c>
      <c r="DM197">
        <v>5</v>
      </c>
      <c r="DN197">
        <v>7</v>
      </c>
      <c r="DO197" t="s">
        <v>905</v>
      </c>
      <c r="DQ197" t="s">
        <v>927</v>
      </c>
      <c r="DR197">
        <v>14</v>
      </c>
      <c r="DS197">
        <v>0</v>
      </c>
      <c r="DU197">
        <v>14</v>
      </c>
      <c r="DV197">
        <v>0</v>
      </c>
      <c r="DX197">
        <v>14</v>
      </c>
      <c r="DY197">
        <v>0</v>
      </c>
      <c r="DZ197" t="s">
        <v>246</v>
      </c>
      <c r="EA197" t="s">
        <v>929</v>
      </c>
    </row>
    <row r="198" spans="1:131" x14ac:dyDescent="0.4">
      <c r="A198" s="34">
        <v>43067.305104166669</v>
      </c>
      <c r="B198" s="25">
        <v>42956.746527777781</v>
      </c>
      <c r="D198" s="34"/>
      <c r="E198" s="34" t="s">
        <v>193</v>
      </c>
      <c r="F198" s="34" t="s">
        <v>191</v>
      </c>
      <c r="G198" s="34" t="s">
        <v>100</v>
      </c>
      <c r="H198" t="s">
        <v>856</v>
      </c>
      <c r="I198" t="s">
        <v>243</v>
      </c>
      <c r="J198" t="s">
        <v>857</v>
      </c>
      <c r="K198" t="s">
        <v>729</v>
      </c>
      <c r="L198" t="s">
        <v>855</v>
      </c>
      <c r="M198" s="30">
        <v>2.0299999999999998</v>
      </c>
      <c r="N198">
        <v>6</v>
      </c>
      <c r="P198" s="24" t="str">
        <f>IFERROR(MID(RADataTable[[#This Row],[RATemplate]],1,LEN(RADataTable[[#This Row],[RATemplate]])-8),"RA") &amp; " " &amp; RADataTable[[#This Row],[prop_id0]] &amp; " " &amp; RADataTable[[#This Row],[last0]]</f>
        <v>RA 1756014 Chen</v>
      </c>
      <c r="T198">
        <v>3</v>
      </c>
      <c r="U198">
        <v>3</v>
      </c>
      <c r="V198" s="34">
        <v>43031.734027777777</v>
      </c>
      <c r="W198">
        <v>1</v>
      </c>
      <c r="X198" s="15" t="str">
        <f>HYPERLINK("https://www.ejacket.nsf.gov/ej/showProposal.do?Continue=Y&amp;ID="&amp;RADataTable[[#This Row],[prop_id0]],"eJ")</f>
        <v>eJ</v>
      </c>
      <c r="Y198" s="15" t="str">
        <f>HYPERLINK("mailto:"&amp;RADataTable[[#This Row],[email]]&amp;"&amp;subject=Your NSF Proposal:  "&amp;RADataTable[[#This Row],[Div]]&amp;" "&amp;RADataTable[[#This Row],[prop_id0]], RADataTable[[#This Row],[email]])</f>
        <v>lchen49@central.uh.edu</v>
      </c>
      <c r="Z198" s="15" t="str">
        <f>HYPERLINK("mailto:"&amp;RADataTable[[#This Row],[allPIemail]]&amp;"&amp;subject=NSF Proposal:  "&amp;RADataTable[[#This Row],[Div]]&amp;" "&amp;RADataTable[[#This Row],[prop_id0]], "PIs@")</f>
        <v>PIs@</v>
      </c>
      <c r="AA198" t="s">
        <v>245</v>
      </c>
      <c r="AB198" t="s">
        <v>691</v>
      </c>
      <c r="AC198" s="30" t="s">
        <v>289</v>
      </c>
      <c r="AD198" t="s">
        <v>902</v>
      </c>
      <c r="AE198" t="s">
        <v>903</v>
      </c>
      <c r="AF198" s="36">
        <v>148477</v>
      </c>
      <c r="AG198" s="36">
        <v>148477</v>
      </c>
      <c r="AH198" s="24"/>
      <c r="AJ198" s="34"/>
      <c r="AK198" t="s">
        <v>923</v>
      </c>
      <c r="AL198" t="s">
        <v>232</v>
      </c>
      <c r="AM198" s="34" t="s">
        <v>925</v>
      </c>
      <c r="AN198" s="34">
        <v>43032</v>
      </c>
      <c r="AO198" s="24">
        <v>3</v>
      </c>
      <c r="AP198" t="s">
        <v>989</v>
      </c>
      <c r="AR198" s="35"/>
      <c r="AS198"/>
      <c r="AT198" s="34"/>
      <c r="AV198" s="34"/>
      <c r="AX198" s="34"/>
      <c r="AY198"/>
      <c r="BA198" s="34"/>
      <c r="BB198"/>
      <c r="BC198" t="s">
        <v>906</v>
      </c>
      <c r="BD198" s="36">
        <v>148477</v>
      </c>
      <c r="BE198" s="36">
        <v>148477</v>
      </c>
      <c r="BF198">
        <v>0</v>
      </c>
      <c r="BG198" s="34">
        <v>43252</v>
      </c>
      <c r="BH198">
        <v>24</v>
      </c>
      <c r="BI198" t="s">
        <v>974</v>
      </c>
      <c r="BJ198" t="s">
        <v>975</v>
      </c>
      <c r="BK198" t="s">
        <v>934</v>
      </c>
      <c r="BL198" t="s">
        <v>194</v>
      </c>
      <c r="BM198" s="8" t="s">
        <v>192</v>
      </c>
      <c r="BN198" t="s">
        <v>189</v>
      </c>
      <c r="BO198" t="s">
        <v>190</v>
      </c>
      <c r="BP198" s="35" t="s">
        <v>861</v>
      </c>
      <c r="BQ198"/>
      <c r="BU198" s="35"/>
      <c r="BV198" s="35"/>
      <c r="BX198"/>
      <c r="CA198" s="35"/>
      <c r="CB198" s="35"/>
      <c r="CC198"/>
      <c r="CG198" s="35"/>
      <c r="CH198" s="35"/>
      <c r="CK198"/>
      <c r="CM198" s="35"/>
      <c r="CN198" s="35"/>
      <c r="CQ198"/>
      <c r="CS198" s="35"/>
      <c r="CT198" s="35"/>
      <c r="CX198"/>
      <c r="CZ198" s="35"/>
      <c r="DD198" s="34"/>
      <c r="DG198" t="s">
        <v>904</v>
      </c>
      <c r="DH198" t="s">
        <v>990</v>
      </c>
      <c r="DI198" t="s">
        <v>233</v>
      </c>
      <c r="DL198" t="s">
        <v>691</v>
      </c>
      <c r="DM198">
        <v>5</v>
      </c>
      <c r="DN198">
        <v>7</v>
      </c>
      <c r="DO198" t="s">
        <v>905</v>
      </c>
      <c r="DQ198" t="s">
        <v>927</v>
      </c>
      <c r="DR198">
        <v>14</v>
      </c>
      <c r="DS198">
        <v>0</v>
      </c>
      <c r="DU198">
        <v>14</v>
      </c>
      <c r="DV198">
        <v>0</v>
      </c>
      <c r="DX198">
        <v>14</v>
      </c>
      <c r="DY198">
        <v>0</v>
      </c>
      <c r="DZ198" t="s">
        <v>246</v>
      </c>
      <c r="EA198" t="s">
        <v>929</v>
      </c>
    </row>
    <row r="199" spans="1:131" x14ac:dyDescent="0.4">
      <c r="A199" s="34">
        <v>43067.305104166669</v>
      </c>
      <c r="B199" s="25">
        <v>42956.746527777781</v>
      </c>
      <c r="D199" s="34"/>
      <c r="E199" s="34" t="s">
        <v>193</v>
      </c>
      <c r="F199" s="34" t="s">
        <v>191</v>
      </c>
      <c r="G199" s="34" t="s">
        <v>100</v>
      </c>
      <c r="H199" t="s">
        <v>856</v>
      </c>
      <c r="I199" t="s">
        <v>243</v>
      </c>
      <c r="J199" t="s">
        <v>857</v>
      </c>
      <c r="K199" t="s">
        <v>729</v>
      </c>
      <c r="L199" t="s">
        <v>855</v>
      </c>
      <c r="M199" s="30">
        <v>2.0299999999999998</v>
      </c>
      <c r="N199">
        <v>6</v>
      </c>
      <c r="P199" s="24" t="str">
        <f>IFERROR(MID(RADataTable[[#This Row],[RATemplate]],1,LEN(RADataTable[[#This Row],[RATemplate]])-8),"RA") &amp; " " &amp; RADataTable[[#This Row],[prop_id0]] &amp; " " &amp; RADataTable[[#This Row],[last0]]</f>
        <v>RA 1756014 Chen</v>
      </c>
      <c r="T199">
        <v>3</v>
      </c>
      <c r="U199">
        <v>3</v>
      </c>
      <c r="V199" s="34">
        <v>43031.734027777777</v>
      </c>
      <c r="W199">
        <v>1</v>
      </c>
      <c r="X199" s="15" t="str">
        <f>HYPERLINK("https://www.ejacket.nsf.gov/ej/showProposal.do?Continue=Y&amp;ID="&amp;RADataTable[[#This Row],[prop_id0]],"eJ")</f>
        <v>eJ</v>
      </c>
      <c r="Y199" s="15" t="str">
        <f>HYPERLINK("mailto:"&amp;RADataTable[[#This Row],[email]]&amp;"&amp;subject=Your NSF Proposal:  "&amp;RADataTable[[#This Row],[Div]]&amp;" "&amp;RADataTable[[#This Row],[prop_id0]], RADataTable[[#This Row],[email]])</f>
        <v>lchen49@central.uh.edu</v>
      </c>
      <c r="Z199" s="15" t="str">
        <f>HYPERLINK("mailto:"&amp;RADataTable[[#This Row],[allPIemail]]&amp;"&amp;subject=NSF Proposal:  "&amp;RADataTable[[#This Row],[Div]]&amp;" "&amp;RADataTable[[#This Row],[prop_id0]], "PIs@")</f>
        <v>PIs@</v>
      </c>
      <c r="AA199" t="s">
        <v>245</v>
      </c>
      <c r="AB199" t="s">
        <v>691</v>
      </c>
      <c r="AC199" s="30" t="s">
        <v>289</v>
      </c>
      <c r="AD199" t="s">
        <v>902</v>
      </c>
      <c r="AE199" t="s">
        <v>903</v>
      </c>
      <c r="AF199" s="36">
        <v>148477</v>
      </c>
      <c r="AG199" s="36">
        <v>148477</v>
      </c>
      <c r="AH199" s="24"/>
      <c r="AJ199" s="34"/>
      <c r="AK199" t="s">
        <v>923</v>
      </c>
      <c r="AL199" t="s">
        <v>232</v>
      </c>
      <c r="AM199" s="34" t="s">
        <v>925</v>
      </c>
      <c r="AN199" s="34">
        <v>43032</v>
      </c>
      <c r="AO199" s="24">
        <v>3</v>
      </c>
      <c r="AP199" t="s">
        <v>989</v>
      </c>
      <c r="AR199" s="35"/>
      <c r="AS199"/>
      <c r="AT199" s="34"/>
      <c r="AV199" s="34"/>
      <c r="AX199" s="34"/>
      <c r="AY199"/>
      <c r="BA199" s="34"/>
      <c r="BB199"/>
      <c r="BC199" t="s">
        <v>906</v>
      </c>
      <c r="BD199" s="36">
        <v>148477</v>
      </c>
      <c r="BE199" s="36">
        <v>148477</v>
      </c>
      <c r="BF199">
        <v>0</v>
      </c>
      <c r="BG199" s="34">
        <v>43252</v>
      </c>
      <c r="BH199">
        <v>24</v>
      </c>
      <c r="BI199" t="s">
        <v>974</v>
      </c>
      <c r="BJ199" t="s">
        <v>975</v>
      </c>
      <c r="BK199" t="s">
        <v>934</v>
      </c>
      <c r="BL199" t="s">
        <v>194</v>
      </c>
      <c r="BM199" s="8" t="s">
        <v>192</v>
      </c>
      <c r="BN199" t="s">
        <v>189</v>
      </c>
      <c r="BO199" t="s">
        <v>190</v>
      </c>
      <c r="BP199" s="35" t="s">
        <v>861</v>
      </c>
      <c r="BQ199"/>
      <c r="BU199" s="35"/>
      <c r="BV199" s="35"/>
      <c r="BX199"/>
      <c r="CA199" s="35"/>
      <c r="CB199" s="35"/>
      <c r="CC199"/>
      <c r="CG199" s="35"/>
      <c r="CH199" s="35"/>
      <c r="CK199"/>
      <c r="CM199" s="35"/>
      <c r="CN199" s="35"/>
      <c r="CQ199"/>
      <c r="CS199" s="35"/>
      <c r="CT199" s="35"/>
      <c r="CX199"/>
      <c r="CZ199" s="35"/>
      <c r="DD199" s="34"/>
      <c r="DG199" t="s">
        <v>904</v>
      </c>
      <c r="DH199" t="s">
        <v>990</v>
      </c>
      <c r="DI199" t="s">
        <v>233</v>
      </c>
      <c r="DL199" t="s">
        <v>691</v>
      </c>
      <c r="DM199">
        <v>5</v>
      </c>
      <c r="DN199">
        <v>7</v>
      </c>
      <c r="DO199" t="s">
        <v>905</v>
      </c>
      <c r="DQ199" t="s">
        <v>927</v>
      </c>
      <c r="DR199">
        <v>14</v>
      </c>
      <c r="DS199">
        <v>0</v>
      </c>
      <c r="DU199">
        <v>14</v>
      </c>
      <c r="DV199">
        <v>0</v>
      </c>
      <c r="DX199">
        <v>14</v>
      </c>
      <c r="DY199">
        <v>0</v>
      </c>
      <c r="DZ199" t="s">
        <v>246</v>
      </c>
      <c r="EA199" t="s">
        <v>929</v>
      </c>
    </row>
    <row r="200" spans="1:131" x14ac:dyDescent="0.4">
      <c r="A200" s="34">
        <v>43067.305104166669</v>
      </c>
      <c r="B200" s="25">
        <v>42956.746527777781</v>
      </c>
      <c r="D200" s="34"/>
      <c r="E200" s="34" t="s">
        <v>193</v>
      </c>
      <c r="F200" s="34" t="s">
        <v>191</v>
      </c>
      <c r="G200" s="34" t="s">
        <v>100</v>
      </c>
      <c r="H200" t="s">
        <v>856</v>
      </c>
      <c r="I200" t="s">
        <v>243</v>
      </c>
      <c r="J200" t="s">
        <v>857</v>
      </c>
      <c r="K200" t="s">
        <v>729</v>
      </c>
      <c r="L200" t="s">
        <v>855</v>
      </c>
      <c r="M200" s="30">
        <v>2.0299999999999998</v>
      </c>
      <c r="N200">
        <v>6</v>
      </c>
      <c r="P200" s="24" t="str">
        <f>IFERROR(MID(RADataTable[[#This Row],[RATemplate]],1,LEN(RADataTable[[#This Row],[RATemplate]])-8),"RA") &amp; " " &amp; RADataTable[[#This Row],[prop_id0]] &amp; " " &amp; RADataTable[[#This Row],[last0]]</f>
        <v>RA 1756014 Chen</v>
      </c>
      <c r="T200">
        <v>3</v>
      </c>
      <c r="U200">
        <v>3</v>
      </c>
      <c r="V200" s="34">
        <v>43031.734027777777</v>
      </c>
      <c r="W200">
        <v>1</v>
      </c>
      <c r="X200" s="15" t="str">
        <f>HYPERLINK("https://www.ejacket.nsf.gov/ej/showProposal.do?Continue=Y&amp;ID="&amp;RADataTable[[#This Row],[prop_id0]],"eJ")</f>
        <v>eJ</v>
      </c>
      <c r="Y200" s="15" t="str">
        <f>HYPERLINK("mailto:"&amp;RADataTable[[#This Row],[email]]&amp;"&amp;subject=Your NSF Proposal:  "&amp;RADataTable[[#This Row],[Div]]&amp;" "&amp;RADataTable[[#This Row],[prop_id0]], RADataTable[[#This Row],[email]])</f>
        <v>lchen49@central.uh.edu</v>
      </c>
      <c r="Z200" s="15" t="str">
        <f>HYPERLINK("mailto:"&amp;RADataTable[[#This Row],[allPIemail]]&amp;"&amp;subject=NSF Proposal:  "&amp;RADataTable[[#This Row],[Div]]&amp;" "&amp;RADataTable[[#This Row],[prop_id0]], "PIs@")</f>
        <v>PIs@</v>
      </c>
      <c r="AA200" t="s">
        <v>245</v>
      </c>
      <c r="AB200" t="s">
        <v>691</v>
      </c>
      <c r="AC200" s="30" t="s">
        <v>289</v>
      </c>
      <c r="AD200" t="s">
        <v>902</v>
      </c>
      <c r="AE200" t="s">
        <v>903</v>
      </c>
      <c r="AF200" s="36">
        <v>148477</v>
      </c>
      <c r="AG200" s="36">
        <v>148477</v>
      </c>
      <c r="AH200" s="24"/>
      <c r="AJ200" s="34"/>
      <c r="AK200" t="s">
        <v>923</v>
      </c>
      <c r="AL200" t="s">
        <v>232</v>
      </c>
      <c r="AM200" s="34" t="s">
        <v>925</v>
      </c>
      <c r="AN200" s="34">
        <v>43032</v>
      </c>
      <c r="AO200" s="24">
        <v>3</v>
      </c>
      <c r="AP200" t="s">
        <v>989</v>
      </c>
      <c r="AR200" s="35"/>
      <c r="AS200"/>
      <c r="AT200" s="34"/>
      <c r="AV200" s="34"/>
      <c r="AX200" s="34"/>
      <c r="AY200"/>
      <c r="BA200" s="34"/>
      <c r="BB200"/>
      <c r="BC200" t="s">
        <v>906</v>
      </c>
      <c r="BD200" s="36">
        <v>148477</v>
      </c>
      <c r="BE200" s="36">
        <v>148477</v>
      </c>
      <c r="BF200">
        <v>0</v>
      </c>
      <c r="BG200" s="34">
        <v>43252</v>
      </c>
      <c r="BH200">
        <v>24</v>
      </c>
      <c r="BI200" t="s">
        <v>974</v>
      </c>
      <c r="BJ200" t="s">
        <v>975</v>
      </c>
      <c r="BK200" t="s">
        <v>934</v>
      </c>
      <c r="BL200" t="s">
        <v>194</v>
      </c>
      <c r="BM200" s="8" t="s">
        <v>192</v>
      </c>
      <c r="BN200" t="s">
        <v>189</v>
      </c>
      <c r="BO200" t="s">
        <v>190</v>
      </c>
      <c r="BP200" s="35" t="s">
        <v>861</v>
      </c>
      <c r="BQ200"/>
      <c r="BU200" s="35"/>
      <c r="BV200" s="35"/>
      <c r="BX200"/>
      <c r="CA200" s="35"/>
      <c r="CB200" s="35"/>
      <c r="CC200"/>
      <c r="CG200" s="35"/>
      <c r="CH200" s="35"/>
      <c r="CK200"/>
      <c r="CM200" s="35"/>
      <c r="CN200" s="35"/>
      <c r="CQ200"/>
      <c r="CS200" s="35"/>
      <c r="CT200" s="35"/>
      <c r="CX200"/>
      <c r="CZ200" s="35"/>
      <c r="DD200" s="34"/>
      <c r="DG200" t="s">
        <v>904</v>
      </c>
      <c r="DH200" t="s">
        <v>990</v>
      </c>
      <c r="DI200" t="s">
        <v>233</v>
      </c>
      <c r="DL200" t="s">
        <v>691</v>
      </c>
      <c r="DM200">
        <v>5</v>
      </c>
      <c r="DN200">
        <v>7</v>
      </c>
      <c r="DO200" t="s">
        <v>905</v>
      </c>
      <c r="DQ200" t="s">
        <v>927</v>
      </c>
      <c r="DR200">
        <v>14</v>
      </c>
      <c r="DS200">
        <v>0</v>
      </c>
      <c r="DU200">
        <v>14</v>
      </c>
      <c r="DV200">
        <v>0</v>
      </c>
      <c r="DX200">
        <v>14</v>
      </c>
      <c r="DY200">
        <v>0</v>
      </c>
      <c r="DZ200" t="s">
        <v>246</v>
      </c>
      <c r="EA200" t="s">
        <v>929</v>
      </c>
    </row>
    <row r="201" spans="1:131" x14ac:dyDescent="0.4">
      <c r="A201" s="34">
        <v>43067.305104166669</v>
      </c>
      <c r="B201" s="25">
        <v>42956.746527777781</v>
      </c>
      <c r="D201" s="34"/>
      <c r="E201" s="34" t="s">
        <v>193</v>
      </c>
      <c r="F201" s="34" t="s">
        <v>191</v>
      </c>
      <c r="G201" s="34" t="s">
        <v>100</v>
      </c>
      <c r="H201" t="s">
        <v>856</v>
      </c>
      <c r="I201" t="s">
        <v>243</v>
      </c>
      <c r="J201" t="s">
        <v>857</v>
      </c>
      <c r="K201" t="s">
        <v>729</v>
      </c>
      <c r="L201" t="s">
        <v>855</v>
      </c>
      <c r="M201" s="30">
        <v>2.0299999999999998</v>
      </c>
      <c r="N201">
        <v>6</v>
      </c>
      <c r="P201" s="24" t="str">
        <f>IFERROR(MID(RADataTable[[#This Row],[RATemplate]],1,LEN(RADataTable[[#This Row],[RATemplate]])-8),"RA") &amp; " " &amp; RADataTable[[#This Row],[prop_id0]] &amp; " " &amp; RADataTable[[#This Row],[last0]]</f>
        <v>RA 1756014 Chen</v>
      </c>
      <c r="T201">
        <v>3</v>
      </c>
      <c r="U201">
        <v>3</v>
      </c>
      <c r="V201" s="34">
        <v>43031.734027777777</v>
      </c>
      <c r="W201">
        <v>1</v>
      </c>
      <c r="X201" s="15" t="str">
        <f>HYPERLINK("https://www.ejacket.nsf.gov/ej/showProposal.do?Continue=Y&amp;ID="&amp;RADataTable[[#This Row],[prop_id0]],"eJ")</f>
        <v>eJ</v>
      </c>
      <c r="Y201" s="15" t="str">
        <f>HYPERLINK("mailto:"&amp;RADataTable[[#This Row],[email]]&amp;"&amp;subject=Your NSF Proposal:  "&amp;RADataTable[[#This Row],[Div]]&amp;" "&amp;RADataTable[[#This Row],[prop_id0]], RADataTable[[#This Row],[email]])</f>
        <v>lchen49@central.uh.edu</v>
      </c>
      <c r="Z201" s="15" t="str">
        <f>HYPERLINK("mailto:"&amp;RADataTable[[#This Row],[allPIemail]]&amp;"&amp;subject=NSF Proposal:  "&amp;RADataTable[[#This Row],[Div]]&amp;" "&amp;RADataTable[[#This Row],[prop_id0]], "PIs@")</f>
        <v>PIs@</v>
      </c>
      <c r="AA201" t="s">
        <v>245</v>
      </c>
      <c r="AB201" t="s">
        <v>691</v>
      </c>
      <c r="AC201" s="30" t="s">
        <v>289</v>
      </c>
      <c r="AD201" t="s">
        <v>902</v>
      </c>
      <c r="AE201" t="s">
        <v>903</v>
      </c>
      <c r="AF201" s="36">
        <v>148477</v>
      </c>
      <c r="AG201" s="36">
        <v>148477</v>
      </c>
      <c r="AH201" s="24"/>
      <c r="AJ201" s="34"/>
      <c r="AK201" t="s">
        <v>923</v>
      </c>
      <c r="AL201" t="s">
        <v>232</v>
      </c>
      <c r="AM201" s="34" t="s">
        <v>925</v>
      </c>
      <c r="AN201" s="34">
        <v>43032</v>
      </c>
      <c r="AO201" s="24">
        <v>3</v>
      </c>
      <c r="AP201" t="s">
        <v>989</v>
      </c>
      <c r="AR201" s="35"/>
      <c r="AS201"/>
      <c r="AT201" s="34"/>
      <c r="AV201" s="34"/>
      <c r="AX201" s="34"/>
      <c r="AY201"/>
      <c r="BA201" s="34"/>
      <c r="BB201"/>
      <c r="BC201" t="s">
        <v>906</v>
      </c>
      <c r="BD201" s="36">
        <v>148477</v>
      </c>
      <c r="BE201" s="36">
        <v>148477</v>
      </c>
      <c r="BF201">
        <v>0</v>
      </c>
      <c r="BG201" s="34">
        <v>43252</v>
      </c>
      <c r="BH201">
        <v>24</v>
      </c>
      <c r="BI201" t="s">
        <v>974</v>
      </c>
      <c r="BJ201" t="s">
        <v>975</v>
      </c>
      <c r="BK201" t="s">
        <v>934</v>
      </c>
      <c r="BL201" t="s">
        <v>194</v>
      </c>
      <c r="BM201" s="8" t="s">
        <v>192</v>
      </c>
      <c r="BN201" t="s">
        <v>189</v>
      </c>
      <c r="BO201" t="s">
        <v>190</v>
      </c>
      <c r="BP201" s="35" t="s">
        <v>861</v>
      </c>
      <c r="BQ201"/>
      <c r="BU201" s="35"/>
      <c r="BV201" s="35"/>
      <c r="BX201"/>
      <c r="CA201" s="35"/>
      <c r="CB201" s="35"/>
      <c r="CC201"/>
      <c r="CG201" s="35"/>
      <c r="CH201" s="35"/>
      <c r="CK201"/>
      <c r="CM201" s="35"/>
      <c r="CN201" s="35"/>
      <c r="CQ201"/>
      <c r="CS201" s="35"/>
      <c r="CT201" s="35"/>
      <c r="CX201"/>
      <c r="CZ201" s="35"/>
      <c r="DD201" s="34"/>
      <c r="DG201" t="s">
        <v>904</v>
      </c>
      <c r="DH201" t="s">
        <v>990</v>
      </c>
      <c r="DI201" t="s">
        <v>233</v>
      </c>
      <c r="DL201" t="s">
        <v>691</v>
      </c>
      <c r="DM201">
        <v>5</v>
      </c>
      <c r="DN201">
        <v>7</v>
      </c>
      <c r="DO201" t="s">
        <v>905</v>
      </c>
      <c r="DQ201" t="s">
        <v>927</v>
      </c>
      <c r="DR201">
        <v>14</v>
      </c>
      <c r="DS201">
        <v>0</v>
      </c>
      <c r="DU201">
        <v>14</v>
      </c>
      <c r="DV201">
        <v>0</v>
      </c>
      <c r="DX201">
        <v>14</v>
      </c>
      <c r="DY201">
        <v>0</v>
      </c>
      <c r="DZ201" t="s">
        <v>246</v>
      </c>
      <c r="EA201" t="s">
        <v>929</v>
      </c>
    </row>
    <row r="202" spans="1:131" x14ac:dyDescent="0.4">
      <c r="A202" s="34">
        <v>43067.305104166669</v>
      </c>
      <c r="B202" s="25">
        <v>42956.746527777781</v>
      </c>
      <c r="D202" s="34"/>
      <c r="E202" s="34" t="s">
        <v>193</v>
      </c>
      <c r="F202" s="34" t="s">
        <v>191</v>
      </c>
      <c r="G202" s="34" t="s">
        <v>100</v>
      </c>
      <c r="H202" t="s">
        <v>856</v>
      </c>
      <c r="I202" t="s">
        <v>243</v>
      </c>
      <c r="J202" t="s">
        <v>857</v>
      </c>
      <c r="K202" t="s">
        <v>729</v>
      </c>
      <c r="L202" t="s">
        <v>855</v>
      </c>
      <c r="M202" s="30">
        <v>2.0299999999999998</v>
      </c>
      <c r="N202">
        <v>6</v>
      </c>
      <c r="P202" s="24" t="str">
        <f>IFERROR(MID(RADataTable[[#This Row],[RATemplate]],1,LEN(RADataTable[[#This Row],[RATemplate]])-8),"RA") &amp; " " &amp; RADataTable[[#This Row],[prop_id0]] &amp; " " &amp; RADataTable[[#This Row],[last0]]</f>
        <v>RA 1756014 Chen</v>
      </c>
      <c r="T202">
        <v>3</v>
      </c>
      <c r="U202">
        <v>3</v>
      </c>
      <c r="V202" s="34">
        <v>43031.734027777777</v>
      </c>
      <c r="W202">
        <v>1</v>
      </c>
      <c r="X202" s="15" t="str">
        <f>HYPERLINK("https://www.ejacket.nsf.gov/ej/showProposal.do?Continue=Y&amp;ID="&amp;RADataTable[[#This Row],[prop_id0]],"eJ")</f>
        <v>eJ</v>
      </c>
      <c r="Y202" s="15" t="str">
        <f>HYPERLINK("mailto:"&amp;RADataTable[[#This Row],[email]]&amp;"&amp;subject=Your NSF Proposal:  "&amp;RADataTable[[#This Row],[Div]]&amp;" "&amp;RADataTable[[#This Row],[prop_id0]], RADataTable[[#This Row],[email]])</f>
        <v>lchen49@central.uh.edu</v>
      </c>
      <c r="Z202" s="15" t="str">
        <f>HYPERLINK("mailto:"&amp;RADataTable[[#This Row],[allPIemail]]&amp;"&amp;subject=NSF Proposal:  "&amp;RADataTable[[#This Row],[Div]]&amp;" "&amp;RADataTable[[#This Row],[prop_id0]], "PIs@")</f>
        <v>PIs@</v>
      </c>
      <c r="AA202" t="s">
        <v>245</v>
      </c>
      <c r="AB202" t="s">
        <v>691</v>
      </c>
      <c r="AC202" s="30" t="s">
        <v>289</v>
      </c>
      <c r="AD202" t="s">
        <v>902</v>
      </c>
      <c r="AE202" t="s">
        <v>903</v>
      </c>
      <c r="AF202" s="36">
        <v>148477</v>
      </c>
      <c r="AG202" s="36">
        <v>148477</v>
      </c>
      <c r="AH202" s="24"/>
      <c r="AJ202" s="34"/>
      <c r="AK202" t="s">
        <v>923</v>
      </c>
      <c r="AL202" t="s">
        <v>232</v>
      </c>
      <c r="AM202" s="34" t="s">
        <v>925</v>
      </c>
      <c r="AN202" s="34">
        <v>43032</v>
      </c>
      <c r="AO202" s="24">
        <v>3</v>
      </c>
      <c r="AP202" t="s">
        <v>989</v>
      </c>
      <c r="AR202" s="35"/>
      <c r="AS202"/>
      <c r="AT202" s="34"/>
      <c r="AV202" s="34"/>
      <c r="AX202" s="34"/>
      <c r="AY202"/>
      <c r="BA202" s="34"/>
      <c r="BB202"/>
      <c r="BC202" t="s">
        <v>906</v>
      </c>
      <c r="BD202" s="36">
        <v>148477</v>
      </c>
      <c r="BE202" s="36">
        <v>148477</v>
      </c>
      <c r="BF202">
        <v>0</v>
      </c>
      <c r="BG202" s="34">
        <v>43252</v>
      </c>
      <c r="BH202">
        <v>24</v>
      </c>
      <c r="BI202" t="s">
        <v>974</v>
      </c>
      <c r="BJ202" t="s">
        <v>975</v>
      </c>
      <c r="BK202" t="s">
        <v>934</v>
      </c>
      <c r="BL202" t="s">
        <v>194</v>
      </c>
      <c r="BM202" s="8" t="s">
        <v>192</v>
      </c>
      <c r="BN202" t="s">
        <v>189</v>
      </c>
      <c r="BO202" t="s">
        <v>190</v>
      </c>
      <c r="BP202" s="35" t="s">
        <v>861</v>
      </c>
      <c r="BQ202"/>
      <c r="BU202" s="35"/>
      <c r="BV202" s="35"/>
      <c r="BX202"/>
      <c r="CA202" s="35"/>
      <c r="CB202" s="35"/>
      <c r="CC202"/>
      <c r="CG202" s="35"/>
      <c r="CH202" s="35"/>
      <c r="CK202"/>
      <c r="CM202" s="35"/>
      <c r="CN202" s="35"/>
      <c r="CQ202"/>
      <c r="CS202" s="35"/>
      <c r="CT202" s="35"/>
      <c r="CX202"/>
      <c r="CZ202" s="35"/>
      <c r="DD202" s="34"/>
      <c r="DG202" t="s">
        <v>904</v>
      </c>
      <c r="DH202" t="s">
        <v>990</v>
      </c>
      <c r="DI202" t="s">
        <v>233</v>
      </c>
      <c r="DL202" t="s">
        <v>691</v>
      </c>
      <c r="DM202">
        <v>5</v>
      </c>
      <c r="DN202">
        <v>7</v>
      </c>
      <c r="DO202" t="s">
        <v>905</v>
      </c>
      <c r="DQ202" t="s">
        <v>927</v>
      </c>
      <c r="DR202">
        <v>14</v>
      </c>
      <c r="DS202">
        <v>0</v>
      </c>
      <c r="DU202">
        <v>14</v>
      </c>
      <c r="DV202">
        <v>0</v>
      </c>
      <c r="DX202">
        <v>14</v>
      </c>
      <c r="DY202">
        <v>0</v>
      </c>
      <c r="DZ202" t="s">
        <v>246</v>
      </c>
      <c r="EA202" t="s">
        <v>929</v>
      </c>
    </row>
    <row r="203" spans="1:131" x14ac:dyDescent="0.4">
      <c r="A203" s="34">
        <v>43067.305104166669</v>
      </c>
      <c r="B203" s="25">
        <v>42956.746527777781</v>
      </c>
      <c r="D203" s="34"/>
      <c r="E203" s="34" t="s">
        <v>193</v>
      </c>
      <c r="F203" s="34" t="s">
        <v>191</v>
      </c>
      <c r="G203" s="34" t="s">
        <v>100</v>
      </c>
      <c r="H203" t="s">
        <v>856</v>
      </c>
      <c r="I203" t="s">
        <v>243</v>
      </c>
      <c r="J203" t="s">
        <v>857</v>
      </c>
      <c r="K203" t="s">
        <v>729</v>
      </c>
      <c r="L203" t="s">
        <v>855</v>
      </c>
      <c r="M203" s="30">
        <v>2.0299999999999998</v>
      </c>
      <c r="N203">
        <v>6</v>
      </c>
      <c r="P203" s="24" t="str">
        <f>IFERROR(MID(RADataTable[[#This Row],[RATemplate]],1,LEN(RADataTable[[#This Row],[RATemplate]])-8),"RA") &amp; " " &amp; RADataTable[[#This Row],[prop_id0]] &amp; " " &amp; RADataTable[[#This Row],[last0]]</f>
        <v>RA 1756014 Chen</v>
      </c>
      <c r="T203">
        <v>3</v>
      </c>
      <c r="U203">
        <v>3</v>
      </c>
      <c r="V203" s="34">
        <v>43031.734027777777</v>
      </c>
      <c r="W203">
        <v>1</v>
      </c>
      <c r="X203" s="15" t="str">
        <f>HYPERLINK("https://www.ejacket.nsf.gov/ej/showProposal.do?Continue=Y&amp;ID="&amp;RADataTable[[#This Row],[prop_id0]],"eJ")</f>
        <v>eJ</v>
      </c>
      <c r="Y203" s="15" t="str">
        <f>HYPERLINK("mailto:"&amp;RADataTable[[#This Row],[email]]&amp;"&amp;subject=Your NSF Proposal:  "&amp;RADataTable[[#This Row],[Div]]&amp;" "&amp;RADataTable[[#This Row],[prop_id0]], RADataTable[[#This Row],[email]])</f>
        <v>lchen49@central.uh.edu</v>
      </c>
      <c r="Z203" s="15" t="str">
        <f>HYPERLINK("mailto:"&amp;RADataTable[[#This Row],[allPIemail]]&amp;"&amp;subject=NSF Proposal:  "&amp;RADataTable[[#This Row],[Div]]&amp;" "&amp;RADataTable[[#This Row],[prop_id0]], "PIs@")</f>
        <v>PIs@</v>
      </c>
      <c r="AA203" t="s">
        <v>245</v>
      </c>
      <c r="AB203" t="s">
        <v>691</v>
      </c>
      <c r="AC203" s="30" t="s">
        <v>289</v>
      </c>
      <c r="AD203" t="s">
        <v>902</v>
      </c>
      <c r="AE203" t="s">
        <v>903</v>
      </c>
      <c r="AF203" s="36">
        <v>148477</v>
      </c>
      <c r="AG203" s="36">
        <v>148477</v>
      </c>
      <c r="AH203" s="24"/>
      <c r="AJ203" s="34"/>
      <c r="AK203" t="s">
        <v>923</v>
      </c>
      <c r="AL203" t="s">
        <v>232</v>
      </c>
      <c r="AM203" s="34" t="s">
        <v>925</v>
      </c>
      <c r="AN203" s="34">
        <v>43032</v>
      </c>
      <c r="AO203" s="24">
        <v>3</v>
      </c>
      <c r="AP203" t="s">
        <v>989</v>
      </c>
      <c r="AR203" s="35"/>
      <c r="AS203"/>
      <c r="AT203" s="34"/>
      <c r="AV203" s="34"/>
      <c r="AX203" s="34"/>
      <c r="AY203"/>
      <c r="BA203" s="34"/>
      <c r="BB203"/>
      <c r="BC203" t="s">
        <v>906</v>
      </c>
      <c r="BD203" s="36">
        <v>148477</v>
      </c>
      <c r="BE203" s="36">
        <v>148477</v>
      </c>
      <c r="BF203">
        <v>0</v>
      </c>
      <c r="BG203" s="34">
        <v>43252</v>
      </c>
      <c r="BH203">
        <v>24</v>
      </c>
      <c r="BI203" t="s">
        <v>974</v>
      </c>
      <c r="BJ203" t="s">
        <v>975</v>
      </c>
      <c r="BK203" t="s">
        <v>934</v>
      </c>
      <c r="BL203" t="s">
        <v>194</v>
      </c>
      <c r="BM203" s="8" t="s">
        <v>192</v>
      </c>
      <c r="BN203" t="s">
        <v>189</v>
      </c>
      <c r="BO203" t="s">
        <v>190</v>
      </c>
      <c r="BP203" s="35" t="s">
        <v>861</v>
      </c>
      <c r="BQ203"/>
      <c r="BU203" s="35"/>
      <c r="BV203" s="35"/>
      <c r="BX203"/>
      <c r="CA203" s="35"/>
      <c r="CB203" s="35"/>
      <c r="CC203"/>
      <c r="CG203" s="35"/>
      <c r="CH203" s="35"/>
      <c r="CK203"/>
      <c r="CM203" s="35"/>
      <c r="CN203" s="35"/>
      <c r="CQ203"/>
      <c r="CS203" s="35"/>
      <c r="CT203" s="35"/>
      <c r="CX203"/>
      <c r="CZ203" s="35"/>
      <c r="DD203" s="34"/>
      <c r="DG203" t="s">
        <v>904</v>
      </c>
      <c r="DH203" t="s">
        <v>990</v>
      </c>
      <c r="DI203" t="s">
        <v>233</v>
      </c>
      <c r="DL203" t="s">
        <v>691</v>
      </c>
      <c r="DM203">
        <v>5</v>
      </c>
      <c r="DN203">
        <v>7</v>
      </c>
      <c r="DO203" t="s">
        <v>905</v>
      </c>
      <c r="DQ203" t="s">
        <v>927</v>
      </c>
      <c r="DR203">
        <v>14</v>
      </c>
      <c r="DS203">
        <v>0</v>
      </c>
      <c r="DU203">
        <v>14</v>
      </c>
      <c r="DV203">
        <v>0</v>
      </c>
      <c r="DX203">
        <v>14</v>
      </c>
      <c r="DY203">
        <v>0</v>
      </c>
      <c r="DZ203" t="s">
        <v>246</v>
      </c>
      <c r="EA203" t="s">
        <v>929</v>
      </c>
    </row>
    <row r="204" spans="1:131" x14ac:dyDescent="0.4">
      <c r="A204" s="34">
        <v>43067.305104166669</v>
      </c>
      <c r="B204" s="25">
        <v>42956.746527777781</v>
      </c>
      <c r="D204" s="34"/>
      <c r="E204" s="34" t="s">
        <v>193</v>
      </c>
      <c r="F204" s="34" t="s">
        <v>191</v>
      </c>
      <c r="G204" s="34" t="s">
        <v>100</v>
      </c>
      <c r="H204" t="s">
        <v>856</v>
      </c>
      <c r="I204" t="s">
        <v>243</v>
      </c>
      <c r="J204" t="s">
        <v>857</v>
      </c>
      <c r="K204" t="s">
        <v>729</v>
      </c>
      <c r="L204" t="s">
        <v>855</v>
      </c>
      <c r="M204" s="30">
        <v>2.0299999999999998</v>
      </c>
      <c r="N204">
        <v>6</v>
      </c>
      <c r="P204" s="24" t="str">
        <f>IFERROR(MID(RADataTable[[#This Row],[RATemplate]],1,LEN(RADataTable[[#This Row],[RATemplate]])-8),"RA") &amp; " " &amp; RADataTable[[#This Row],[prop_id0]] &amp; " " &amp; RADataTable[[#This Row],[last0]]</f>
        <v>RA 1756014 Chen</v>
      </c>
      <c r="T204">
        <v>3</v>
      </c>
      <c r="U204">
        <v>3</v>
      </c>
      <c r="V204" s="34">
        <v>43031.734027777777</v>
      </c>
      <c r="W204">
        <v>1</v>
      </c>
      <c r="X204" s="15" t="str">
        <f>HYPERLINK("https://www.ejacket.nsf.gov/ej/showProposal.do?Continue=Y&amp;ID="&amp;RADataTable[[#This Row],[prop_id0]],"eJ")</f>
        <v>eJ</v>
      </c>
      <c r="Y204" s="15" t="str">
        <f>HYPERLINK("mailto:"&amp;RADataTable[[#This Row],[email]]&amp;"&amp;subject=Your NSF Proposal:  "&amp;RADataTable[[#This Row],[Div]]&amp;" "&amp;RADataTable[[#This Row],[prop_id0]], RADataTable[[#This Row],[email]])</f>
        <v>lchen49@central.uh.edu</v>
      </c>
      <c r="Z204" s="15" t="str">
        <f>HYPERLINK("mailto:"&amp;RADataTable[[#This Row],[allPIemail]]&amp;"&amp;subject=NSF Proposal:  "&amp;RADataTable[[#This Row],[Div]]&amp;" "&amp;RADataTable[[#This Row],[prop_id0]], "PIs@")</f>
        <v>PIs@</v>
      </c>
      <c r="AA204" t="s">
        <v>245</v>
      </c>
      <c r="AB204" t="s">
        <v>691</v>
      </c>
      <c r="AC204" s="30" t="s">
        <v>289</v>
      </c>
      <c r="AD204" t="s">
        <v>902</v>
      </c>
      <c r="AE204" t="s">
        <v>903</v>
      </c>
      <c r="AF204" s="36">
        <v>148477</v>
      </c>
      <c r="AG204" s="36">
        <v>148477</v>
      </c>
      <c r="AH204" s="24"/>
      <c r="AJ204" s="34"/>
      <c r="AK204" t="s">
        <v>923</v>
      </c>
      <c r="AL204" t="s">
        <v>232</v>
      </c>
      <c r="AM204" s="34" t="s">
        <v>925</v>
      </c>
      <c r="AN204" s="34">
        <v>43032</v>
      </c>
      <c r="AO204" s="24">
        <v>3</v>
      </c>
      <c r="AP204" t="s">
        <v>989</v>
      </c>
      <c r="AR204" s="35"/>
      <c r="AS204"/>
      <c r="AT204" s="34"/>
      <c r="AV204" s="34"/>
      <c r="AX204" s="34"/>
      <c r="AY204"/>
      <c r="BA204" s="34"/>
      <c r="BB204"/>
      <c r="BC204" t="s">
        <v>906</v>
      </c>
      <c r="BD204" s="36">
        <v>148477</v>
      </c>
      <c r="BE204" s="36">
        <v>148477</v>
      </c>
      <c r="BF204">
        <v>0</v>
      </c>
      <c r="BG204" s="34">
        <v>43252</v>
      </c>
      <c r="BH204">
        <v>24</v>
      </c>
      <c r="BI204" t="s">
        <v>974</v>
      </c>
      <c r="BJ204" t="s">
        <v>975</v>
      </c>
      <c r="BK204" t="s">
        <v>934</v>
      </c>
      <c r="BL204" t="s">
        <v>194</v>
      </c>
      <c r="BM204" s="8" t="s">
        <v>192</v>
      </c>
      <c r="BN204" t="s">
        <v>189</v>
      </c>
      <c r="BO204" t="s">
        <v>190</v>
      </c>
      <c r="BP204" s="35" t="s">
        <v>861</v>
      </c>
      <c r="BQ204"/>
      <c r="BU204" s="35"/>
      <c r="BV204" s="35"/>
      <c r="BX204"/>
      <c r="CA204" s="35"/>
      <c r="CB204" s="35"/>
      <c r="CC204"/>
      <c r="CG204" s="35"/>
      <c r="CH204" s="35"/>
      <c r="CK204"/>
      <c r="CM204" s="35"/>
      <c r="CN204" s="35"/>
      <c r="CQ204"/>
      <c r="CS204" s="35"/>
      <c r="CT204" s="35"/>
      <c r="CX204"/>
      <c r="CZ204" s="35"/>
      <c r="DD204" s="34"/>
      <c r="DG204" t="s">
        <v>904</v>
      </c>
      <c r="DH204" t="s">
        <v>990</v>
      </c>
      <c r="DI204" t="s">
        <v>233</v>
      </c>
      <c r="DL204" t="s">
        <v>691</v>
      </c>
      <c r="DM204">
        <v>5</v>
      </c>
      <c r="DN204">
        <v>7</v>
      </c>
      <c r="DO204" t="s">
        <v>905</v>
      </c>
      <c r="DQ204" t="s">
        <v>927</v>
      </c>
      <c r="DR204">
        <v>14</v>
      </c>
      <c r="DS204">
        <v>0</v>
      </c>
      <c r="DU204">
        <v>14</v>
      </c>
      <c r="DV204">
        <v>0</v>
      </c>
      <c r="DX204">
        <v>14</v>
      </c>
      <c r="DY204">
        <v>0</v>
      </c>
      <c r="DZ204" t="s">
        <v>246</v>
      </c>
      <c r="EA204" t="s">
        <v>929</v>
      </c>
    </row>
    <row r="205" spans="1:131" x14ac:dyDescent="0.4">
      <c r="A205" s="34">
        <v>43067.305104166669</v>
      </c>
      <c r="B205" s="25">
        <v>42956.746527777781</v>
      </c>
      <c r="D205" s="34"/>
      <c r="E205" s="34" t="s">
        <v>193</v>
      </c>
      <c r="F205" s="34" t="s">
        <v>191</v>
      </c>
      <c r="G205" s="34" t="s">
        <v>100</v>
      </c>
      <c r="H205" t="s">
        <v>856</v>
      </c>
      <c r="I205" t="s">
        <v>243</v>
      </c>
      <c r="J205" t="s">
        <v>857</v>
      </c>
      <c r="K205" t="s">
        <v>729</v>
      </c>
      <c r="L205" t="s">
        <v>855</v>
      </c>
      <c r="M205" s="30">
        <v>2.0299999999999998</v>
      </c>
      <c r="N205">
        <v>6</v>
      </c>
      <c r="P205" s="24" t="str">
        <f>IFERROR(MID(RADataTable[[#This Row],[RATemplate]],1,LEN(RADataTable[[#This Row],[RATemplate]])-8),"RA") &amp; " " &amp; RADataTable[[#This Row],[prop_id0]] &amp; " " &amp; RADataTable[[#This Row],[last0]]</f>
        <v>RA 1756014 Chen</v>
      </c>
      <c r="T205">
        <v>3</v>
      </c>
      <c r="U205">
        <v>3</v>
      </c>
      <c r="V205" s="34">
        <v>43031.734027777777</v>
      </c>
      <c r="W205">
        <v>1</v>
      </c>
      <c r="X205" s="15" t="str">
        <f>HYPERLINK("https://www.ejacket.nsf.gov/ej/showProposal.do?Continue=Y&amp;ID="&amp;RADataTable[[#This Row],[prop_id0]],"eJ")</f>
        <v>eJ</v>
      </c>
      <c r="Y205" s="15" t="str">
        <f>HYPERLINK("mailto:"&amp;RADataTable[[#This Row],[email]]&amp;"&amp;subject=Your NSF Proposal:  "&amp;RADataTable[[#This Row],[Div]]&amp;" "&amp;RADataTable[[#This Row],[prop_id0]], RADataTable[[#This Row],[email]])</f>
        <v>lchen49@central.uh.edu</v>
      </c>
      <c r="Z205" s="15" t="str">
        <f>HYPERLINK("mailto:"&amp;RADataTable[[#This Row],[allPIemail]]&amp;"&amp;subject=NSF Proposal:  "&amp;RADataTable[[#This Row],[Div]]&amp;" "&amp;RADataTable[[#This Row],[prop_id0]], "PIs@")</f>
        <v>PIs@</v>
      </c>
      <c r="AA205" t="s">
        <v>245</v>
      </c>
      <c r="AB205" t="s">
        <v>691</v>
      </c>
      <c r="AC205" s="30" t="s">
        <v>289</v>
      </c>
      <c r="AD205" t="s">
        <v>902</v>
      </c>
      <c r="AE205" t="s">
        <v>903</v>
      </c>
      <c r="AF205" s="36">
        <v>148477</v>
      </c>
      <c r="AG205" s="36">
        <v>148477</v>
      </c>
      <c r="AH205" s="24"/>
      <c r="AJ205" s="34"/>
      <c r="AK205" t="s">
        <v>923</v>
      </c>
      <c r="AL205" t="s">
        <v>232</v>
      </c>
      <c r="AM205" s="34" t="s">
        <v>925</v>
      </c>
      <c r="AN205" s="34">
        <v>43032</v>
      </c>
      <c r="AO205" s="24">
        <v>3</v>
      </c>
      <c r="AP205" t="s">
        <v>989</v>
      </c>
      <c r="AR205" s="35"/>
      <c r="AS205"/>
      <c r="AT205" s="34"/>
      <c r="AV205" s="34"/>
      <c r="AX205" s="34"/>
      <c r="AY205"/>
      <c r="BA205" s="34"/>
      <c r="BB205"/>
      <c r="BC205" t="s">
        <v>906</v>
      </c>
      <c r="BD205" s="36">
        <v>148477</v>
      </c>
      <c r="BE205" s="36">
        <v>148477</v>
      </c>
      <c r="BF205">
        <v>0</v>
      </c>
      <c r="BG205" s="34">
        <v>43252</v>
      </c>
      <c r="BH205">
        <v>24</v>
      </c>
      <c r="BI205" t="s">
        <v>974</v>
      </c>
      <c r="BJ205" t="s">
        <v>975</v>
      </c>
      <c r="BK205" t="s">
        <v>934</v>
      </c>
      <c r="BL205" t="s">
        <v>194</v>
      </c>
      <c r="BM205" s="8" t="s">
        <v>192</v>
      </c>
      <c r="BN205" t="s">
        <v>189</v>
      </c>
      <c r="BO205" t="s">
        <v>190</v>
      </c>
      <c r="BP205" s="35" t="s">
        <v>861</v>
      </c>
      <c r="BQ205"/>
      <c r="BU205" s="35"/>
      <c r="BV205" s="35"/>
      <c r="BX205"/>
      <c r="CA205" s="35"/>
      <c r="CB205" s="35"/>
      <c r="CC205"/>
      <c r="CG205" s="35"/>
      <c r="CH205" s="35"/>
      <c r="CK205"/>
      <c r="CM205" s="35"/>
      <c r="CN205" s="35"/>
      <c r="CQ205"/>
      <c r="CS205" s="35"/>
      <c r="CT205" s="35"/>
      <c r="CX205"/>
      <c r="CZ205" s="35"/>
      <c r="DD205" s="34"/>
      <c r="DG205" t="s">
        <v>904</v>
      </c>
      <c r="DH205" t="s">
        <v>990</v>
      </c>
      <c r="DI205" t="s">
        <v>233</v>
      </c>
      <c r="DL205" t="s">
        <v>691</v>
      </c>
      <c r="DM205">
        <v>5</v>
      </c>
      <c r="DN205">
        <v>7</v>
      </c>
      <c r="DO205" t="s">
        <v>905</v>
      </c>
      <c r="DQ205" t="s">
        <v>927</v>
      </c>
      <c r="DR205">
        <v>14</v>
      </c>
      <c r="DS205">
        <v>0</v>
      </c>
      <c r="DU205">
        <v>14</v>
      </c>
      <c r="DV205">
        <v>0</v>
      </c>
      <c r="DX205">
        <v>14</v>
      </c>
      <c r="DY205">
        <v>0</v>
      </c>
      <c r="DZ205" t="s">
        <v>246</v>
      </c>
      <c r="EA205" t="s">
        <v>929</v>
      </c>
    </row>
    <row r="206" spans="1:131" x14ac:dyDescent="0.4">
      <c r="A206" s="34">
        <v>43067.305104166669</v>
      </c>
      <c r="B206" s="25">
        <v>42956.746527777781</v>
      </c>
      <c r="D206" s="34"/>
      <c r="E206" s="34" t="s">
        <v>193</v>
      </c>
      <c r="F206" s="34" t="s">
        <v>191</v>
      </c>
      <c r="G206" s="34" t="s">
        <v>100</v>
      </c>
      <c r="H206" t="s">
        <v>856</v>
      </c>
      <c r="I206" t="s">
        <v>243</v>
      </c>
      <c r="J206" t="s">
        <v>857</v>
      </c>
      <c r="K206" t="s">
        <v>729</v>
      </c>
      <c r="L206" t="s">
        <v>855</v>
      </c>
      <c r="M206" s="30">
        <v>2.0299999999999998</v>
      </c>
      <c r="N206">
        <v>6</v>
      </c>
      <c r="P206" s="24" t="str">
        <f>IFERROR(MID(RADataTable[[#This Row],[RATemplate]],1,LEN(RADataTable[[#This Row],[RATemplate]])-8),"RA") &amp; " " &amp; RADataTable[[#This Row],[prop_id0]] &amp; " " &amp; RADataTable[[#This Row],[last0]]</f>
        <v>RA 1756014 Chen</v>
      </c>
      <c r="T206">
        <v>3</v>
      </c>
      <c r="U206">
        <v>3</v>
      </c>
      <c r="V206" s="34">
        <v>43031.734027777777</v>
      </c>
      <c r="W206">
        <v>1</v>
      </c>
      <c r="X206" s="15" t="str">
        <f>HYPERLINK("https://www.ejacket.nsf.gov/ej/showProposal.do?Continue=Y&amp;ID="&amp;RADataTable[[#This Row],[prop_id0]],"eJ")</f>
        <v>eJ</v>
      </c>
      <c r="Y206" s="15" t="str">
        <f>HYPERLINK("mailto:"&amp;RADataTable[[#This Row],[email]]&amp;"&amp;subject=Your NSF Proposal:  "&amp;RADataTable[[#This Row],[Div]]&amp;" "&amp;RADataTable[[#This Row],[prop_id0]], RADataTable[[#This Row],[email]])</f>
        <v>lchen49@central.uh.edu</v>
      </c>
      <c r="Z206" s="15" t="str">
        <f>HYPERLINK("mailto:"&amp;RADataTable[[#This Row],[allPIemail]]&amp;"&amp;subject=NSF Proposal:  "&amp;RADataTable[[#This Row],[Div]]&amp;" "&amp;RADataTable[[#This Row],[prop_id0]], "PIs@")</f>
        <v>PIs@</v>
      </c>
      <c r="AA206" t="s">
        <v>245</v>
      </c>
      <c r="AB206" t="s">
        <v>691</v>
      </c>
      <c r="AC206" s="30" t="s">
        <v>289</v>
      </c>
      <c r="AD206" t="s">
        <v>902</v>
      </c>
      <c r="AE206" t="s">
        <v>903</v>
      </c>
      <c r="AF206" s="36">
        <v>148477</v>
      </c>
      <c r="AG206" s="36">
        <v>148477</v>
      </c>
      <c r="AH206" s="24"/>
      <c r="AJ206" s="34"/>
      <c r="AK206" t="s">
        <v>923</v>
      </c>
      <c r="AL206" t="s">
        <v>232</v>
      </c>
      <c r="AM206" s="34" t="s">
        <v>925</v>
      </c>
      <c r="AN206" s="34">
        <v>43032</v>
      </c>
      <c r="AO206" s="24">
        <v>3</v>
      </c>
      <c r="AP206" t="s">
        <v>989</v>
      </c>
      <c r="AR206" s="35"/>
      <c r="AS206"/>
      <c r="AT206" s="34"/>
      <c r="AV206" s="34"/>
      <c r="AX206" s="34"/>
      <c r="AY206"/>
      <c r="BA206" s="34"/>
      <c r="BB206"/>
      <c r="BC206" t="s">
        <v>906</v>
      </c>
      <c r="BD206" s="36">
        <v>148477</v>
      </c>
      <c r="BE206" s="36">
        <v>148477</v>
      </c>
      <c r="BF206">
        <v>0</v>
      </c>
      <c r="BG206" s="34">
        <v>43252</v>
      </c>
      <c r="BH206">
        <v>24</v>
      </c>
      <c r="BI206" t="s">
        <v>974</v>
      </c>
      <c r="BJ206" t="s">
        <v>975</v>
      </c>
      <c r="BK206" t="s">
        <v>934</v>
      </c>
      <c r="BL206" t="s">
        <v>194</v>
      </c>
      <c r="BM206" s="8" t="s">
        <v>192</v>
      </c>
      <c r="BN206" t="s">
        <v>189</v>
      </c>
      <c r="BO206" t="s">
        <v>190</v>
      </c>
      <c r="BP206" s="35" t="s">
        <v>861</v>
      </c>
      <c r="BQ206"/>
      <c r="BU206" s="35"/>
      <c r="BV206" s="35"/>
      <c r="BX206"/>
      <c r="CA206" s="35"/>
      <c r="CB206" s="35"/>
      <c r="CC206"/>
      <c r="CG206" s="35"/>
      <c r="CH206" s="35"/>
      <c r="CK206"/>
      <c r="CM206" s="35"/>
      <c r="CN206" s="35"/>
      <c r="CQ206"/>
      <c r="CS206" s="35"/>
      <c r="CT206" s="35"/>
      <c r="CX206"/>
      <c r="CZ206" s="35"/>
      <c r="DD206" s="34"/>
      <c r="DG206" t="s">
        <v>904</v>
      </c>
      <c r="DH206" t="s">
        <v>990</v>
      </c>
      <c r="DI206" t="s">
        <v>233</v>
      </c>
      <c r="DL206" t="s">
        <v>691</v>
      </c>
      <c r="DM206">
        <v>5</v>
      </c>
      <c r="DN206">
        <v>7</v>
      </c>
      <c r="DO206" t="s">
        <v>905</v>
      </c>
      <c r="DQ206" t="s">
        <v>927</v>
      </c>
      <c r="DR206">
        <v>14</v>
      </c>
      <c r="DS206">
        <v>0</v>
      </c>
      <c r="DU206">
        <v>14</v>
      </c>
      <c r="DV206">
        <v>0</v>
      </c>
      <c r="DX206">
        <v>14</v>
      </c>
      <c r="DY206">
        <v>0</v>
      </c>
      <c r="DZ206" t="s">
        <v>246</v>
      </c>
      <c r="EA206" t="s">
        <v>929</v>
      </c>
    </row>
    <row r="207" spans="1:131" x14ac:dyDescent="0.4">
      <c r="A207" s="34">
        <v>43067.305104166669</v>
      </c>
      <c r="B207" s="25">
        <v>42956.746527777781</v>
      </c>
      <c r="D207" s="34"/>
      <c r="E207" s="34" t="s">
        <v>193</v>
      </c>
      <c r="F207" s="34" t="s">
        <v>191</v>
      </c>
      <c r="G207" s="34" t="s">
        <v>100</v>
      </c>
      <c r="H207" t="s">
        <v>856</v>
      </c>
      <c r="I207" t="s">
        <v>243</v>
      </c>
      <c r="J207" t="s">
        <v>857</v>
      </c>
      <c r="K207" t="s">
        <v>729</v>
      </c>
      <c r="L207" t="s">
        <v>855</v>
      </c>
      <c r="M207" s="30">
        <v>2.0299999999999998</v>
      </c>
      <c r="N207">
        <v>6</v>
      </c>
      <c r="P207" s="24" t="str">
        <f>IFERROR(MID(RADataTable[[#This Row],[RATemplate]],1,LEN(RADataTable[[#This Row],[RATemplate]])-8),"RA") &amp; " " &amp; RADataTable[[#This Row],[prop_id0]] &amp; " " &amp; RADataTable[[#This Row],[last0]]</f>
        <v>RA 1756014 Chen</v>
      </c>
      <c r="T207">
        <v>3</v>
      </c>
      <c r="U207">
        <v>3</v>
      </c>
      <c r="V207" s="34">
        <v>43031.734027777777</v>
      </c>
      <c r="W207">
        <v>1</v>
      </c>
      <c r="X207" s="15" t="str">
        <f>HYPERLINK("https://www.ejacket.nsf.gov/ej/showProposal.do?Continue=Y&amp;ID="&amp;RADataTable[[#This Row],[prop_id0]],"eJ")</f>
        <v>eJ</v>
      </c>
      <c r="Y207" s="15" t="str">
        <f>HYPERLINK("mailto:"&amp;RADataTable[[#This Row],[email]]&amp;"&amp;subject=Your NSF Proposal:  "&amp;RADataTable[[#This Row],[Div]]&amp;" "&amp;RADataTable[[#This Row],[prop_id0]], RADataTable[[#This Row],[email]])</f>
        <v>lchen49@central.uh.edu</v>
      </c>
      <c r="Z207" s="15" t="str">
        <f>HYPERLINK("mailto:"&amp;RADataTable[[#This Row],[allPIemail]]&amp;"&amp;subject=NSF Proposal:  "&amp;RADataTable[[#This Row],[Div]]&amp;" "&amp;RADataTable[[#This Row],[prop_id0]], "PIs@")</f>
        <v>PIs@</v>
      </c>
      <c r="AA207" t="s">
        <v>245</v>
      </c>
      <c r="AB207" t="s">
        <v>691</v>
      </c>
      <c r="AC207" s="30" t="s">
        <v>289</v>
      </c>
      <c r="AD207" t="s">
        <v>902</v>
      </c>
      <c r="AE207" t="s">
        <v>903</v>
      </c>
      <c r="AF207" s="36">
        <v>148477</v>
      </c>
      <c r="AG207" s="36">
        <v>148477</v>
      </c>
      <c r="AH207" s="24"/>
      <c r="AJ207" s="34"/>
      <c r="AK207" t="s">
        <v>923</v>
      </c>
      <c r="AL207" t="s">
        <v>232</v>
      </c>
      <c r="AM207" s="34" t="s">
        <v>925</v>
      </c>
      <c r="AN207" s="34">
        <v>43032</v>
      </c>
      <c r="AO207" s="24">
        <v>3</v>
      </c>
      <c r="AP207" t="s">
        <v>989</v>
      </c>
      <c r="AR207" s="35"/>
      <c r="AS207"/>
      <c r="AT207" s="34"/>
      <c r="AV207" s="34"/>
      <c r="AX207" s="34"/>
      <c r="AY207"/>
      <c r="BA207" s="34"/>
      <c r="BB207"/>
      <c r="BC207" t="s">
        <v>906</v>
      </c>
      <c r="BD207" s="36">
        <v>148477</v>
      </c>
      <c r="BE207" s="36">
        <v>148477</v>
      </c>
      <c r="BF207">
        <v>0</v>
      </c>
      <c r="BG207" s="34">
        <v>43252</v>
      </c>
      <c r="BH207">
        <v>24</v>
      </c>
      <c r="BI207" t="s">
        <v>974</v>
      </c>
      <c r="BJ207" t="s">
        <v>975</v>
      </c>
      <c r="BK207" t="s">
        <v>934</v>
      </c>
      <c r="BL207" t="s">
        <v>194</v>
      </c>
      <c r="BM207" s="8" t="s">
        <v>192</v>
      </c>
      <c r="BN207" t="s">
        <v>189</v>
      </c>
      <c r="BO207" t="s">
        <v>190</v>
      </c>
      <c r="BP207" s="35" t="s">
        <v>861</v>
      </c>
      <c r="BQ207"/>
      <c r="BU207" s="35"/>
      <c r="BV207" s="35"/>
      <c r="BX207"/>
      <c r="CA207" s="35"/>
      <c r="CB207" s="35"/>
      <c r="CC207"/>
      <c r="CG207" s="35"/>
      <c r="CH207" s="35"/>
      <c r="CK207"/>
      <c r="CM207" s="35"/>
      <c r="CN207" s="35"/>
      <c r="CQ207"/>
      <c r="CS207" s="35"/>
      <c r="CT207" s="35"/>
      <c r="CX207"/>
      <c r="CZ207" s="35"/>
      <c r="DD207" s="34"/>
      <c r="DG207" t="s">
        <v>904</v>
      </c>
      <c r="DH207" t="s">
        <v>990</v>
      </c>
      <c r="DI207" t="s">
        <v>233</v>
      </c>
      <c r="DL207" t="s">
        <v>691</v>
      </c>
      <c r="DM207">
        <v>5</v>
      </c>
      <c r="DN207">
        <v>7</v>
      </c>
      <c r="DO207" t="s">
        <v>905</v>
      </c>
      <c r="DQ207" t="s">
        <v>927</v>
      </c>
      <c r="DR207">
        <v>14</v>
      </c>
      <c r="DS207">
        <v>0</v>
      </c>
      <c r="DU207">
        <v>14</v>
      </c>
      <c r="DV207">
        <v>0</v>
      </c>
      <c r="DX207">
        <v>14</v>
      </c>
      <c r="DY207">
        <v>0</v>
      </c>
      <c r="DZ207" t="s">
        <v>246</v>
      </c>
      <c r="EA207" t="s">
        <v>929</v>
      </c>
    </row>
    <row r="208" spans="1:131" x14ac:dyDescent="0.4">
      <c r="A208" s="34">
        <v>43067.305104166669</v>
      </c>
      <c r="B208" s="25">
        <v>42956.746527777781</v>
      </c>
      <c r="D208" s="34"/>
      <c r="E208" s="34" t="s">
        <v>193</v>
      </c>
      <c r="F208" s="34" t="s">
        <v>191</v>
      </c>
      <c r="G208" s="34" t="s">
        <v>100</v>
      </c>
      <c r="H208" t="s">
        <v>856</v>
      </c>
      <c r="I208" t="s">
        <v>243</v>
      </c>
      <c r="J208" t="s">
        <v>857</v>
      </c>
      <c r="K208" t="s">
        <v>729</v>
      </c>
      <c r="L208" t="s">
        <v>855</v>
      </c>
      <c r="M208" s="30">
        <v>2.0299999999999998</v>
      </c>
      <c r="N208">
        <v>6</v>
      </c>
      <c r="P208" s="24" t="str">
        <f>IFERROR(MID(RADataTable[[#This Row],[RATemplate]],1,LEN(RADataTable[[#This Row],[RATemplate]])-8),"RA") &amp; " " &amp; RADataTable[[#This Row],[prop_id0]] &amp; " " &amp; RADataTable[[#This Row],[last0]]</f>
        <v>RA 1756014 Chen</v>
      </c>
      <c r="T208">
        <v>3</v>
      </c>
      <c r="U208">
        <v>3</v>
      </c>
      <c r="V208" s="34">
        <v>43031.734027777777</v>
      </c>
      <c r="W208">
        <v>1</v>
      </c>
      <c r="X208" s="15" t="str">
        <f>HYPERLINK("https://www.ejacket.nsf.gov/ej/showProposal.do?Continue=Y&amp;ID="&amp;RADataTable[[#This Row],[prop_id0]],"eJ")</f>
        <v>eJ</v>
      </c>
      <c r="Y208" s="15" t="str">
        <f>HYPERLINK("mailto:"&amp;RADataTable[[#This Row],[email]]&amp;"&amp;subject=Your NSF Proposal:  "&amp;RADataTable[[#This Row],[Div]]&amp;" "&amp;RADataTable[[#This Row],[prop_id0]], RADataTable[[#This Row],[email]])</f>
        <v>lchen49@central.uh.edu</v>
      </c>
      <c r="Z208" s="15" t="str">
        <f>HYPERLINK("mailto:"&amp;RADataTable[[#This Row],[allPIemail]]&amp;"&amp;subject=NSF Proposal:  "&amp;RADataTable[[#This Row],[Div]]&amp;" "&amp;RADataTable[[#This Row],[prop_id0]], "PIs@")</f>
        <v>PIs@</v>
      </c>
      <c r="AA208" t="s">
        <v>245</v>
      </c>
      <c r="AB208" t="s">
        <v>691</v>
      </c>
      <c r="AC208" s="30" t="s">
        <v>289</v>
      </c>
      <c r="AD208" t="s">
        <v>902</v>
      </c>
      <c r="AE208" t="s">
        <v>903</v>
      </c>
      <c r="AF208" s="36">
        <v>148477</v>
      </c>
      <c r="AG208" s="36">
        <v>148477</v>
      </c>
      <c r="AH208" s="24"/>
      <c r="AJ208" s="34"/>
      <c r="AK208" t="s">
        <v>923</v>
      </c>
      <c r="AL208" t="s">
        <v>232</v>
      </c>
      <c r="AM208" s="34" t="s">
        <v>925</v>
      </c>
      <c r="AN208" s="34">
        <v>43032</v>
      </c>
      <c r="AO208" s="24">
        <v>3</v>
      </c>
      <c r="AP208" t="s">
        <v>989</v>
      </c>
      <c r="AR208" s="35"/>
      <c r="AS208"/>
      <c r="AT208" s="34"/>
      <c r="AV208" s="34"/>
      <c r="AX208" s="34"/>
      <c r="AY208"/>
      <c r="BA208" s="34"/>
      <c r="BB208"/>
      <c r="BC208" t="s">
        <v>906</v>
      </c>
      <c r="BD208" s="36">
        <v>148477</v>
      </c>
      <c r="BE208" s="36">
        <v>148477</v>
      </c>
      <c r="BF208">
        <v>0</v>
      </c>
      <c r="BG208" s="34">
        <v>43252</v>
      </c>
      <c r="BH208">
        <v>24</v>
      </c>
      <c r="BI208" t="s">
        <v>974</v>
      </c>
      <c r="BJ208" t="s">
        <v>975</v>
      </c>
      <c r="BK208" t="s">
        <v>934</v>
      </c>
      <c r="BL208" t="s">
        <v>194</v>
      </c>
      <c r="BM208" s="8" t="s">
        <v>192</v>
      </c>
      <c r="BN208" t="s">
        <v>189</v>
      </c>
      <c r="BO208" t="s">
        <v>190</v>
      </c>
      <c r="BP208" s="35" t="s">
        <v>861</v>
      </c>
      <c r="BQ208"/>
      <c r="BU208" s="35"/>
      <c r="BV208" s="35"/>
      <c r="BX208"/>
      <c r="CA208" s="35"/>
      <c r="CB208" s="35"/>
      <c r="CC208"/>
      <c r="CG208" s="35"/>
      <c r="CH208" s="35"/>
      <c r="CK208"/>
      <c r="CM208" s="35"/>
      <c r="CN208" s="35"/>
      <c r="CQ208"/>
      <c r="CS208" s="35"/>
      <c r="CT208" s="35"/>
      <c r="CX208"/>
      <c r="CZ208" s="35"/>
      <c r="DD208" s="34"/>
      <c r="DG208" t="s">
        <v>904</v>
      </c>
      <c r="DH208" t="s">
        <v>990</v>
      </c>
      <c r="DI208" t="s">
        <v>233</v>
      </c>
      <c r="DL208" t="s">
        <v>691</v>
      </c>
      <c r="DM208">
        <v>5</v>
      </c>
      <c r="DN208">
        <v>7</v>
      </c>
      <c r="DO208" t="s">
        <v>905</v>
      </c>
      <c r="DQ208" t="s">
        <v>927</v>
      </c>
      <c r="DR208">
        <v>14</v>
      </c>
      <c r="DS208">
        <v>0</v>
      </c>
      <c r="DU208">
        <v>14</v>
      </c>
      <c r="DV208">
        <v>0</v>
      </c>
      <c r="DX208">
        <v>14</v>
      </c>
      <c r="DY208">
        <v>0</v>
      </c>
      <c r="DZ208" t="s">
        <v>246</v>
      </c>
      <c r="EA208" t="s">
        <v>929</v>
      </c>
    </row>
    <row r="209" spans="1:131" x14ac:dyDescent="0.4">
      <c r="A209" s="34">
        <v>43067.305104166669</v>
      </c>
      <c r="B209" s="25">
        <v>42956.746527777781</v>
      </c>
      <c r="D209" s="34"/>
      <c r="E209" s="34" t="s">
        <v>193</v>
      </c>
      <c r="F209" s="34" t="s">
        <v>191</v>
      </c>
      <c r="G209" s="34" t="s">
        <v>100</v>
      </c>
      <c r="H209" t="s">
        <v>856</v>
      </c>
      <c r="I209" t="s">
        <v>243</v>
      </c>
      <c r="J209" t="s">
        <v>857</v>
      </c>
      <c r="K209" t="s">
        <v>729</v>
      </c>
      <c r="L209" t="s">
        <v>855</v>
      </c>
      <c r="M209" s="30">
        <v>2.0299999999999998</v>
      </c>
      <c r="N209">
        <v>6</v>
      </c>
      <c r="P209" s="24" t="str">
        <f>IFERROR(MID(RADataTable[[#This Row],[RATemplate]],1,LEN(RADataTable[[#This Row],[RATemplate]])-8),"RA") &amp; " " &amp; RADataTable[[#This Row],[prop_id0]] &amp; " " &amp; RADataTable[[#This Row],[last0]]</f>
        <v>RA 1756014 Chen</v>
      </c>
      <c r="T209">
        <v>3</v>
      </c>
      <c r="U209">
        <v>3</v>
      </c>
      <c r="V209" s="34">
        <v>43031.734027777777</v>
      </c>
      <c r="W209">
        <v>1</v>
      </c>
      <c r="X209" s="15" t="str">
        <f>HYPERLINK("https://www.ejacket.nsf.gov/ej/showProposal.do?Continue=Y&amp;ID="&amp;RADataTable[[#This Row],[prop_id0]],"eJ")</f>
        <v>eJ</v>
      </c>
      <c r="Y209" s="15" t="str">
        <f>HYPERLINK("mailto:"&amp;RADataTable[[#This Row],[email]]&amp;"&amp;subject=Your NSF Proposal:  "&amp;RADataTable[[#This Row],[Div]]&amp;" "&amp;RADataTable[[#This Row],[prop_id0]], RADataTable[[#This Row],[email]])</f>
        <v>lchen49@central.uh.edu</v>
      </c>
      <c r="Z209" s="15" t="str">
        <f>HYPERLINK("mailto:"&amp;RADataTable[[#This Row],[allPIemail]]&amp;"&amp;subject=NSF Proposal:  "&amp;RADataTable[[#This Row],[Div]]&amp;" "&amp;RADataTable[[#This Row],[prop_id0]], "PIs@")</f>
        <v>PIs@</v>
      </c>
      <c r="AA209" t="s">
        <v>245</v>
      </c>
      <c r="AB209" t="s">
        <v>691</v>
      </c>
      <c r="AC209" s="30" t="s">
        <v>289</v>
      </c>
      <c r="AD209" t="s">
        <v>902</v>
      </c>
      <c r="AE209" t="s">
        <v>903</v>
      </c>
      <c r="AF209" s="36">
        <v>148477</v>
      </c>
      <c r="AG209" s="36">
        <v>148477</v>
      </c>
      <c r="AH209" s="24"/>
      <c r="AJ209" s="34"/>
      <c r="AK209" t="s">
        <v>923</v>
      </c>
      <c r="AL209" t="s">
        <v>232</v>
      </c>
      <c r="AM209" s="34" t="s">
        <v>925</v>
      </c>
      <c r="AN209" s="34">
        <v>43032</v>
      </c>
      <c r="AO209" s="24">
        <v>3</v>
      </c>
      <c r="AP209" t="s">
        <v>989</v>
      </c>
      <c r="AR209" s="35"/>
      <c r="AS209"/>
      <c r="AT209" s="34"/>
      <c r="AV209" s="34"/>
      <c r="AX209" s="34"/>
      <c r="AY209"/>
      <c r="BA209" s="34"/>
      <c r="BB209"/>
      <c r="BC209" t="s">
        <v>906</v>
      </c>
      <c r="BD209" s="36">
        <v>148477</v>
      </c>
      <c r="BE209" s="36">
        <v>148477</v>
      </c>
      <c r="BF209">
        <v>0</v>
      </c>
      <c r="BG209" s="34">
        <v>43252</v>
      </c>
      <c r="BH209">
        <v>24</v>
      </c>
      <c r="BI209" t="s">
        <v>974</v>
      </c>
      <c r="BJ209" t="s">
        <v>975</v>
      </c>
      <c r="BK209" t="s">
        <v>934</v>
      </c>
      <c r="BL209" t="s">
        <v>194</v>
      </c>
      <c r="BM209" s="8" t="s">
        <v>192</v>
      </c>
      <c r="BN209" t="s">
        <v>189</v>
      </c>
      <c r="BO209" t="s">
        <v>190</v>
      </c>
      <c r="BP209" s="35" t="s">
        <v>861</v>
      </c>
      <c r="BQ209"/>
      <c r="BU209" s="35"/>
      <c r="BV209" s="35"/>
      <c r="BX209"/>
      <c r="CA209" s="35"/>
      <c r="CB209" s="35"/>
      <c r="CC209"/>
      <c r="CG209" s="35"/>
      <c r="CH209" s="35"/>
      <c r="CK209"/>
      <c r="CM209" s="35"/>
      <c r="CN209" s="35"/>
      <c r="CQ209"/>
      <c r="CS209" s="35"/>
      <c r="CT209" s="35"/>
      <c r="CX209"/>
      <c r="CZ209" s="35"/>
      <c r="DD209" s="34"/>
      <c r="DG209" t="s">
        <v>904</v>
      </c>
      <c r="DH209" t="s">
        <v>990</v>
      </c>
      <c r="DI209" t="s">
        <v>233</v>
      </c>
      <c r="DL209" t="s">
        <v>691</v>
      </c>
      <c r="DM209">
        <v>5</v>
      </c>
      <c r="DN209">
        <v>7</v>
      </c>
      <c r="DO209" t="s">
        <v>905</v>
      </c>
      <c r="DQ209" t="s">
        <v>927</v>
      </c>
      <c r="DR209">
        <v>14</v>
      </c>
      <c r="DS209">
        <v>0</v>
      </c>
      <c r="DU209">
        <v>14</v>
      </c>
      <c r="DV209">
        <v>0</v>
      </c>
      <c r="DX209">
        <v>14</v>
      </c>
      <c r="DY209">
        <v>0</v>
      </c>
      <c r="DZ209" t="s">
        <v>246</v>
      </c>
      <c r="EA209" t="s">
        <v>929</v>
      </c>
    </row>
    <row r="210" spans="1:131" x14ac:dyDescent="0.4">
      <c r="A210" s="34">
        <v>43067.305104166669</v>
      </c>
      <c r="B210" s="25">
        <v>42956.746527777781</v>
      </c>
      <c r="D210" s="34"/>
      <c r="E210" s="34" t="s">
        <v>193</v>
      </c>
      <c r="F210" s="34" t="s">
        <v>191</v>
      </c>
      <c r="G210" s="34" t="s">
        <v>100</v>
      </c>
      <c r="H210" t="s">
        <v>856</v>
      </c>
      <c r="I210" t="s">
        <v>243</v>
      </c>
      <c r="J210" t="s">
        <v>857</v>
      </c>
      <c r="K210" t="s">
        <v>729</v>
      </c>
      <c r="L210" t="s">
        <v>855</v>
      </c>
      <c r="M210" s="30">
        <v>2.0299999999999998</v>
      </c>
      <c r="N210">
        <v>6</v>
      </c>
      <c r="P210" s="24" t="str">
        <f>IFERROR(MID(RADataTable[[#This Row],[RATemplate]],1,LEN(RADataTable[[#This Row],[RATemplate]])-8),"RA") &amp; " " &amp; RADataTable[[#This Row],[prop_id0]] &amp; " " &amp; RADataTable[[#This Row],[last0]]</f>
        <v>RA 1756014 Chen</v>
      </c>
      <c r="T210">
        <v>3</v>
      </c>
      <c r="U210">
        <v>3</v>
      </c>
      <c r="V210" s="34">
        <v>43031.734027777777</v>
      </c>
      <c r="W210">
        <v>1</v>
      </c>
      <c r="X210" s="15" t="str">
        <f>HYPERLINK("https://www.ejacket.nsf.gov/ej/showProposal.do?Continue=Y&amp;ID="&amp;RADataTable[[#This Row],[prop_id0]],"eJ")</f>
        <v>eJ</v>
      </c>
      <c r="Y210" s="15" t="str">
        <f>HYPERLINK("mailto:"&amp;RADataTable[[#This Row],[email]]&amp;"&amp;subject=Your NSF Proposal:  "&amp;RADataTable[[#This Row],[Div]]&amp;" "&amp;RADataTable[[#This Row],[prop_id0]], RADataTable[[#This Row],[email]])</f>
        <v>lchen49@central.uh.edu</v>
      </c>
      <c r="Z210" s="15" t="str">
        <f>HYPERLINK("mailto:"&amp;RADataTable[[#This Row],[allPIemail]]&amp;"&amp;subject=NSF Proposal:  "&amp;RADataTable[[#This Row],[Div]]&amp;" "&amp;RADataTable[[#This Row],[prop_id0]], "PIs@")</f>
        <v>PIs@</v>
      </c>
      <c r="AA210" t="s">
        <v>245</v>
      </c>
      <c r="AB210" t="s">
        <v>691</v>
      </c>
      <c r="AC210" s="30" t="s">
        <v>289</v>
      </c>
      <c r="AD210" t="s">
        <v>902</v>
      </c>
      <c r="AE210" t="s">
        <v>903</v>
      </c>
      <c r="AF210" s="36">
        <v>148477</v>
      </c>
      <c r="AG210" s="36">
        <v>148477</v>
      </c>
      <c r="AH210" s="24"/>
      <c r="AJ210" s="34"/>
      <c r="AK210" t="s">
        <v>923</v>
      </c>
      <c r="AL210" t="s">
        <v>232</v>
      </c>
      <c r="AM210" s="34" t="s">
        <v>925</v>
      </c>
      <c r="AN210" s="34">
        <v>43032</v>
      </c>
      <c r="AO210" s="24">
        <v>3</v>
      </c>
      <c r="AP210" t="s">
        <v>989</v>
      </c>
      <c r="AR210" s="35"/>
      <c r="AS210"/>
      <c r="AT210" s="34"/>
      <c r="AV210" s="34"/>
      <c r="AX210" s="34"/>
      <c r="AY210"/>
      <c r="BA210" s="34"/>
      <c r="BB210"/>
      <c r="BC210" t="s">
        <v>906</v>
      </c>
      <c r="BD210" s="36">
        <v>148477</v>
      </c>
      <c r="BE210" s="36">
        <v>148477</v>
      </c>
      <c r="BF210">
        <v>0</v>
      </c>
      <c r="BG210" s="34">
        <v>43252</v>
      </c>
      <c r="BH210">
        <v>24</v>
      </c>
      <c r="BI210" t="s">
        <v>974</v>
      </c>
      <c r="BJ210" t="s">
        <v>975</v>
      </c>
      <c r="BK210" t="s">
        <v>934</v>
      </c>
      <c r="BL210" t="s">
        <v>194</v>
      </c>
      <c r="BM210" s="8" t="s">
        <v>192</v>
      </c>
      <c r="BN210" t="s">
        <v>189</v>
      </c>
      <c r="BO210" t="s">
        <v>190</v>
      </c>
      <c r="BP210" s="35" t="s">
        <v>861</v>
      </c>
      <c r="BQ210"/>
      <c r="BU210" s="35"/>
      <c r="BV210" s="35"/>
      <c r="BX210"/>
      <c r="CA210" s="35"/>
      <c r="CB210" s="35"/>
      <c r="CC210"/>
      <c r="CG210" s="35"/>
      <c r="CH210" s="35"/>
      <c r="CK210"/>
      <c r="CM210" s="35"/>
      <c r="CN210" s="35"/>
      <c r="CQ210"/>
      <c r="CS210" s="35"/>
      <c r="CT210" s="35"/>
      <c r="CX210"/>
      <c r="CZ210" s="35"/>
      <c r="DD210" s="34"/>
      <c r="DG210" t="s">
        <v>904</v>
      </c>
      <c r="DH210" t="s">
        <v>990</v>
      </c>
      <c r="DI210" t="s">
        <v>233</v>
      </c>
      <c r="DL210" t="s">
        <v>691</v>
      </c>
      <c r="DM210">
        <v>5</v>
      </c>
      <c r="DN210">
        <v>7</v>
      </c>
      <c r="DO210" t="s">
        <v>905</v>
      </c>
      <c r="DQ210" t="s">
        <v>927</v>
      </c>
      <c r="DR210">
        <v>14</v>
      </c>
      <c r="DS210">
        <v>0</v>
      </c>
      <c r="DU210">
        <v>14</v>
      </c>
      <c r="DV210">
        <v>0</v>
      </c>
      <c r="DX210">
        <v>14</v>
      </c>
      <c r="DY210">
        <v>0</v>
      </c>
      <c r="DZ210" t="s">
        <v>246</v>
      </c>
      <c r="EA210" t="s">
        <v>929</v>
      </c>
    </row>
    <row r="211" spans="1:131" x14ac:dyDescent="0.4">
      <c r="A211" s="34">
        <v>43067.305104166669</v>
      </c>
      <c r="B211" s="25">
        <v>42956.746527777781</v>
      </c>
      <c r="D211" s="34"/>
      <c r="E211" s="34" t="s">
        <v>193</v>
      </c>
      <c r="F211" s="34" t="s">
        <v>191</v>
      </c>
      <c r="G211" s="34" t="s">
        <v>100</v>
      </c>
      <c r="H211" t="s">
        <v>856</v>
      </c>
      <c r="I211" t="s">
        <v>243</v>
      </c>
      <c r="J211" t="s">
        <v>857</v>
      </c>
      <c r="K211" t="s">
        <v>729</v>
      </c>
      <c r="L211" t="s">
        <v>855</v>
      </c>
      <c r="M211" s="30">
        <v>2.0299999999999998</v>
      </c>
      <c r="N211">
        <v>6</v>
      </c>
      <c r="P211" s="24" t="str">
        <f>IFERROR(MID(RADataTable[[#This Row],[RATemplate]],1,LEN(RADataTable[[#This Row],[RATemplate]])-8),"RA") &amp; " " &amp; RADataTable[[#This Row],[prop_id0]] &amp; " " &amp; RADataTable[[#This Row],[last0]]</f>
        <v>RA 1756014 Chen</v>
      </c>
      <c r="T211">
        <v>3</v>
      </c>
      <c r="U211">
        <v>3</v>
      </c>
      <c r="V211" s="34">
        <v>43031.734027777777</v>
      </c>
      <c r="W211">
        <v>1</v>
      </c>
      <c r="X211" s="15" t="str">
        <f>HYPERLINK("https://www.ejacket.nsf.gov/ej/showProposal.do?Continue=Y&amp;ID="&amp;RADataTable[[#This Row],[prop_id0]],"eJ")</f>
        <v>eJ</v>
      </c>
      <c r="Y211" s="15" t="str">
        <f>HYPERLINK("mailto:"&amp;RADataTable[[#This Row],[email]]&amp;"&amp;subject=Your NSF Proposal:  "&amp;RADataTable[[#This Row],[Div]]&amp;" "&amp;RADataTable[[#This Row],[prop_id0]], RADataTable[[#This Row],[email]])</f>
        <v>lchen49@central.uh.edu</v>
      </c>
      <c r="Z211" s="15" t="str">
        <f>HYPERLINK("mailto:"&amp;RADataTable[[#This Row],[allPIemail]]&amp;"&amp;subject=NSF Proposal:  "&amp;RADataTable[[#This Row],[Div]]&amp;" "&amp;RADataTable[[#This Row],[prop_id0]], "PIs@")</f>
        <v>PIs@</v>
      </c>
      <c r="AA211" t="s">
        <v>245</v>
      </c>
      <c r="AB211" t="s">
        <v>691</v>
      </c>
      <c r="AC211" s="30" t="s">
        <v>289</v>
      </c>
      <c r="AD211" t="s">
        <v>902</v>
      </c>
      <c r="AE211" t="s">
        <v>903</v>
      </c>
      <c r="AF211" s="36">
        <v>148477</v>
      </c>
      <c r="AG211" s="36">
        <v>148477</v>
      </c>
      <c r="AH211" s="24"/>
      <c r="AJ211" s="34"/>
      <c r="AK211" t="s">
        <v>923</v>
      </c>
      <c r="AL211" t="s">
        <v>232</v>
      </c>
      <c r="AM211" s="34" t="s">
        <v>925</v>
      </c>
      <c r="AN211" s="34">
        <v>43032</v>
      </c>
      <c r="AO211" s="24">
        <v>3</v>
      </c>
      <c r="AP211" t="s">
        <v>989</v>
      </c>
      <c r="AR211" s="35"/>
      <c r="AS211"/>
      <c r="AT211" s="34"/>
      <c r="AV211" s="34"/>
      <c r="AX211" s="34"/>
      <c r="AY211"/>
      <c r="BA211" s="34"/>
      <c r="BB211"/>
      <c r="BC211" t="s">
        <v>906</v>
      </c>
      <c r="BD211" s="36">
        <v>148477</v>
      </c>
      <c r="BE211" s="36">
        <v>148477</v>
      </c>
      <c r="BF211">
        <v>0</v>
      </c>
      <c r="BG211" s="34">
        <v>43252</v>
      </c>
      <c r="BH211">
        <v>24</v>
      </c>
      <c r="BI211" t="s">
        <v>974</v>
      </c>
      <c r="BJ211" t="s">
        <v>975</v>
      </c>
      <c r="BK211" t="s">
        <v>934</v>
      </c>
      <c r="BL211" t="s">
        <v>194</v>
      </c>
      <c r="BM211" s="8" t="s">
        <v>192</v>
      </c>
      <c r="BN211" t="s">
        <v>189</v>
      </c>
      <c r="BO211" t="s">
        <v>190</v>
      </c>
      <c r="BP211" s="35" t="s">
        <v>861</v>
      </c>
      <c r="BQ211"/>
      <c r="BU211" s="35"/>
      <c r="BV211" s="35"/>
      <c r="BX211"/>
      <c r="CA211" s="35"/>
      <c r="CB211" s="35"/>
      <c r="CC211"/>
      <c r="CG211" s="35"/>
      <c r="CH211" s="35"/>
      <c r="CK211"/>
      <c r="CM211" s="35"/>
      <c r="CN211" s="35"/>
      <c r="CQ211"/>
      <c r="CS211" s="35"/>
      <c r="CT211" s="35"/>
      <c r="CX211"/>
      <c r="CZ211" s="35"/>
      <c r="DD211" s="34"/>
      <c r="DG211" t="s">
        <v>904</v>
      </c>
      <c r="DH211" t="s">
        <v>990</v>
      </c>
      <c r="DI211" t="s">
        <v>233</v>
      </c>
      <c r="DL211" t="s">
        <v>691</v>
      </c>
      <c r="DM211">
        <v>5</v>
      </c>
      <c r="DN211">
        <v>7</v>
      </c>
      <c r="DO211" t="s">
        <v>905</v>
      </c>
      <c r="DQ211" t="s">
        <v>927</v>
      </c>
      <c r="DR211">
        <v>14</v>
      </c>
      <c r="DS211">
        <v>0</v>
      </c>
      <c r="DU211">
        <v>14</v>
      </c>
      <c r="DV211">
        <v>0</v>
      </c>
      <c r="DX211">
        <v>14</v>
      </c>
      <c r="DY211">
        <v>0</v>
      </c>
      <c r="DZ211" t="s">
        <v>246</v>
      </c>
      <c r="EA211" t="s">
        <v>929</v>
      </c>
    </row>
    <row r="212" spans="1:131" x14ac:dyDescent="0.4">
      <c r="A212" s="34">
        <v>43067.305104166669</v>
      </c>
      <c r="B212" s="25">
        <v>42956.746527777781</v>
      </c>
      <c r="D212" s="34"/>
      <c r="E212" s="34" t="s">
        <v>193</v>
      </c>
      <c r="F212" s="34" t="s">
        <v>191</v>
      </c>
      <c r="G212" s="34" t="s">
        <v>100</v>
      </c>
      <c r="H212" t="s">
        <v>856</v>
      </c>
      <c r="I212" t="s">
        <v>243</v>
      </c>
      <c r="J212" t="s">
        <v>857</v>
      </c>
      <c r="K212" t="s">
        <v>729</v>
      </c>
      <c r="L212" t="s">
        <v>855</v>
      </c>
      <c r="M212" s="30">
        <v>2.0299999999999998</v>
      </c>
      <c r="N212">
        <v>6</v>
      </c>
      <c r="P212" s="24" t="str">
        <f>IFERROR(MID(RADataTable[[#This Row],[RATemplate]],1,LEN(RADataTable[[#This Row],[RATemplate]])-8),"RA") &amp; " " &amp; RADataTable[[#This Row],[prop_id0]] &amp; " " &amp; RADataTable[[#This Row],[last0]]</f>
        <v>RA 1756014 Chen</v>
      </c>
      <c r="T212">
        <v>3</v>
      </c>
      <c r="U212">
        <v>3</v>
      </c>
      <c r="V212" s="34">
        <v>43031.734027777777</v>
      </c>
      <c r="W212">
        <v>1</v>
      </c>
      <c r="X212" s="15" t="str">
        <f>HYPERLINK("https://www.ejacket.nsf.gov/ej/showProposal.do?Continue=Y&amp;ID="&amp;RADataTable[[#This Row],[prop_id0]],"eJ")</f>
        <v>eJ</v>
      </c>
      <c r="Y212" s="15" t="str">
        <f>HYPERLINK("mailto:"&amp;RADataTable[[#This Row],[email]]&amp;"&amp;subject=Your NSF Proposal:  "&amp;RADataTable[[#This Row],[Div]]&amp;" "&amp;RADataTable[[#This Row],[prop_id0]], RADataTable[[#This Row],[email]])</f>
        <v>lchen49@central.uh.edu</v>
      </c>
      <c r="Z212" s="15" t="str">
        <f>HYPERLINK("mailto:"&amp;RADataTable[[#This Row],[allPIemail]]&amp;"&amp;subject=NSF Proposal:  "&amp;RADataTable[[#This Row],[Div]]&amp;" "&amp;RADataTable[[#This Row],[prop_id0]], "PIs@")</f>
        <v>PIs@</v>
      </c>
      <c r="AA212" t="s">
        <v>245</v>
      </c>
      <c r="AB212" t="s">
        <v>691</v>
      </c>
      <c r="AC212" s="30" t="s">
        <v>289</v>
      </c>
      <c r="AD212" t="s">
        <v>902</v>
      </c>
      <c r="AE212" t="s">
        <v>903</v>
      </c>
      <c r="AF212" s="36">
        <v>148477</v>
      </c>
      <c r="AG212" s="36">
        <v>148477</v>
      </c>
      <c r="AH212" s="24"/>
      <c r="AJ212" s="34"/>
      <c r="AK212" t="s">
        <v>923</v>
      </c>
      <c r="AL212" t="s">
        <v>232</v>
      </c>
      <c r="AM212" s="34" t="s">
        <v>925</v>
      </c>
      <c r="AN212" s="34">
        <v>43032</v>
      </c>
      <c r="AO212" s="24">
        <v>3</v>
      </c>
      <c r="AP212" t="s">
        <v>989</v>
      </c>
      <c r="AR212" s="35"/>
      <c r="AS212"/>
      <c r="AT212" s="34"/>
      <c r="AV212" s="34"/>
      <c r="AX212" s="34"/>
      <c r="AY212"/>
      <c r="BA212" s="34"/>
      <c r="BB212"/>
      <c r="BC212" t="s">
        <v>906</v>
      </c>
      <c r="BD212" s="36">
        <v>148477</v>
      </c>
      <c r="BE212" s="36">
        <v>148477</v>
      </c>
      <c r="BF212">
        <v>0</v>
      </c>
      <c r="BG212" s="34">
        <v>43252</v>
      </c>
      <c r="BH212">
        <v>24</v>
      </c>
      <c r="BI212" t="s">
        <v>974</v>
      </c>
      <c r="BJ212" t="s">
        <v>975</v>
      </c>
      <c r="BK212" t="s">
        <v>934</v>
      </c>
      <c r="BL212" t="s">
        <v>194</v>
      </c>
      <c r="BM212" s="8" t="s">
        <v>192</v>
      </c>
      <c r="BN212" t="s">
        <v>189</v>
      </c>
      <c r="BO212" t="s">
        <v>190</v>
      </c>
      <c r="BP212" s="35" t="s">
        <v>861</v>
      </c>
      <c r="BQ212"/>
      <c r="BU212" s="35"/>
      <c r="BV212" s="35"/>
      <c r="BX212"/>
      <c r="CA212" s="35"/>
      <c r="CB212" s="35"/>
      <c r="CC212"/>
      <c r="CG212" s="35"/>
      <c r="CH212" s="35"/>
      <c r="CK212"/>
      <c r="CM212" s="35"/>
      <c r="CN212" s="35"/>
      <c r="CQ212"/>
      <c r="CS212" s="35"/>
      <c r="CT212" s="35"/>
      <c r="CX212"/>
      <c r="CZ212" s="35"/>
      <c r="DD212" s="34"/>
      <c r="DG212" t="s">
        <v>904</v>
      </c>
      <c r="DH212" t="s">
        <v>990</v>
      </c>
      <c r="DI212" t="s">
        <v>233</v>
      </c>
      <c r="DL212" t="s">
        <v>691</v>
      </c>
      <c r="DM212">
        <v>5</v>
      </c>
      <c r="DN212">
        <v>7</v>
      </c>
      <c r="DO212" t="s">
        <v>905</v>
      </c>
      <c r="DQ212" t="s">
        <v>927</v>
      </c>
      <c r="DR212">
        <v>14</v>
      </c>
      <c r="DS212">
        <v>0</v>
      </c>
      <c r="DU212">
        <v>14</v>
      </c>
      <c r="DV212">
        <v>0</v>
      </c>
      <c r="DX212">
        <v>14</v>
      </c>
      <c r="DY212">
        <v>0</v>
      </c>
      <c r="DZ212" t="s">
        <v>246</v>
      </c>
      <c r="EA212" t="s">
        <v>929</v>
      </c>
    </row>
    <row r="213" spans="1:131" x14ac:dyDescent="0.4">
      <c r="A213" s="34">
        <v>43067.305104166669</v>
      </c>
      <c r="B213" s="25">
        <v>42956.746527777781</v>
      </c>
      <c r="D213" s="34"/>
      <c r="E213" s="34" t="s">
        <v>193</v>
      </c>
      <c r="F213" s="34" t="s">
        <v>191</v>
      </c>
      <c r="G213" s="34" t="s">
        <v>100</v>
      </c>
      <c r="H213" t="s">
        <v>856</v>
      </c>
      <c r="I213" t="s">
        <v>243</v>
      </c>
      <c r="J213" t="s">
        <v>857</v>
      </c>
      <c r="K213" t="s">
        <v>729</v>
      </c>
      <c r="L213" t="s">
        <v>855</v>
      </c>
      <c r="M213" s="30">
        <v>2.0299999999999998</v>
      </c>
      <c r="N213">
        <v>6</v>
      </c>
      <c r="P213" s="24" t="str">
        <f>IFERROR(MID(RADataTable[[#This Row],[RATemplate]],1,LEN(RADataTable[[#This Row],[RATemplate]])-8),"RA") &amp; " " &amp; RADataTable[[#This Row],[prop_id0]] &amp; " " &amp; RADataTable[[#This Row],[last0]]</f>
        <v>RA 1756014 Chen</v>
      </c>
      <c r="T213">
        <v>3</v>
      </c>
      <c r="U213">
        <v>3</v>
      </c>
      <c r="V213" s="34">
        <v>43031.734027777777</v>
      </c>
      <c r="W213">
        <v>1</v>
      </c>
      <c r="X213" s="15" t="str">
        <f>HYPERLINK("https://www.ejacket.nsf.gov/ej/showProposal.do?Continue=Y&amp;ID="&amp;RADataTable[[#This Row],[prop_id0]],"eJ")</f>
        <v>eJ</v>
      </c>
      <c r="Y213" s="15" t="str">
        <f>HYPERLINK("mailto:"&amp;RADataTable[[#This Row],[email]]&amp;"&amp;subject=Your NSF Proposal:  "&amp;RADataTable[[#This Row],[Div]]&amp;" "&amp;RADataTable[[#This Row],[prop_id0]], RADataTable[[#This Row],[email]])</f>
        <v>lchen49@central.uh.edu</v>
      </c>
      <c r="Z213" s="15" t="str">
        <f>HYPERLINK("mailto:"&amp;RADataTable[[#This Row],[allPIemail]]&amp;"&amp;subject=NSF Proposal:  "&amp;RADataTable[[#This Row],[Div]]&amp;" "&amp;RADataTable[[#This Row],[prop_id0]], "PIs@")</f>
        <v>PIs@</v>
      </c>
      <c r="AA213" t="s">
        <v>245</v>
      </c>
      <c r="AB213" t="s">
        <v>691</v>
      </c>
      <c r="AC213" s="30" t="s">
        <v>289</v>
      </c>
      <c r="AD213" t="s">
        <v>902</v>
      </c>
      <c r="AE213" t="s">
        <v>903</v>
      </c>
      <c r="AF213" s="36">
        <v>148477</v>
      </c>
      <c r="AG213" s="36">
        <v>148477</v>
      </c>
      <c r="AH213" s="24"/>
      <c r="AJ213" s="34"/>
      <c r="AK213" t="s">
        <v>923</v>
      </c>
      <c r="AL213" t="s">
        <v>232</v>
      </c>
      <c r="AM213" s="34" t="s">
        <v>925</v>
      </c>
      <c r="AN213" s="34">
        <v>43032</v>
      </c>
      <c r="AO213" s="24">
        <v>3</v>
      </c>
      <c r="AP213" t="s">
        <v>989</v>
      </c>
      <c r="AR213" s="35"/>
      <c r="AS213"/>
      <c r="AT213" s="34"/>
      <c r="AV213" s="34"/>
      <c r="AX213" s="34"/>
      <c r="AY213"/>
      <c r="BA213" s="34"/>
      <c r="BB213"/>
      <c r="BC213" t="s">
        <v>906</v>
      </c>
      <c r="BD213" s="36">
        <v>148477</v>
      </c>
      <c r="BE213" s="36">
        <v>148477</v>
      </c>
      <c r="BF213">
        <v>0</v>
      </c>
      <c r="BG213" s="34">
        <v>43252</v>
      </c>
      <c r="BH213">
        <v>24</v>
      </c>
      <c r="BI213" t="s">
        <v>974</v>
      </c>
      <c r="BJ213" t="s">
        <v>975</v>
      </c>
      <c r="BK213" t="s">
        <v>934</v>
      </c>
      <c r="BL213" t="s">
        <v>194</v>
      </c>
      <c r="BM213" s="8" t="s">
        <v>192</v>
      </c>
      <c r="BN213" t="s">
        <v>189</v>
      </c>
      <c r="BO213" t="s">
        <v>190</v>
      </c>
      <c r="BP213" s="35" t="s">
        <v>861</v>
      </c>
      <c r="BQ213"/>
      <c r="BU213" s="35"/>
      <c r="BV213" s="35"/>
      <c r="BX213"/>
      <c r="CA213" s="35"/>
      <c r="CB213" s="35"/>
      <c r="CC213"/>
      <c r="CG213" s="35"/>
      <c r="CH213" s="35"/>
      <c r="CK213"/>
      <c r="CM213" s="35"/>
      <c r="CN213" s="35"/>
      <c r="CQ213"/>
      <c r="CS213" s="35"/>
      <c r="CT213" s="35"/>
      <c r="CX213"/>
      <c r="CZ213" s="35"/>
      <c r="DD213" s="34"/>
      <c r="DG213" t="s">
        <v>904</v>
      </c>
      <c r="DH213" t="s">
        <v>990</v>
      </c>
      <c r="DI213" t="s">
        <v>233</v>
      </c>
      <c r="DL213" t="s">
        <v>691</v>
      </c>
      <c r="DM213">
        <v>5</v>
      </c>
      <c r="DN213">
        <v>7</v>
      </c>
      <c r="DO213" t="s">
        <v>905</v>
      </c>
      <c r="DQ213" t="s">
        <v>927</v>
      </c>
      <c r="DR213">
        <v>14</v>
      </c>
      <c r="DS213">
        <v>0</v>
      </c>
      <c r="DU213">
        <v>14</v>
      </c>
      <c r="DV213">
        <v>0</v>
      </c>
      <c r="DX213">
        <v>14</v>
      </c>
      <c r="DY213">
        <v>0</v>
      </c>
      <c r="DZ213" t="s">
        <v>246</v>
      </c>
      <c r="EA213" t="s">
        <v>929</v>
      </c>
    </row>
    <row r="214" spans="1:131" x14ac:dyDescent="0.4">
      <c r="A214" s="34">
        <v>43067.305104166669</v>
      </c>
      <c r="B214" s="25">
        <v>42956.746527777781</v>
      </c>
      <c r="D214" s="34"/>
      <c r="E214" s="34" t="s">
        <v>193</v>
      </c>
      <c r="F214" s="34" t="s">
        <v>191</v>
      </c>
      <c r="G214" s="34" t="s">
        <v>100</v>
      </c>
      <c r="H214" t="s">
        <v>856</v>
      </c>
      <c r="I214" t="s">
        <v>243</v>
      </c>
      <c r="J214" t="s">
        <v>857</v>
      </c>
      <c r="K214" t="s">
        <v>729</v>
      </c>
      <c r="L214" t="s">
        <v>855</v>
      </c>
      <c r="M214" s="30">
        <v>2.0299999999999998</v>
      </c>
      <c r="N214">
        <v>6</v>
      </c>
      <c r="P214" s="24" t="str">
        <f>IFERROR(MID(RADataTable[[#This Row],[RATemplate]],1,LEN(RADataTable[[#This Row],[RATemplate]])-8),"RA") &amp; " " &amp; RADataTable[[#This Row],[prop_id0]] &amp; " " &amp; RADataTable[[#This Row],[last0]]</f>
        <v>RA 1756014 Chen</v>
      </c>
      <c r="T214">
        <v>3</v>
      </c>
      <c r="U214">
        <v>3</v>
      </c>
      <c r="V214" s="34">
        <v>43031.734027777777</v>
      </c>
      <c r="W214">
        <v>1</v>
      </c>
      <c r="X214" s="15" t="str">
        <f>HYPERLINK("https://www.ejacket.nsf.gov/ej/showProposal.do?Continue=Y&amp;ID="&amp;RADataTable[[#This Row],[prop_id0]],"eJ")</f>
        <v>eJ</v>
      </c>
      <c r="Y214" s="15" t="str">
        <f>HYPERLINK("mailto:"&amp;RADataTable[[#This Row],[email]]&amp;"&amp;subject=Your NSF Proposal:  "&amp;RADataTable[[#This Row],[Div]]&amp;" "&amp;RADataTable[[#This Row],[prop_id0]], RADataTable[[#This Row],[email]])</f>
        <v>lchen49@central.uh.edu</v>
      </c>
      <c r="Z214" s="15" t="str">
        <f>HYPERLINK("mailto:"&amp;RADataTable[[#This Row],[allPIemail]]&amp;"&amp;subject=NSF Proposal:  "&amp;RADataTable[[#This Row],[Div]]&amp;" "&amp;RADataTable[[#This Row],[prop_id0]], "PIs@")</f>
        <v>PIs@</v>
      </c>
      <c r="AA214" t="s">
        <v>245</v>
      </c>
      <c r="AB214" t="s">
        <v>691</v>
      </c>
      <c r="AC214" s="30" t="s">
        <v>289</v>
      </c>
      <c r="AD214" t="s">
        <v>902</v>
      </c>
      <c r="AE214" t="s">
        <v>903</v>
      </c>
      <c r="AF214" s="36">
        <v>148477</v>
      </c>
      <c r="AG214" s="36">
        <v>148477</v>
      </c>
      <c r="AH214" s="24"/>
      <c r="AJ214" s="34"/>
      <c r="AK214" t="s">
        <v>923</v>
      </c>
      <c r="AL214" t="s">
        <v>232</v>
      </c>
      <c r="AM214" s="34" t="s">
        <v>925</v>
      </c>
      <c r="AN214" s="34">
        <v>43032</v>
      </c>
      <c r="AO214" s="24">
        <v>3</v>
      </c>
      <c r="AP214" t="s">
        <v>989</v>
      </c>
      <c r="AR214" s="35"/>
      <c r="AS214"/>
      <c r="AT214" s="34"/>
      <c r="AV214" s="34"/>
      <c r="AX214" s="34"/>
      <c r="AY214"/>
      <c r="BA214" s="34"/>
      <c r="BB214"/>
      <c r="BC214" t="s">
        <v>906</v>
      </c>
      <c r="BD214" s="36">
        <v>148477</v>
      </c>
      <c r="BE214" s="36">
        <v>148477</v>
      </c>
      <c r="BF214">
        <v>0</v>
      </c>
      <c r="BG214" s="34">
        <v>43252</v>
      </c>
      <c r="BH214">
        <v>24</v>
      </c>
      <c r="BI214" t="s">
        <v>974</v>
      </c>
      <c r="BJ214" t="s">
        <v>975</v>
      </c>
      <c r="BK214" t="s">
        <v>934</v>
      </c>
      <c r="BL214" t="s">
        <v>194</v>
      </c>
      <c r="BM214" s="8" t="s">
        <v>192</v>
      </c>
      <c r="BN214" t="s">
        <v>189</v>
      </c>
      <c r="BO214" t="s">
        <v>190</v>
      </c>
      <c r="BP214" s="35" t="s">
        <v>861</v>
      </c>
      <c r="BQ214"/>
      <c r="BU214" s="35"/>
      <c r="BV214" s="35"/>
      <c r="BX214"/>
      <c r="CA214" s="35"/>
      <c r="CB214" s="35"/>
      <c r="CC214"/>
      <c r="CG214" s="35"/>
      <c r="CH214" s="35"/>
      <c r="CK214"/>
      <c r="CM214" s="35"/>
      <c r="CN214" s="35"/>
      <c r="CQ214"/>
      <c r="CS214" s="35"/>
      <c r="CT214" s="35"/>
      <c r="CX214"/>
      <c r="CZ214" s="35"/>
      <c r="DD214" s="34"/>
      <c r="DG214" t="s">
        <v>904</v>
      </c>
      <c r="DH214" t="s">
        <v>990</v>
      </c>
      <c r="DI214" t="s">
        <v>233</v>
      </c>
      <c r="DL214" t="s">
        <v>691</v>
      </c>
      <c r="DM214">
        <v>5</v>
      </c>
      <c r="DN214">
        <v>7</v>
      </c>
      <c r="DO214" t="s">
        <v>905</v>
      </c>
      <c r="DQ214" t="s">
        <v>927</v>
      </c>
      <c r="DR214">
        <v>14</v>
      </c>
      <c r="DS214">
        <v>0</v>
      </c>
      <c r="DU214">
        <v>14</v>
      </c>
      <c r="DV214">
        <v>0</v>
      </c>
      <c r="DX214">
        <v>14</v>
      </c>
      <c r="DY214">
        <v>0</v>
      </c>
      <c r="DZ214" t="s">
        <v>246</v>
      </c>
      <c r="EA214" t="s">
        <v>929</v>
      </c>
    </row>
    <row r="215" spans="1:131" x14ac:dyDescent="0.4">
      <c r="A215" s="34">
        <v>43067.305104166669</v>
      </c>
      <c r="B215" s="25">
        <v>42956.746527777781</v>
      </c>
      <c r="D215" s="34"/>
      <c r="E215" s="34" t="s">
        <v>193</v>
      </c>
      <c r="F215" s="34" t="s">
        <v>191</v>
      </c>
      <c r="G215" s="34" t="s">
        <v>100</v>
      </c>
      <c r="H215" t="s">
        <v>856</v>
      </c>
      <c r="I215" t="s">
        <v>243</v>
      </c>
      <c r="J215" t="s">
        <v>857</v>
      </c>
      <c r="K215" t="s">
        <v>729</v>
      </c>
      <c r="L215" t="s">
        <v>855</v>
      </c>
      <c r="M215" s="30">
        <v>2.0299999999999998</v>
      </c>
      <c r="N215">
        <v>6</v>
      </c>
      <c r="P215" s="24" t="str">
        <f>IFERROR(MID(RADataTable[[#This Row],[RATemplate]],1,LEN(RADataTable[[#This Row],[RATemplate]])-8),"RA") &amp; " " &amp; RADataTable[[#This Row],[prop_id0]] &amp; " " &amp; RADataTable[[#This Row],[last0]]</f>
        <v>RA 1756014 Chen</v>
      </c>
      <c r="T215">
        <v>3</v>
      </c>
      <c r="U215">
        <v>3</v>
      </c>
      <c r="V215" s="34">
        <v>43031.734027777777</v>
      </c>
      <c r="W215">
        <v>1</v>
      </c>
      <c r="X215" s="15" t="str">
        <f>HYPERLINK("https://www.ejacket.nsf.gov/ej/showProposal.do?Continue=Y&amp;ID="&amp;RADataTable[[#This Row],[prop_id0]],"eJ")</f>
        <v>eJ</v>
      </c>
      <c r="Y215" s="15" t="str">
        <f>HYPERLINK("mailto:"&amp;RADataTable[[#This Row],[email]]&amp;"&amp;subject=Your NSF Proposal:  "&amp;RADataTable[[#This Row],[Div]]&amp;" "&amp;RADataTable[[#This Row],[prop_id0]], RADataTable[[#This Row],[email]])</f>
        <v>lchen49@central.uh.edu</v>
      </c>
      <c r="Z215" s="15" t="str">
        <f>HYPERLINK("mailto:"&amp;RADataTable[[#This Row],[allPIemail]]&amp;"&amp;subject=NSF Proposal:  "&amp;RADataTable[[#This Row],[Div]]&amp;" "&amp;RADataTable[[#This Row],[prop_id0]], "PIs@")</f>
        <v>PIs@</v>
      </c>
      <c r="AA215" t="s">
        <v>245</v>
      </c>
      <c r="AB215" t="s">
        <v>691</v>
      </c>
      <c r="AC215" s="30" t="s">
        <v>289</v>
      </c>
      <c r="AD215" t="s">
        <v>902</v>
      </c>
      <c r="AE215" t="s">
        <v>903</v>
      </c>
      <c r="AF215" s="36">
        <v>148477</v>
      </c>
      <c r="AG215" s="36">
        <v>148477</v>
      </c>
      <c r="AH215" s="24"/>
      <c r="AJ215" s="34"/>
      <c r="AK215" t="s">
        <v>923</v>
      </c>
      <c r="AL215" t="s">
        <v>232</v>
      </c>
      <c r="AM215" s="34" t="s">
        <v>925</v>
      </c>
      <c r="AN215" s="34">
        <v>43032</v>
      </c>
      <c r="AO215" s="24">
        <v>3</v>
      </c>
      <c r="AP215" t="s">
        <v>989</v>
      </c>
      <c r="AR215" s="35"/>
      <c r="AS215"/>
      <c r="AT215" s="34"/>
      <c r="AV215" s="34"/>
      <c r="AX215" s="34"/>
      <c r="AY215"/>
      <c r="BA215" s="34"/>
      <c r="BB215"/>
      <c r="BC215" t="s">
        <v>906</v>
      </c>
      <c r="BD215" s="36">
        <v>148477</v>
      </c>
      <c r="BE215" s="36">
        <v>148477</v>
      </c>
      <c r="BF215">
        <v>0</v>
      </c>
      <c r="BG215" s="34">
        <v>43252</v>
      </c>
      <c r="BH215">
        <v>24</v>
      </c>
      <c r="BI215" t="s">
        <v>974</v>
      </c>
      <c r="BJ215" t="s">
        <v>975</v>
      </c>
      <c r="BK215" t="s">
        <v>934</v>
      </c>
      <c r="BL215" t="s">
        <v>194</v>
      </c>
      <c r="BM215" s="8" t="s">
        <v>192</v>
      </c>
      <c r="BN215" t="s">
        <v>189</v>
      </c>
      <c r="BO215" t="s">
        <v>190</v>
      </c>
      <c r="BP215" s="35" t="s">
        <v>861</v>
      </c>
      <c r="BQ215"/>
      <c r="BU215" s="35"/>
      <c r="BV215" s="35"/>
      <c r="BX215"/>
      <c r="CA215" s="35"/>
      <c r="CB215" s="35"/>
      <c r="CC215"/>
      <c r="CG215" s="35"/>
      <c r="CH215" s="35"/>
      <c r="CK215"/>
      <c r="CM215" s="35"/>
      <c r="CN215" s="35"/>
      <c r="CQ215"/>
      <c r="CS215" s="35"/>
      <c r="CT215" s="35"/>
      <c r="CX215"/>
      <c r="CZ215" s="35"/>
      <c r="DD215" s="34"/>
      <c r="DG215" t="s">
        <v>904</v>
      </c>
      <c r="DH215" t="s">
        <v>990</v>
      </c>
      <c r="DI215" t="s">
        <v>233</v>
      </c>
      <c r="DL215" t="s">
        <v>691</v>
      </c>
      <c r="DM215">
        <v>5</v>
      </c>
      <c r="DN215">
        <v>7</v>
      </c>
      <c r="DO215" t="s">
        <v>905</v>
      </c>
      <c r="DQ215" t="s">
        <v>927</v>
      </c>
      <c r="DR215">
        <v>14</v>
      </c>
      <c r="DS215">
        <v>0</v>
      </c>
      <c r="DU215">
        <v>14</v>
      </c>
      <c r="DV215">
        <v>0</v>
      </c>
      <c r="DX215">
        <v>14</v>
      </c>
      <c r="DY215">
        <v>0</v>
      </c>
      <c r="DZ215" t="s">
        <v>246</v>
      </c>
      <c r="EA215" t="s">
        <v>929</v>
      </c>
    </row>
    <row r="216" spans="1:131" x14ac:dyDescent="0.4">
      <c r="A216" s="34">
        <v>43067.305104166669</v>
      </c>
      <c r="B216" s="25">
        <v>42956.746527777781</v>
      </c>
      <c r="D216" s="34"/>
      <c r="E216" s="34" t="s">
        <v>193</v>
      </c>
      <c r="F216" s="34" t="s">
        <v>191</v>
      </c>
      <c r="G216" s="34" t="s">
        <v>100</v>
      </c>
      <c r="H216" t="s">
        <v>856</v>
      </c>
      <c r="I216" t="s">
        <v>243</v>
      </c>
      <c r="J216" t="s">
        <v>857</v>
      </c>
      <c r="K216" t="s">
        <v>729</v>
      </c>
      <c r="L216" t="s">
        <v>855</v>
      </c>
      <c r="M216" s="30">
        <v>2.0299999999999998</v>
      </c>
      <c r="N216">
        <v>6</v>
      </c>
      <c r="P216" s="24" t="str">
        <f>IFERROR(MID(RADataTable[[#This Row],[RATemplate]],1,LEN(RADataTable[[#This Row],[RATemplate]])-8),"RA") &amp; " " &amp; RADataTable[[#This Row],[prop_id0]] &amp; " " &amp; RADataTable[[#This Row],[last0]]</f>
        <v>RA 1756014 Chen</v>
      </c>
      <c r="T216">
        <v>3</v>
      </c>
      <c r="U216">
        <v>3</v>
      </c>
      <c r="V216" s="34">
        <v>43031.734027777777</v>
      </c>
      <c r="W216">
        <v>1</v>
      </c>
      <c r="X216" s="15" t="str">
        <f>HYPERLINK("https://www.ejacket.nsf.gov/ej/showProposal.do?Continue=Y&amp;ID="&amp;RADataTable[[#This Row],[prop_id0]],"eJ")</f>
        <v>eJ</v>
      </c>
      <c r="Y216" s="15" t="str">
        <f>HYPERLINK("mailto:"&amp;RADataTable[[#This Row],[email]]&amp;"&amp;subject=Your NSF Proposal:  "&amp;RADataTable[[#This Row],[Div]]&amp;" "&amp;RADataTable[[#This Row],[prop_id0]], RADataTable[[#This Row],[email]])</f>
        <v>lchen49@central.uh.edu</v>
      </c>
      <c r="Z216" s="15" t="str">
        <f>HYPERLINK("mailto:"&amp;RADataTable[[#This Row],[allPIemail]]&amp;"&amp;subject=NSF Proposal:  "&amp;RADataTable[[#This Row],[Div]]&amp;" "&amp;RADataTable[[#This Row],[prop_id0]], "PIs@")</f>
        <v>PIs@</v>
      </c>
      <c r="AA216" t="s">
        <v>245</v>
      </c>
      <c r="AB216" t="s">
        <v>691</v>
      </c>
      <c r="AC216" s="30" t="s">
        <v>289</v>
      </c>
      <c r="AD216" t="s">
        <v>902</v>
      </c>
      <c r="AE216" t="s">
        <v>903</v>
      </c>
      <c r="AF216" s="36">
        <v>148477</v>
      </c>
      <c r="AG216" s="36">
        <v>148477</v>
      </c>
      <c r="AH216" s="24"/>
      <c r="AJ216" s="34"/>
      <c r="AK216" t="s">
        <v>923</v>
      </c>
      <c r="AL216" t="s">
        <v>232</v>
      </c>
      <c r="AM216" s="34" t="s">
        <v>925</v>
      </c>
      <c r="AN216" s="34">
        <v>43032</v>
      </c>
      <c r="AO216" s="24">
        <v>3</v>
      </c>
      <c r="AP216" t="s">
        <v>989</v>
      </c>
      <c r="AR216" s="35"/>
      <c r="AS216"/>
      <c r="AT216" s="34"/>
      <c r="AV216" s="34"/>
      <c r="AX216" s="34"/>
      <c r="AY216"/>
      <c r="BA216" s="34"/>
      <c r="BB216"/>
      <c r="BC216" t="s">
        <v>906</v>
      </c>
      <c r="BD216" s="36">
        <v>148477</v>
      </c>
      <c r="BE216" s="36">
        <v>148477</v>
      </c>
      <c r="BF216">
        <v>0</v>
      </c>
      <c r="BG216" s="34">
        <v>43252</v>
      </c>
      <c r="BH216">
        <v>24</v>
      </c>
      <c r="BI216" t="s">
        <v>974</v>
      </c>
      <c r="BJ216" t="s">
        <v>975</v>
      </c>
      <c r="BK216" t="s">
        <v>934</v>
      </c>
      <c r="BL216" t="s">
        <v>194</v>
      </c>
      <c r="BM216" s="8" t="s">
        <v>192</v>
      </c>
      <c r="BN216" t="s">
        <v>189</v>
      </c>
      <c r="BO216" t="s">
        <v>190</v>
      </c>
      <c r="BP216" s="35" t="s">
        <v>861</v>
      </c>
      <c r="BQ216"/>
      <c r="BU216" s="35"/>
      <c r="BV216" s="35"/>
      <c r="BX216"/>
      <c r="CA216" s="35"/>
      <c r="CB216" s="35"/>
      <c r="CC216"/>
      <c r="CG216" s="35"/>
      <c r="CH216" s="35"/>
      <c r="CK216"/>
      <c r="CM216" s="35"/>
      <c r="CN216" s="35"/>
      <c r="CQ216"/>
      <c r="CS216" s="35"/>
      <c r="CT216" s="35"/>
      <c r="CX216"/>
      <c r="CZ216" s="35"/>
      <c r="DD216" s="34"/>
      <c r="DG216" t="s">
        <v>904</v>
      </c>
      <c r="DH216" t="s">
        <v>990</v>
      </c>
      <c r="DI216" t="s">
        <v>233</v>
      </c>
      <c r="DL216" t="s">
        <v>691</v>
      </c>
      <c r="DM216">
        <v>5</v>
      </c>
      <c r="DN216">
        <v>7</v>
      </c>
      <c r="DO216" t="s">
        <v>905</v>
      </c>
      <c r="DQ216" t="s">
        <v>927</v>
      </c>
      <c r="DR216">
        <v>14</v>
      </c>
      <c r="DS216">
        <v>0</v>
      </c>
      <c r="DU216">
        <v>14</v>
      </c>
      <c r="DV216">
        <v>0</v>
      </c>
      <c r="DX216">
        <v>14</v>
      </c>
      <c r="DY216">
        <v>0</v>
      </c>
      <c r="DZ216" t="s">
        <v>246</v>
      </c>
      <c r="EA216" t="s">
        <v>929</v>
      </c>
    </row>
    <row r="217" spans="1:131" x14ac:dyDescent="0.4">
      <c r="A217" s="34">
        <v>43067.305104166669</v>
      </c>
      <c r="B217" s="25">
        <v>42956.746527777781</v>
      </c>
      <c r="D217" s="34"/>
      <c r="E217" s="34" t="s">
        <v>193</v>
      </c>
      <c r="F217" s="34" t="s">
        <v>191</v>
      </c>
      <c r="G217" s="34" t="s">
        <v>100</v>
      </c>
      <c r="H217" t="s">
        <v>856</v>
      </c>
      <c r="I217" t="s">
        <v>243</v>
      </c>
      <c r="J217" t="s">
        <v>857</v>
      </c>
      <c r="K217" t="s">
        <v>729</v>
      </c>
      <c r="L217" t="s">
        <v>855</v>
      </c>
      <c r="M217" s="30">
        <v>2.0299999999999998</v>
      </c>
      <c r="N217">
        <v>6</v>
      </c>
      <c r="P217" s="24" t="str">
        <f>IFERROR(MID(RADataTable[[#This Row],[RATemplate]],1,LEN(RADataTable[[#This Row],[RATemplate]])-8),"RA") &amp; " " &amp; RADataTable[[#This Row],[prop_id0]] &amp; " " &amp; RADataTable[[#This Row],[last0]]</f>
        <v>RA 1756014 Chen</v>
      </c>
      <c r="T217">
        <v>3</v>
      </c>
      <c r="U217">
        <v>3</v>
      </c>
      <c r="V217" s="34">
        <v>43031.734027777777</v>
      </c>
      <c r="W217">
        <v>1</v>
      </c>
      <c r="X217" s="15" t="str">
        <f>HYPERLINK("https://www.ejacket.nsf.gov/ej/showProposal.do?Continue=Y&amp;ID="&amp;RADataTable[[#This Row],[prop_id0]],"eJ")</f>
        <v>eJ</v>
      </c>
      <c r="Y217" s="15" t="str">
        <f>HYPERLINK("mailto:"&amp;RADataTable[[#This Row],[email]]&amp;"&amp;subject=Your NSF Proposal:  "&amp;RADataTable[[#This Row],[Div]]&amp;" "&amp;RADataTable[[#This Row],[prop_id0]], RADataTable[[#This Row],[email]])</f>
        <v>lchen49@central.uh.edu</v>
      </c>
      <c r="Z217" s="15" t="str">
        <f>HYPERLINK("mailto:"&amp;RADataTable[[#This Row],[allPIemail]]&amp;"&amp;subject=NSF Proposal:  "&amp;RADataTable[[#This Row],[Div]]&amp;" "&amp;RADataTable[[#This Row],[prop_id0]], "PIs@")</f>
        <v>PIs@</v>
      </c>
      <c r="AA217" t="s">
        <v>245</v>
      </c>
      <c r="AB217" t="s">
        <v>691</v>
      </c>
      <c r="AC217" s="30" t="s">
        <v>289</v>
      </c>
      <c r="AD217" t="s">
        <v>902</v>
      </c>
      <c r="AE217" t="s">
        <v>903</v>
      </c>
      <c r="AF217" s="36">
        <v>148477</v>
      </c>
      <c r="AG217" s="36">
        <v>148477</v>
      </c>
      <c r="AH217" s="24"/>
      <c r="AJ217" s="34"/>
      <c r="AK217" t="s">
        <v>923</v>
      </c>
      <c r="AL217" t="s">
        <v>232</v>
      </c>
      <c r="AM217" s="34" t="s">
        <v>925</v>
      </c>
      <c r="AN217" s="34">
        <v>43032</v>
      </c>
      <c r="AO217" s="24">
        <v>3</v>
      </c>
      <c r="AP217" t="s">
        <v>989</v>
      </c>
      <c r="AR217" s="35"/>
      <c r="AS217"/>
      <c r="AT217" s="34"/>
      <c r="AV217" s="34"/>
      <c r="AX217" s="34"/>
      <c r="AY217"/>
      <c r="BA217" s="34"/>
      <c r="BB217"/>
      <c r="BC217" t="s">
        <v>906</v>
      </c>
      <c r="BD217" s="36">
        <v>148477</v>
      </c>
      <c r="BE217" s="36">
        <v>148477</v>
      </c>
      <c r="BF217">
        <v>0</v>
      </c>
      <c r="BG217" s="34">
        <v>43252</v>
      </c>
      <c r="BH217">
        <v>24</v>
      </c>
      <c r="BI217" t="s">
        <v>974</v>
      </c>
      <c r="BJ217" t="s">
        <v>975</v>
      </c>
      <c r="BK217" t="s">
        <v>934</v>
      </c>
      <c r="BL217" t="s">
        <v>194</v>
      </c>
      <c r="BM217" s="8" t="s">
        <v>192</v>
      </c>
      <c r="BN217" t="s">
        <v>189</v>
      </c>
      <c r="BO217" t="s">
        <v>190</v>
      </c>
      <c r="BP217" s="35" t="s">
        <v>861</v>
      </c>
      <c r="BQ217"/>
      <c r="BU217" s="35"/>
      <c r="BV217" s="35"/>
      <c r="BX217"/>
      <c r="CA217" s="35"/>
      <c r="CB217" s="35"/>
      <c r="CC217"/>
      <c r="CG217" s="35"/>
      <c r="CH217" s="35"/>
      <c r="CK217"/>
      <c r="CM217" s="35"/>
      <c r="CN217" s="35"/>
      <c r="CQ217"/>
      <c r="CS217" s="35"/>
      <c r="CT217" s="35"/>
      <c r="CX217"/>
      <c r="CZ217" s="35"/>
      <c r="DD217" s="34"/>
      <c r="DG217" t="s">
        <v>904</v>
      </c>
      <c r="DH217" t="s">
        <v>990</v>
      </c>
      <c r="DI217" t="s">
        <v>233</v>
      </c>
      <c r="DL217" t="s">
        <v>691</v>
      </c>
      <c r="DM217">
        <v>5</v>
      </c>
      <c r="DN217">
        <v>7</v>
      </c>
      <c r="DO217" t="s">
        <v>905</v>
      </c>
      <c r="DQ217" t="s">
        <v>927</v>
      </c>
      <c r="DR217">
        <v>14</v>
      </c>
      <c r="DS217">
        <v>0</v>
      </c>
      <c r="DU217">
        <v>14</v>
      </c>
      <c r="DV217">
        <v>0</v>
      </c>
      <c r="DX217">
        <v>14</v>
      </c>
      <c r="DY217">
        <v>0</v>
      </c>
      <c r="DZ217" t="s">
        <v>246</v>
      </c>
      <c r="EA217" t="s">
        <v>929</v>
      </c>
    </row>
    <row r="218" spans="1:131" x14ac:dyDescent="0.4">
      <c r="A218" s="34">
        <v>43067.305104166669</v>
      </c>
      <c r="B218" s="25">
        <v>42956.746527777781</v>
      </c>
      <c r="D218" s="34"/>
      <c r="E218" s="34" t="s">
        <v>193</v>
      </c>
      <c r="F218" s="34" t="s">
        <v>191</v>
      </c>
      <c r="G218" s="34" t="s">
        <v>100</v>
      </c>
      <c r="H218" t="s">
        <v>856</v>
      </c>
      <c r="I218" t="s">
        <v>243</v>
      </c>
      <c r="J218" t="s">
        <v>857</v>
      </c>
      <c r="K218" t="s">
        <v>729</v>
      </c>
      <c r="L218" t="s">
        <v>855</v>
      </c>
      <c r="M218" s="30">
        <v>2.0299999999999998</v>
      </c>
      <c r="N218">
        <v>6</v>
      </c>
      <c r="P218" s="24" t="str">
        <f>IFERROR(MID(RADataTable[[#This Row],[RATemplate]],1,LEN(RADataTable[[#This Row],[RATemplate]])-8),"RA") &amp; " " &amp; RADataTable[[#This Row],[prop_id0]] &amp; " " &amp; RADataTable[[#This Row],[last0]]</f>
        <v>RA 1756014 Chen</v>
      </c>
      <c r="T218">
        <v>3</v>
      </c>
      <c r="U218">
        <v>3</v>
      </c>
      <c r="V218" s="34">
        <v>43031.734027777777</v>
      </c>
      <c r="W218">
        <v>1</v>
      </c>
      <c r="X218" s="15" t="str">
        <f>HYPERLINK("https://www.ejacket.nsf.gov/ej/showProposal.do?Continue=Y&amp;ID="&amp;RADataTable[[#This Row],[prop_id0]],"eJ")</f>
        <v>eJ</v>
      </c>
      <c r="Y218" s="15" t="str">
        <f>HYPERLINK("mailto:"&amp;RADataTable[[#This Row],[email]]&amp;"&amp;subject=Your NSF Proposal:  "&amp;RADataTable[[#This Row],[Div]]&amp;" "&amp;RADataTable[[#This Row],[prop_id0]], RADataTable[[#This Row],[email]])</f>
        <v>lchen49@central.uh.edu</v>
      </c>
      <c r="Z218" s="15" t="str">
        <f>HYPERLINK("mailto:"&amp;RADataTable[[#This Row],[allPIemail]]&amp;"&amp;subject=NSF Proposal:  "&amp;RADataTable[[#This Row],[Div]]&amp;" "&amp;RADataTable[[#This Row],[prop_id0]], "PIs@")</f>
        <v>PIs@</v>
      </c>
      <c r="AA218" t="s">
        <v>245</v>
      </c>
      <c r="AB218" t="s">
        <v>691</v>
      </c>
      <c r="AC218" s="30" t="s">
        <v>289</v>
      </c>
      <c r="AD218" t="s">
        <v>902</v>
      </c>
      <c r="AE218" t="s">
        <v>903</v>
      </c>
      <c r="AF218" s="36">
        <v>148477</v>
      </c>
      <c r="AG218" s="36">
        <v>148477</v>
      </c>
      <c r="AH218" s="24"/>
      <c r="AJ218" s="34"/>
      <c r="AK218" t="s">
        <v>923</v>
      </c>
      <c r="AL218" t="s">
        <v>232</v>
      </c>
      <c r="AM218" s="34" t="s">
        <v>925</v>
      </c>
      <c r="AN218" s="34">
        <v>43032</v>
      </c>
      <c r="AO218" s="24">
        <v>3</v>
      </c>
      <c r="AP218" t="s">
        <v>989</v>
      </c>
      <c r="AR218" s="35"/>
      <c r="AS218"/>
      <c r="AT218" s="34"/>
      <c r="AV218" s="34"/>
      <c r="AX218" s="34"/>
      <c r="AY218"/>
      <c r="BA218" s="34"/>
      <c r="BB218"/>
      <c r="BC218" t="s">
        <v>906</v>
      </c>
      <c r="BD218" s="36">
        <v>148477</v>
      </c>
      <c r="BE218" s="36">
        <v>148477</v>
      </c>
      <c r="BF218">
        <v>0</v>
      </c>
      <c r="BG218" s="34">
        <v>43252</v>
      </c>
      <c r="BH218">
        <v>24</v>
      </c>
      <c r="BI218" t="s">
        <v>974</v>
      </c>
      <c r="BJ218" t="s">
        <v>975</v>
      </c>
      <c r="BK218" t="s">
        <v>934</v>
      </c>
      <c r="BL218" t="s">
        <v>194</v>
      </c>
      <c r="BM218" s="8" t="s">
        <v>192</v>
      </c>
      <c r="BN218" t="s">
        <v>189</v>
      </c>
      <c r="BO218" t="s">
        <v>190</v>
      </c>
      <c r="BP218" s="35" t="s">
        <v>861</v>
      </c>
      <c r="BQ218"/>
      <c r="BU218" s="35"/>
      <c r="BV218" s="35"/>
      <c r="BX218"/>
      <c r="CA218" s="35"/>
      <c r="CB218" s="35"/>
      <c r="CC218"/>
      <c r="CG218" s="35"/>
      <c r="CH218" s="35"/>
      <c r="CK218"/>
      <c r="CM218" s="35"/>
      <c r="CN218" s="35"/>
      <c r="CQ218"/>
      <c r="CS218" s="35"/>
      <c r="CT218" s="35"/>
      <c r="CX218"/>
      <c r="CZ218" s="35"/>
      <c r="DD218" s="34"/>
      <c r="DG218" t="s">
        <v>904</v>
      </c>
      <c r="DH218" t="s">
        <v>990</v>
      </c>
      <c r="DI218" t="s">
        <v>233</v>
      </c>
      <c r="DL218" t="s">
        <v>691</v>
      </c>
      <c r="DM218">
        <v>5</v>
      </c>
      <c r="DN218">
        <v>7</v>
      </c>
      <c r="DO218" t="s">
        <v>905</v>
      </c>
      <c r="DQ218" t="s">
        <v>927</v>
      </c>
      <c r="DR218">
        <v>14</v>
      </c>
      <c r="DS218">
        <v>0</v>
      </c>
      <c r="DU218">
        <v>14</v>
      </c>
      <c r="DV218">
        <v>0</v>
      </c>
      <c r="DX218">
        <v>14</v>
      </c>
      <c r="DY218">
        <v>0</v>
      </c>
      <c r="DZ218" t="s">
        <v>246</v>
      </c>
      <c r="EA218" t="s">
        <v>929</v>
      </c>
    </row>
    <row r="219" spans="1:131" x14ac:dyDescent="0.4">
      <c r="A219" s="34">
        <v>43067.305104166669</v>
      </c>
      <c r="B219" s="25">
        <v>42956.746527777781</v>
      </c>
      <c r="D219" s="34"/>
      <c r="E219" s="34" t="s">
        <v>193</v>
      </c>
      <c r="F219" s="34" t="s">
        <v>191</v>
      </c>
      <c r="G219" s="34" t="s">
        <v>100</v>
      </c>
      <c r="H219" t="s">
        <v>856</v>
      </c>
      <c r="I219" t="s">
        <v>243</v>
      </c>
      <c r="J219" t="s">
        <v>857</v>
      </c>
      <c r="K219" t="s">
        <v>729</v>
      </c>
      <c r="L219" t="s">
        <v>855</v>
      </c>
      <c r="M219" s="30">
        <v>2.0299999999999998</v>
      </c>
      <c r="N219">
        <v>6</v>
      </c>
      <c r="P219" s="24" t="str">
        <f>IFERROR(MID(RADataTable[[#This Row],[RATemplate]],1,LEN(RADataTable[[#This Row],[RATemplate]])-8),"RA") &amp; " " &amp; RADataTable[[#This Row],[prop_id0]] &amp; " " &amp; RADataTable[[#This Row],[last0]]</f>
        <v>RA 1756014 Chen</v>
      </c>
      <c r="T219">
        <v>3</v>
      </c>
      <c r="U219">
        <v>3</v>
      </c>
      <c r="V219" s="34">
        <v>43031.734027777777</v>
      </c>
      <c r="W219">
        <v>1</v>
      </c>
      <c r="X219" s="15" t="str">
        <f>HYPERLINK("https://www.ejacket.nsf.gov/ej/showProposal.do?Continue=Y&amp;ID="&amp;RADataTable[[#This Row],[prop_id0]],"eJ")</f>
        <v>eJ</v>
      </c>
      <c r="Y219" s="15" t="str">
        <f>HYPERLINK("mailto:"&amp;RADataTable[[#This Row],[email]]&amp;"&amp;subject=Your NSF Proposal:  "&amp;RADataTable[[#This Row],[Div]]&amp;" "&amp;RADataTable[[#This Row],[prop_id0]], RADataTable[[#This Row],[email]])</f>
        <v>lchen49@central.uh.edu</v>
      </c>
      <c r="Z219" s="15" t="str">
        <f>HYPERLINK("mailto:"&amp;RADataTable[[#This Row],[allPIemail]]&amp;"&amp;subject=NSF Proposal:  "&amp;RADataTable[[#This Row],[Div]]&amp;" "&amp;RADataTable[[#This Row],[prop_id0]], "PIs@")</f>
        <v>PIs@</v>
      </c>
      <c r="AA219" t="s">
        <v>245</v>
      </c>
      <c r="AB219" t="s">
        <v>691</v>
      </c>
      <c r="AC219" s="30" t="s">
        <v>289</v>
      </c>
      <c r="AD219" t="s">
        <v>902</v>
      </c>
      <c r="AE219" t="s">
        <v>903</v>
      </c>
      <c r="AF219" s="36">
        <v>148477</v>
      </c>
      <c r="AG219" s="36">
        <v>148477</v>
      </c>
      <c r="AH219" s="24"/>
      <c r="AJ219" s="34"/>
      <c r="AK219" t="s">
        <v>923</v>
      </c>
      <c r="AL219" t="s">
        <v>232</v>
      </c>
      <c r="AM219" s="34" t="s">
        <v>925</v>
      </c>
      <c r="AN219" s="34">
        <v>43032</v>
      </c>
      <c r="AO219" s="24">
        <v>3</v>
      </c>
      <c r="AP219" t="s">
        <v>989</v>
      </c>
      <c r="AR219" s="35"/>
      <c r="AS219"/>
      <c r="AT219" s="34"/>
      <c r="AV219" s="34"/>
      <c r="AX219" s="34"/>
      <c r="AY219"/>
      <c r="BA219" s="34"/>
      <c r="BB219"/>
      <c r="BC219" t="s">
        <v>906</v>
      </c>
      <c r="BD219" s="36">
        <v>148477</v>
      </c>
      <c r="BE219" s="36">
        <v>148477</v>
      </c>
      <c r="BF219">
        <v>0</v>
      </c>
      <c r="BG219" s="34">
        <v>43252</v>
      </c>
      <c r="BH219">
        <v>24</v>
      </c>
      <c r="BI219" t="s">
        <v>974</v>
      </c>
      <c r="BJ219" t="s">
        <v>975</v>
      </c>
      <c r="BK219" t="s">
        <v>934</v>
      </c>
      <c r="BL219" t="s">
        <v>194</v>
      </c>
      <c r="BM219" s="8" t="s">
        <v>192</v>
      </c>
      <c r="BN219" t="s">
        <v>189</v>
      </c>
      <c r="BO219" t="s">
        <v>190</v>
      </c>
      <c r="BP219" s="35" t="s">
        <v>861</v>
      </c>
      <c r="BQ219"/>
      <c r="BU219" s="35"/>
      <c r="BV219" s="35"/>
      <c r="BX219"/>
      <c r="CA219" s="35"/>
      <c r="CB219" s="35"/>
      <c r="CC219"/>
      <c r="CG219" s="35"/>
      <c r="CH219" s="35"/>
      <c r="CK219"/>
      <c r="CM219" s="35"/>
      <c r="CN219" s="35"/>
      <c r="CQ219"/>
      <c r="CS219" s="35"/>
      <c r="CT219" s="35"/>
      <c r="CX219"/>
      <c r="CZ219" s="35"/>
      <c r="DD219" s="34"/>
      <c r="DG219" t="s">
        <v>904</v>
      </c>
      <c r="DH219" t="s">
        <v>990</v>
      </c>
      <c r="DI219" t="s">
        <v>233</v>
      </c>
      <c r="DL219" t="s">
        <v>691</v>
      </c>
      <c r="DM219">
        <v>5</v>
      </c>
      <c r="DN219">
        <v>7</v>
      </c>
      <c r="DO219" t="s">
        <v>905</v>
      </c>
      <c r="DQ219" t="s">
        <v>927</v>
      </c>
      <c r="DR219">
        <v>14</v>
      </c>
      <c r="DS219">
        <v>0</v>
      </c>
      <c r="DU219">
        <v>14</v>
      </c>
      <c r="DV219">
        <v>0</v>
      </c>
      <c r="DX219">
        <v>14</v>
      </c>
      <c r="DY219">
        <v>0</v>
      </c>
      <c r="DZ219" t="s">
        <v>246</v>
      </c>
      <c r="EA219" t="s">
        <v>929</v>
      </c>
    </row>
    <row r="220" spans="1:131" x14ac:dyDescent="0.4">
      <c r="A220" s="34">
        <v>43067.305104166669</v>
      </c>
      <c r="B220" s="25">
        <v>42935.374305555553</v>
      </c>
      <c r="D220" s="34"/>
      <c r="E220" s="34" t="s">
        <v>193</v>
      </c>
      <c r="F220" s="34" t="s">
        <v>191</v>
      </c>
      <c r="G220" s="34" t="s">
        <v>100</v>
      </c>
      <c r="H220" t="s">
        <v>279</v>
      </c>
      <c r="I220" t="s">
        <v>243</v>
      </c>
      <c r="J220" t="s">
        <v>712</v>
      </c>
      <c r="K220" t="s">
        <v>729</v>
      </c>
      <c r="L220" t="s">
        <v>711</v>
      </c>
      <c r="M220" s="30">
        <v>2.0499999999999998</v>
      </c>
      <c r="N220">
        <v>7</v>
      </c>
      <c r="P220" s="24" t="str">
        <f>IFERROR(MID(RADataTable[[#This Row],[RATemplate]],1,LEN(RADataTable[[#This Row],[RATemplate]])-8),"RA") &amp; " " &amp; RADataTable[[#This Row],[prop_id0]] &amp; " " &amp; RADataTable[[#This Row],[last0]]</f>
        <v>RA 1750127 Nagarajan</v>
      </c>
      <c r="T220">
        <v>4</v>
      </c>
      <c r="U220">
        <v>4</v>
      </c>
      <c r="V220" s="34">
        <v>43032.519444444442</v>
      </c>
      <c r="W220">
        <v>1</v>
      </c>
      <c r="X220" s="15" t="str">
        <f>HYPERLINK("https://www.ejacket.nsf.gov/ej/showProposal.do?Continue=Y&amp;ID="&amp;RADataTable[[#This Row],[prop_id0]],"eJ")</f>
        <v>eJ</v>
      </c>
      <c r="Y220" s="15" t="str">
        <f>HYPERLINK("mailto:"&amp;RADataTable[[#This Row],[email]]&amp;"&amp;subject=Your NSF Proposal:  "&amp;RADataTable[[#This Row],[Div]]&amp;" "&amp;RADataTable[[#This Row],[prop_id0]], RADataTable[[#This Row],[email]])</f>
        <v>viswa@umich.edu</v>
      </c>
      <c r="Z220" s="15" t="str">
        <f>HYPERLINK("mailto:"&amp;RADataTable[[#This Row],[allPIemail]]&amp;"&amp;subject=NSF Proposal:  "&amp;RADataTable[[#This Row],[Div]]&amp;" "&amp;RADataTable[[#This Row],[prop_id0]], "PIs@")</f>
        <v>PIs@</v>
      </c>
      <c r="AA220" t="s">
        <v>245</v>
      </c>
      <c r="AB220" t="s">
        <v>673</v>
      </c>
      <c r="AC220" s="30" t="s">
        <v>788</v>
      </c>
      <c r="AD220" t="s">
        <v>789</v>
      </c>
      <c r="AE220" t="s">
        <v>790</v>
      </c>
      <c r="AF220" s="36">
        <v>524840</v>
      </c>
      <c r="AG220" s="36">
        <v>524840</v>
      </c>
      <c r="AH220" s="24"/>
      <c r="AJ220" s="34"/>
      <c r="AK220" t="s">
        <v>923</v>
      </c>
      <c r="AL220" t="s">
        <v>232</v>
      </c>
      <c r="AM220" s="34" t="s">
        <v>925</v>
      </c>
      <c r="AN220" s="34">
        <v>43032</v>
      </c>
      <c r="AO220" s="24">
        <v>5</v>
      </c>
      <c r="AP220" t="s">
        <v>955</v>
      </c>
      <c r="AR220" s="35"/>
      <c r="AS220"/>
      <c r="AT220" s="34"/>
      <c r="AV220" s="34"/>
      <c r="AX220" s="34"/>
      <c r="AY220"/>
      <c r="BA220" s="34"/>
      <c r="BB220"/>
      <c r="BC220" t="s">
        <v>794</v>
      </c>
      <c r="BD220" s="36">
        <v>524840</v>
      </c>
      <c r="BE220" s="36">
        <v>524840</v>
      </c>
      <c r="BF220">
        <v>0</v>
      </c>
      <c r="BG220" s="34">
        <v>43221</v>
      </c>
      <c r="BH220">
        <v>60</v>
      </c>
      <c r="BI220" t="s">
        <v>283</v>
      </c>
      <c r="BJ220" t="s">
        <v>928</v>
      </c>
      <c r="BK220" t="s">
        <v>934</v>
      </c>
      <c r="BL220" t="s">
        <v>194</v>
      </c>
      <c r="BM220" s="8" t="s">
        <v>192</v>
      </c>
      <c r="BN220" t="s">
        <v>189</v>
      </c>
      <c r="BO220" t="s">
        <v>190</v>
      </c>
      <c r="BP220" s="35" t="s">
        <v>288</v>
      </c>
      <c r="BQ220"/>
      <c r="BU220" s="35"/>
      <c r="BV220" s="35"/>
      <c r="BX220"/>
      <c r="CA220" s="35"/>
      <c r="CB220" s="35"/>
      <c r="CC220"/>
      <c r="CG220" s="35"/>
      <c r="CH220" s="35"/>
      <c r="CK220"/>
      <c r="CM220" s="35"/>
      <c r="CN220" s="35"/>
      <c r="CQ220"/>
      <c r="CS220" s="35"/>
      <c r="CT220" s="35"/>
      <c r="CX220"/>
      <c r="CZ220" s="35"/>
      <c r="DD220" s="34"/>
      <c r="DG220" t="s">
        <v>792</v>
      </c>
      <c r="DH220" t="s">
        <v>956</v>
      </c>
      <c r="DI220" t="s">
        <v>233</v>
      </c>
      <c r="DL220" t="s">
        <v>673</v>
      </c>
      <c r="DM220">
        <v>5</v>
      </c>
      <c r="DN220">
        <v>9</v>
      </c>
      <c r="DO220" t="s">
        <v>793</v>
      </c>
      <c r="DQ220" t="s">
        <v>927</v>
      </c>
      <c r="DR220">
        <v>14</v>
      </c>
      <c r="DS220">
        <v>0</v>
      </c>
      <c r="DU220">
        <v>14</v>
      </c>
      <c r="DV220">
        <v>0</v>
      </c>
      <c r="DX220">
        <v>14</v>
      </c>
      <c r="DY220">
        <v>0</v>
      </c>
      <c r="DZ220" t="s">
        <v>246</v>
      </c>
      <c r="EA220" t="s">
        <v>929</v>
      </c>
    </row>
    <row r="221" spans="1:131" x14ac:dyDescent="0.4">
      <c r="A221" s="34">
        <v>43067.305104166669</v>
      </c>
      <c r="B221" s="25">
        <v>42935.374305555553</v>
      </c>
      <c r="D221" s="34"/>
      <c r="E221" s="34" t="s">
        <v>193</v>
      </c>
      <c r="F221" s="34" t="s">
        <v>191</v>
      </c>
      <c r="G221" s="34" t="s">
        <v>100</v>
      </c>
      <c r="H221" t="s">
        <v>279</v>
      </c>
      <c r="I221" t="s">
        <v>243</v>
      </c>
      <c r="J221" t="s">
        <v>712</v>
      </c>
      <c r="K221" t="s">
        <v>729</v>
      </c>
      <c r="L221" t="s">
        <v>711</v>
      </c>
      <c r="M221" s="30">
        <v>2.0499999999999998</v>
      </c>
      <c r="N221">
        <v>7</v>
      </c>
      <c r="P221" s="24" t="str">
        <f>IFERROR(MID(RADataTable[[#This Row],[RATemplate]],1,LEN(RADataTable[[#This Row],[RATemplate]])-8),"RA") &amp; " " &amp; RADataTable[[#This Row],[prop_id0]] &amp; " " &amp; RADataTable[[#This Row],[last0]]</f>
        <v>RA 1750127 Nagarajan</v>
      </c>
      <c r="T221">
        <v>4</v>
      </c>
      <c r="U221">
        <v>4</v>
      </c>
      <c r="V221" s="34">
        <v>43032.519444444442</v>
      </c>
      <c r="W221">
        <v>1</v>
      </c>
      <c r="X221" s="15" t="str">
        <f>HYPERLINK("https://www.ejacket.nsf.gov/ej/showProposal.do?Continue=Y&amp;ID="&amp;RADataTable[[#This Row],[prop_id0]],"eJ")</f>
        <v>eJ</v>
      </c>
      <c r="Y221" s="15" t="str">
        <f>HYPERLINK("mailto:"&amp;RADataTable[[#This Row],[email]]&amp;"&amp;subject=Your NSF Proposal:  "&amp;RADataTable[[#This Row],[Div]]&amp;" "&amp;RADataTable[[#This Row],[prop_id0]], RADataTable[[#This Row],[email]])</f>
        <v>viswa@umich.edu</v>
      </c>
      <c r="Z221" s="15" t="str">
        <f>HYPERLINK("mailto:"&amp;RADataTable[[#This Row],[allPIemail]]&amp;"&amp;subject=NSF Proposal:  "&amp;RADataTable[[#This Row],[Div]]&amp;" "&amp;RADataTable[[#This Row],[prop_id0]], "PIs@")</f>
        <v>PIs@</v>
      </c>
      <c r="AA221" t="s">
        <v>245</v>
      </c>
      <c r="AB221" t="s">
        <v>673</v>
      </c>
      <c r="AC221" s="30" t="s">
        <v>788</v>
      </c>
      <c r="AD221" t="s">
        <v>789</v>
      </c>
      <c r="AE221" t="s">
        <v>790</v>
      </c>
      <c r="AF221" s="36">
        <v>524840</v>
      </c>
      <c r="AG221" s="36">
        <v>524840</v>
      </c>
      <c r="AH221" s="24"/>
      <c r="AJ221" s="34"/>
      <c r="AK221" t="s">
        <v>923</v>
      </c>
      <c r="AL221" t="s">
        <v>232</v>
      </c>
      <c r="AM221" s="34" t="s">
        <v>925</v>
      </c>
      <c r="AN221" s="34">
        <v>43032</v>
      </c>
      <c r="AO221" s="24">
        <v>5</v>
      </c>
      <c r="AP221" t="s">
        <v>955</v>
      </c>
      <c r="AR221" s="35"/>
      <c r="AS221"/>
      <c r="AT221" s="34"/>
      <c r="AV221" s="34"/>
      <c r="AX221" s="34"/>
      <c r="AY221"/>
      <c r="BA221" s="34"/>
      <c r="BB221"/>
      <c r="BC221" t="s">
        <v>794</v>
      </c>
      <c r="BD221" s="36">
        <v>524840</v>
      </c>
      <c r="BE221" s="36">
        <v>524840</v>
      </c>
      <c r="BF221">
        <v>0</v>
      </c>
      <c r="BG221" s="34">
        <v>43221</v>
      </c>
      <c r="BH221">
        <v>60</v>
      </c>
      <c r="BI221" t="s">
        <v>283</v>
      </c>
      <c r="BJ221" t="s">
        <v>928</v>
      </c>
      <c r="BK221" t="s">
        <v>934</v>
      </c>
      <c r="BL221" t="s">
        <v>194</v>
      </c>
      <c r="BM221" s="8" t="s">
        <v>192</v>
      </c>
      <c r="BN221" t="s">
        <v>189</v>
      </c>
      <c r="BO221" t="s">
        <v>190</v>
      </c>
      <c r="BP221" s="35" t="s">
        <v>288</v>
      </c>
      <c r="BQ221"/>
      <c r="BU221" s="35"/>
      <c r="BV221" s="35"/>
      <c r="BX221"/>
      <c r="CA221" s="35"/>
      <c r="CB221" s="35"/>
      <c r="CC221"/>
      <c r="CG221" s="35"/>
      <c r="CH221" s="35"/>
      <c r="CK221"/>
      <c r="CM221" s="35"/>
      <c r="CN221" s="35"/>
      <c r="CQ221"/>
      <c r="CS221" s="35"/>
      <c r="CT221" s="35"/>
      <c r="CX221"/>
      <c r="CZ221" s="35"/>
      <c r="DD221" s="34"/>
      <c r="DG221" t="s">
        <v>792</v>
      </c>
      <c r="DH221" t="s">
        <v>956</v>
      </c>
      <c r="DI221" t="s">
        <v>233</v>
      </c>
      <c r="DL221" t="s">
        <v>673</v>
      </c>
      <c r="DM221">
        <v>5</v>
      </c>
      <c r="DN221">
        <v>9</v>
      </c>
      <c r="DO221" t="s">
        <v>793</v>
      </c>
      <c r="DQ221" t="s">
        <v>927</v>
      </c>
      <c r="DR221">
        <v>14</v>
      </c>
      <c r="DS221">
        <v>0</v>
      </c>
      <c r="DU221">
        <v>14</v>
      </c>
      <c r="DV221">
        <v>0</v>
      </c>
      <c r="DX221">
        <v>14</v>
      </c>
      <c r="DY221">
        <v>0</v>
      </c>
      <c r="DZ221" t="s">
        <v>246</v>
      </c>
      <c r="EA221" t="s">
        <v>929</v>
      </c>
    </row>
    <row r="222" spans="1:131" x14ac:dyDescent="0.4">
      <c r="A222" s="34">
        <v>43067.305104166669</v>
      </c>
      <c r="B222" s="25">
        <v>42935.374305555553</v>
      </c>
      <c r="D222" s="34"/>
      <c r="E222" s="34" t="s">
        <v>193</v>
      </c>
      <c r="F222" s="34" t="s">
        <v>191</v>
      </c>
      <c r="G222" s="34" t="s">
        <v>100</v>
      </c>
      <c r="H222" t="s">
        <v>279</v>
      </c>
      <c r="I222" t="s">
        <v>243</v>
      </c>
      <c r="J222" t="s">
        <v>712</v>
      </c>
      <c r="K222" t="s">
        <v>729</v>
      </c>
      <c r="L222" t="s">
        <v>711</v>
      </c>
      <c r="M222" s="30">
        <v>2.0499999999999998</v>
      </c>
      <c r="N222">
        <v>7</v>
      </c>
      <c r="P222" s="24" t="str">
        <f>IFERROR(MID(RADataTable[[#This Row],[RATemplate]],1,LEN(RADataTable[[#This Row],[RATemplate]])-8),"RA") &amp; " " &amp; RADataTable[[#This Row],[prop_id0]] &amp; " " &amp; RADataTable[[#This Row],[last0]]</f>
        <v>RA 1750127 Nagarajan</v>
      </c>
      <c r="T222">
        <v>4</v>
      </c>
      <c r="U222">
        <v>4</v>
      </c>
      <c r="V222" s="34">
        <v>43032.519444444442</v>
      </c>
      <c r="W222">
        <v>1</v>
      </c>
      <c r="X222" s="15" t="str">
        <f>HYPERLINK("https://www.ejacket.nsf.gov/ej/showProposal.do?Continue=Y&amp;ID="&amp;RADataTable[[#This Row],[prop_id0]],"eJ")</f>
        <v>eJ</v>
      </c>
      <c r="Y222" s="15" t="str">
        <f>HYPERLINK("mailto:"&amp;RADataTable[[#This Row],[email]]&amp;"&amp;subject=Your NSF Proposal:  "&amp;RADataTable[[#This Row],[Div]]&amp;" "&amp;RADataTable[[#This Row],[prop_id0]], RADataTable[[#This Row],[email]])</f>
        <v>viswa@umich.edu</v>
      </c>
      <c r="Z222" s="15" t="str">
        <f>HYPERLINK("mailto:"&amp;RADataTable[[#This Row],[allPIemail]]&amp;"&amp;subject=NSF Proposal:  "&amp;RADataTable[[#This Row],[Div]]&amp;" "&amp;RADataTable[[#This Row],[prop_id0]], "PIs@")</f>
        <v>PIs@</v>
      </c>
      <c r="AA222" t="s">
        <v>245</v>
      </c>
      <c r="AB222" t="s">
        <v>673</v>
      </c>
      <c r="AC222" s="30" t="s">
        <v>788</v>
      </c>
      <c r="AD222" t="s">
        <v>789</v>
      </c>
      <c r="AE222" t="s">
        <v>790</v>
      </c>
      <c r="AF222" s="36">
        <v>524840</v>
      </c>
      <c r="AG222" s="36">
        <v>524840</v>
      </c>
      <c r="AH222" s="24"/>
      <c r="AJ222" s="34"/>
      <c r="AK222" t="s">
        <v>923</v>
      </c>
      <c r="AL222" t="s">
        <v>232</v>
      </c>
      <c r="AM222" s="34" t="s">
        <v>925</v>
      </c>
      <c r="AN222" s="34">
        <v>43032</v>
      </c>
      <c r="AO222" s="24">
        <v>5</v>
      </c>
      <c r="AP222" t="s">
        <v>955</v>
      </c>
      <c r="AR222" s="35"/>
      <c r="AS222"/>
      <c r="AT222" s="34"/>
      <c r="AV222" s="34"/>
      <c r="AX222" s="34"/>
      <c r="AY222"/>
      <c r="BA222" s="34"/>
      <c r="BB222"/>
      <c r="BC222" t="s">
        <v>794</v>
      </c>
      <c r="BD222" s="36">
        <v>524840</v>
      </c>
      <c r="BE222" s="36">
        <v>524840</v>
      </c>
      <c r="BF222">
        <v>0</v>
      </c>
      <c r="BG222" s="34">
        <v>43221</v>
      </c>
      <c r="BH222">
        <v>60</v>
      </c>
      <c r="BI222" t="s">
        <v>283</v>
      </c>
      <c r="BJ222" t="s">
        <v>928</v>
      </c>
      <c r="BK222" t="s">
        <v>934</v>
      </c>
      <c r="BL222" t="s">
        <v>194</v>
      </c>
      <c r="BM222" s="8" t="s">
        <v>192</v>
      </c>
      <c r="BN222" t="s">
        <v>189</v>
      </c>
      <c r="BO222" t="s">
        <v>190</v>
      </c>
      <c r="BP222" s="35" t="s">
        <v>288</v>
      </c>
      <c r="BQ222"/>
      <c r="BU222" s="35"/>
      <c r="BV222" s="35"/>
      <c r="BX222"/>
      <c r="CA222" s="35"/>
      <c r="CB222" s="35"/>
      <c r="CC222"/>
      <c r="CG222" s="35"/>
      <c r="CH222" s="35"/>
      <c r="CK222"/>
      <c r="CM222" s="35"/>
      <c r="CN222" s="35"/>
      <c r="CQ222"/>
      <c r="CS222" s="35"/>
      <c r="CT222" s="35"/>
      <c r="CX222"/>
      <c r="CZ222" s="35"/>
      <c r="DD222" s="34"/>
      <c r="DG222" t="s">
        <v>792</v>
      </c>
      <c r="DH222" t="s">
        <v>956</v>
      </c>
      <c r="DI222" t="s">
        <v>233</v>
      </c>
      <c r="DL222" t="s">
        <v>673</v>
      </c>
      <c r="DM222">
        <v>5</v>
      </c>
      <c r="DN222">
        <v>9</v>
      </c>
      <c r="DO222" t="s">
        <v>793</v>
      </c>
      <c r="DQ222" t="s">
        <v>927</v>
      </c>
      <c r="DR222">
        <v>14</v>
      </c>
      <c r="DS222">
        <v>0</v>
      </c>
      <c r="DU222">
        <v>14</v>
      </c>
      <c r="DV222">
        <v>0</v>
      </c>
      <c r="DX222">
        <v>14</v>
      </c>
      <c r="DY222">
        <v>0</v>
      </c>
      <c r="DZ222" t="s">
        <v>246</v>
      </c>
      <c r="EA222" t="s">
        <v>929</v>
      </c>
    </row>
    <row r="223" spans="1:131" x14ac:dyDescent="0.4">
      <c r="A223" s="34">
        <v>43067.305104166669</v>
      </c>
      <c r="B223" s="25">
        <v>42935.374305555553</v>
      </c>
      <c r="D223" s="34"/>
      <c r="E223" s="34" t="s">
        <v>193</v>
      </c>
      <c r="F223" s="34" t="s">
        <v>191</v>
      </c>
      <c r="G223" s="34" t="s">
        <v>100</v>
      </c>
      <c r="H223" t="s">
        <v>279</v>
      </c>
      <c r="I223" t="s">
        <v>243</v>
      </c>
      <c r="J223" t="s">
        <v>712</v>
      </c>
      <c r="K223" t="s">
        <v>729</v>
      </c>
      <c r="L223" t="s">
        <v>711</v>
      </c>
      <c r="M223" s="30">
        <v>2.0499999999999998</v>
      </c>
      <c r="N223">
        <v>7</v>
      </c>
      <c r="P223" s="24" t="str">
        <f>IFERROR(MID(RADataTable[[#This Row],[RATemplate]],1,LEN(RADataTable[[#This Row],[RATemplate]])-8),"RA") &amp; " " &amp; RADataTable[[#This Row],[prop_id0]] &amp; " " &amp; RADataTable[[#This Row],[last0]]</f>
        <v>RA 1750127 Nagarajan</v>
      </c>
      <c r="T223">
        <v>4</v>
      </c>
      <c r="U223">
        <v>4</v>
      </c>
      <c r="V223" s="34">
        <v>43032.519444444442</v>
      </c>
      <c r="W223">
        <v>1</v>
      </c>
      <c r="X223" s="15" t="str">
        <f>HYPERLINK("https://www.ejacket.nsf.gov/ej/showProposal.do?Continue=Y&amp;ID="&amp;RADataTable[[#This Row],[prop_id0]],"eJ")</f>
        <v>eJ</v>
      </c>
      <c r="Y223" s="15" t="str">
        <f>HYPERLINK("mailto:"&amp;RADataTable[[#This Row],[email]]&amp;"&amp;subject=Your NSF Proposal:  "&amp;RADataTable[[#This Row],[Div]]&amp;" "&amp;RADataTable[[#This Row],[prop_id0]], RADataTable[[#This Row],[email]])</f>
        <v>viswa@umich.edu</v>
      </c>
      <c r="Z223" s="15" t="str">
        <f>HYPERLINK("mailto:"&amp;RADataTable[[#This Row],[allPIemail]]&amp;"&amp;subject=NSF Proposal:  "&amp;RADataTable[[#This Row],[Div]]&amp;" "&amp;RADataTable[[#This Row],[prop_id0]], "PIs@")</f>
        <v>PIs@</v>
      </c>
      <c r="AA223" t="s">
        <v>245</v>
      </c>
      <c r="AB223" t="s">
        <v>673</v>
      </c>
      <c r="AC223" s="30" t="s">
        <v>788</v>
      </c>
      <c r="AD223" t="s">
        <v>789</v>
      </c>
      <c r="AE223" t="s">
        <v>790</v>
      </c>
      <c r="AF223" s="36">
        <v>524840</v>
      </c>
      <c r="AG223" s="36">
        <v>524840</v>
      </c>
      <c r="AH223" s="24"/>
      <c r="AJ223" s="34"/>
      <c r="AK223" t="s">
        <v>923</v>
      </c>
      <c r="AL223" t="s">
        <v>232</v>
      </c>
      <c r="AM223" s="34" t="s">
        <v>925</v>
      </c>
      <c r="AN223" s="34">
        <v>43032</v>
      </c>
      <c r="AO223" s="24">
        <v>5</v>
      </c>
      <c r="AP223" t="s">
        <v>955</v>
      </c>
      <c r="AR223" s="35"/>
      <c r="AS223"/>
      <c r="AT223" s="34"/>
      <c r="AV223" s="34"/>
      <c r="AX223" s="34"/>
      <c r="AY223"/>
      <c r="BA223" s="34"/>
      <c r="BB223"/>
      <c r="BC223" t="s">
        <v>794</v>
      </c>
      <c r="BD223" s="36">
        <v>524840</v>
      </c>
      <c r="BE223" s="36">
        <v>524840</v>
      </c>
      <c r="BF223">
        <v>0</v>
      </c>
      <c r="BG223" s="34">
        <v>43221</v>
      </c>
      <c r="BH223">
        <v>60</v>
      </c>
      <c r="BI223" t="s">
        <v>283</v>
      </c>
      <c r="BJ223" t="s">
        <v>928</v>
      </c>
      <c r="BK223" t="s">
        <v>934</v>
      </c>
      <c r="BL223" t="s">
        <v>194</v>
      </c>
      <c r="BM223" s="8" t="s">
        <v>192</v>
      </c>
      <c r="BN223" t="s">
        <v>189</v>
      </c>
      <c r="BO223" t="s">
        <v>190</v>
      </c>
      <c r="BP223" s="35" t="s">
        <v>288</v>
      </c>
      <c r="BQ223"/>
      <c r="BU223" s="35"/>
      <c r="BV223" s="35"/>
      <c r="BX223"/>
      <c r="CA223" s="35"/>
      <c r="CB223" s="35"/>
      <c r="CC223"/>
      <c r="CG223" s="35"/>
      <c r="CH223" s="35"/>
      <c r="CK223"/>
      <c r="CM223" s="35"/>
      <c r="CN223" s="35"/>
      <c r="CQ223"/>
      <c r="CS223" s="35"/>
      <c r="CT223" s="35"/>
      <c r="CX223"/>
      <c r="CZ223" s="35"/>
      <c r="DD223" s="34"/>
      <c r="DG223" t="s">
        <v>792</v>
      </c>
      <c r="DH223" t="s">
        <v>956</v>
      </c>
      <c r="DI223" t="s">
        <v>233</v>
      </c>
      <c r="DL223" t="s">
        <v>673</v>
      </c>
      <c r="DM223">
        <v>5</v>
      </c>
      <c r="DN223">
        <v>9</v>
      </c>
      <c r="DO223" t="s">
        <v>793</v>
      </c>
      <c r="DQ223" t="s">
        <v>927</v>
      </c>
      <c r="DR223">
        <v>14</v>
      </c>
      <c r="DS223">
        <v>0</v>
      </c>
      <c r="DU223">
        <v>14</v>
      </c>
      <c r="DV223">
        <v>0</v>
      </c>
      <c r="DX223">
        <v>14</v>
      </c>
      <c r="DY223">
        <v>0</v>
      </c>
      <c r="DZ223" t="s">
        <v>246</v>
      </c>
      <c r="EA223" t="s">
        <v>929</v>
      </c>
    </row>
    <row r="224" spans="1:131" x14ac:dyDescent="0.4">
      <c r="A224" s="34">
        <v>43067.305104166669</v>
      </c>
      <c r="B224" s="25">
        <v>42935.374305555553</v>
      </c>
      <c r="D224" s="34"/>
      <c r="E224" s="34" t="s">
        <v>193</v>
      </c>
      <c r="F224" s="34" t="s">
        <v>191</v>
      </c>
      <c r="G224" s="34" t="s">
        <v>100</v>
      </c>
      <c r="H224" t="s">
        <v>279</v>
      </c>
      <c r="I224" t="s">
        <v>243</v>
      </c>
      <c r="J224" t="s">
        <v>712</v>
      </c>
      <c r="K224" t="s">
        <v>729</v>
      </c>
      <c r="L224" t="s">
        <v>711</v>
      </c>
      <c r="M224" s="30">
        <v>2.0499999999999998</v>
      </c>
      <c r="N224">
        <v>7</v>
      </c>
      <c r="P224" s="24" t="str">
        <f>IFERROR(MID(RADataTable[[#This Row],[RATemplate]],1,LEN(RADataTable[[#This Row],[RATemplate]])-8),"RA") &amp; " " &amp; RADataTable[[#This Row],[prop_id0]] &amp; " " &amp; RADataTable[[#This Row],[last0]]</f>
        <v>RA 1750127 Nagarajan</v>
      </c>
      <c r="T224">
        <v>4</v>
      </c>
      <c r="U224">
        <v>4</v>
      </c>
      <c r="V224" s="34">
        <v>43032.519444444442</v>
      </c>
      <c r="W224">
        <v>1</v>
      </c>
      <c r="X224" s="15" t="str">
        <f>HYPERLINK("https://www.ejacket.nsf.gov/ej/showProposal.do?Continue=Y&amp;ID="&amp;RADataTable[[#This Row],[prop_id0]],"eJ")</f>
        <v>eJ</v>
      </c>
      <c r="Y224" s="15" t="str">
        <f>HYPERLINK("mailto:"&amp;RADataTable[[#This Row],[email]]&amp;"&amp;subject=Your NSF Proposal:  "&amp;RADataTable[[#This Row],[Div]]&amp;" "&amp;RADataTable[[#This Row],[prop_id0]], RADataTable[[#This Row],[email]])</f>
        <v>viswa@umich.edu</v>
      </c>
      <c r="Z224" s="15" t="str">
        <f>HYPERLINK("mailto:"&amp;RADataTable[[#This Row],[allPIemail]]&amp;"&amp;subject=NSF Proposal:  "&amp;RADataTable[[#This Row],[Div]]&amp;" "&amp;RADataTable[[#This Row],[prop_id0]], "PIs@")</f>
        <v>PIs@</v>
      </c>
      <c r="AA224" t="s">
        <v>245</v>
      </c>
      <c r="AB224" t="s">
        <v>673</v>
      </c>
      <c r="AC224" s="30" t="s">
        <v>788</v>
      </c>
      <c r="AD224" t="s">
        <v>789</v>
      </c>
      <c r="AE224" t="s">
        <v>790</v>
      </c>
      <c r="AF224" s="36">
        <v>524840</v>
      </c>
      <c r="AG224" s="36">
        <v>524840</v>
      </c>
      <c r="AH224" s="24"/>
      <c r="AJ224" s="34"/>
      <c r="AK224" t="s">
        <v>923</v>
      </c>
      <c r="AL224" t="s">
        <v>232</v>
      </c>
      <c r="AM224" s="34" t="s">
        <v>925</v>
      </c>
      <c r="AN224" s="34">
        <v>43032</v>
      </c>
      <c r="AO224" s="24">
        <v>5</v>
      </c>
      <c r="AP224" t="s">
        <v>955</v>
      </c>
      <c r="AR224" s="35"/>
      <c r="AS224"/>
      <c r="AT224" s="34"/>
      <c r="AV224" s="34"/>
      <c r="AX224" s="34"/>
      <c r="AY224"/>
      <c r="BA224" s="34"/>
      <c r="BB224"/>
      <c r="BC224" t="s">
        <v>794</v>
      </c>
      <c r="BD224" s="36">
        <v>524840</v>
      </c>
      <c r="BE224" s="36">
        <v>524840</v>
      </c>
      <c r="BF224">
        <v>0</v>
      </c>
      <c r="BG224" s="34">
        <v>43221</v>
      </c>
      <c r="BH224">
        <v>60</v>
      </c>
      <c r="BI224" t="s">
        <v>283</v>
      </c>
      <c r="BJ224" t="s">
        <v>928</v>
      </c>
      <c r="BK224" t="s">
        <v>934</v>
      </c>
      <c r="BL224" t="s">
        <v>194</v>
      </c>
      <c r="BM224" s="8" t="s">
        <v>192</v>
      </c>
      <c r="BN224" t="s">
        <v>189</v>
      </c>
      <c r="BO224" t="s">
        <v>190</v>
      </c>
      <c r="BP224" s="35" t="s">
        <v>288</v>
      </c>
      <c r="BQ224"/>
      <c r="BU224" s="35"/>
      <c r="BV224" s="35"/>
      <c r="BX224"/>
      <c r="CA224" s="35"/>
      <c r="CB224" s="35"/>
      <c r="CC224"/>
      <c r="CG224" s="35"/>
      <c r="CH224" s="35"/>
      <c r="CK224"/>
      <c r="CM224" s="35"/>
      <c r="CN224" s="35"/>
      <c r="CQ224"/>
      <c r="CS224" s="35"/>
      <c r="CT224" s="35"/>
      <c r="CX224"/>
      <c r="CZ224" s="35"/>
      <c r="DD224" s="34"/>
      <c r="DG224" t="s">
        <v>792</v>
      </c>
      <c r="DH224" t="s">
        <v>956</v>
      </c>
      <c r="DI224" t="s">
        <v>233</v>
      </c>
      <c r="DL224" t="s">
        <v>673</v>
      </c>
      <c r="DM224">
        <v>5</v>
      </c>
      <c r="DN224">
        <v>9</v>
      </c>
      <c r="DO224" t="s">
        <v>793</v>
      </c>
      <c r="DQ224" t="s">
        <v>927</v>
      </c>
      <c r="DR224">
        <v>14</v>
      </c>
      <c r="DS224">
        <v>0</v>
      </c>
      <c r="DU224">
        <v>14</v>
      </c>
      <c r="DV224">
        <v>0</v>
      </c>
      <c r="DX224">
        <v>14</v>
      </c>
      <c r="DY224">
        <v>0</v>
      </c>
      <c r="DZ224" t="s">
        <v>246</v>
      </c>
      <c r="EA224" t="s">
        <v>929</v>
      </c>
    </row>
    <row r="225" spans="1:131" x14ac:dyDescent="0.4">
      <c r="A225" s="34">
        <v>43067.305104166669</v>
      </c>
      <c r="B225" s="25">
        <v>42935.374305555553</v>
      </c>
      <c r="D225" s="34"/>
      <c r="E225" s="34" t="s">
        <v>193</v>
      </c>
      <c r="F225" s="34" t="s">
        <v>191</v>
      </c>
      <c r="G225" s="34" t="s">
        <v>100</v>
      </c>
      <c r="H225" t="s">
        <v>279</v>
      </c>
      <c r="I225" t="s">
        <v>243</v>
      </c>
      <c r="J225" t="s">
        <v>712</v>
      </c>
      <c r="K225" t="s">
        <v>729</v>
      </c>
      <c r="L225" t="s">
        <v>711</v>
      </c>
      <c r="M225" s="30">
        <v>2.0499999999999998</v>
      </c>
      <c r="N225">
        <v>7</v>
      </c>
      <c r="P225" s="24" t="str">
        <f>IFERROR(MID(RADataTable[[#This Row],[RATemplate]],1,LEN(RADataTable[[#This Row],[RATemplate]])-8),"RA") &amp; " " &amp; RADataTable[[#This Row],[prop_id0]] &amp; " " &amp; RADataTable[[#This Row],[last0]]</f>
        <v>RA 1750127 Nagarajan</v>
      </c>
      <c r="T225">
        <v>4</v>
      </c>
      <c r="U225">
        <v>4</v>
      </c>
      <c r="V225" s="34">
        <v>43032.519444444442</v>
      </c>
      <c r="W225">
        <v>1</v>
      </c>
      <c r="X225" s="15" t="str">
        <f>HYPERLINK("https://www.ejacket.nsf.gov/ej/showProposal.do?Continue=Y&amp;ID="&amp;RADataTable[[#This Row],[prop_id0]],"eJ")</f>
        <v>eJ</v>
      </c>
      <c r="Y225" s="15" t="str">
        <f>HYPERLINK("mailto:"&amp;RADataTable[[#This Row],[email]]&amp;"&amp;subject=Your NSF Proposal:  "&amp;RADataTable[[#This Row],[Div]]&amp;" "&amp;RADataTable[[#This Row],[prop_id0]], RADataTable[[#This Row],[email]])</f>
        <v>viswa@umich.edu</v>
      </c>
      <c r="Z225" s="15" t="str">
        <f>HYPERLINK("mailto:"&amp;RADataTable[[#This Row],[allPIemail]]&amp;"&amp;subject=NSF Proposal:  "&amp;RADataTable[[#This Row],[Div]]&amp;" "&amp;RADataTable[[#This Row],[prop_id0]], "PIs@")</f>
        <v>PIs@</v>
      </c>
      <c r="AA225" t="s">
        <v>245</v>
      </c>
      <c r="AB225" t="s">
        <v>673</v>
      </c>
      <c r="AC225" s="30" t="s">
        <v>788</v>
      </c>
      <c r="AD225" t="s">
        <v>789</v>
      </c>
      <c r="AE225" t="s">
        <v>790</v>
      </c>
      <c r="AF225" s="36">
        <v>524840</v>
      </c>
      <c r="AG225" s="36">
        <v>524840</v>
      </c>
      <c r="AH225" s="24"/>
      <c r="AJ225" s="34"/>
      <c r="AK225" t="s">
        <v>923</v>
      </c>
      <c r="AL225" t="s">
        <v>232</v>
      </c>
      <c r="AM225" s="34" t="s">
        <v>925</v>
      </c>
      <c r="AN225" s="34">
        <v>43032</v>
      </c>
      <c r="AO225" s="24">
        <v>5</v>
      </c>
      <c r="AP225" t="s">
        <v>955</v>
      </c>
      <c r="AR225" s="35"/>
      <c r="AS225"/>
      <c r="AT225" s="34"/>
      <c r="AV225" s="34"/>
      <c r="AX225" s="34"/>
      <c r="AY225"/>
      <c r="BA225" s="34"/>
      <c r="BB225"/>
      <c r="BC225" t="s">
        <v>794</v>
      </c>
      <c r="BD225" s="36">
        <v>524840</v>
      </c>
      <c r="BE225" s="36">
        <v>524840</v>
      </c>
      <c r="BF225">
        <v>0</v>
      </c>
      <c r="BG225" s="34">
        <v>43221</v>
      </c>
      <c r="BH225">
        <v>60</v>
      </c>
      <c r="BI225" t="s">
        <v>283</v>
      </c>
      <c r="BJ225" t="s">
        <v>928</v>
      </c>
      <c r="BK225" t="s">
        <v>934</v>
      </c>
      <c r="BL225" t="s">
        <v>194</v>
      </c>
      <c r="BM225" s="8" t="s">
        <v>192</v>
      </c>
      <c r="BN225" t="s">
        <v>189</v>
      </c>
      <c r="BO225" t="s">
        <v>190</v>
      </c>
      <c r="BP225" s="35" t="s">
        <v>288</v>
      </c>
      <c r="BQ225"/>
      <c r="BU225" s="35"/>
      <c r="BV225" s="35"/>
      <c r="BX225"/>
      <c r="CA225" s="35"/>
      <c r="CB225" s="35"/>
      <c r="CC225"/>
      <c r="CG225" s="35"/>
      <c r="CH225" s="35"/>
      <c r="CK225"/>
      <c r="CM225" s="35"/>
      <c r="CN225" s="35"/>
      <c r="CQ225"/>
      <c r="CS225" s="35"/>
      <c r="CT225" s="35"/>
      <c r="CX225"/>
      <c r="CZ225" s="35"/>
      <c r="DD225" s="34"/>
      <c r="DG225" t="s">
        <v>792</v>
      </c>
      <c r="DH225" t="s">
        <v>956</v>
      </c>
      <c r="DI225" t="s">
        <v>233</v>
      </c>
      <c r="DL225" t="s">
        <v>673</v>
      </c>
      <c r="DM225">
        <v>5</v>
      </c>
      <c r="DN225">
        <v>9</v>
      </c>
      <c r="DO225" t="s">
        <v>793</v>
      </c>
      <c r="DQ225" t="s">
        <v>927</v>
      </c>
      <c r="DR225">
        <v>14</v>
      </c>
      <c r="DS225">
        <v>0</v>
      </c>
      <c r="DU225">
        <v>14</v>
      </c>
      <c r="DV225">
        <v>0</v>
      </c>
      <c r="DX225">
        <v>14</v>
      </c>
      <c r="DY225">
        <v>0</v>
      </c>
      <c r="DZ225" t="s">
        <v>246</v>
      </c>
      <c r="EA225" t="s">
        <v>929</v>
      </c>
    </row>
    <row r="226" spans="1:131" x14ac:dyDescent="0.4">
      <c r="A226" s="34">
        <v>43067.305104166669</v>
      </c>
      <c r="B226" s="25">
        <v>42935.374305555553</v>
      </c>
      <c r="D226" s="34"/>
      <c r="E226" s="34" t="s">
        <v>193</v>
      </c>
      <c r="F226" s="34" t="s">
        <v>191</v>
      </c>
      <c r="G226" s="34" t="s">
        <v>100</v>
      </c>
      <c r="H226" t="s">
        <v>279</v>
      </c>
      <c r="I226" t="s">
        <v>243</v>
      </c>
      <c r="J226" t="s">
        <v>712</v>
      </c>
      <c r="K226" t="s">
        <v>729</v>
      </c>
      <c r="L226" t="s">
        <v>711</v>
      </c>
      <c r="M226" s="30">
        <v>2.0499999999999998</v>
      </c>
      <c r="N226">
        <v>7</v>
      </c>
      <c r="P226" s="24" t="str">
        <f>IFERROR(MID(RADataTable[[#This Row],[RATemplate]],1,LEN(RADataTable[[#This Row],[RATemplate]])-8),"RA") &amp; " " &amp; RADataTable[[#This Row],[prop_id0]] &amp; " " &amp; RADataTable[[#This Row],[last0]]</f>
        <v>RA 1750127 Nagarajan</v>
      </c>
      <c r="T226">
        <v>4</v>
      </c>
      <c r="U226">
        <v>4</v>
      </c>
      <c r="V226" s="34">
        <v>43032.519444444442</v>
      </c>
      <c r="W226">
        <v>1</v>
      </c>
      <c r="X226" s="15" t="str">
        <f>HYPERLINK("https://www.ejacket.nsf.gov/ej/showProposal.do?Continue=Y&amp;ID="&amp;RADataTable[[#This Row],[prop_id0]],"eJ")</f>
        <v>eJ</v>
      </c>
      <c r="Y226" s="15" t="str">
        <f>HYPERLINK("mailto:"&amp;RADataTable[[#This Row],[email]]&amp;"&amp;subject=Your NSF Proposal:  "&amp;RADataTable[[#This Row],[Div]]&amp;" "&amp;RADataTable[[#This Row],[prop_id0]], RADataTable[[#This Row],[email]])</f>
        <v>viswa@umich.edu</v>
      </c>
      <c r="Z226" s="15" t="str">
        <f>HYPERLINK("mailto:"&amp;RADataTable[[#This Row],[allPIemail]]&amp;"&amp;subject=NSF Proposal:  "&amp;RADataTable[[#This Row],[Div]]&amp;" "&amp;RADataTable[[#This Row],[prop_id0]], "PIs@")</f>
        <v>PIs@</v>
      </c>
      <c r="AA226" t="s">
        <v>245</v>
      </c>
      <c r="AB226" t="s">
        <v>673</v>
      </c>
      <c r="AC226" s="30" t="s">
        <v>788</v>
      </c>
      <c r="AD226" t="s">
        <v>789</v>
      </c>
      <c r="AE226" t="s">
        <v>790</v>
      </c>
      <c r="AF226" s="36">
        <v>524840</v>
      </c>
      <c r="AG226" s="36">
        <v>524840</v>
      </c>
      <c r="AH226" s="24"/>
      <c r="AJ226" s="34"/>
      <c r="AK226" t="s">
        <v>923</v>
      </c>
      <c r="AL226" t="s">
        <v>232</v>
      </c>
      <c r="AM226" s="34" t="s">
        <v>925</v>
      </c>
      <c r="AN226" s="34">
        <v>43032</v>
      </c>
      <c r="AO226" s="24">
        <v>5</v>
      </c>
      <c r="AP226" t="s">
        <v>955</v>
      </c>
      <c r="AR226" s="35"/>
      <c r="AS226"/>
      <c r="AT226" s="34"/>
      <c r="AV226" s="34"/>
      <c r="AX226" s="34"/>
      <c r="AY226"/>
      <c r="BA226" s="34"/>
      <c r="BB226"/>
      <c r="BC226" t="s">
        <v>794</v>
      </c>
      <c r="BD226" s="36">
        <v>524840</v>
      </c>
      <c r="BE226" s="36">
        <v>524840</v>
      </c>
      <c r="BF226">
        <v>0</v>
      </c>
      <c r="BG226" s="34">
        <v>43221</v>
      </c>
      <c r="BH226">
        <v>60</v>
      </c>
      <c r="BI226" t="s">
        <v>283</v>
      </c>
      <c r="BJ226" t="s">
        <v>928</v>
      </c>
      <c r="BK226" t="s">
        <v>934</v>
      </c>
      <c r="BL226" t="s">
        <v>194</v>
      </c>
      <c r="BM226" s="8" t="s">
        <v>192</v>
      </c>
      <c r="BN226" t="s">
        <v>189</v>
      </c>
      <c r="BO226" t="s">
        <v>190</v>
      </c>
      <c r="BP226" s="35" t="s">
        <v>288</v>
      </c>
      <c r="BQ226"/>
      <c r="BU226" s="35"/>
      <c r="BV226" s="35"/>
      <c r="BX226"/>
      <c r="CA226" s="35"/>
      <c r="CB226" s="35"/>
      <c r="CC226"/>
      <c r="CG226" s="35"/>
      <c r="CH226" s="35"/>
      <c r="CK226"/>
      <c r="CM226" s="35"/>
      <c r="CN226" s="35"/>
      <c r="CQ226"/>
      <c r="CS226" s="35"/>
      <c r="CT226" s="35"/>
      <c r="CX226"/>
      <c r="CZ226" s="35"/>
      <c r="DD226" s="34"/>
      <c r="DG226" t="s">
        <v>792</v>
      </c>
      <c r="DH226" t="s">
        <v>956</v>
      </c>
      <c r="DI226" t="s">
        <v>233</v>
      </c>
      <c r="DL226" t="s">
        <v>673</v>
      </c>
      <c r="DM226">
        <v>5</v>
      </c>
      <c r="DN226">
        <v>9</v>
      </c>
      <c r="DO226" t="s">
        <v>793</v>
      </c>
      <c r="DQ226" t="s">
        <v>927</v>
      </c>
      <c r="DR226">
        <v>14</v>
      </c>
      <c r="DS226">
        <v>0</v>
      </c>
      <c r="DU226">
        <v>14</v>
      </c>
      <c r="DV226">
        <v>0</v>
      </c>
      <c r="DX226">
        <v>14</v>
      </c>
      <c r="DY226">
        <v>0</v>
      </c>
      <c r="DZ226" t="s">
        <v>246</v>
      </c>
      <c r="EA226" t="s">
        <v>929</v>
      </c>
    </row>
    <row r="227" spans="1:131" x14ac:dyDescent="0.4">
      <c r="A227" s="34">
        <v>43067.305104166669</v>
      </c>
      <c r="B227" s="25">
        <v>42935.374305555553</v>
      </c>
      <c r="D227" s="34"/>
      <c r="E227" s="34" t="s">
        <v>193</v>
      </c>
      <c r="F227" s="34" t="s">
        <v>191</v>
      </c>
      <c r="G227" s="34" t="s">
        <v>100</v>
      </c>
      <c r="H227" t="s">
        <v>279</v>
      </c>
      <c r="I227" t="s">
        <v>243</v>
      </c>
      <c r="J227" t="s">
        <v>712</v>
      </c>
      <c r="K227" t="s">
        <v>729</v>
      </c>
      <c r="L227" t="s">
        <v>711</v>
      </c>
      <c r="M227" s="30">
        <v>2.0499999999999998</v>
      </c>
      <c r="N227">
        <v>7</v>
      </c>
      <c r="P227" s="24" t="str">
        <f>IFERROR(MID(RADataTable[[#This Row],[RATemplate]],1,LEN(RADataTable[[#This Row],[RATemplate]])-8),"RA") &amp; " " &amp; RADataTable[[#This Row],[prop_id0]] &amp; " " &amp; RADataTable[[#This Row],[last0]]</f>
        <v>RA 1750127 Nagarajan</v>
      </c>
      <c r="T227">
        <v>4</v>
      </c>
      <c r="U227">
        <v>4</v>
      </c>
      <c r="V227" s="34">
        <v>43032.519444444442</v>
      </c>
      <c r="W227">
        <v>1</v>
      </c>
      <c r="X227" s="15" t="str">
        <f>HYPERLINK("https://www.ejacket.nsf.gov/ej/showProposal.do?Continue=Y&amp;ID="&amp;RADataTable[[#This Row],[prop_id0]],"eJ")</f>
        <v>eJ</v>
      </c>
      <c r="Y227" s="15" t="str">
        <f>HYPERLINK("mailto:"&amp;RADataTable[[#This Row],[email]]&amp;"&amp;subject=Your NSF Proposal:  "&amp;RADataTable[[#This Row],[Div]]&amp;" "&amp;RADataTable[[#This Row],[prop_id0]], RADataTable[[#This Row],[email]])</f>
        <v>viswa@umich.edu</v>
      </c>
      <c r="Z227" s="15" t="str">
        <f>HYPERLINK("mailto:"&amp;RADataTable[[#This Row],[allPIemail]]&amp;"&amp;subject=NSF Proposal:  "&amp;RADataTable[[#This Row],[Div]]&amp;" "&amp;RADataTable[[#This Row],[prop_id0]], "PIs@")</f>
        <v>PIs@</v>
      </c>
      <c r="AA227" t="s">
        <v>245</v>
      </c>
      <c r="AB227" t="s">
        <v>673</v>
      </c>
      <c r="AC227" s="30" t="s">
        <v>788</v>
      </c>
      <c r="AD227" t="s">
        <v>789</v>
      </c>
      <c r="AE227" t="s">
        <v>790</v>
      </c>
      <c r="AF227" s="36">
        <v>524840</v>
      </c>
      <c r="AG227" s="36">
        <v>524840</v>
      </c>
      <c r="AH227" s="24"/>
      <c r="AJ227" s="34"/>
      <c r="AK227" t="s">
        <v>923</v>
      </c>
      <c r="AL227" t="s">
        <v>232</v>
      </c>
      <c r="AM227" s="34" t="s">
        <v>925</v>
      </c>
      <c r="AN227" s="34">
        <v>43032</v>
      </c>
      <c r="AO227" s="24">
        <v>5</v>
      </c>
      <c r="AP227" t="s">
        <v>955</v>
      </c>
      <c r="AR227" s="35"/>
      <c r="AS227"/>
      <c r="AT227" s="34"/>
      <c r="AV227" s="34"/>
      <c r="AX227" s="34"/>
      <c r="AY227"/>
      <c r="BA227" s="34"/>
      <c r="BB227"/>
      <c r="BC227" t="s">
        <v>794</v>
      </c>
      <c r="BD227" s="36">
        <v>524840</v>
      </c>
      <c r="BE227" s="36">
        <v>524840</v>
      </c>
      <c r="BF227">
        <v>0</v>
      </c>
      <c r="BG227" s="34">
        <v>43221</v>
      </c>
      <c r="BH227">
        <v>60</v>
      </c>
      <c r="BI227" t="s">
        <v>283</v>
      </c>
      <c r="BJ227" t="s">
        <v>928</v>
      </c>
      <c r="BK227" t="s">
        <v>934</v>
      </c>
      <c r="BL227" t="s">
        <v>194</v>
      </c>
      <c r="BM227" s="8" t="s">
        <v>192</v>
      </c>
      <c r="BN227" t="s">
        <v>189</v>
      </c>
      <c r="BO227" t="s">
        <v>190</v>
      </c>
      <c r="BP227" s="35" t="s">
        <v>288</v>
      </c>
      <c r="BQ227"/>
      <c r="BU227" s="35"/>
      <c r="BV227" s="35"/>
      <c r="BX227"/>
      <c r="CA227" s="35"/>
      <c r="CB227" s="35"/>
      <c r="CC227"/>
      <c r="CG227" s="35"/>
      <c r="CH227" s="35"/>
      <c r="CK227"/>
      <c r="CM227" s="35"/>
      <c r="CN227" s="35"/>
      <c r="CQ227"/>
      <c r="CS227" s="35"/>
      <c r="CT227" s="35"/>
      <c r="CX227"/>
      <c r="CZ227" s="35"/>
      <c r="DD227" s="34"/>
      <c r="DG227" t="s">
        <v>792</v>
      </c>
      <c r="DH227" t="s">
        <v>956</v>
      </c>
      <c r="DI227" t="s">
        <v>233</v>
      </c>
      <c r="DL227" t="s">
        <v>673</v>
      </c>
      <c r="DM227">
        <v>5</v>
      </c>
      <c r="DN227">
        <v>9</v>
      </c>
      <c r="DO227" t="s">
        <v>793</v>
      </c>
      <c r="DQ227" t="s">
        <v>927</v>
      </c>
      <c r="DR227">
        <v>14</v>
      </c>
      <c r="DS227">
        <v>0</v>
      </c>
      <c r="DU227">
        <v>14</v>
      </c>
      <c r="DV227">
        <v>0</v>
      </c>
      <c r="DX227">
        <v>14</v>
      </c>
      <c r="DY227">
        <v>0</v>
      </c>
      <c r="DZ227" t="s">
        <v>246</v>
      </c>
      <c r="EA227" t="s">
        <v>929</v>
      </c>
    </row>
    <row r="228" spans="1:131" x14ac:dyDescent="0.4">
      <c r="A228" s="34">
        <v>43067.305104166669</v>
      </c>
      <c r="B228" s="25">
        <v>42935.374305555553</v>
      </c>
      <c r="D228" s="34"/>
      <c r="E228" s="34" t="s">
        <v>193</v>
      </c>
      <c r="F228" s="34" t="s">
        <v>191</v>
      </c>
      <c r="G228" s="34" t="s">
        <v>100</v>
      </c>
      <c r="H228" t="s">
        <v>279</v>
      </c>
      <c r="I228" t="s">
        <v>243</v>
      </c>
      <c r="J228" t="s">
        <v>712</v>
      </c>
      <c r="K228" t="s">
        <v>729</v>
      </c>
      <c r="L228" t="s">
        <v>711</v>
      </c>
      <c r="M228" s="30">
        <v>2.0499999999999998</v>
      </c>
      <c r="N228">
        <v>7</v>
      </c>
      <c r="P228" s="24" t="str">
        <f>IFERROR(MID(RADataTable[[#This Row],[RATemplate]],1,LEN(RADataTable[[#This Row],[RATemplate]])-8),"RA") &amp; " " &amp; RADataTable[[#This Row],[prop_id0]] &amp; " " &amp; RADataTable[[#This Row],[last0]]</f>
        <v>RA 1750127 Nagarajan</v>
      </c>
      <c r="T228">
        <v>4</v>
      </c>
      <c r="U228">
        <v>4</v>
      </c>
      <c r="V228" s="34">
        <v>43032.519444444442</v>
      </c>
      <c r="W228">
        <v>1</v>
      </c>
      <c r="X228" s="15" t="str">
        <f>HYPERLINK("https://www.ejacket.nsf.gov/ej/showProposal.do?Continue=Y&amp;ID="&amp;RADataTable[[#This Row],[prop_id0]],"eJ")</f>
        <v>eJ</v>
      </c>
      <c r="Y228" s="15" t="str">
        <f>HYPERLINK("mailto:"&amp;RADataTable[[#This Row],[email]]&amp;"&amp;subject=Your NSF Proposal:  "&amp;RADataTable[[#This Row],[Div]]&amp;" "&amp;RADataTable[[#This Row],[prop_id0]], RADataTable[[#This Row],[email]])</f>
        <v>viswa@umich.edu</v>
      </c>
      <c r="Z228" s="15" t="str">
        <f>HYPERLINK("mailto:"&amp;RADataTable[[#This Row],[allPIemail]]&amp;"&amp;subject=NSF Proposal:  "&amp;RADataTable[[#This Row],[Div]]&amp;" "&amp;RADataTable[[#This Row],[prop_id0]], "PIs@")</f>
        <v>PIs@</v>
      </c>
      <c r="AA228" t="s">
        <v>245</v>
      </c>
      <c r="AB228" t="s">
        <v>673</v>
      </c>
      <c r="AC228" s="30" t="s">
        <v>788</v>
      </c>
      <c r="AD228" t="s">
        <v>789</v>
      </c>
      <c r="AE228" t="s">
        <v>790</v>
      </c>
      <c r="AF228" s="36">
        <v>524840</v>
      </c>
      <c r="AG228" s="36">
        <v>524840</v>
      </c>
      <c r="AH228" s="24"/>
      <c r="AJ228" s="34"/>
      <c r="AK228" t="s">
        <v>923</v>
      </c>
      <c r="AL228" t="s">
        <v>232</v>
      </c>
      <c r="AM228" s="34" t="s">
        <v>925</v>
      </c>
      <c r="AN228" s="34">
        <v>43032</v>
      </c>
      <c r="AO228" s="24">
        <v>5</v>
      </c>
      <c r="AP228" t="s">
        <v>955</v>
      </c>
      <c r="AR228" s="35"/>
      <c r="AS228"/>
      <c r="AT228" s="34"/>
      <c r="AV228" s="34"/>
      <c r="AX228" s="34"/>
      <c r="AY228"/>
      <c r="BA228" s="34"/>
      <c r="BB228"/>
      <c r="BC228" t="s">
        <v>794</v>
      </c>
      <c r="BD228" s="36">
        <v>524840</v>
      </c>
      <c r="BE228" s="36">
        <v>524840</v>
      </c>
      <c r="BF228">
        <v>0</v>
      </c>
      <c r="BG228" s="34">
        <v>43221</v>
      </c>
      <c r="BH228">
        <v>60</v>
      </c>
      <c r="BI228" t="s">
        <v>283</v>
      </c>
      <c r="BJ228" t="s">
        <v>928</v>
      </c>
      <c r="BK228" t="s">
        <v>934</v>
      </c>
      <c r="BL228" t="s">
        <v>194</v>
      </c>
      <c r="BM228" s="8" t="s">
        <v>192</v>
      </c>
      <c r="BN228" t="s">
        <v>189</v>
      </c>
      <c r="BO228" t="s">
        <v>190</v>
      </c>
      <c r="BP228" s="35" t="s">
        <v>288</v>
      </c>
      <c r="BQ228"/>
      <c r="BU228" s="35"/>
      <c r="BV228" s="35"/>
      <c r="BX228"/>
      <c r="CA228" s="35"/>
      <c r="CB228" s="35"/>
      <c r="CC228"/>
      <c r="CG228" s="35"/>
      <c r="CH228" s="35"/>
      <c r="CK228"/>
      <c r="CM228" s="35"/>
      <c r="CN228" s="35"/>
      <c r="CQ228"/>
      <c r="CS228" s="35"/>
      <c r="CT228" s="35"/>
      <c r="CX228"/>
      <c r="CZ228" s="35"/>
      <c r="DD228" s="34"/>
      <c r="DG228" t="s">
        <v>792</v>
      </c>
      <c r="DH228" t="s">
        <v>956</v>
      </c>
      <c r="DI228" t="s">
        <v>233</v>
      </c>
      <c r="DL228" t="s">
        <v>673</v>
      </c>
      <c r="DM228">
        <v>5</v>
      </c>
      <c r="DN228">
        <v>9</v>
      </c>
      <c r="DO228" t="s">
        <v>793</v>
      </c>
      <c r="DQ228" t="s">
        <v>927</v>
      </c>
      <c r="DR228">
        <v>14</v>
      </c>
      <c r="DS228">
        <v>0</v>
      </c>
      <c r="DU228">
        <v>14</v>
      </c>
      <c r="DV228">
        <v>0</v>
      </c>
      <c r="DX228">
        <v>14</v>
      </c>
      <c r="DY228">
        <v>0</v>
      </c>
      <c r="DZ228" t="s">
        <v>246</v>
      </c>
      <c r="EA228" t="s">
        <v>929</v>
      </c>
    </row>
    <row r="229" spans="1:131" x14ac:dyDescent="0.4">
      <c r="A229" s="34">
        <v>43067.305104166669</v>
      </c>
      <c r="B229" s="25">
        <v>42935.374305555553</v>
      </c>
      <c r="D229" s="34"/>
      <c r="E229" s="34" t="s">
        <v>193</v>
      </c>
      <c r="F229" s="34" t="s">
        <v>191</v>
      </c>
      <c r="G229" s="34" t="s">
        <v>100</v>
      </c>
      <c r="H229" t="s">
        <v>279</v>
      </c>
      <c r="I229" t="s">
        <v>243</v>
      </c>
      <c r="J229" t="s">
        <v>712</v>
      </c>
      <c r="K229" t="s">
        <v>729</v>
      </c>
      <c r="L229" t="s">
        <v>711</v>
      </c>
      <c r="M229" s="30">
        <v>2.0499999999999998</v>
      </c>
      <c r="N229">
        <v>7</v>
      </c>
      <c r="P229" s="24" t="str">
        <f>IFERROR(MID(RADataTable[[#This Row],[RATemplate]],1,LEN(RADataTable[[#This Row],[RATemplate]])-8),"RA") &amp; " " &amp; RADataTable[[#This Row],[prop_id0]] &amp; " " &amp; RADataTable[[#This Row],[last0]]</f>
        <v>RA 1750127 Nagarajan</v>
      </c>
      <c r="T229">
        <v>4</v>
      </c>
      <c r="U229">
        <v>4</v>
      </c>
      <c r="V229" s="34">
        <v>43032.519444444442</v>
      </c>
      <c r="W229">
        <v>1</v>
      </c>
      <c r="X229" s="15" t="str">
        <f>HYPERLINK("https://www.ejacket.nsf.gov/ej/showProposal.do?Continue=Y&amp;ID="&amp;RADataTable[[#This Row],[prop_id0]],"eJ")</f>
        <v>eJ</v>
      </c>
      <c r="Y229" s="15" t="str">
        <f>HYPERLINK("mailto:"&amp;RADataTable[[#This Row],[email]]&amp;"&amp;subject=Your NSF Proposal:  "&amp;RADataTable[[#This Row],[Div]]&amp;" "&amp;RADataTable[[#This Row],[prop_id0]], RADataTable[[#This Row],[email]])</f>
        <v>viswa@umich.edu</v>
      </c>
      <c r="Z229" s="15" t="str">
        <f>HYPERLINK("mailto:"&amp;RADataTable[[#This Row],[allPIemail]]&amp;"&amp;subject=NSF Proposal:  "&amp;RADataTable[[#This Row],[Div]]&amp;" "&amp;RADataTable[[#This Row],[prop_id0]], "PIs@")</f>
        <v>PIs@</v>
      </c>
      <c r="AA229" t="s">
        <v>245</v>
      </c>
      <c r="AB229" t="s">
        <v>673</v>
      </c>
      <c r="AC229" s="30" t="s">
        <v>788</v>
      </c>
      <c r="AD229" t="s">
        <v>789</v>
      </c>
      <c r="AE229" t="s">
        <v>790</v>
      </c>
      <c r="AF229" s="36">
        <v>524840</v>
      </c>
      <c r="AG229" s="36">
        <v>524840</v>
      </c>
      <c r="AH229" s="24"/>
      <c r="AJ229" s="34"/>
      <c r="AK229" t="s">
        <v>923</v>
      </c>
      <c r="AL229" t="s">
        <v>232</v>
      </c>
      <c r="AM229" s="34" t="s">
        <v>925</v>
      </c>
      <c r="AN229" s="34">
        <v>43032</v>
      </c>
      <c r="AO229" s="24">
        <v>5</v>
      </c>
      <c r="AP229" t="s">
        <v>955</v>
      </c>
      <c r="AR229" s="35"/>
      <c r="AS229"/>
      <c r="AT229" s="34"/>
      <c r="AV229" s="34"/>
      <c r="AX229" s="34"/>
      <c r="AY229"/>
      <c r="BA229" s="34"/>
      <c r="BB229"/>
      <c r="BC229" t="s">
        <v>794</v>
      </c>
      <c r="BD229" s="36">
        <v>524840</v>
      </c>
      <c r="BE229" s="36">
        <v>524840</v>
      </c>
      <c r="BF229">
        <v>0</v>
      </c>
      <c r="BG229" s="34">
        <v>43221</v>
      </c>
      <c r="BH229">
        <v>60</v>
      </c>
      <c r="BI229" t="s">
        <v>283</v>
      </c>
      <c r="BJ229" t="s">
        <v>928</v>
      </c>
      <c r="BK229" t="s">
        <v>934</v>
      </c>
      <c r="BL229" t="s">
        <v>194</v>
      </c>
      <c r="BM229" s="8" t="s">
        <v>192</v>
      </c>
      <c r="BN229" t="s">
        <v>189</v>
      </c>
      <c r="BO229" t="s">
        <v>190</v>
      </c>
      <c r="BP229" s="35" t="s">
        <v>288</v>
      </c>
      <c r="BQ229"/>
      <c r="BU229" s="35"/>
      <c r="BV229" s="35"/>
      <c r="BX229"/>
      <c r="CA229" s="35"/>
      <c r="CB229" s="35"/>
      <c r="CC229"/>
      <c r="CG229" s="35"/>
      <c r="CH229" s="35"/>
      <c r="CK229"/>
      <c r="CM229" s="35"/>
      <c r="CN229" s="35"/>
      <c r="CQ229"/>
      <c r="CS229" s="35"/>
      <c r="CT229" s="35"/>
      <c r="CX229"/>
      <c r="CZ229" s="35"/>
      <c r="DD229" s="34"/>
      <c r="DG229" t="s">
        <v>792</v>
      </c>
      <c r="DH229" t="s">
        <v>956</v>
      </c>
      <c r="DI229" t="s">
        <v>233</v>
      </c>
      <c r="DL229" t="s">
        <v>673</v>
      </c>
      <c r="DM229">
        <v>5</v>
      </c>
      <c r="DN229">
        <v>9</v>
      </c>
      <c r="DO229" t="s">
        <v>793</v>
      </c>
      <c r="DQ229" t="s">
        <v>927</v>
      </c>
      <c r="DR229">
        <v>14</v>
      </c>
      <c r="DS229">
        <v>0</v>
      </c>
      <c r="DU229">
        <v>14</v>
      </c>
      <c r="DV229">
        <v>0</v>
      </c>
      <c r="DX229">
        <v>14</v>
      </c>
      <c r="DY229">
        <v>0</v>
      </c>
      <c r="DZ229" t="s">
        <v>246</v>
      </c>
      <c r="EA229" t="s">
        <v>929</v>
      </c>
    </row>
    <row r="230" spans="1:131" x14ac:dyDescent="0.4">
      <c r="A230" s="34">
        <v>43067.305104166669</v>
      </c>
      <c r="B230" s="25">
        <v>42935.374305555553</v>
      </c>
      <c r="D230" s="34"/>
      <c r="E230" s="34" t="s">
        <v>193</v>
      </c>
      <c r="F230" s="34" t="s">
        <v>191</v>
      </c>
      <c r="G230" s="34" t="s">
        <v>100</v>
      </c>
      <c r="H230" t="s">
        <v>279</v>
      </c>
      <c r="I230" t="s">
        <v>243</v>
      </c>
      <c r="J230" t="s">
        <v>712</v>
      </c>
      <c r="K230" t="s">
        <v>729</v>
      </c>
      <c r="L230" t="s">
        <v>711</v>
      </c>
      <c r="M230" s="30">
        <v>2.0499999999999998</v>
      </c>
      <c r="N230">
        <v>7</v>
      </c>
      <c r="P230" s="24" t="str">
        <f>IFERROR(MID(RADataTable[[#This Row],[RATemplate]],1,LEN(RADataTable[[#This Row],[RATemplate]])-8),"RA") &amp; " " &amp; RADataTable[[#This Row],[prop_id0]] &amp; " " &amp; RADataTable[[#This Row],[last0]]</f>
        <v>RA 1750127 Nagarajan</v>
      </c>
      <c r="T230">
        <v>4</v>
      </c>
      <c r="U230">
        <v>4</v>
      </c>
      <c r="V230" s="34">
        <v>43032.519444444442</v>
      </c>
      <c r="W230">
        <v>1</v>
      </c>
      <c r="X230" s="15" t="str">
        <f>HYPERLINK("https://www.ejacket.nsf.gov/ej/showProposal.do?Continue=Y&amp;ID="&amp;RADataTable[[#This Row],[prop_id0]],"eJ")</f>
        <v>eJ</v>
      </c>
      <c r="Y230" s="15" t="str">
        <f>HYPERLINK("mailto:"&amp;RADataTable[[#This Row],[email]]&amp;"&amp;subject=Your NSF Proposal:  "&amp;RADataTable[[#This Row],[Div]]&amp;" "&amp;RADataTable[[#This Row],[prop_id0]], RADataTable[[#This Row],[email]])</f>
        <v>viswa@umich.edu</v>
      </c>
      <c r="Z230" s="15" t="str">
        <f>HYPERLINK("mailto:"&amp;RADataTable[[#This Row],[allPIemail]]&amp;"&amp;subject=NSF Proposal:  "&amp;RADataTable[[#This Row],[Div]]&amp;" "&amp;RADataTable[[#This Row],[prop_id0]], "PIs@")</f>
        <v>PIs@</v>
      </c>
      <c r="AA230" t="s">
        <v>245</v>
      </c>
      <c r="AB230" t="s">
        <v>673</v>
      </c>
      <c r="AC230" s="30" t="s">
        <v>788</v>
      </c>
      <c r="AD230" t="s">
        <v>789</v>
      </c>
      <c r="AE230" t="s">
        <v>790</v>
      </c>
      <c r="AF230" s="36">
        <v>524840</v>
      </c>
      <c r="AG230" s="36">
        <v>524840</v>
      </c>
      <c r="AH230" s="24"/>
      <c r="AJ230" s="34"/>
      <c r="AK230" t="s">
        <v>923</v>
      </c>
      <c r="AL230" t="s">
        <v>232</v>
      </c>
      <c r="AM230" s="34" t="s">
        <v>925</v>
      </c>
      <c r="AN230" s="34">
        <v>43032</v>
      </c>
      <c r="AO230" s="24">
        <v>5</v>
      </c>
      <c r="AP230" t="s">
        <v>955</v>
      </c>
      <c r="AR230" s="35"/>
      <c r="AS230"/>
      <c r="AT230" s="34"/>
      <c r="AV230" s="34"/>
      <c r="AX230" s="34"/>
      <c r="AY230"/>
      <c r="BA230" s="34"/>
      <c r="BB230"/>
      <c r="BC230" t="s">
        <v>794</v>
      </c>
      <c r="BD230" s="36">
        <v>524840</v>
      </c>
      <c r="BE230" s="36">
        <v>524840</v>
      </c>
      <c r="BF230">
        <v>0</v>
      </c>
      <c r="BG230" s="34">
        <v>43221</v>
      </c>
      <c r="BH230">
        <v>60</v>
      </c>
      <c r="BI230" t="s">
        <v>283</v>
      </c>
      <c r="BJ230" t="s">
        <v>928</v>
      </c>
      <c r="BK230" t="s">
        <v>934</v>
      </c>
      <c r="BL230" t="s">
        <v>194</v>
      </c>
      <c r="BM230" s="8" t="s">
        <v>192</v>
      </c>
      <c r="BN230" t="s">
        <v>189</v>
      </c>
      <c r="BO230" t="s">
        <v>190</v>
      </c>
      <c r="BP230" s="35" t="s">
        <v>288</v>
      </c>
      <c r="BQ230"/>
      <c r="BU230" s="35"/>
      <c r="BV230" s="35"/>
      <c r="BX230"/>
      <c r="CA230" s="35"/>
      <c r="CB230" s="35"/>
      <c r="CC230"/>
      <c r="CG230" s="35"/>
      <c r="CH230" s="35"/>
      <c r="CK230"/>
      <c r="CM230" s="35"/>
      <c r="CN230" s="35"/>
      <c r="CQ230"/>
      <c r="CS230" s="35"/>
      <c r="CT230" s="35"/>
      <c r="CX230"/>
      <c r="CZ230" s="35"/>
      <c r="DD230" s="34"/>
      <c r="DG230" t="s">
        <v>792</v>
      </c>
      <c r="DH230" t="s">
        <v>956</v>
      </c>
      <c r="DI230" t="s">
        <v>233</v>
      </c>
      <c r="DL230" t="s">
        <v>673</v>
      </c>
      <c r="DM230">
        <v>5</v>
      </c>
      <c r="DN230">
        <v>9</v>
      </c>
      <c r="DO230" t="s">
        <v>793</v>
      </c>
      <c r="DQ230" t="s">
        <v>927</v>
      </c>
      <c r="DR230">
        <v>14</v>
      </c>
      <c r="DS230">
        <v>0</v>
      </c>
      <c r="DU230">
        <v>14</v>
      </c>
      <c r="DV230">
        <v>0</v>
      </c>
      <c r="DX230">
        <v>14</v>
      </c>
      <c r="DY230">
        <v>0</v>
      </c>
      <c r="DZ230" t="s">
        <v>246</v>
      </c>
      <c r="EA230" t="s">
        <v>929</v>
      </c>
    </row>
    <row r="231" spans="1:131" x14ac:dyDescent="0.4">
      <c r="A231" s="34">
        <v>43067.305104166669</v>
      </c>
      <c r="B231" s="25">
        <v>42935.374305555553</v>
      </c>
      <c r="D231" s="34"/>
      <c r="E231" s="34" t="s">
        <v>193</v>
      </c>
      <c r="F231" s="34" t="s">
        <v>191</v>
      </c>
      <c r="G231" s="34" t="s">
        <v>100</v>
      </c>
      <c r="H231" t="s">
        <v>279</v>
      </c>
      <c r="I231" t="s">
        <v>243</v>
      </c>
      <c r="J231" t="s">
        <v>712</v>
      </c>
      <c r="K231" t="s">
        <v>729</v>
      </c>
      <c r="L231" t="s">
        <v>711</v>
      </c>
      <c r="M231" s="30">
        <v>2.0499999999999998</v>
      </c>
      <c r="N231">
        <v>7</v>
      </c>
      <c r="P231" s="24" t="str">
        <f>IFERROR(MID(RADataTable[[#This Row],[RATemplate]],1,LEN(RADataTable[[#This Row],[RATemplate]])-8),"RA") &amp; " " &amp; RADataTable[[#This Row],[prop_id0]] &amp; " " &amp; RADataTable[[#This Row],[last0]]</f>
        <v>RA 1750127 Nagarajan</v>
      </c>
      <c r="T231">
        <v>4</v>
      </c>
      <c r="U231">
        <v>4</v>
      </c>
      <c r="V231" s="34">
        <v>43032.519444444442</v>
      </c>
      <c r="W231">
        <v>1</v>
      </c>
      <c r="X231" s="15" t="str">
        <f>HYPERLINK("https://www.ejacket.nsf.gov/ej/showProposal.do?Continue=Y&amp;ID="&amp;RADataTable[[#This Row],[prop_id0]],"eJ")</f>
        <v>eJ</v>
      </c>
      <c r="Y231" s="15" t="str">
        <f>HYPERLINK("mailto:"&amp;RADataTable[[#This Row],[email]]&amp;"&amp;subject=Your NSF Proposal:  "&amp;RADataTable[[#This Row],[Div]]&amp;" "&amp;RADataTable[[#This Row],[prop_id0]], RADataTable[[#This Row],[email]])</f>
        <v>viswa@umich.edu</v>
      </c>
      <c r="Z231" s="15" t="str">
        <f>HYPERLINK("mailto:"&amp;RADataTable[[#This Row],[allPIemail]]&amp;"&amp;subject=NSF Proposal:  "&amp;RADataTable[[#This Row],[Div]]&amp;" "&amp;RADataTable[[#This Row],[prop_id0]], "PIs@")</f>
        <v>PIs@</v>
      </c>
      <c r="AA231" t="s">
        <v>245</v>
      </c>
      <c r="AB231" t="s">
        <v>673</v>
      </c>
      <c r="AC231" s="30" t="s">
        <v>788</v>
      </c>
      <c r="AD231" t="s">
        <v>789</v>
      </c>
      <c r="AE231" t="s">
        <v>790</v>
      </c>
      <c r="AF231" s="36">
        <v>524840</v>
      </c>
      <c r="AG231" s="36">
        <v>524840</v>
      </c>
      <c r="AH231" s="24"/>
      <c r="AJ231" s="34"/>
      <c r="AK231" t="s">
        <v>923</v>
      </c>
      <c r="AL231" t="s">
        <v>232</v>
      </c>
      <c r="AM231" s="34" t="s">
        <v>925</v>
      </c>
      <c r="AN231" s="34">
        <v>43032</v>
      </c>
      <c r="AO231" s="24">
        <v>5</v>
      </c>
      <c r="AP231" t="s">
        <v>955</v>
      </c>
      <c r="AR231" s="35"/>
      <c r="AS231"/>
      <c r="AT231" s="34"/>
      <c r="AV231" s="34"/>
      <c r="AX231" s="34"/>
      <c r="AY231"/>
      <c r="BA231" s="34"/>
      <c r="BB231"/>
      <c r="BC231" t="s">
        <v>794</v>
      </c>
      <c r="BD231" s="36">
        <v>524840</v>
      </c>
      <c r="BE231" s="36">
        <v>524840</v>
      </c>
      <c r="BF231">
        <v>0</v>
      </c>
      <c r="BG231" s="34">
        <v>43221</v>
      </c>
      <c r="BH231">
        <v>60</v>
      </c>
      <c r="BI231" t="s">
        <v>283</v>
      </c>
      <c r="BJ231" t="s">
        <v>928</v>
      </c>
      <c r="BK231" t="s">
        <v>934</v>
      </c>
      <c r="BL231" t="s">
        <v>194</v>
      </c>
      <c r="BM231" s="8" t="s">
        <v>192</v>
      </c>
      <c r="BN231" t="s">
        <v>189</v>
      </c>
      <c r="BO231" t="s">
        <v>190</v>
      </c>
      <c r="BP231" s="35" t="s">
        <v>288</v>
      </c>
      <c r="BQ231"/>
      <c r="BU231" s="35"/>
      <c r="BV231" s="35"/>
      <c r="BX231"/>
      <c r="CA231" s="35"/>
      <c r="CB231" s="35"/>
      <c r="CC231"/>
      <c r="CG231" s="35"/>
      <c r="CH231" s="35"/>
      <c r="CK231"/>
      <c r="CM231" s="35"/>
      <c r="CN231" s="35"/>
      <c r="CQ231"/>
      <c r="CS231" s="35"/>
      <c r="CT231" s="35"/>
      <c r="CX231"/>
      <c r="CZ231" s="35"/>
      <c r="DD231" s="34"/>
      <c r="DG231" t="s">
        <v>792</v>
      </c>
      <c r="DH231" t="s">
        <v>956</v>
      </c>
      <c r="DI231" t="s">
        <v>233</v>
      </c>
      <c r="DL231" t="s">
        <v>673</v>
      </c>
      <c r="DM231">
        <v>5</v>
      </c>
      <c r="DN231">
        <v>9</v>
      </c>
      <c r="DO231" t="s">
        <v>793</v>
      </c>
      <c r="DQ231" t="s">
        <v>927</v>
      </c>
      <c r="DR231">
        <v>14</v>
      </c>
      <c r="DS231">
        <v>0</v>
      </c>
      <c r="DU231">
        <v>14</v>
      </c>
      <c r="DV231">
        <v>0</v>
      </c>
      <c r="DX231">
        <v>14</v>
      </c>
      <c r="DY231">
        <v>0</v>
      </c>
      <c r="DZ231" t="s">
        <v>246</v>
      </c>
      <c r="EA231" t="s">
        <v>929</v>
      </c>
    </row>
    <row r="232" spans="1:131" x14ac:dyDescent="0.4">
      <c r="A232" s="34">
        <v>43067.305104166669</v>
      </c>
      <c r="B232" s="25">
        <v>42935.374305555553</v>
      </c>
      <c r="D232" s="34"/>
      <c r="E232" s="34" t="s">
        <v>193</v>
      </c>
      <c r="F232" s="34" t="s">
        <v>191</v>
      </c>
      <c r="G232" s="34" t="s">
        <v>100</v>
      </c>
      <c r="H232" t="s">
        <v>279</v>
      </c>
      <c r="I232" t="s">
        <v>243</v>
      </c>
      <c r="J232" t="s">
        <v>712</v>
      </c>
      <c r="K232" t="s">
        <v>729</v>
      </c>
      <c r="L232" t="s">
        <v>711</v>
      </c>
      <c r="M232" s="30">
        <v>2.0499999999999998</v>
      </c>
      <c r="N232">
        <v>7</v>
      </c>
      <c r="P232" s="24" t="str">
        <f>IFERROR(MID(RADataTable[[#This Row],[RATemplate]],1,LEN(RADataTable[[#This Row],[RATemplate]])-8),"RA") &amp; " " &amp; RADataTable[[#This Row],[prop_id0]] &amp; " " &amp; RADataTable[[#This Row],[last0]]</f>
        <v>RA 1750127 Nagarajan</v>
      </c>
      <c r="T232">
        <v>4</v>
      </c>
      <c r="U232">
        <v>4</v>
      </c>
      <c r="V232" s="34">
        <v>43032.519444444442</v>
      </c>
      <c r="W232">
        <v>1</v>
      </c>
      <c r="X232" s="15" t="str">
        <f>HYPERLINK("https://www.ejacket.nsf.gov/ej/showProposal.do?Continue=Y&amp;ID="&amp;RADataTable[[#This Row],[prop_id0]],"eJ")</f>
        <v>eJ</v>
      </c>
      <c r="Y232" s="15" t="str">
        <f>HYPERLINK("mailto:"&amp;RADataTable[[#This Row],[email]]&amp;"&amp;subject=Your NSF Proposal:  "&amp;RADataTable[[#This Row],[Div]]&amp;" "&amp;RADataTable[[#This Row],[prop_id0]], RADataTable[[#This Row],[email]])</f>
        <v>viswa@umich.edu</v>
      </c>
      <c r="Z232" s="15" t="str">
        <f>HYPERLINK("mailto:"&amp;RADataTable[[#This Row],[allPIemail]]&amp;"&amp;subject=NSF Proposal:  "&amp;RADataTable[[#This Row],[Div]]&amp;" "&amp;RADataTable[[#This Row],[prop_id0]], "PIs@")</f>
        <v>PIs@</v>
      </c>
      <c r="AA232" t="s">
        <v>245</v>
      </c>
      <c r="AB232" t="s">
        <v>673</v>
      </c>
      <c r="AC232" s="30" t="s">
        <v>788</v>
      </c>
      <c r="AD232" t="s">
        <v>789</v>
      </c>
      <c r="AE232" t="s">
        <v>790</v>
      </c>
      <c r="AF232" s="36">
        <v>524840</v>
      </c>
      <c r="AG232" s="36">
        <v>524840</v>
      </c>
      <c r="AH232" s="24"/>
      <c r="AJ232" s="34"/>
      <c r="AK232" t="s">
        <v>923</v>
      </c>
      <c r="AL232" t="s">
        <v>232</v>
      </c>
      <c r="AM232" s="34" t="s">
        <v>925</v>
      </c>
      <c r="AN232" s="34">
        <v>43032</v>
      </c>
      <c r="AO232" s="24">
        <v>5</v>
      </c>
      <c r="AP232" t="s">
        <v>955</v>
      </c>
      <c r="AR232" s="35"/>
      <c r="AS232"/>
      <c r="AT232" s="34"/>
      <c r="AV232" s="34"/>
      <c r="AX232" s="34"/>
      <c r="AY232"/>
      <c r="BA232" s="34"/>
      <c r="BB232"/>
      <c r="BC232" t="s">
        <v>794</v>
      </c>
      <c r="BD232" s="36">
        <v>524840</v>
      </c>
      <c r="BE232" s="36">
        <v>524840</v>
      </c>
      <c r="BF232">
        <v>0</v>
      </c>
      <c r="BG232" s="34">
        <v>43221</v>
      </c>
      <c r="BH232">
        <v>60</v>
      </c>
      <c r="BI232" t="s">
        <v>283</v>
      </c>
      <c r="BJ232" t="s">
        <v>928</v>
      </c>
      <c r="BK232" t="s">
        <v>934</v>
      </c>
      <c r="BL232" t="s">
        <v>194</v>
      </c>
      <c r="BM232" s="8" t="s">
        <v>192</v>
      </c>
      <c r="BN232" t="s">
        <v>189</v>
      </c>
      <c r="BO232" t="s">
        <v>190</v>
      </c>
      <c r="BP232" s="35" t="s">
        <v>288</v>
      </c>
      <c r="BQ232"/>
      <c r="BU232" s="35"/>
      <c r="BV232" s="35"/>
      <c r="BX232"/>
      <c r="CA232" s="35"/>
      <c r="CB232" s="35"/>
      <c r="CC232"/>
      <c r="CG232" s="35"/>
      <c r="CH232" s="35"/>
      <c r="CK232"/>
      <c r="CM232" s="35"/>
      <c r="CN232" s="35"/>
      <c r="CQ232"/>
      <c r="CS232" s="35"/>
      <c r="CT232" s="35"/>
      <c r="CX232"/>
      <c r="CZ232" s="35"/>
      <c r="DD232" s="34"/>
      <c r="DG232" t="s">
        <v>792</v>
      </c>
      <c r="DH232" t="s">
        <v>956</v>
      </c>
      <c r="DI232" t="s">
        <v>233</v>
      </c>
      <c r="DL232" t="s">
        <v>673</v>
      </c>
      <c r="DM232">
        <v>5</v>
      </c>
      <c r="DN232">
        <v>9</v>
      </c>
      <c r="DO232" t="s">
        <v>793</v>
      </c>
      <c r="DQ232" t="s">
        <v>927</v>
      </c>
      <c r="DR232">
        <v>14</v>
      </c>
      <c r="DS232">
        <v>0</v>
      </c>
      <c r="DU232">
        <v>14</v>
      </c>
      <c r="DV232">
        <v>0</v>
      </c>
      <c r="DX232">
        <v>14</v>
      </c>
      <c r="DY232">
        <v>0</v>
      </c>
      <c r="DZ232" t="s">
        <v>246</v>
      </c>
      <c r="EA232" t="s">
        <v>929</v>
      </c>
    </row>
    <row r="233" spans="1:131" x14ac:dyDescent="0.4">
      <c r="A233" s="34">
        <v>43067.305104166669</v>
      </c>
      <c r="B233" s="25">
        <v>42935.374305555553</v>
      </c>
      <c r="D233" s="34"/>
      <c r="E233" s="34" t="s">
        <v>193</v>
      </c>
      <c r="F233" s="34" t="s">
        <v>191</v>
      </c>
      <c r="G233" s="34" t="s">
        <v>100</v>
      </c>
      <c r="H233" t="s">
        <v>279</v>
      </c>
      <c r="I233" t="s">
        <v>243</v>
      </c>
      <c r="J233" t="s">
        <v>712</v>
      </c>
      <c r="K233" t="s">
        <v>729</v>
      </c>
      <c r="L233" t="s">
        <v>711</v>
      </c>
      <c r="M233" s="30">
        <v>2.0499999999999998</v>
      </c>
      <c r="N233">
        <v>7</v>
      </c>
      <c r="P233" s="24" t="str">
        <f>IFERROR(MID(RADataTable[[#This Row],[RATemplate]],1,LEN(RADataTable[[#This Row],[RATemplate]])-8),"RA") &amp; " " &amp; RADataTable[[#This Row],[prop_id0]] &amp; " " &amp; RADataTable[[#This Row],[last0]]</f>
        <v>RA 1750127 Nagarajan</v>
      </c>
      <c r="T233">
        <v>4</v>
      </c>
      <c r="U233">
        <v>4</v>
      </c>
      <c r="V233" s="34">
        <v>43032.519444444442</v>
      </c>
      <c r="W233">
        <v>1</v>
      </c>
      <c r="X233" s="15" t="str">
        <f>HYPERLINK("https://www.ejacket.nsf.gov/ej/showProposal.do?Continue=Y&amp;ID="&amp;RADataTable[[#This Row],[prop_id0]],"eJ")</f>
        <v>eJ</v>
      </c>
      <c r="Y233" s="15" t="str">
        <f>HYPERLINK("mailto:"&amp;RADataTable[[#This Row],[email]]&amp;"&amp;subject=Your NSF Proposal:  "&amp;RADataTable[[#This Row],[Div]]&amp;" "&amp;RADataTable[[#This Row],[prop_id0]], RADataTable[[#This Row],[email]])</f>
        <v>viswa@umich.edu</v>
      </c>
      <c r="Z233" s="15" t="str">
        <f>HYPERLINK("mailto:"&amp;RADataTable[[#This Row],[allPIemail]]&amp;"&amp;subject=NSF Proposal:  "&amp;RADataTable[[#This Row],[Div]]&amp;" "&amp;RADataTable[[#This Row],[prop_id0]], "PIs@")</f>
        <v>PIs@</v>
      </c>
      <c r="AA233" t="s">
        <v>245</v>
      </c>
      <c r="AB233" t="s">
        <v>673</v>
      </c>
      <c r="AC233" s="30" t="s">
        <v>788</v>
      </c>
      <c r="AD233" t="s">
        <v>789</v>
      </c>
      <c r="AE233" t="s">
        <v>790</v>
      </c>
      <c r="AF233" s="36">
        <v>524840</v>
      </c>
      <c r="AG233" s="36">
        <v>524840</v>
      </c>
      <c r="AH233" s="24"/>
      <c r="AJ233" s="34"/>
      <c r="AK233" t="s">
        <v>923</v>
      </c>
      <c r="AL233" t="s">
        <v>232</v>
      </c>
      <c r="AM233" s="34" t="s">
        <v>925</v>
      </c>
      <c r="AN233" s="34">
        <v>43032</v>
      </c>
      <c r="AO233" s="24">
        <v>5</v>
      </c>
      <c r="AP233" t="s">
        <v>955</v>
      </c>
      <c r="AR233" s="35"/>
      <c r="AS233"/>
      <c r="AT233" s="34"/>
      <c r="AV233" s="34"/>
      <c r="AX233" s="34"/>
      <c r="AY233"/>
      <c r="BA233" s="34"/>
      <c r="BB233"/>
      <c r="BC233" t="s">
        <v>794</v>
      </c>
      <c r="BD233" s="36">
        <v>524840</v>
      </c>
      <c r="BE233" s="36">
        <v>524840</v>
      </c>
      <c r="BF233">
        <v>0</v>
      </c>
      <c r="BG233" s="34">
        <v>43221</v>
      </c>
      <c r="BH233">
        <v>60</v>
      </c>
      <c r="BI233" t="s">
        <v>283</v>
      </c>
      <c r="BJ233" t="s">
        <v>928</v>
      </c>
      <c r="BK233" t="s">
        <v>934</v>
      </c>
      <c r="BL233" t="s">
        <v>194</v>
      </c>
      <c r="BM233" s="8" t="s">
        <v>192</v>
      </c>
      <c r="BN233" t="s">
        <v>189</v>
      </c>
      <c r="BO233" t="s">
        <v>190</v>
      </c>
      <c r="BP233" s="35" t="s">
        <v>288</v>
      </c>
      <c r="BQ233"/>
      <c r="BU233" s="35"/>
      <c r="BV233" s="35"/>
      <c r="BX233"/>
      <c r="CA233" s="35"/>
      <c r="CB233" s="35"/>
      <c r="CC233"/>
      <c r="CG233" s="35"/>
      <c r="CH233" s="35"/>
      <c r="CK233"/>
      <c r="CM233" s="35"/>
      <c r="CN233" s="35"/>
      <c r="CQ233"/>
      <c r="CS233" s="35"/>
      <c r="CT233" s="35"/>
      <c r="CX233"/>
      <c r="CZ233" s="35"/>
      <c r="DD233" s="34"/>
      <c r="DG233" t="s">
        <v>792</v>
      </c>
      <c r="DH233" t="s">
        <v>956</v>
      </c>
      <c r="DI233" t="s">
        <v>233</v>
      </c>
      <c r="DL233" t="s">
        <v>673</v>
      </c>
      <c r="DM233">
        <v>5</v>
      </c>
      <c r="DN233">
        <v>9</v>
      </c>
      <c r="DO233" t="s">
        <v>793</v>
      </c>
      <c r="DQ233" t="s">
        <v>927</v>
      </c>
      <c r="DR233">
        <v>14</v>
      </c>
      <c r="DS233">
        <v>0</v>
      </c>
      <c r="DU233">
        <v>14</v>
      </c>
      <c r="DV233">
        <v>0</v>
      </c>
      <c r="DX233">
        <v>14</v>
      </c>
      <c r="DY233">
        <v>0</v>
      </c>
      <c r="DZ233" t="s">
        <v>246</v>
      </c>
      <c r="EA233" t="s">
        <v>929</v>
      </c>
    </row>
    <row r="234" spans="1:131" x14ac:dyDescent="0.4">
      <c r="A234" s="34">
        <v>43067.305104166669</v>
      </c>
      <c r="B234" s="25">
        <v>42935.374305555553</v>
      </c>
      <c r="D234" s="34"/>
      <c r="E234" s="34" t="s">
        <v>193</v>
      </c>
      <c r="F234" s="34" t="s">
        <v>191</v>
      </c>
      <c r="G234" s="34" t="s">
        <v>100</v>
      </c>
      <c r="H234" t="s">
        <v>279</v>
      </c>
      <c r="I234" t="s">
        <v>243</v>
      </c>
      <c r="J234" t="s">
        <v>712</v>
      </c>
      <c r="K234" t="s">
        <v>729</v>
      </c>
      <c r="L234" t="s">
        <v>711</v>
      </c>
      <c r="M234" s="30">
        <v>2.0499999999999998</v>
      </c>
      <c r="N234">
        <v>7</v>
      </c>
      <c r="P234" s="24" t="str">
        <f>IFERROR(MID(RADataTable[[#This Row],[RATemplate]],1,LEN(RADataTable[[#This Row],[RATemplate]])-8),"RA") &amp; " " &amp; RADataTable[[#This Row],[prop_id0]] &amp; " " &amp; RADataTable[[#This Row],[last0]]</f>
        <v>RA 1750127 Nagarajan</v>
      </c>
      <c r="T234">
        <v>4</v>
      </c>
      <c r="U234">
        <v>4</v>
      </c>
      <c r="V234" s="34">
        <v>43032.519444444442</v>
      </c>
      <c r="W234">
        <v>1</v>
      </c>
      <c r="X234" s="15" t="str">
        <f>HYPERLINK("https://www.ejacket.nsf.gov/ej/showProposal.do?Continue=Y&amp;ID="&amp;RADataTable[[#This Row],[prop_id0]],"eJ")</f>
        <v>eJ</v>
      </c>
      <c r="Y234" s="15" t="str">
        <f>HYPERLINK("mailto:"&amp;RADataTable[[#This Row],[email]]&amp;"&amp;subject=Your NSF Proposal:  "&amp;RADataTable[[#This Row],[Div]]&amp;" "&amp;RADataTable[[#This Row],[prop_id0]], RADataTable[[#This Row],[email]])</f>
        <v>viswa@umich.edu</v>
      </c>
      <c r="Z234" s="15" t="str">
        <f>HYPERLINK("mailto:"&amp;RADataTable[[#This Row],[allPIemail]]&amp;"&amp;subject=NSF Proposal:  "&amp;RADataTable[[#This Row],[Div]]&amp;" "&amp;RADataTable[[#This Row],[prop_id0]], "PIs@")</f>
        <v>PIs@</v>
      </c>
      <c r="AA234" t="s">
        <v>245</v>
      </c>
      <c r="AB234" t="s">
        <v>673</v>
      </c>
      <c r="AC234" s="30" t="s">
        <v>788</v>
      </c>
      <c r="AD234" t="s">
        <v>789</v>
      </c>
      <c r="AE234" t="s">
        <v>790</v>
      </c>
      <c r="AF234" s="36">
        <v>524840</v>
      </c>
      <c r="AG234" s="36">
        <v>524840</v>
      </c>
      <c r="AH234" s="24"/>
      <c r="AJ234" s="34"/>
      <c r="AK234" t="s">
        <v>923</v>
      </c>
      <c r="AL234" t="s">
        <v>232</v>
      </c>
      <c r="AM234" s="34" t="s">
        <v>925</v>
      </c>
      <c r="AN234" s="34">
        <v>43032</v>
      </c>
      <c r="AO234" s="24">
        <v>5</v>
      </c>
      <c r="AP234" t="s">
        <v>955</v>
      </c>
      <c r="AR234" s="35"/>
      <c r="AS234"/>
      <c r="AT234" s="34"/>
      <c r="AV234" s="34"/>
      <c r="AX234" s="34"/>
      <c r="AY234"/>
      <c r="BA234" s="34"/>
      <c r="BB234"/>
      <c r="BC234" t="s">
        <v>794</v>
      </c>
      <c r="BD234" s="36">
        <v>524840</v>
      </c>
      <c r="BE234" s="36">
        <v>524840</v>
      </c>
      <c r="BF234">
        <v>0</v>
      </c>
      <c r="BG234" s="34">
        <v>43221</v>
      </c>
      <c r="BH234">
        <v>60</v>
      </c>
      <c r="BI234" t="s">
        <v>283</v>
      </c>
      <c r="BJ234" t="s">
        <v>928</v>
      </c>
      <c r="BK234" t="s">
        <v>934</v>
      </c>
      <c r="BL234" t="s">
        <v>194</v>
      </c>
      <c r="BM234" s="8" t="s">
        <v>192</v>
      </c>
      <c r="BN234" t="s">
        <v>189</v>
      </c>
      <c r="BO234" t="s">
        <v>190</v>
      </c>
      <c r="BP234" s="35" t="s">
        <v>288</v>
      </c>
      <c r="BQ234"/>
      <c r="BU234" s="35"/>
      <c r="BV234" s="35"/>
      <c r="BX234"/>
      <c r="CA234" s="35"/>
      <c r="CB234" s="35"/>
      <c r="CC234"/>
      <c r="CG234" s="35"/>
      <c r="CH234" s="35"/>
      <c r="CK234"/>
      <c r="CM234" s="35"/>
      <c r="CN234" s="35"/>
      <c r="CQ234"/>
      <c r="CS234" s="35"/>
      <c r="CT234" s="35"/>
      <c r="CX234"/>
      <c r="CZ234" s="35"/>
      <c r="DD234" s="34"/>
      <c r="DG234" t="s">
        <v>792</v>
      </c>
      <c r="DH234" t="s">
        <v>956</v>
      </c>
      <c r="DI234" t="s">
        <v>233</v>
      </c>
      <c r="DL234" t="s">
        <v>673</v>
      </c>
      <c r="DM234">
        <v>5</v>
      </c>
      <c r="DN234">
        <v>9</v>
      </c>
      <c r="DO234" t="s">
        <v>793</v>
      </c>
      <c r="DQ234" t="s">
        <v>927</v>
      </c>
      <c r="DR234">
        <v>14</v>
      </c>
      <c r="DS234">
        <v>0</v>
      </c>
      <c r="DU234">
        <v>14</v>
      </c>
      <c r="DV234">
        <v>0</v>
      </c>
      <c r="DX234">
        <v>14</v>
      </c>
      <c r="DY234">
        <v>0</v>
      </c>
      <c r="DZ234" t="s">
        <v>246</v>
      </c>
      <c r="EA234" t="s">
        <v>929</v>
      </c>
    </row>
    <row r="235" spans="1:131" x14ac:dyDescent="0.4">
      <c r="A235" s="34">
        <v>43067.305104166669</v>
      </c>
      <c r="B235" s="25">
        <v>42935.374305555553</v>
      </c>
      <c r="D235" s="34"/>
      <c r="E235" s="34" t="s">
        <v>193</v>
      </c>
      <c r="F235" s="34" t="s">
        <v>191</v>
      </c>
      <c r="G235" s="34" t="s">
        <v>100</v>
      </c>
      <c r="H235" t="s">
        <v>279</v>
      </c>
      <c r="I235" t="s">
        <v>243</v>
      </c>
      <c r="J235" t="s">
        <v>712</v>
      </c>
      <c r="K235" t="s">
        <v>729</v>
      </c>
      <c r="L235" t="s">
        <v>711</v>
      </c>
      <c r="M235" s="30">
        <v>2.0499999999999998</v>
      </c>
      <c r="N235">
        <v>7</v>
      </c>
      <c r="P235" s="24" t="str">
        <f>IFERROR(MID(RADataTable[[#This Row],[RATemplate]],1,LEN(RADataTable[[#This Row],[RATemplate]])-8),"RA") &amp; " " &amp; RADataTable[[#This Row],[prop_id0]] &amp; " " &amp; RADataTable[[#This Row],[last0]]</f>
        <v>RA 1750127 Nagarajan</v>
      </c>
      <c r="T235">
        <v>4</v>
      </c>
      <c r="U235">
        <v>4</v>
      </c>
      <c r="V235" s="34">
        <v>43032.519444444442</v>
      </c>
      <c r="W235">
        <v>1</v>
      </c>
      <c r="X235" s="15" t="str">
        <f>HYPERLINK("https://www.ejacket.nsf.gov/ej/showProposal.do?Continue=Y&amp;ID="&amp;RADataTable[[#This Row],[prop_id0]],"eJ")</f>
        <v>eJ</v>
      </c>
      <c r="Y235" s="15" t="str">
        <f>HYPERLINK("mailto:"&amp;RADataTable[[#This Row],[email]]&amp;"&amp;subject=Your NSF Proposal:  "&amp;RADataTable[[#This Row],[Div]]&amp;" "&amp;RADataTable[[#This Row],[prop_id0]], RADataTable[[#This Row],[email]])</f>
        <v>viswa@umich.edu</v>
      </c>
      <c r="Z235" s="15" t="str">
        <f>HYPERLINK("mailto:"&amp;RADataTable[[#This Row],[allPIemail]]&amp;"&amp;subject=NSF Proposal:  "&amp;RADataTable[[#This Row],[Div]]&amp;" "&amp;RADataTable[[#This Row],[prop_id0]], "PIs@")</f>
        <v>PIs@</v>
      </c>
      <c r="AA235" t="s">
        <v>245</v>
      </c>
      <c r="AB235" t="s">
        <v>673</v>
      </c>
      <c r="AC235" s="30" t="s">
        <v>788</v>
      </c>
      <c r="AD235" t="s">
        <v>789</v>
      </c>
      <c r="AE235" t="s">
        <v>790</v>
      </c>
      <c r="AF235" s="36">
        <v>524840</v>
      </c>
      <c r="AG235" s="36">
        <v>524840</v>
      </c>
      <c r="AH235" s="24"/>
      <c r="AJ235" s="34"/>
      <c r="AK235" t="s">
        <v>923</v>
      </c>
      <c r="AL235" t="s">
        <v>232</v>
      </c>
      <c r="AM235" s="34" t="s">
        <v>925</v>
      </c>
      <c r="AN235" s="34">
        <v>43032</v>
      </c>
      <c r="AO235" s="24">
        <v>5</v>
      </c>
      <c r="AP235" t="s">
        <v>955</v>
      </c>
      <c r="AR235" s="35"/>
      <c r="AS235"/>
      <c r="AT235" s="34"/>
      <c r="AV235" s="34"/>
      <c r="AX235" s="34"/>
      <c r="AY235"/>
      <c r="BA235" s="34"/>
      <c r="BB235"/>
      <c r="BC235" t="s">
        <v>794</v>
      </c>
      <c r="BD235" s="36">
        <v>524840</v>
      </c>
      <c r="BE235" s="36">
        <v>524840</v>
      </c>
      <c r="BF235">
        <v>0</v>
      </c>
      <c r="BG235" s="34">
        <v>43221</v>
      </c>
      <c r="BH235">
        <v>60</v>
      </c>
      <c r="BI235" t="s">
        <v>283</v>
      </c>
      <c r="BJ235" t="s">
        <v>928</v>
      </c>
      <c r="BK235" t="s">
        <v>934</v>
      </c>
      <c r="BL235" t="s">
        <v>194</v>
      </c>
      <c r="BM235" s="8" t="s">
        <v>192</v>
      </c>
      <c r="BN235" t="s">
        <v>189</v>
      </c>
      <c r="BO235" t="s">
        <v>190</v>
      </c>
      <c r="BP235" s="35" t="s">
        <v>288</v>
      </c>
      <c r="BQ235"/>
      <c r="BU235" s="35"/>
      <c r="BV235" s="35"/>
      <c r="BX235"/>
      <c r="CA235" s="35"/>
      <c r="CB235" s="35"/>
      <c r="CC235"/>
      <c r="CG235" s="35"/>
      <c r="CH235" s="35"/>
      <c r="CK235"/>
      <c r="CM235" s="35"/>
      <c r="CN235" s="35"/>
      <c r="CQ235"/>
      <c r="CS235" s="35"/>
      <c r="CT235" s="35"/>
      <c r="CX235"/>
      <c r="CZ235" s="35"/>
      <c r="DD235" s="34"/>
      <c r="DG235" t="s">
        <v>792</v>
      </c>
      <c r="DH235" t="s">
        <v>956</v>
      </c>
      <c r="DI235" t="s">
        <v>233</v>
      </c>
      <c r="DL235" t="s">
        <v>673</v>
      </c>
      <c r="DM235">
        <v>5</v>
      </c>
      <c r="DN235">
        <v>9</v>
      </c>
      <c r="DO235" t="s">
        <v>793</v>
      </c>
      <c r="DQ235" t="s">
        <v>927</v>
      </c>
      <c r="DR235">
        <v>14</v>
      </c>
      <c r="DS235">
        <v>0</v>
      </c>
      <c r="DU235">
        <v>14</v>
      </c>
      <c r="DV235">
        <v>0</v>
      </c>
      <c r="DX235">
        <v>14</v>
      </c>
      <c r="DY235">
        <v>0</v>
      </c>
      <c r="DZ235" t="s">
        <v>246</v>
      </c>
      <c r="EA235" t="s">
        <v>929</v>
      </c>
    </row>
    <row r="236" spans="1:131" x14ac:dyDescent="0.4">
      <c r="A236" s="34">
        <v>43067.305104166669</v>
      </c>
      <c r="B236" s="25">
        <v>42935.374305555553</v>
      </c>
      <c r="D236" s="34"/>
      <c r="E236" s="34" t="s">
        <v>193</v>
      </c>
      <c r="F236" s="34" t="s">
        <v>191</v>
      </c>
      <c r="G236" s="34" t="s">
        <v>100</v>
      </c>
      <c r="H236" t="s">
        <v>279</v>
      </c>
      <c r="I236" t="s">
        <v>243</v>
      </c>
      <c r="J236" t="s">
        <v>712</v>
      </c>
      <c r="K236" t="s">
        <v>729</v>
      </c>
      <c r="L236" t="s">
        <v>711</v>
      </c>
      <c r="M236" s="30">
        <v>2.0499999999999998</v>
      </c>
      <c r="N236">
        <v>7</v>
      </c>
      <c r="P236" s="24" t="str">
        <f>IFERROR(MID(RADataTable[[#This Row],[RATemplate]],1,LEN(RADataTable[[#This Row],[RATemplate]])-8),"RA") &amp; " " &amp; RADataTable[[#This Row],[prop_id0]] &amp; " " &amp; RADataTable[[#This Row],[last0]]</f>
        <v>RA 1750127 Nagarajan</v>
      </c>
      <c r="T236">
        <v>4</v>
      </c>
      <c r="U236">
        <v>4</v>
      </c>
      <c r="V236" s="34">
        <v>43032.519444444442</v>
      </c>
      <c r="W236">
        <v>1</v>
      </c>
      <c r="X236" s="15" t="str">
        <f>HYPERLINK("https://www.ejacket.nsf.gov/ej/showProposal.do?Continue=Y&amp;ID="&amp;RADataTable[[#This Row],[prop_id0]],"eJ")</f>
        <v>eJ</v>
      </c>
      <c r="Y236" s="15" t="str">
        <f>HYPERLINK("mailto:"&amp;RADataTable[[#This Row],[email]]&amp;"&amp;subject=Your NSF Proposal:  "&amp;RADataTable[[#This Row],[Div]]&amp;" "&amp;RADataTable[[#This Row],[prop_id0]], RADataTable[[#This Row],[email]])</f>
        <v>viswa@umich.edu</v>
      </c>
      <c r="Z236" s="15" t="str">
        <f>HYPERLINK("mailto:"&amp;RADataTable[[#This Row],[allPIemail]]&amp;"&amp;subject=NSF Proposal:  "&amp;RADataTable[[#This Row],[Div]]&amp;" "&amp;RADataTable[[#This Row],[prop_id0]], "PIs@")</f>
        <v>PIs@</v>
      </c>
      <c r="AA236" t="s">
        <v>245</v>
      </c>
      <c r="AB236" t="s">
        <v>673</v>
      </c>
      <c r="AC236" s="30" t="s">
        <v>788</v>
      </c>
      <c r="AD236" t="s">
        <v>789</v>
      </c>
      <c r="AE236" t="s">
        <v>790</v>
      </c>
      <c r="AF236" s="36">
        <v>524840</v>
      </c>
      <c r="AG236" s="36">
        <v>524840</v>
      </c>
      <c r="AH236" s="24"/>
      <c r="AJ236" s="34"/>
      <c r="AK236" t="s">
        <v>923</v>
      </c>
      <c r="AL236" t="s">
        <v>232</v>
      </c>
      <c r="AM236" s="34" t="s">
        <v>925</v>
      </c>
      <c r="AN236" s="34">
        <v>43032</v>
      </c>
      <c r="AO236" s="24">
        <v>5</v>
      </c>
      <c r="AP236" t="s">
        <v>955</v>
      </c>
      <c r="AR236" s="35"/>
      <c r="AS236"/>
      <c r="AT236" s="34"/>
      <c r="AV236" s="34"/>
      <c r="AX236" s="34"/>
      <c r="AY236"/>
      <c r="BA236" s="34"/>
      <c r="BB236"/>
      <c r="BC236" t="s">
        <v>794</v>
      </c>
      <c r="BD236" s="36">
        <v>524840</v>
      </c>
      <c r="BE236" s="36">
        <v>524840</v>
      </c>
      <c r="BF236">
        <v>0</v>
      </c>
      <c r="BG236" s="34">
        <v>43221</v>
      </c>
      <c r="BH236">
        <v>60</v>
      </c>
      <c r="BI236" t="s">
        <v>283</v>
      </c>
      <c r="BJ236" t="s">
        <v>928</v>
      </c>
      <c r="BK236" t="s">
        <v>934</v>
      </c>
      <c r="BL236" t="s">
        <v>194</v>
      </c>
      <c r="BM236" s="8" t="s">
        <v>192</v>
      </c>
      <c r="BN236" t="s">
        <v>189</v>
      </c>
      <c r="BO236" t="s">
        <v>190</v>
      </c>
      <c r="BP236" s="35" t="s">
        <v>288</v>
      </c>
      <c r="BQ236"/>
      <c r="BU236" s="35"/>
      <c r="BV236" s="35"/>
      <c r="BX236"/>
      <c r="CA236" s="35"/>
      <c r="CB236" s="35"/>
      <c r="CC236"/>
      <c r="CG236" s="35"/>
      <c r="CH236" s="35"/>
      <c r="CK236"/>
      <c r="CM236" s="35"/>
      <c r="CN236" s="35"/>
      <c r="CQ236"/>
      <c r="CS236" s="35"/>
      <c r="CT236" s="35"/>
      <c r="CX236"/>
      <c r="CZ236" s="35"/>
      <c r="DD236" s="34"/>
      <c r="DG236" t="s">
        <v>792</v>
      </c>
      <c r="DH236" t="s">
        <v>956</v>
      </c>
      <c r="DI236" t="s">
        <v>233</v>
      </c>
      <c r="DL236" t="s">
        <v>673</v>
      </c>
      <c r="DM236">
        <v>5</v>
      </c>
      <c r="DN236">
        <v>9</v>
      </c>
      <c r="DO236" t="s">
        <v>793</v>
      </c>
      <c r="DQ236" t="s">
        <v>927</v>
      </c>
      <c r="DR236">
        <v>14</v>
      </c>
      <c r="DS236">
        <v>0</v>
      </c>
      <c r="DU236">
        <v>14</v>
      </c>
      <c r="DV236">
        <v>0</v>
      </c>
      <c r="DX236">
        <v>14</v>
      </c>
      <c r="DY236">
        <v>0</v>
      </c>
      <c r="DZ236" t="s">
        <v>246</v>
      </c>
      <c r="EA236" t="s">
        <v>929</v>
      </c>
    </row>
    <row r="237" spans="1:131" x14ac:dyDescent="0.4">
      <c r="A237" s="34">
        <v>43067.305104166669</v>
      </c>
      <c r="B237" s="25">
        <v>42935.374305555553</v>
      </c>
      <c r="D237" s="34"/>
      <c r="E237" s="34" t="s">
        <v>193</v>
      </c>
      <c r="F237" s="34" t="s">
        <v>191</v>
      </c>
      <c r="G237" s="34" t="s">
        <v>100</v>
      </c>
      <c r="H237" t="s">
        <v>279</v>
      </c>
      <c r="I237" t="s">
        <v>243</v>
      </c>
      <c r="J237" t="s">
        <v>712</v>
      </c>
      <c r="K237" t="s">
        <v>729</v>
      </c>
      <c r="L237" t="s">
        <v>711</v>
      </c>
      <c r="M237" s="30">
        <v>2.0499999999999998</v>
      </c>
      <c r="N237">
        <v>7</v>
      </c>
      <c r="P237" s="24" t="str">
        <f>IFERROR(MID(RADataTable[[#This Row],[RATemplate]],1,LEN(RADataTable[[#This Row],[RATemplate]])-8),"RA") &amp; " " &amp; RADataTable[[#This Row],[prop_id0]] &amp; " " &amp; RADataTable[[#This Row],[last0]]</f>
        <v>RA 1750127 Nagarajan</v>
      </c>
      <c r="T237">
        <v>4</v>
      </c>
      <c r="U237">
        <v>4</v>
      </c>
      <c r="V237" s="34">
        <v>43032.519444444442</v>
      </c>
      <c r="W237">
        <v>1</v>
      </c>
      <c r="X237" s="15" t="str">
        <f>HYPERLINK("https://www.ejacket.nsf.gov/ej/showProposal.do?Continue=Y&amp;ID="&amp;RADataTable[[#This Row],[prop_id0]],"eJ")</f>
        <v>eJ</v>
      </c>
      <c r="Y237" s="15" t="str">
        <f>HYPERLINK("mailto:"&amp;RADataTable[[#This Row],[email]]&amp;"&amp;subject=Your NSF Proposal:  "&amp;RADataTable[[#This Row],[Div]]&amp;" "&amp;RADataTable[[#This Row],[prop_id0]], RADataTable[[#This Row],[email]])</f>
        <v>viswa@umich.edu</v>
      </c>
      <c r="Z237" s="15" t="str">
        <f>HYPERLINK("mailto:"&amp;RADataTable[[#This Row],[allPIemail]]&amp;"&amp;subject=NSF Proposal:  "&amp;RADataTable[[#This Row],[Div]]&amp;" "&amp;RADataTable[[#This Row],[prop_id0]], "PIs@")</f>
        <v>PIs@</v>
      </c>
      <c r="AA237" t="s">
        <v>245</v>
      </c>
      <c r="AB237" t="s">
        <v>673</v>
      </c>
      <c r="AC237" s="30" t="s">
        <v>788</v>
      </c>
      <c r="AD237" t="s">
        <v>789</v>
      </c>
      <c r="AE237" t="s">
        <v>790</v>
      </c>
      <c r="AF237" s="36">
        <v>524840</v>
      </c>
      <c r="AG237" s="36">
        <v>524840</v>
      </c>
      <c r="AH237" s="24"/>
      <c r="AJ237" s="34"/>
      <c r="AK237" t="s">
        <v>923</v>
      </c>
      <c r="AL237" t="s">
        <v>232</v>
      </c>
      <c r="AM237" s="34" t="s">
        <v>925</v>
      </c>
      <c r="AN237" s="34">
        <v>43032</v>
      </c>
      <c r="AO237" s="24">
        <v>5</v>
      </c>
      <c r="AP237" t="s">
        <v>955</v>
      </c>
      <c r="AR237" s="35"/>
      <c r="AS237"/>
      <c r="AT237" s="34"/>
      <c r="AV237" s="34"/>
      <c r="AX237" s="34"/>
      <c r="AY237"/>
      <c r="BA237" s="34"/>
      <c r="BB237"/>
      <c r="BC237" t="s">
        <v>794</v>
      </c>
      <c r="BD237" s="36">
        <v>524840</v>
      </c>
      <c r="BE237" s="36">
        <v>524840</v>
      </c>
      <c r="BF237">
        <v>0</v>
      </c>
      <c r="BG237" s="34">
        <v>43221</v>
      </c>
      <c r="BH237">
        <v>60</v>
      </c>
      <c r="BI237" t="s">
        <v>283</v>
      </c>
      <c r="BJ237" t="s">
        <v>928</v>
      </c>
      <c r="BK237" t="s">
        <v>934</v>
      </c>
      <c r="BL237" t="s">
        <v>194</v>
      </c>
      <c r="BM237" s="8" t="s">
        <v>192</v>
      </c>
      <c r="BN237" t="s">
        <v>189</v>
      </c>
      <c r="BO237" t="s">
        <v>190</v>
      </c>
      <c r="BP237" s="35" t="s">
        <v>288</v>
      </c>
      <c r="BQ237"/>
      <c r="BU237" s="35"/>
      <c r="BV237" s="35"/>
      <c r="BX237"/>
      <c r="CA237" s="35"/>
      <c r="CB237" s="35"/>
      <c r="CC237"/>
      <c r="CG237" s="35"/>
      <c r="CH237" s="35"/>
      <c r="CK237"/>
      <c r="CM237" s="35"/>
      <c r="CN237" s="35"/>
      <c r="CQ237"/>
      <c r="CS237" s="35"/>
      <c r="CT237" s="35"/>
      <c r="CX237"/>
      <c r="CZ237" s="35"/>
      <c r="DD237" s="34"/>
      <c r="DG237" t="s">
        <v>792</v>
      </c>
      <c r="DH237" t="s">
        <v>956</v>
      </c>
      <c r="DI237" t="s">
        <v>233</v>
      </c>
      <c r="DL237" t="s">
        <v>673</v>
      </c>
      <c r="DM237">
        <v>5</v>
      </c>
      <c r="DN237">
        <v>9</v>
      </c>
      <c r="DO237" t="s">
        <v>793</v>
      </c>
      <c r="DQ237" t="s">
        <v>927</v>
      </c>
      <c r="DR237">
        <v>14</v>
      </c>
      <c r="DS237">
        <v>0</v>
      </c>
      <c r="DU237">
        <v>14</v>
      </c>
      <c r="DV237">
        <v>0</v>
      </c>
      <c r="DX237">
        <v>14</v>
      </c>
      <c r="DY237">
        <v>0</v>
      </c>
      <c r="DZ237" t="s">
        <v>246</v>
      </c>
      <c r="EA237" t="s">
        <v>929</v>
      </c>
    </row>
    <row r="238" spans="1:131" x14ac:dyDescent="0.4">
      <c r="A238" s="34">
        <v>43067.305104166669</v>
      </c>
      <c r="B238" s="25">
        <v>42935.374305555553</v>
      </c>
      <c r="D238" s="34"/>
      <c r="E238" s="34" t="s">
        <v>193</v>
      </c>
      <c r="F238" s="34" t="s">
        <v>191</v>
      </c>
      <c r="G238" s="34" t="s">
        <v>100</v>
      </c>
      <c r="H238" t="s">
        <v>279</v>
      </c>
      <c r="I238" t="s">
        <v>243</v>
      </c>
      <c r="J238" t="s">
        <v>712</v>
      </c>
      <c r="K238" t="s">
        <v>729</v>
      </c>
      <c r="L238" t="s">
        <v>711</v>
      </c>
      <c r="M238" s="30">
        <v>2.0499999999999998</v>
      </c>
      <c r="N238">
        <v>7</v>
      </c>
      <c r="P238" s="24" t="str">
        <f>IFERROR(MID(RADataTable[[#This Row],[RATemplate]],1,LEN(RADataTable[[#This Row],[RATemplate]])-8),"RA") &amp; " " &amp; RADataTable[[#This Row],[prop_id0]] &amp; " " &amp; RADataTable[[#This Row],[last0]]</f>
        <v>RA 1750127 Nagarajan</v>
      </c>
      <c r="T238">
        <v>4</v>
      </c>
      <c r="U238">
        <v>4</v>
      </c>
      <c r="V238" s="34">
        <v>43032.519444444442</v>
      </c>
      <c r="W238">
        <v>1</v>
      </c>
      <c r="X238" s="15" t="str">
        <f>HYPERLINK("https://www.ejacket.nsf.gov/ej/showProposal.do?Continue=Y&amp;ID="&amp;RADataTable[[#This Row],[prop_id0]],"eJ")</f>
        <v>eJ</v>
      </c>
      <c r="Y238" s="15" t="str">
        <f>HYPERLINK("mailto:"&amp;RADataTable[[#This Row],[email]]&amp;"&amp;subject=Your NSF Proposal:  "&amp;RADataTable[[#This Row],[Div]]&amp;" "&amp;RADataTable[[#This Row],[prop_id0]], RADataTable[[#This Row],[email]])</f>
        <v>viswa@umich.edu</v>
      </c>
      <c r="Z238" s="15" t="str">
        <f>HYPERLINK("mailto:"&amp;RADataTable[[#This Row],[allPIemail]]&amp;"&amp;subject=NSF Proposal:  "&amp;RADataTable[[#This Row],[Div]]&amp;" "&amp;RADataTable[[#This Row],[prop_id0]], "PIs@")</f>
        <v>PIs@</v>
      </c>
      <c r="AA238" t="s">
        <v>245</v>
      </c>
      <c r="AB238" t="s">
        <v>673</v>
      </c>
      <c r="AC238" s="30" t="s">
        <v>788</v>
      </c>
      <c r="AD238" t="s">
        <v>789</v>
      </c>
      <c r="AE238" t="s">
        <v>790</v>
      </c>
      <c r="AF238" s="36">
        <v>524840</v>
      </c>
      <c r="AG238" s="36">
        <v>524840</v>
      </c>
      <c r="AH238" s="24"/>
      <c r="AJ238" s="34"/>
      <c r="AK238" t="s">
        <v>923</v>
      </c>
      <c r="AL238" t="s">
        <v>232</v>
      </c>
      <c r="AM238" s="34" t="s">
        <v>925</v>
      </c>
      <c r="AN238" s="34">
        <v>43032</v>
      </c>
      <c r="AO238" s="24">
        <v>5</v>
      </c>
      <c r="AP238" t="s">
        <v>955</v>
      </c>
      <c r="AR238" s="35"/>
      <c r="AS238"/>
      <c r="AT238" s="34"/>
      <c r="AV238" s="34"/>
      <c r="AX238" s="34"/>
      <c r="AY238"/>
      <c r="BA238" s="34"/>
      <c r="BB238"/>
      <c r="BC238" t="s">
        <v>794</v>
      </c>
      <c r="BD238" s="36">
        <v>524840</v>
      </c>
      <c r="BE238" s="36">
        <v>524840</v>
      </c>
      <c r="BF238">
        <v>0</v>
      </c>
      <c r="BG238" s="34">
        <v>43221</v>
      </c>
      <c r="BH238">
        <v>60</v>
      </c>
      <c r="BI238" t="s">
        <v>283</v>
      </c>
      <c r="BJ238" t="s">
        <v>928</v>
      </c>
      <c r="BK238" t="s">
        <v>934</v>
      </c>
      <c r="BL238" t="s">
        <v>194</v>
      </c>
      <c r="BM238" s="8" t="s">
        <v>192</v>
      </c>
      <c r="BN238" t="s">
        <v>189</v>
      </c>
      <c r="BO238" t="s">
        <v>190</v>
      </c>
      <c r="BP238" s="35" t="s">
        <v>288</v>
      </c>
      <c r="BQ238"/>
      <c r="BU238" s="35"/>
      <c r="BV238" s="35"/>
      <c r="BX238"/>
      <c r="CA238" s="35"/>
      <c r="CB238" s="35"/>
      <c r="CC238"/>
      <c r="CG238" s="35"/>
      <c r="CH238" s="35"/>
      <c r="CK238"/>
      <c r="CM238" s="35"/>
      <c r="CN238" s="35"/>
      <c r="CQ238"/>
      <c r="CS238" s="35"/>
      <c r="CT238" s="35"/>
      <c r="CX238"/>
      <c r="CZ238" s="35"/>
      <c r="DD238" s="34"/>
      <c r="DG238" t="s">
        <v>792</v>
      </c>
      <c r="DH238" t="s">
        <v>956</v>
      </c>
      <c r="DI238" t="s">
        <v>233</v>
      </c>
      <c r="DL238" t="s">
        <v>673</v>
      </c>
      <c r="DM238">
        <v>5</v>
      </c>
      <c r="DN238">
        <v>9</v>
      </c>
      <c r="DO238" t="s">
        <v>793</v>
      </c>
      <c r="DQ238" t="s">
        <v>927</v>
      </c>
      <c r="DR238">
        <v>14</v>
      </c>
      <c r="DS238">
        <v>0</v>
      </c>
      <c r="DU238">
        <v>14</v>
      </c>
      <c r="DV238">
        <v>0</v>
      </c>
      <c r="DX238">
        <v>14</v>
      </c>
      <c r="DY238">
        <v>0</v>
      </c>
      <c r="DZ238" t="s">
        <v>246</v>
      </c>
      <c r="EA238" t="s">
        <v>929</v>
      </c>
    </row>
    <row r="239" spans="1:131" x14ac:dyDescent="0.4">
      <c r="A239" s="34">
        <v>43067.305104166669</v>
      </c>
      <c r="B239" s="25">
        <v>42935.374305555553</v>
      </c>
      <c r="D239" s="34"/>
      <c r="E239" s="34" t="s">
        <v>193</v>
      </c>
      <c r="F239" s="34" t="s">
        <v>191</v>
      </c>
      <c r="G239" s="34" t="s">
        <v>100</v>
      </c>
      <c r="H239" t="s">
        <v>279</v>
      </c>
      <c r="I239" t="s">
        <v>243</v>
      </c>
      <c r="J239" t="s">
        <v>712</v>
      </c>
      <c r="K239" t="s">
        <v>729</v>
      </c>
      <c r="L239" t="s">
        <v>711</v>
      </c>
      <c r="M239" s="30">
        <v>2.0499999999999998</v>
      </c>
      <c r="N239">
        <v>7</v>
      </c>
      <c r="P239" s="24" t="str">
        <f>IFERROR(MID(RADataTable[[#This Row],[RATemplate]],1,LEN(RADataTable[[#This Row],[RATemplate]])-8),"RA") &amp; " " &amp; RADataTable[[#This Row],[prop_id0]] &amp; " " &amp; RADataTable[[#This Row],[last0]]</f>
        <v>RA 1750127 Nagarajan</v>
      </c>
      <c r="T239">
        <v>4</v>
      </c>
      <c r="U239">
        <v>4</v>
      </c>
      <c r="V239" s="34">
        <v>43032.519444444442</v>
      </c>
      <c r="W239">
        <v>1</v>
      </c>
      <c r="X239" s="15" t="str">
        <f>HYPERLINK("https://www.ejacket.nsf.gov/ej/showProposal.do?Continue=Y&amp;ID="&amp;RADataTable[[#This Row],[prop_id0]],"eJ")</f>
        <v>eJ</v>
      </c>
      <c r="Y239" s="15" t="str">
        <f>HYPERLINK("mailto:"&amp;RADataTable[[#This Row],[email]]&amp;"&amp;subject=Your NSF Proposal:  "&amp;RADataTable[[#This Row],[Div]]&amp;" "&amp;RADataTable[[#This Row],[prop_id0]], RADataTable[[#This Row],[email]])</f>
        <v>viswa@umich.edu</v>
      </c>
      <c r="Z239" s="15" t="str">
        <f>HYPERLINK("mailto:"&amp;RADataTable[[#This Row],[allPIemail]]&amp;"&amp;subject=NSF Proposal:  "&amp;RADataTable[[#This Row],[Div]]&amp;" "&amp;RADataTable[[#This Row],[prop_id0]], "PIs@")</f>
        <v>PIs@</v>
      </c>
      <c r="AA239" t="s">
        <v>245</v>
      </c>
      <c r="AB239" t="s">
        <v>673</v>
      </c>
      <c r="AC239" s="30" t="s">
        <v>788</v>
      </c>
      <c r="AD239" t="s">
        <v>789</v>
      </c>
      <c r="AE239" t="s">
        <v>790</v>
      </c>
      <c r="AF239" s="36">
        <v>524840</v>
      </c>
      <c r="AG239" s="36">
        <v>524840</v>
      </c>
      <c r="AH239" s="24"/>
      <c r="AJ239" s="34"/>
      <c r="AK239" t="s">
        <v>923</v>
      </c>
      <c r="AL239" t="s">
        <v>232</v>
      </c>
      <c r="AM239" s="34" t="s">
        <v>925</v>
      </c>
      <c r="AN239" s="34">
        <v>43032</v>
      </c>
      <c r="AO239" s="24">
        <v>5</v>
      </c>
      <c r="AP239" t="s">
        <v>955</v>
      </c>
      <c r="AR239" s="35"/>
      <c r="AS239"/>
      <c r="AT239" s="34"/>
      <c r="AV239" s="34"/>
      <c r="AX239" s="34"/>
      <c r="AY239"/>
      <c r="BA239" s="34"/>
      <c r="BB239"/>
      <c r="BC239" t="s">
        <v>794</v>
      </c>
      <c r="BD239" s="36">
        <v>524840</v>
      </c>
      <c r="BE239" s="36">
        <v>524840</v>
      </c>
      <c r="BF239">
        <v>0</v>
      </c>
      <c r="BG239" s="34">
        <v>43221</v>
      </c>
      <c r="BH239">
        <v>60</v>
      </c>
      <c r="BI239" t="s">
        <v>283</v>
      </c>
      <c r="BJ239" t="s">
        <v>928</v>
      </c>
      <c r="BK239" t="s">
        <v>934</v>
      </c>
      <c r="BL239" t="s">
        <v>194</v>
      </c>
      <c r="BM239" s="8" t="s">
        <v>192</v>
      </c>
      <c r="BN239" t="s">
        <v>189</v>
      </c>
      <c r="BO239" t="s">
        <v>190</v>
      </c>
      <c r="BP239" s="35" t="s">
        <v>288</v>
      </c>
      <c r="BQ239"/>
      <c r="BU239" s="35"/>
      <c r="BV239" s="35"/>
      <c r="BX239"/>
      <c r="CA239" s="35"/>
      <c r="CB239" s="35"/>
      <c r="CC239"/>
      <c r="CG239" s="35"/>
      <c r="CH239" s="35"/>
      <c r="CK239"/>
      <c r="CM239" s="35"/>
      <c r="CN239" s="35"/>
      <c r="CQ239"/>
      <c r="CS239" s="35"/>
      <c r="CT239" s="35"/>
      <c r="CX239"/>
      <c r="CZ239" s="35"/>
      <c r="DD239" s="34"/>
      <c r="DG239" t="s">
        <v>792</v>
      </c>
      <c r="DH239" t="s">
        <v>956</v>
      </c>
      <c r="DI239" t="s">
        <v>233</v>
      </c>
      <c r="DL239" t="s">
        <v>673</v>
      </c>
      <c r="DM239">
        <v>5</v>
      </c>
      <c r="DN239">
        <v>9</v>
      </c>
      <c r="DO239" t="s">
        <v>793</v>
      </c>
      <c r="DQ239" t="s">
        <v>927</v>
      </c>
      <c r="DR239">
        <v>14</v>
      </c>
      <c r="DS239">
        <v>0</v>
      </c>
      <c r="DU239">
        <v>14</v>
      </c>
      <c r="DV239">
        <v>0</v>
      </c>
      <c r="DX239">
        <v>14</v>
      </c>
      <c r="DY239">
        <v>0</v>
      </c>
      <c r="DZ239" t="s">
        <v>246</v>
      </c>
      <c r="EA239" t="s">
        <v>929</v>
      </c>
    </row>
    <row r="240" spans="1:131" x14ac:dyDescent="0.4">
      <c r="A240" s="34">
        <v>43067.305104166669</v>
      </c>
      <c r="B240" s="25">
        <v>42935.374305555553</v>
      </c>
      <c r="D240" s="34"/>
      <c r="E240" s="34" t="s">
        <v>193</v>
      </c>
      <c r="F240" s="34" t="s">
        <v>191</v>
      </c>
      <c r="G240" s="34" t="s">
        <v>100</v>
      </c>
      <c r="H240" t="s">
        <v>279</v>
      </c>
      <c r="I240" t="s">
        <v>243</v>
      </c>
      <c r="J240" t="s">
        <v>712</v>
      </c>
      <c r="K240" t="s">
        <v>729</v>
      </c>
      <c r="L240" t="s">
        <v>711</v>
      </c>
      <c r="M240" s="30">
        <v>2.0499999999999998</v>
      </c>
      <c r="N240">
        <v>7</v>
      </c>
      <c r="P240" s="24" t="str">
        <f>IFERROR(MID(RADataTable[[#This Row],[RATemplate]],1,LEN(RADataTable[[#This Row],[RATemplate]])-8),"RA") &amp; " " &amp; RADataTable[[#This Row],[prop_id0]] &amp; " " &amp; RADataTable[[#This Row],[last0]]</f>
        <v>RA 1750127 Nagarajan</v>
      </c>
      <c r="T240">
        <v>4</v>
      </c>
      <c r="U240">
        <v>4</v>
      </c>
      <c r="V240" s="34">
        <v>43032.519444444442</v>
      </c>
      <c r="W240">
        <v>1</v>
      </c>
      <c r="X240" s="15" t="str">
        <f>HYPERLINK("https://www.ejacket.nsf.gov/ej/showProposal.do?Continue=Y&amp;ID="&amp;RADataTable[[#This Row],[prop_id0]],"eJ")</f>
        <v>eJ</v>
      </c>
      <c r="Y240" s="15" t="str">
        <f>HYPERLINK("mailto:"&amp;RADataTable[[#This Row],[email]]&amp;"&amp;subject=Your NSF Proposal:  "&amp;RADataTable[[#This Row],[Div]]&amp;" "&amp;RADataTable[[#This Row],[prop_id0]], RADataTable[[#This Row],[email]])</f>
        <v>viswa@umich.edu</v>
      </c>
      <c r="Z240" s="15" t="str">
        <f>HYPERLINK("mailto:"&amp;RADataTable[[#This Row],[allPIemail]]&amp;"&amp;subject=NSF Proposal:  "&amp;RADataTable[[#This Row],[Div]]&amp;" "&amp;RADataTable[[#This Row],[prop_id0]], "PIs@")</f>
        <v>PIs@</v>
      </c>
      <c r="AA240" t="s">
        <v>245</v>
      </c>
      <c r="AB240" t="s">
        <v>673</v>
      </c>
      <c r="AC240" s="30" t="s">
        <v>788</v>
      </c>
      <c r="AD240" t="s">
        <v>789</v>
      </c>
      <c r="AE240" t="s">
        <v>790</v>
      </c>
      <c r="AF240" s="36">
        <v>524840</v>
      </c>
      <c r="AG240" s="36">
        <v>524840</v>
      </c>
      <c r="AH240" s="24"/>
      <c r="AJ240" s="34"/>
      <c r="AK240" t="s">
        <v>923</v>
      </c>
      <c r="AL240" t="s">
        <v>232</v>
      </c>
      <c r="AM240" s="34" t="s">
        <v>925</v>
      </c>
      <c r="AN240" s="34">
        <v>43032</v>
      </c>
      <c r="AO240" s="24">
        <v>5</v>
      </c>
      <c r="AP240" t="s">
        <v>955</v>
      </c>
      <c r="AR240" s="35"/>
      <c r="AS240"/>
      <c r="AT240" s="34"/>
      <c r="AV240" s="34"/>
      <c r="AX240" s="34"/>
      <c r="AY240"/>
      <c r="BA240" s="34"/>
      <c r="BB240"/>
      <c r="BC240" t="s">
        <v>794</v>
      </c>
      <c r="BD240" s="36">
        <v>524840</v>
      </c>
      <c r="BE240" s="36">
        <v>524840</v>
      </c>
      <c r="BF240">
        <v>0</v>
      </c>
      <c r="BG240" s="34">
        <v>43221</v>
      </c>
      <c r="BH240">
        <v>60</v>
      </c>
      <c r="BI240" t="s">
        <v>283</v>
      </c>
      <c r="BJ240" t="s">
        <v>928</v>
      </c>
      <c r="BK240" t="s">
        <v>934</v>
      </c>
      <c r="BL240" t="s">
        <v>194</v>
      </c>
      <c r="BM240" s="8" t="s">
        <v>192</v>
      </c>
      <c r="BN240" t="s">
        <v>189</v>
      </c>
      <c r="BO240" t="s">
        <v>190</v>
      </c>
      <c r="BP240" s="35" t="s">
        <v>288</v>
      </c>
      <c r="BQ240"/>
      <c r="BU240" s="35"/>
      <c r="BV240" s="35"/>
      <c r="BX240"/>
      <c r="CA240" s="35"/>
      <c r="CB240" s="35"/>
      <c r="CC240"/>
      <c r="CG240" s="35"/>
      <c r="CH240" s="35"/>
      <c r="CK240"/>
      <c r="CM240" s="35"/>
      <c r="CN240" s="35"/>
      <c r="CQ240"/>
      <c r="CS240" s="35"/>
      <c r="CT240" s="35"/>
      <c r="CX240"/>
      <c r="CZ240" s="35"/>
      <c r="DD240" s="34"/>
      <c r="DG240" t="s">
        <v>792</v>
      </c>
      <c r="DH240" t="s">
        <v>956</v>
      </c>
      <c r="DI240" t="s">
        <v>233</v>
      </c>
      <c r="DL240" t="s">
        <v>673</v>
      </c>
      <c r="DM240">
        <v>5</v>
      </c>
      <c r="DN240">
        <v>9</v>
      </c>
      <c r="DO240" t="s">
        <v>793</v>
      </c>
      <c r="DQ240" t="s">
        <v>927</v>
      </c>
      <c r="DR240">
        <v>14</v>
      </c>
      <c r="DS240">
        <v>0</v>
      </c>
      <c r="DU240">
        <v>14</v>
      </c>
      <c r="DV240">
        <v>0</v>
      </c>
      <c r="DX240">
        <v>14</v>
      </c>
      <c r="DY240">
        <v>0</v>
      </c>
      <c r="DZ240" t="s">
        <v>246</v>
      </c>
      <c r="EA240" t="s">
        <v>929</v>
      </c>
    </row>
    <row r="241" spans="1:131" x14ac:dyDescent="0.4">
      <c r="A241" s="34">
        <v>43067.305104166669</v>
      </c>
      <c r="B241" s="25">
        <v>42935.374305555553</v>
      </c>
      <c r="D241" s="34"/>
      <c r="E241" s="34" t="s">
        <v>193</v>
      </c>
      <c r="F241" s="34" t="s">
        <v>191</v>
      </c>
      <c r="G241" s="34" t="s">
        <v>100</v>
      </c>
      <c r="H241" t="s">
        <v>279</v>
      </c>
      <c r="I241" t="s">
        <v>243</v>
      </c>
      <c r="J241" t="s">
        <v>712</v>
      </c>
      <c r="K241" t="s">
        <v>729</v>
      </c>
      <c r="L241" t="s">
        <v>711</v>
      </c>
      <c r="M241" s="30">
        <v>2.0499999999999998</v>
      </c>
      <c r="N241">
        <v>7</v>
      </c>
      <c r="P241" s="24" t="str">
        <f>IFERROR(MID(RADataTable[[#This Row],[RATemplate]],1,LEN(RADataTable[[#This Row],[RATemplate]])-8),"RA") &amp; " " &amp; RADataTable[[#This Row],[prop_id0]] &amp; " " &amp; RADataTable[[#This Row],[last0]]</f>
        <v>RA 1750127 Nagarajan</v>
      </c>
      <c r="T241">
        <v>4</v>
      </c>
      <c r="U241">
        <v>4</v>
      </c>
      <c r="V241" s="34">
        <v>43032.519444444442</v>
      </c>
      <c r="W241">
        <v>1</v>
      </c>
      <c r="X241" s="15" t="str">
        <f>HYPERLINK("https://www.ejacket.nsf.gov/ej/showProposal.do?Continue=Y&amp;ID="&amp;RADataTable[[#This Row],[prop_id0]],"eJ")</f>
        <v>eJ</v>
      </c>
      <c r="Y241" s="15" t="str">
        <f>HYPERLINK("mailto:"&amp;RADataTable[[#This Row],[email]]&amp;"&amp;subject=Your NSF Proposal:  "&amp;RADataTable[[#This Row],[Div]]&amp;" "&amp;RADataTable[[#This Row],[prop_id0]], RADataTable[[#This Row],[email]])</f>
        <v>viswa@umich.edu</v>
      </c>
      <c r="Z241" s="15" t="str">
        <f>HYPERLINK("mailto:"&amp;RADataTable[[#This Row],[allPIemail]]&amp;"&amp;subject=NSF Proposal:  "&amp;RADataTable[[#This Row],[Div]]&amp;" "&amp;RADataTable[[#This Row],[prop_id0]], "PIs@")</f>
        <v>PIs@</v>
      </c>
      <c r="AA241" t="s">
        <v>245</v>
      </c>
      <c r="AB241" t="s">
        <v>673</v>
      </c>
      <c r="AC241" s="30" t="s">
        <v>788</v>
      </c>
      <c r="AD241" t="s">
        <v>789</v>
      </c>
      <c r="AE241" t="s">
        <v>790</v>
      </c>
      <c r="AF241" s="36">
        <v>524840</v>
      </c>
      <c r="AG241" s="36">
        <v>524840</v>
      </c>
      <c r="AH241" s="24"/>
      <c r="AJ241" s="34"/>
      <c r="AK241" t="s">
        <v>923</v>
      </c>
      <c r="AL241" t="s">
        <v>232</v>
      </c>
      <c r="AM241" s="34" t="s">
        <v>925</v>
      </c>
      <c r="AN241" s="34">
        <v>43032</v>
      </c>
      <c r="AO241" s="24">
        <v>5</v>
      </c>
      <c r="AP241" t="s">
        <v>955</v>
      </c>
      <c r="AR241" s="35"/>
      <c r="AS241"/>
      <c r="AT241" s="34"/>
      <c r="AV241" s="34"/>
      <c r="AX241" s="34"/>
      <c r="AY241"/>
      <c r="BA241" s="34"/>
      <c r="BB241"/>
      <c r="BC241" t="s">
        <v>794</v>
      </c>
      <c r="BD241" s="36">
        <v>524840</v>
      </c>
      <c r="BE241" s="36">
        <v>524840</v>
      </c>
      <c r="BF241">
        <v>0</v>
      </c>
      <c r="BG241" s="34">
        <v>43221</v>
      </c>
      <c r="BH241">
        <v>60</v>
      </c>
      <c r="BI241" t="s">
        <v>283</v>
      </c>
      <c r="BJ241" t="s">
        <v>928</v>
      </c>
      <c r="BK241" t="s">
        <v>934</v>
      </c>
      <c r="BL241" t="s">
        <v>194</v>
      </c>
      <c r="BM241" s="8" t="s">
        <v>192</v>
      </c>
      <c r="BN241" t="s">
        <v>189</v>
      </c>
      <c r="BO241" t="s">
        <v>190</v>
      </c>
      <c r="BP241" s="35" t="s">
        <v>288</v>
      </c>
      <c r="BQ241"/>
      <c r="BU241" s="35"/>
      <c r="BV241" s="35"/>
      <c r="BX241"/>
      <c r="CA241" s="35"/>
      <c r="CB241" s="35"/>
      <c r="CC241"/>
      <c r="CG241" s="35"/>
      <c r="CH241" s="35"/>
      <c r="CK241"/>
      <c r="CM241" s="35"/>
      <c r="CN241" s="35"/>
      <c r="CQ241"/>
      <c r="CS241" s="35"/>
      <c r="CT241" s="35"/>
      <c r="CX241"/>
      <c r="CZ241" s="35"/>
      <c r="DD241" s="34"/>
      <c r="DG241" t="s">
        <v>792</v>
      </c>
      <c r="DH241" t="s">
        <v>956</v>
      </c>
      <c r="DI241" t="s">
        <v>233</v>
      </c>
      <c r="DL241" t="s">
        <v>673</v>
      </c>
      <c r="DM241">
        <v>5</v>
      </c>
      <c r="DN241">
        <v>9</v>
      </c>
      <c r="DO241" t="s">
        <v>793</v>
      </c>
      <c r="DQ241" t="s">
        <v>927</v>
      </c>
      <c r="DR241">
        <v>14</v>
      </c>
      <c r="DS241">
        <v>0</v>
      </c>
      <c r="DU241">
        <v>14</v>
      </c>
      <c r="DV241">
        <v>0</v>
      </c>
      <c r="DX241">
        <v>14</v>
      </c>
      <c r="DY241">
        <v>0</v>
      </c>
      <c r="DZ241" t="s">
        <v>246</v>
      </c>
      <c r="EA241" t="s">
        <v>929</v>
      </c>
    </row>
    <row r="242" spans="1:131" x14ac:dyDescent="0.4">
      <c r="A242" s="34">
        <v>43067.305104166669</v>
      </c>
      <c r="B242" s="25">
        <v>42935.374305555553</v>
      </c>
      <c r="D242" s="34"/>
      <c r="E242" s="34" t="s">
        <v>193</v>
      </c>
      <c r="F242" s="34" t="s">
        <v>191</v>
      </c>
      <c r="G242" s="34" t="s">
        <v>100</v>
      </c>
      <c r="H242" t="s">
        <v>279</v>
      </c>
      <c r="I242" t="s">
        <v>243</v>
      </c>
      <c r="J242" t="s">
        <v>712</v>
      </c>
      <c r="K242" t="s">
        <v>729</v>
      </c>
      <c r="L242" t="s">
        <v>711</v>
      </c>
      <c r="M242" s="30">
        <v>2.0499999999999998</v>
      </c>
      <c r="N242">
        <v>7</v>
      </c>
      <c r="P242" s="24" t="str">
        <f>IFERROR(MID(RADataTable[[#This Row],[RATemplate]],1,LEN(RADataTable[[#This Row],[RATemplate]])-8),"RA") &amp; " " &amp; RADataTable[[#This Row],[prop_id0]] &amp; " " &amp; RADataTable[[#This Row],[last0]]</f>
        <v>RA 1750127 Nagarajan</v>
      </c>
      <c r="T242">
        <v>4</v>
      </c>
      <c r="U242">
        <v>4</v>
      </c>
      <c r="V242" s="34">
        <v>43032.519444444442</v>
      </c>
      <c r="W242">
        <v>1</v>
      </c>
      <c r="X242" s="15" t="str">
        <f>HYPERLINK("https://www.ejacket.nsf.gov/ej/showProposal.do?Continue=Y&amp;ID="&amp;RADataTable[[#This Row],[prop_id0]],"eJ")</f>
        <v>eJ</v>
      </c>
      <c r="Y242" s="15" t="str">
        <f>HYPERLINK("mailto:"&amp;RADataTable[[#This Row],[email]]&amp;"&amp;subject=Your NSF Proposal:  "&amp;RADataTable[[#This Row],[Div]]&amp;" "&amp;RADataTable[[#This Row],[prop_id0]], RADataTable[[#This Row],[email]])</f>
        <v>viswa@umich.edu</v>
      </c>
      <c r="Z242" s="15" t="str">
        <f>HYPERLINK("mailto:"&amp;RADataTable[[#This Row],[allPIemail]]&amp;"&amp;subject=NSF Proposal:  "&amp;RADataTable[[#This Row],[Div]]&amp;" "&amp;RADataTable[[#This Row],[prop_id0]], "PIs@")</f>
        <v>PIs@</v>
      </c>
      <c r="AA242" t="s">
        <v>245</v>
      </c>
      <c r="AB242" t="s">
        <v>673</v>
      </c>
      <c r="AC242" s="30" t="s">
        <v>788</v>
      </c>
      <c r="AD242" t="s">
        <v>789</v>
      </c>
      <c r="AE242" t="s">
        <v>790</v>
      </c>
      <c r="AF242" s="36">
        <v>524840</v>
      </c>
      <c r="AG242" s="36">
        <v>524840</v>
      </c>
      <c r="AH242" s="24"/>
      <c r="AJ242" s="34"/>
      <c r="AK242" t="s">
        <v>923</v>
      </c>
      <c r="AL242" t="s">
        <v>232</v>
      </c>
      <c r="AM242" s="34" t="s">
        <v>925</v>
      </c>
      <c r="AN242" s="34">
        <v>43032</v>
      </c>
      <c r="AO242" s="24">
        <v>5</v>
      </c>
      <c r="AP242" t="s">
        <v>955</v>
      </c>
      <c r="AR242" s="35"/>
      <c r="AS242"/>
      <c r="AT242" s="34"/>
      <c r="AV242" s="34"/>
      <c r="AX242" s="34"/>
      <c r="AY242"/>
      <c r="BA242" s="34"/>
      <c r="BB242"/>
      <c r="BC242" t="s">
        <v>794</v>
      </c>
      <c r="BD242" s="36">
        <v>524840</v>
      </c>
      <c r="BE242" s="36">
        <v>524840</v>
      </c>
      <c r="BF242">
        <v>0</v>
      </c>
      <c r="BG242" s="34">
        <v>43221</v>
      </c>
      <c r="BH242">
        <v>60</v>
      </c>
      <c r="BI242" t="s">
        <v>283</v>
      </c>
      <c r="BJ242" t="s">
        <v>928</v>
      </c>
      <c r="BK242" t="s">
        <v>934</v>
      </c>
      <c r="BL242" t="s">
        <v>194</v>
      </c>
      <c r="BM242" s="8" t="s">
        <v>192</v>
      </c>
      <c r="BN242" t="s">
        <v>189</v>
      </c>
      <c r="BO242" t="s">
        <v>190</v>
      </c>
      <c r="BP242" s="35" t="s">
        <v>288</v>
      </c>
      <c r="BQ242"/>
      <c r="BU242" s="35"/>
      <c r="BV242" s="35"/>
      <c r="BX242"/>
      <c r="CA242" s="35"/>
      <c r="CB242" s="35"/>
      <c r="CC242"/>
      <c r="CG242" s="35"/>
      <c r="CH242" s="35"/>
      <c r="CK242"/>
      <c r="CM242" s="35"/>
      <c r="CN242" s="35"/>
      <c r="CQ242"/>
      <c r="CS242" s="35"/>
      <c r="CT242" s="35"/>
      <c r="CX242"/>
      <c r="CZ242" s="35"/>
      <c r="DD242" s="34"/>
      <c r="DG242" t="s">
        <v>792</v>
      </c>
      <c r="DH242" t="s">
        <v>956</v>
      </c>
      <c r="DI242" t="s">
        <v>233</v>
      </c>
      <c r="DL242" t="s">
        <v>673</v>
      </c>
      <c r="DM242">
        <v>5</v>
      </c>
      <c r="DN242">
        <v>9</v>
      </c>
      <c r="DO242" t="s">
        <v>793</v>
      </c>
      <c r="DQ242" t="s">
        <v>927</v>
      </c>
      <c r="DR242">
        <v>14</v>
      </c>
      <c r="DS242">
        <v>0</v>
      </c>
      <c r="DU242">
        <v>14</v>
      </c>
      <c r="DV242">
        <v>0</v>
      </c>
      <c r="DX242">
        <v>14</v>
      </c>
      <c r="DY242">
        <v>0</v>
      </c>
      <c r="DZ242" t="s">
        <v>246</v>
      </c>
      <c r="EA242" t="s">
        <v>929</v>
      </c>
    </row>
    <row r="243" spans="1:131" x14ac:dyDescent="0.4">
      <c r="A243" s="34">
        <v>43067.305104166669</v>
      </c>
      <c r="B243" s="25">
        <v>42935.374305555553</v>
      </c>
      <c r="D243" s="34"/>
      <c r="E243" s="34" t="s">
        <v>193</v>
      </c>
      <c r="F243" s="34" t="s">
        <v>191</v>
      </c>
      <c r="G243" s="34" t="s">
        <v>100</v>
      </c>
      <c r="H243" t="s">
        <v>279</v>
      </c>
      <c r="I243" t="s">
        <v>243</v>
      </c>
      <c r="J243" t="s">
        <v>712</v>
      </c>
      <c r="K243" t="s">
        <v>729</v>
      </c>
      <c r="L243" t="s">
        <v>711</v>
      </c>
      <c r="M243" s="30">
        <v>2.0499999999999998</v>
      </c>
      <c r="N243">
        <v>7</v>
      </c>
      <c r="P243" s="24" t="str">
        <f>IFERROR(MID(RADataTable[[#This Row],[RATemplate]],1,LEN(RADataTable[[#This Row],[RATemplate]])-8),"RA") &amp; " " &amp; RADataTable[[#This Row],[prop_id0]] &amp; " " &amp; RADataTable[[#This Row],[last0]]</f>
        <v>RA 1750127 Nagarajan</v>
      </c>
      <c r="T243">
        <v>4</v>
      </c>
      <c r="U243">
        <v>4</v>
      </c>
      <c r="V243" s="34">
        <v>43032.519444444442</v>
      </c>
      <c r="W243">
        <v>1</v>
      </c>
      <c r="X243" s="15" t="str">
        <f>HYPERLINK("https://www.ejacket.nsf.gov/ej/showProposal.do?Continue=Y&amp;ID="&amp;RADataTable[[#This Row],[prop_id0]],"eJ")</f>
        <v>eJ</v>
      </c>
      <c r="Y243" s="15" t="str">
        <f>HYPERLINK("mailto:"&amp;RADataTable[[#This Row],[email]]&amp;"&amp;subject=Your NSF Proposal:  "&amp;RADataTable[[#This Row],[Div]]&amp;" "&amp;RADataTable[[#This Row],[prop_id0]], RADataTable[[#This Row],[email]])</f>
        <v>viswa@umich.edu</v>
      </c>
      <c r="Z243" s="15" t="str">
        <f>HYPERLINK("mailto:"&amp;RADataTable[[#This Row],[allPIemail]]&amp;"&amp;subject=NSF Proposal:  "&amp;RADataTable[[#This Row],[Div]]&amp;" "&amp;RADataTable[[#This Row],[prop_id0]], "PIs@")</f>
        <v>PIs@</v>
      </c>
      <c r="AA243" t="s">
        <v>245</v>
      </c>
      <c r="AB243" t="s">
        <v>673</v>
      </c>
      <c r="AC243" s="30" t="s">
        <v>788</v>
      </c>
      <c r="AD243" t="s">
        <v>789</v>
      </c>
      <c r="AE243" t="s">
        <v>790</v>
      </c>
      <c r="AF243" s="36">
        <v>524840</v>
      </c>
      <c r="AG243" s="36">
        <v>524840</v>
      </c>
      <c r="AH243" s="24"/>
      <c r="AJ243" s="34"/>
      <c r="AK243" t="s">
        <v>923</v>
      </c>
      <c r="AL243" t="s">
        <v>232</v>
      </c>
      <c r="AM243" s="34" t="s">
        <v>925</v>
      </c>
      <c r="AN243" s="34">
        <v>43032</v>
      </c>
      <c r="AO243" s="24">
        <v>5</v>
      </c>
      <c r="AP243" t="s">
        <v>955</v>
      </c>
      <c r="AR243" s="35"/>
      <c r="AS243"/>
      <c r="AT243" s="34"/>
      <c r="AV243" s="34"/>
      <c r="AX243" s="34"/>
      <c r="AY243"/>
      <c r="BA243" s="34"/>
      <c r="BB243"/>
      <c r="BC243" t="s">
        <v>794</v>
      </c>
      <c r="BD243" s="36">
        <v>524840</v>
      </c>
      <c r="BE243" s="36">
        <v>524840</v>
      </c>
      <c r="BF243">
        <v>0</v>
      </c>
      <c r="BG243" s="34">
        <v>43221</v>
      </c>
      <c r="BH243">
        <v>60</v>
      </c>
      <c r="BI243" t="s">
        <v>283</v>
      </c>
      <c r="BJ243" t="s">
        <v>928</v>
      </c>
      <c r="BK243" t="s">
        <v>934</v>
      </c>
      <c r="BL243" t="s">
        <v>194</v>
      </c>
      <c r="BM243" s="8" t="s">
        <v>192</v>
      </c>
      <c r="BN243" t="s">
        <v>189</v>
      </c>
      <c r="BO243" t="s">
        <v>190</v>
      </c>
      <c r="BP243" s="35" t="s">
        <v>288</v>
      </c>
      <c r="BQ243"/>
      <c r="BU243" s="35"/>
      <c r="BV243" s="35"/>
      <c r="BX243"/>
      <c r="CA243" s="35"/>
      <c r="CB243" s="35"/>
      <c r="CC243"/>
      <c r="CG243" s="35"/>
      <c r="CH243" s="35"/>
      <c r="CK243"/>
      <c r="CM243" s="35"/>
      <c r="CN243" s="35"/>
      <c r="CQ243"/>
      <c r="CS243" s="35"/>
      <c r="CT243" s="35"/>
      <c r="CX243"/>
      <c r="CZ243" s="35"/>
      <c r="DD243" s="34"/>
      <c r="DG243" t="s">
        <v>792</v>
      </c>
      <c r="DH243" t="s">
        <v>956</v>
      </c>
      <c r="DI243" t="s">
        <v>233</v>
      </c>
      <c r="DL243" t="s">
        <v>673</v>
      </c>
      <c r="DM243">
        <v>5</v>
      </c>
      <c r="DN243">
        <v>9</v>
      </c>
      <c r="DO243" t="s">
        <v>793</v>
      </c>
      <c r="DQ243" t="s">
        <v>927</v>
      </c>
      <c r="DR243">
        <v>14</v>
      </c>
      <c r="DS243">
        <v>0</v>
      </c>
      <c r="DU243">
        <v>14</v>
      </c>
      <c r="DV243">
        <v>0</v>
      </c>
      <c r="DX243">
        <v>14</v>
      </c>
      <c r="DY243">
        <v>0</v>
      </c>
      <c r="DZ243" t="s">
        <v>246</v>
      </c>
      <c r="EA243" t="s">
        <v>929</v>
      </c>
    </row>
    <row r="244" spans="1:131" x14ac:dyDescent="0.4">
      <c r="A244" s="34">
        <v>43067.305104166669</v>
      </c>
      <c r="B244" s="25">
        <v>42935.374305555553</v>
      </c>
      <c r="D244" s="34"/>
      <c r="E244" s="34" t="s">
        <v>193</v>
      </c>
      <c r="F244" s="34" t="s">
        <v>191</v>
      </c>
      <c r="G244" s="34" t="s">
        <v>100</v>
      </c>
      <c r="H244" t="s">
        <v>279</v>
      </c>
      <c r="I244" t="s">
        <v>243</v>
      </c>
      <c r="J244" t="s">
        <v>712</v>
      </c>
      <c r="K244" t="s">
        <v>729</v>
      </c>
      <c r="L244" t="s">
        <v>711</v>
      </c>
      <c r="M244" s="30">
        <v>2.0499999999999998</v>
      </c>
      <c r="N244">
        <v>7</v>
      </c>
      <c r="P244" s="24" t="str">
        <f>IFERROR(MID(RADataTable[[#This Row],[RATemplate]],1,LEN(RADataTable[[#This Row],[RATemplate]])-8),"RA") &amp; " " &amp; RADataTable[[#This Row],[prop_id0]] &amp; " " &amp; RADataTable[[#This Row],[last0]]</f>
        <v>RA 1750127 Nagarajan</v>
      </c>
      <c r="T244">
        <v>4</v>
      </c>
      <c r="U244">
        <v>4</v>
      </c>
      <c r="V244" s="34">
        <v>43032.519444444442</v>
      </c>
      <c r="W244">
        <v>1</v>
      </c>
      <c r="X244" s="15" t="str">
        <f>HYPERLINK("https://www.ejacket.nsf.gov/ej/showProposal.do?Continue=Y&amp;ID="&amp;RADataTable[[#This Row],[prop_id0]],"eJ")</f>
        <v>eJ</v>
      </c>
      <c r="Y244" s="15" t="str">
        <f>HYPERLINK("mailto:"&amp;RADataTable[[#This Row],[email]]&amp;"&amp;subject=Your NSF Proposal:  "&amp;RADataTable[[#This Row],[Div]]&amp;" "&amp;RADataTable[[#This Row],[prop_id0]], RADataTable[[#This Row],[email]])</f>
        <v>viswa@umich.edu</v>
      </c>
      <c r="Z244" s="15" t="str">
        <f>HYPERLINK("mailto:"&amp;RADataTable[[#This Row],[allPIemail]]&amp;"&amp;subject=NSF Proposal:  "&amp;RADataTable[[#This Row],[Div]]&amp;" "&amp;RADataTable[[#This Row],[prop_id0]], "PIs@")</f>
        <v>PIs@</v>
      </c>
      <c r="AA244" t="s">
        <v>245</v>
      </c>
      <c r="AB244" t="s">
        <v>673</v>
      </c>
      <c r="AC244" s="30" t="s">
        <v>788</v>
      </c>
      <c r="AD244" t="s">
        <v>789</v>
      </c>
      <c r="AE244" t="s">
        <v>790</v>
      </c>
      <c r="AF244" s="36">
        <v>524840</v>
      </c>
      <c r="AG244" s="36">
        <v>524840</v>
      </c>
      <c r="AH244" s="24"/>
      <c r="AJ244" s="34"/>
      <c r="AK244" t="s">
        <v>923</v>
      </c>
      <c r="AL244" t="s">
        <v>232</v>
      </c>
      <c r="AM244" s="34" t="s">
        <v>925</v>
      </c>
      <c r="AN244" s="34">
        <v>43032</v>
      </c>
      <c r="AO244" s="24">
        <v>5</v>
      </c>
      <c r="AP244" t="s">
        <v>955</v>
      </c>
      <c r="AR244" s="35"/>
      <c r="AS244"/>
      <c r="AT244" s="34"/>
      <c r="AV244" s="34"/>
      <c r="AX244" s="34"/>
      <c r="AY244"/>
      <c r="BA244" s="34"/>
      <c r="BB244"/>
      <c r="BC244" t="s">
        <v>794</v>
      </c>
      <c r="BD244" s="36">
        <v>524840</v>
      </c>
      <c r="BE244" s="36">
        <v>524840</v>
      </c>
      <c r="BF244">
        <v>0</v>
      </c>
      <c r="BG244" s="34">
        <v>43221</v>
      </c>
      <c r="BH244">
        <v>60</v>
      </c>
      <c r="BI244" t="s">
        <v>283</v>
      </c>
      <c r="BJ244" t="s">
        <v>928</v>
      </c>
      <c r="BK244" t="s">
        <v>934</v>
      </c>
      <c r="BL244" t="s">
        <v>194</v>
      </c>
      <c r="BM244" s="8" t="s">
        <v>192</v>
      </c>
      <c r="BN244" t="s">
        <v>189</v>
      </c>
      <c r="BO244" t="s">
        <v>190</v>
      </c>
      <c r="BP244" s="35" t="s">
        <v>288</v>
      </c>
      <c r="BQ244"/>
      <c r="BU244" s="35"/>
      <c r="BV244" s="35"/>
      <c r="BX244"/>
      <c r="CA244" s="35"/>
      <c r="CB244" s="35"/>
      <c r="CC244"/>
      <c r="CG244" s="35"/>
      <c r="CH244" s="35"/>
      <c r="CK244"/>
      <c r="CM244" s="35"/>
      <c r="CN244" s="35"/>
      <c r="CQ244"/>
      <c r="CS244" s="35"/>
      <c r="CT244" s="35"/>
      <c r="CX244"/>
      <c r="CZ244" s="35"/>
      <c r="DD244" s="34"/>
      <c r="DG244" t="s">
        <v>792</v>
      </c>
      <c r="DH244" t="s">
        <v>956</v>
      </c>
      <c r="DI244" t="s">
        <v>233</v>
      </c>
      <c r="DL244" t="s">
        <v>673</v>
      </c>
      <c r="DM244">
        <v>5</v>
      </c>
      <c r="DN244">
        <v>9</v>
      </c>
      <c r="DO244" t="s">
        <v>793</v>
      </c>
      <c r="DQ244" t="s">
        <v>927</v>
      </c>
      <c r="DR244">
        <v>14</v>
      </c>
      <c r="DS244">
        <v>0</v>
      </c>
      <c r="DU244">
        <v>14</v>
      </c>
      <c r="DV244">
        <v>0</v>
      </c>
      <c r="DX244">
        <v>14</v>
      </c>
      <c r="DY244">
        <v>0</v>
      </c>
      <c r="DZ244" t="s">
        <v>246</v>
      </c>
      <c r="EA244" t="s">
        <v>929</v>
      </c>
    </row>
    <row r="245" spans="1:131" x14ac:dyDescent="0.4">
      <c r="A245" s="34">
        <v>43067.305104166669</v>
      </c>
      <c r="B245" s="25">
        <v>42935.374305555553</v>
      </c>
      <c r="D245" s="34"/>
      <c r="E245" s="34" t="s">
        <v>193</v>
      </c>
      <c r="F245" s="34" t="s">
        <v>191</v>
      </c>
      <c r="G245" s="34" t="s">
        <v>100</v>
      </c>
      <c r="H245" t="s">
        <v>279</v>
      </c>
      <c r="I245" t="s">
        <v>243</v>
      </c>
      <c r="J245" t="s">
        <v>712</v>
      </c>
      <c r="K245" t="s">
        <v>729</v>
      </c>
      <c r="L245" t="s">
        <v>711</v>
      </c>
      <c r="M245" s="30">
        <v>2.0499999999999998</v>
      </c>
      <c r="N245">
        <v>7</v>
      </c>
      <c r="P245" s="24" t="str">
        <f>IFERROR(MID(RADataTable[[#This Row],[RATemplate]],1,LEN(RADataTable[[#This Row],[RATemplate]])-8),"RA") &amp; " " &amp; RADataTable[[#This Row],[prop_id0]] &amp; " " &amp; RADataTable[[#This Row],[last0]]</f>
        <v>RA 1750127 Nagarajan</v>
      </c>
      <c r="T245">
        <v>4</v>
      </c>
      <c r="U245">
        <v>4</v>
      </c>
      <c r="V245" s="34">
        <v>43032.519444444442</v>
      </c>
      <c r="W245">
        <v>1</v>
      </c>
      <c r="X245" s="15" t="str">
        <f>HYPERLINK("https://www.ejacket.nsf.gov/ej/showProposal.do?Continue=Y&amp;ID="&amp;RADataTable[[#This Row],[prop_id0]],"eJ")</f>
        <v>eJ</v>
      </c>
      <c r="Y245" s="15" t="str">
        <f>HYPERLINK("mailto:"&amp;RADataTable[[#This Row],[email]]&amp;"&amp;subject=Your NSF Proposal:  "&amp;RADataTable[[#This Row],[Div]]&amp;" "&amp;RADataTable[[#This Row],[prop_id0]], RADataTable[[#This Row],[email]])</f>
        <v>viswa@umich.edu</v>
      </c>
      <c r="Z245" s="15" t="str">
        <f>HYPERLINK("mailto:"&amp;RADataTable[[#This Row],[allPIemail]]&amp;"&amp;subject=NSF Proposal:  "&amp;RADataTable[[#This Row],[Div]]&amp;" "&amp;RADataTable[[#This Row],[prop_id0]], "PIs@")</f>
        <v>PIs@</v>
      </c>
      <c r="AA245" t="s">
        <v>245</v>
      </c>
      <c r="AB245" t="s">
        <v>673</v>
      </c>
      <c r="AC245" s="30" t="s">
        <v>788</v>
      </c>
      <c r="AD245" t="s">
        <v>789</v>
      </c>
      <c r="AE245" t="s">
        <v>790</v>
      </c>
      <c r="AF245" s="36">
        <v>524840</v>
      </c>
      <c r="AG245" s="36">
        <v>524840</v>
      </c>
      <c r="AH245" s="24"/>
      <c r="AJ245" s="34"/>
      <c r="AK245" t="s">
        <v>923</v>
      </c>
      <c r="AL245" t="s">
        <v>232</v>
      </c>
      <c r="AM245" s="34" t="s">
        <v>925</v>
      </c>
      <c r="AN245" s="34">
        <v>43032</v>
      </c>
      <c r="AO245" s="24">
        <v>5</v>
      </c>
      <c r="AP245" t="s">
        <v>955</v>
      </c>
      <c r="AR245" s="35"/>
      <c r="AS245"/>
      <c r="AT245" s="34"/>
      <c r="AV245" s="34"/>
      <c r="AX245" s="34"/>
      <c r="AY245"/>
      <c r="BA245" s="34"/>
      <c r="BB245"/>
      <c r="BC245" t="s">
        <v>794</v>
      </c>
      <c r="BD245" s="36">
        <v>524840</v>
      </c>
      <c r="BE245" s="36">
        <v>524840</v>
      </c>
      <c r="BF245">
        <v>0</v>
      </c>
      <c r="BG245" s="34">
        <v>43221</v>
      </c>
      <c r="BH245">
        <v>60</v>
      </c>
      <c r="BI245" t="s">
        <v>283</v>
      </c>
      <c r="BJ245" t="s">
        <v>928</v>
      </c>
      <c r="BK245" t="s">
        <v>934</v>
      </c>
      <c r="BL245" t="s">
        <v>194</v>
      </c>
      <c r="BM245" s="8" t="s">
        <v>192</v>
      </c>
      <c r="BN245" t="s">
        <v>189</v>
      </c>
      <c r="BO245" t="s">
        <v>190</v>
      </c>
      <c r="BP245" s="35" t="s">
        <v>288</v>
      </c>
      <c r="BQ245"/>
      <c r="BU245" s="35"/>
      <c r="BV245" s="35"/>
      <c r="BX245"/>
      <c r="CA245" s="35"/>
      <c r="CB245" s="35"/>
      <c r="CC245"/>
      <c r="CG245" s="35"/>
      <c r="CH245" s="35"/>
      <c r="CK245"/>
      <c r="CM245" s="35"/>
      <c r="CN245" s="35"/>
      <c r="CQ245"/>
      <c r="CS245" s="35"/>
      <c r="CT245" s="35"/>
      <c r="CX245"/>
      <c r="CZ245" s="35"/>
      <c r="DD245" s="34"/>
      <c r="DG245" t="s">
        <v>792</v>
      </c>
      <c r="DH245" t="s">
        <v>956</v>
      </c>
      <c r="DI245" t="s">
        <v>233</v>
      </c>
      <c r="DL245" t="s">
        <v>673</v>
      </c>
      <c r="DM245">
        <v>5</v>
      </c>
      <c r="DN245">
        <v>9</v>
      </c>
      <c r="DO245" t="s">
        <v>793</v>
      </c>
      <c r="DQ245" t="s">
        <v>927</v>
      </c>
      <c r="DR245">
        <v>14</v>
      </c>
      <c r="DS245">
        <v>0</v>
      </c>
      <c r="DU245">
        <v>14</v>
      </c>
      <c r="DV245">
        <v>0</v>
      </c>
      <c r="DX245">
        <v>14</v>
      </c>
      <c r="DY245">
        <v>0</v>
      </c>
      <c r="DZ245" t="s">
        <v>246</v>
      </c>
      <c r="EA245" t="s">
        <v>929</v>
      </c>
    </row>
    <row r="246" spans="1:131" x14ac:dyDescent="0.4">
      <c r="A246" s="34">
        <v>43067.305104166669</v>
      </c>
      <c r="B246" s="25">
        <v>42935.374305555553</v>
      </c>
      <c r="D246" s="34"/>
      <c r="E246" s="34" t="s">
        <v>193</v>
      </c>
      <c r="F246" s="34" t="s">
        <v>191</v>
      </c>
      <c r="G246" s="34" t="s">
        <v>100</v>
      </c>
      <c r="H246" t="s">
        <v>279</v>
      </c>
      <c r="I246" t="s">
        <v>243</v>
      </c>
      <c r="J246" t="s">
        <v>712</v>
      </c>
      <c r="K246" t="s">
        <v>729</v>
      </c>
      <c r="L246" t="s">
        <v>711</v>
      </c>
      <c r="M246" s="30">
        <v>2.0499999999999998</v>
      </c>
      <c r="N246">
        <v>7</v>
      </c>
      <c r="P246" s="24" t="str">
        <f>IFERROR(MID(RADataTable[[#This Row],[RATemplate]],1,LEN(RADataTable[[#This Row],[RATemplate]])-8),"RA") &amp; " " &amp; RADataTable[[#This Row],[prop_id0]] &amp; " " &amp; RADataTable[[#This Row],[last0]]</f>
        <v>RA 1750127 Nagarajan</v>
      </c>
      <c r="T246">
        <v>4</v>
      </c>
      <c r="U246">
        <v>4</v>
      </c>
      <c r="V246" s="34">
        <v>43032.519444444442</v>
      </c>
      <c r="W246">
        <v>1</v>
      </c>
      <c r="X246" s="15" t="str">
        <f>HYPERLINK("https://www.ejacket.nsf.gov/ej/showProposal.do?Continue=Y&amp;ID="&amp;RADataTable[[#This Row],[prop_id0]],"eJ")</f>
        <v>eJ</v>
      </c>
      <c r="Y246" s="15" t="str">
        <f>HYPERLINK("mailto:"&amp;RADataTable[[#This Row],[email]]&amp;"&amp;subject=Your NSF Proposal:  "&amp;RADataTable[[#This Row],[Div]]&amp;" "&amp;RADataTable[[#This Row],[prop_id0]], RADataTable[[#This Row],[email]])</f>
        <v>viswa@umich.edu</v>
      </c>
      <c r="Z246" s="15" t="str">
        <f>HYPERLINK("mailto:"&amp;RADataTable[[#This Row],[allPIemail]]&amp;"&amp;subject=NSF Proposal:  "&amp;RADataTable[[#This Row],[Div]]&amp;" "&amp;RADataTable[[#This Row],[prop_id0]], "PIs@")</f>
        <v>PIs@</v>
      </c>
      <c r="AA246" t="s">
        <v>245</v>
      </c>
      <c r="AB246" t="s">
        <v>673</v>
      </c>
      <c r="AC246" s="30" t="s">
        <v>788</v>
      </c>
      <c r="AD246" t="s">
        <v>789</v>
      </c>
      <c r="AE246" t="s">
        <v>790</v>
      </c>
      <c r="AF246" s="36">
        <v>524840</v>
      </c>
      <c r="AG246" s="36">
        <v>524840</v>
      </c>
      <c r="AH246" s="24"/>
      <c r="AJ246" s="34"/>
      <c r="AK246" t="s">
        <v>923</v>
      </c>
      <c r="AL246" t="s">
        <v>232</v>
      </c>
      <c r="AM246" s="34" t="s">
        <v>925</v>
      </c>
      <c r="AN246" s="34">
        <v>43032</v>
      </c>
      <c r="AO246" s="24">
        <v>5</v>
      </c>
      <c r="AP246" t="s">
        <v>955</v>
      </c>
      <c r="AR246" s="35"/>
      <c r="AS246"/>
      <c r="AT246" s="34"/>
      <c r="AV246" s="34"/>
      <c r="AX246" s="34"/>
      <c r="AY246"/>
      <c r="BA246" s="34"/>
      <c r="BB246"/>
      <c r="BC246" t="s">
        <v>794</v>
      </c>
      <c r="BD246" s="36">
        <v>524840</v>
      </c>
      <c r="BE246" s="36">
        <v>524840</v>
      </c>
      <c r="BF246">
        <v>0</v>
      </c>
      <c r="BG246" s="34">
        <v>43221</v>
      </c>
      <c r="BH246">
        <v>60</v>
      </c>
      <c r="BI246" t="s">
        <v>283</v>
      </c>
      <c r="BJ246" t="s">
        <v>928</v>
      </c>
      <c r="BK246" t="s">
        <v>934</v>
      </c>
      <c r="BL246" t="s">
        <v>194</v>
      </c>
      <c r="BM246" s="8" t="s">
        <v>192</v>
      </c>
      <c r="BN246" t="s">
        <v>189</v>
      </c>
      <c r="BO246" t="s">
        <v>190</v>
      </c>
      <c r="BP246" s="35" t="s">
        <v>288</v>
      </c>
      <c r="BQ246"/>
      <c r="BU246" s="35"/>
      <c r="BV246" s="35"/>
      <c r="BX246"/>
      <c r="CA246" s="35"/>
      <c r="CB246" s="35"/>
      <c r="CC246"/>
      <c r="CG246" s="35"/>
      <c r="CH246" s="35"/>
      <c r="CK246"/>
      <c r="CM246" s="35"/>
      <c r="CN246" s="35"/>
      <c r="CQ246"/>
      <c r="CS246" s="35"/>
      <c r="CT246" s="35"/>
      <c r="CX246"/>
      <c r="CZ246" s="35"/>
      <c r="DD246" s="34"/>
      <c r="DG246" t="s">
        <v>792</v>
      </c>
      <c r="DH246" t="s">
        <v>956</v>
      </c>
      <c r="DI246" t="s">
        <v>233</v>
      </c>
      <c r="DL246" t="s">
        <v>673</v>
      </c>
      <c r="DM246">
        <v>5</v>
      </c>
      <c r="DN246">
        <v>9</v>
      </c>
      <c r="DO246" t="s">
        <v>793</v>
      </c>
      <c r="DQ246" t="s">
        <v>927</v>
      </c>
      <c r="DR246">
        <v>14</v>
      </c>
      <c r="DS246">
        <v>0</v>
      </c>
      <c r="DU246">
        <v>14</v>
      </c>
      <c r="DV246">
        <v>0</v>
      </c>
      <c r="DX246">
        <v>14</v>
      </c>
      <c r="DY246">
        <v>0</v>
      </c>
      <c r="DZ246" t="s">
        <v>246</v>
      </c>
      <c r="EA246" t="s">
        <v>929</v>
      </c>
    </row>
    <row r="247" spans="1:131" x14ac:dyDescent="0.4">
      <c r="A247" s="34">
        <v>43067.305104166669</v>
      </c>
      <c r="B247" s="25">
        <v>42935.374305555553</v>
      </c>
      <c r="D247" s="34"/>
      <c r="E247" s="34" t="s">
        <v>193</v>
      </c>
      <c r="F247" s="34" t="s">
        <v>191</v>
      </c>
      <c r="G247" s="34" t="s">
        <v>100</v>
      </c>
      <c r="H247" t="s">
        <v>279</v>
      </c>
      <c r="I247" t="s">
        <v>243</v>
      </c>
      <c r="J247" t="s">
        <v>712</v>
      </c>
      <c r="K247" t="s">
        <v>729</v>
      </c>
      <c r="L247" t="s">
        <v>711</v>
      </c>
      <c r="M247" s="30">
        <v>2.0499999999999998</v>
      </c>
      <c r="N247">
        <v>7</v>
      </c>
      <c r="P247" s="24" t="str">
        <f>IFERROR(MID(RADataTable[[#This Row],[RATemplate]],1,LEN(RADataTable[[#This Row],[RATemplate]])-8),"RA") &amp; " " &amp; RADataTable[[#This Row],[prop_id0]] &amp; " " &amp; RADataTable[[#This Row],[last0]]</f>
        <v>RA 1750127 Nagarajan</v>
      </c>
      <c r="T247">
        <v>4</v>
      </c>
      <c r="U247">
        <v>4</v>
      </c>
      <c r="V247" s="34">
        <v>43032.519444444442</v>
      </c>
      <c r="W247">
        <v>1</v>
      </c>
      <c r="X247" s="15" t="str">
        <f>HYPERLINK("https://www.ejacket.nsf.gov/ej/showProposal.do?Continue=Y&amp;ID="&amp;RADataTable[[#This Row],[prop_id0]],"eJ")</f>
        <v>eJ</v>
      </c>
      <c r="Y247" s="15" t="str">
        <f>HYPERLINK("mailto:"&amp;RADataTable[[#This Row],[email]]&amp;"&amp;subject=Your NSF Proposal:  "&amp;RADataTable[[#This Row],[Div]]&amp;" "&amp;RADataTable[[#This Row],[prop_id0]], RADataTable[[#This Row],[email]])</f>
        <v>viswa@umich.edu</v>
      </c>
      <c r="Z247" s="15" t="str">
        <f>HYPERLINK("mailto:"&amp;RADataTable[[#This Row],[allPIemail]]&amp;"&amp;subject=NSF Proposal:  "&amp;RADataTable[[#This Row],[Div]]&amp;" "&amp;RADataTable[[#This Row],[prop_id0]], "PIs@")</f>
        <v>PIs@</v>
      </c>
      <c r="AA247" t="s">
        <v>245</v>
      </c>
      <c r="AB247" t="s">
        <v>673</v>
      </c>
      <c r="AC247" s="30" t="s">
        <v>788</v>
      </c>
      <c r="AD247" t="s">
        <v>789</v>
      </c>
      <c r="AE247" t="s">
        <v>790</v>
      </c>
      <c r="AF247" s="36">
        <v>524840</v>
      </c>
      <c r="AG247" s="36">
        <v>524840</v>
      </c>
      <c r="AH247" s="24"/>
      <c r="AJ247" s="34"/>
      <c r="AK247" t="s">
        <v>923</v>
      </c>
      <c r="AL247" t="s">
        <v>232</v>
      </c>
      <c r="AM247" s="34" t="s">
        <v>925</v>
      </c>
      <c r="AN247" s="34">
        <v>43032</v>
      </c>
      <c r="AO247" s="24">
        <v>5</v>
      </c>
      <c r="AP247" t="s">
        <v>955</v>
      </c>
      <c r="AR247" s="35"/>
      <c r="AS247"/>
      <c r="AT247" s="34"/>
      <c r="AV247" s="34"/>
      <c r="AX247" s="34"/>
      <c r="AY247"/>
      <c r="BA247" s="34"/>
      <c r="BB247"/>
      <c r="BC247" t="s">
        <v>794</v>
      </c>
      <c r="BD247" s="36">
        <v>524840</v>
      </c>
      <c r="BE247" s="36">
        <v>524840</v>
      </c>
      <c r="BF247">
        <v>0</v>
      </c>
      <c r="BG247" s="34">
        <v>43221</v>
      </c>
      <c r="BH247">
        <v>60</v>
      </c>
      <c r="BI247" t="s">
        <v>283</v>
      </c>
      <c r="BJ247" t="s">
        <v>928</v>
      </c>
      <c r="BK247" t="s">
        <v>934</v>
      </c>
      <c r="BL247" t="s">
        <v>194</v>
      </c>
      <c r="BM247" s="8" t="s">
        <v>192</v>
      </c>
      <c r="BN247" t="s">
        <v>189</v>
      </c>
      <c r="BO247" t="s">
        <v>190</v>
      </c>
      <c r="BP247" s="35" t="s">
        <v>288</v>
      </c>
      <c r="BQ247"/>
      <c r="BU247" s="35"/>
      <c r="BV247" s="35"/>
      <c r="BX247"/>
      <c r="CA247" s="35"/>
      <c r="CB247" s="35"/>
      <c r="CC247"/>
      <c r="CG247" s="35"/>
      <c r="CH247" s="35"/>
      <c r="CK247"/>
      <c r="CM247" s="35"/>
      <c r="CN247" s="35"/>
      <c r="CQ247"/>
      <c r="CS247" s="35"/>
      <c r="CT247" s="35"/>
      <c r="CX247"/>
      <c r="CZ247" s="35"/>
      <c r="DD247" s="34"/>
      <c r="DG247" t="s">
        <v>792</v>
      </c>
      <c r="DH247" t="s">
        <v>956</v>
      </c>
      <c r="DI247" t="s">
        <v>233</v>
      </c>
      <c r="DL247" t="s">
        <v>673</v>
      </c>
      <c r="DM247">
        <v>5</v>
      </c>
      <c r="DN247">
        <v>9</v>
      </c>
      <c r="DO247" t="s">
        <v>793</v>
      </c>
      <c r="DQ247" t="s">
        <v>927</v>
      </c>
      <c r="DR247">
        <v>14</v>
      </c>
      <c r="DS247">
        <v>0</v>
      </c>
      <c r="DU247">
        <v>14</v>
      </c>
      <c r="DV247">
        <v>0</v>
      </c>
      <c r="DX247">
        <v>14</v>
      </c>
      <c r="DY247">
        <v>0</v>
      </c>
      <c r="DZ247" t="s">
        <v>246</v>
      </c>
      <c r="EA247" t="s">
        <v>929</v>
      </c>
    </row>
    <row r="248" spans="1:131" x14ac:dyDescent="0.4">
      <c r="A248" s="34">
        <v>43067.305104166669</v>
      </c>
      <c r="B248" s="25">
        <v>42935.374305555553</v>
      </c>
      <c r="D248" s="34"/>
      <c r="E248" s="34" t="s">
        <v>193</v>
      </c>
      <c r="F248" s="34" t="s">
        <v>191</v>
      </c>
      <c r="G248" s="34" t="s">
        <v>100</v>
      </c>
      <c r="H248" t="s">
        <v>279</v>
      </c>
      <c r="I248" t="s">
        <v>243</v>
      </c>
      <c r="J248" t="s">
        <v>712</v>
      </c>
      <c r="K248" t="s">
        <v>729</v>
      </c>
      <c r="L248" t="s">
        <v>711</v>
      </c>
      <c r="M248" s="30">
        <v>2.0499999999999998</v>
      </c>
      <c r="N248">
        <v>7</v>
      </c>
      <c r="P248" s="24" t="str">
        <f>IFERROR(MID(RADataTable[[#This Row],[RATemplate]],1,LEN(RADataTable[[#This Row],[RATemplate]])-8),"RA") &amp; " " &amp; RADataTable[[#This Row],[prop_id0]] &amp; " " &amp; RADataTable[[#This Row],[last0]]</f>
        <v>RA 1750127 Nagarajan</v>
      </c>
      <c r="T248">
        <v>4</v>
      </c>
      <c r="U248">
        <v>4</v>
      </c>
      <c r="V248" s="34">
        <v>43032.519444444442</v>
      </c>
      <c r="W248">
        <v>1</v>
      </c>
      <c r="X248" s="15" t="str">
        <f>HYPERLINK("https://www.ejacket.nsf.gov/ej/showProposal.do?Continue=Y&amp;ID="&amp;RADataTable[[#This Row],[prop_id0]],"eJ")</f>
        <v>eJ</v>
      </c>
      <c r="Y248" s="15" t="str">
        <f>HYPERLINK("mailto:"&amp;RADataTable[[#This Row],[email]]&amp;"&amp;subject=Your NSF Proposal:  "&amp;RADataTable[[#This Row],[Div]]&amp;" "&amp;RADataTable[[#This Row],[prop_id0]], RADataTable[[#This Row],[email]])</f>
        <v>viswa@umich.edu</v>
      </c>
      <c r="Z248" s="15" t="str">
        <f>HYPERLINK("mailto:"&amp;RADataTable[[#This Row],[allPIemail]]&amp;"&amp;subject=NSF Proposal:  "&amp;RADataTable[[#This Row],[Div]]&amp;" "&amp;RADataTable[[#This Row],[prop_id0]], "PIs@")</f>
        <v>PIs@</v>
      </c>
      <c r="AA248" t="s">
        <v>245</v>
      </c>
      <c r="AB248" t="s">
        <v>673</v>
      </c>
      <c r="AC248" s="30" t="s">
        <v>788</v>
      </c>
      <c r="AD248" t="s">
        <v>789</v>
      </c>
      <c r="AE248" t="s">
        <v>790</v>
      </c>
      <c r="AF248" s="36">
        <v>524840</v>
      </c>
      <c r="AG248" s="36">
        <v>524840</v>
      </c>
      <c r="AH248" s="24"/>
      <c r="AJ248" s="34"/>
      <c r="AK248" t="s">
        <v>923</v>
      </c>
      <c r="AL248" t="s">
        <v>232</v>
      </c>
      <c r="AM248" s="34" t="s">
        <v>925</v>
      </c>
      <c r="AN248" s="34">
        <v>43032</v>
      </c>
      <c r="AO248" s="24">
        <v>5</v>
      </c>
      <c r="AP248" t="s">
        <v>955</v>
      </c>
      <c r="AR248" s="35"/>
      <c r="AS248"/>
      <c r="AT248" s="34"/>
      <c r="AV248" s="34"/>
      <c r="AX248" s="34"/>
      <c r="AY248"/>
      <c r="BA248" s="34"/>
      <c r="BB248"/>
      <c r="BC248" t="s">
        <v>794</v>
      </c>
      <c r="BD248" s="36">
        <v>524840</v>
      </c>
      <c r="BE248" s="36">
        <v>524840</v>
      </c>
      <c r="BF248">
        <v>0</v>
      </c>
      <c r="BG248" s="34">
        <v>43221</v>
      </c>
      <c r="BH248">
        <v>60</v>
      </c>
      <c r="BI248" t="s">
        <v>283</v>
      </c>
      <c r="BJ248" t="s">
        <v>928</v>
      </c>
      <c r="BK248" t="s">
        <v>934</v>
      </c>
      <c r="BL248" t="s">
        <v>194</v>
      </c>
      <c r="BM248" s="8" t="s">
        <v>192</v>
      </c>
      <c r="BN248" t="s">
        <v>189</v>
      </c>
      <c r="BO248" t="s">
        <v>190</v>
      </c>
      <c r="BP248" s="35" t="s">
        <v>288</v>
      </c>
      <c r="BQ248"/>
      <c r="BU248" s="35"/>
      <c r="BV248" s="35"/>
      <c r="BX248"/>
      <c r="CA248" s="35"/>
      <c r="CB248" s="35"/>
      <c r="CC248"/>
      <c r="CG248" s="35"/>
      <c r="CH248" s="35"/>
      <c r="CK248"/>
      <c r="CM248" s="35"/>
      <c r="CN248" s="35"/>
      <c r="CQ248"/>
      <c r="CS248" s="35"/>
      <c r="CT248" s="35"/>
      <c r="CX248"/>
      <c r="CZ248" s="35"/>
      <c r="DD248" s="34"/>
      <c r="DG248" t="s">
        <v>792</v>
      </c>
      <c r="DH248" t="s">
        <v>956</v>
      </c>
      <c r="DI248" t="s">
        <v>233</v>
      </c>
      <c r="DL248" t="s">
        <v>673</v>
      </c>
      <c r="DM248">
        <v>5</v>
      </c>
      <c r="DN248">
        <v>9</v>
      </c>
      <c r="DO248" t="s">
        <v>793</v>
      </c>
      <c r="DQ248" t="s">
        <v>927</v>
      </c>
      <c r="DR248">
        <v>14</v>
      </c>
      <c r="DS248">
        <v>0</v>
      </c>
      <c r="DU248">
        <v>14</v>
      </c>
      <c r="DV248">
        <v>0</v>
      </c>
      <c r="DX248">
        <v>14</v>
      </c>
      <c r="DY248">
        <v>0</v>
      </c>
      <c r="DZ248" t="s">
        <v>246</v>
      </c>
      <c r="EA248" t="s">
        <v>929</v>
      </c>
    </row>
    <row r="249" spans="1:131" x14ac:dyDescent="0.4">
      <c r="A249" s="34">
        <v>43067.305104166669</v>
      </c>
      <c r="B249" s="25">
        <v>42935.374305555553</v>
      </c>
      <c r="D249" s="34"/>
      <c r="E249" s="34" t="s">
        <v>193</v>
      </c>
      <c r="F249" s="34" t="s">
        <v>191</v>
      </c>
      <c r="G249" s="34" t="s">
        <v>100</v>
      </c>
      <c r="H249" t="s">
        <v>279</v>
      </c>
      <c r="I249" t="s">
        <v>243</v>
      </c>
      <c r="J249" t="s">
        <v>712</v>
      </c>
      <c r="K249" t="s">
        <v>729</v>
      </c>
      <c r="L249" t="s">
        <v>711</v>
      </c>
      <c r="M249" s="30">
        <v>2.0499999999999998</v>
      </c>
      <c r="N249">
        <v>7</v>
      </c>
      <c r="P249" s="24" t="str">
        <f>IFERROR(MID(RADataTable[[#This Row],[RATemplate]],1,LEN(RADataTable[[#This Row],[RATemplate]])-8),"RA") &amp; " " &amp; RADataTable[[#This Row],[prop_id0]] &amp; " " &amp; RADataTable[[#This Row],[last0]]</f>
        <v>RA 1750127 Nagarajan</v>
      </c>
      <c r="T249">
        <v>4</v>
      </c>
      <c r="U249">
        <v>4</v>
      </c>
      <c r="V249" s="34">
        <v>43032.519444444442</v>
      </c>
      <c r="W249">
        <v>1</v>
      </c>
      <c r="X249" s="15" t="str">
        <f>HYPERLINK("https://www.ejacket.nsf.gov/ej/showProposal.do?Continue=Y&amp;ID="&amp;RADataTable[[#This Row],[prop_id0]],"eJ")</f>
        <v>eJ</v>
      </c>
      <c r="Y249" s="15" t="str">
        <f>HYPERLINK("mailto:"&amp;RADataTable[[#This Row],[email]]&amp;"&amp;subject=Your NSF Proposal:  "&amp;RADataTable[[#This Row],[Div]]&amp;" "&amp;RADataTable[[#This Row],[prop_id0]], RADataTable[[#This Row],[email]])</f>
        <v>viswa@umich.edu</v>
      </c>
      <c r="Z249" s="15" t="str">
        <f>HYPERLINK("mailto:"&amp;RADataTable[[#This Row],[allPIemail]]&amp;"&amp;subject=NSF Proposal:  "&amp;RADataTable[[#This Row],[Div]]&amp;" "&amp;RADataTable[[#This Row],[prop_id0]], "PIs@")</f>
        <v>PIs@</v>
      </c>
      <c r="AA249" t="s">
        <v>245</v>
      </c>
      <c r="AB249" t="s">
        <v>673</v>
      </c>
      <c r="AC249" s="30" t="s">
        <v>788</v>
      </c>
      <c r="AD249" t="s">
        <v>789</v>
      </c>
      <c r="AE249" t="s">
        <v>790</v>
      </c>
      <c r="AF249" s="36">
        <v>524840</v>
      </c>
      <c r="AG249" s="36">
        <v>524840</v>
      </c>
      <c r="AH249" s="24"/>
      <c r="AJ249" s="34"/>
      <c r="AK249" t="s">
        <v>923</v>
      </c>
      <c r="AL249" t="s">
        <v>232</v>
      </c>
      <c r="AM249" s="34" t="s">
        <v>925</v>
      </c>
      <c r="AN249" s="34">
        <v>43032</v>
      </c>
      <c r="AO249" s="24">
        <v>5</v>
      </c>
      <c r="AP249" t="s">
        <v>955</v>
      </c>
      <c r="AR249" s="35"/>
      <c r="AS249"/>
      <c r="AT249" s="34"/>
      <c r="AV249" s="34"/>
      <c r="AX249" s="34"/>
      <c r="AY249"/>
      <c r="BA249" s="34"/>
      <c r="BB249"/>
      <c r="BC249" t="s">
        <v>794</v>
      </c>
      <c r="BD249" s="36">
        <v>524840</v>
      </c>
      <c r="BE249" s="36">
        <v>524840</v>
      </c>
      <c r="BF249">
        <v>0</v>
      </c>
      <c r="BG249" s="34">
        <v>43221</v>
      </c>
      <c r="BH249">
        <v>60</v>
      </c>
      <c r="BI249" t="s">
        <v>283</v>
      </c>
      <c r="BJ249" t="s">
        <v>928</v>
      </c>
      <c r="BK249" t="s">
        <v>934</v>
      </c>
      <c r="BL249" t="s">
        <v>194</v>
      </c>
      <c r="BM249" s="8" t="s">
        <v>192</v>
      </c>
      <c r="BN249" t="s">
        <v>189</v>
      </c>
      <c r="BO249" t="s">
        <v>190</v>
      </c>
      <c r="BP249" s="35" t="s">
        <v>288</v>
      </c>
      <c r="BQ249"/>
      <c r="BU249" s="35"/>
      <c r="BV249" s="35"/>
      <c r="BX249"/>
      <c r="CA249" s="35"/>
      <c r="CB249" s="35"/>
      <c r="CC249"/>
      <c r="CG249" s="35"/>
      <c r="CH249" s="35"/>
      <c r="CK249"/>
      <c r="CM249" s="35"/>
      <c r="CN249" s="35"/>
      <c r="CQ249"/>
      <c r="CS249" s="35"/>
      <c r="CT249" s="35"/>
      <c r="CX249"/>
      <c r="CZ249" s="35"/>
      <c r="DD249" s="34"/>
      <c r="DG249" t="s">
        <v>792</v>
      </c>
      <c r="DH249" t="s">
        <v>956</v>
      </c>
      <c r="DI249" t="s">
        <v>233</v>
      </c>
      <c r="DL249" t="s">
        <v>673</v>
      </c>
      <c r="DM249">
        <v>5</v>
      </c>
      <c r="DN249">
        <v>9</v>
      </c>
      <c r="DO249" t="s">
        <v>793</v>
      </c>
      <c r="DQ249" t="s">
        <v>927</v>
      </c>
      <c r="DR249">
        <v>14</v>
      </c>
      <c r="DS249">
        <v>0</v>
      </c>
      <c r="DU249">
        <v>14</v>
      </c>
      <c r="DV249">
        <v>0</v>
      </c>
      <c r="DX249">
        <v>14</v>
      </c>
      <c r="DY249">
        <v>0</v>
      </c>
      <c r="DZ249" t="s">
        <v>246</v>
      </c>
      <c r="EA249" t="s">
        <v>929</v>
      </c>
    </row>
    <row r="250" spans="1:131" x14ac:dyDescent="0.4">
      <c r="A250" s="34">
        <v>43067.305104166669</v>
      </c>
      <c r="B250" s="25">
        <v>42935.374305555553</v>
      </c>
      <c r="D250" s="34"/>
      <c r="E250" s="34" t="s">
        <v>193</v>
      </c>
      <c r="F250" s="34" t="s">
        <v>191</v>
      </c>
      <c r="G250" s="34" t="s">
        <v>100</v>
      </c>
      <c r="H250" t="s">
        <v>279</v>
      </c>
      <c r="I250" t="s">
        <v>243</v>
      </c>
      <c r="J250" t="s">
        <v>712</v>
      </c>
      <c r="K250" t="s">
        <v>729</v>
      </c>
      <c r="L250" t="s">
        <v>711</v>
      </c>
      <c r="M250" s="30">
        <v>2.0499999999999998</v>
      </c>
      <c r="N250">
        <v>7</v>
      </c>
      <c r="P250" s="24" t="str">
        <f>IFERROR(MID(RADataTable[[#This Row],[RATemplate]],1,LEN(RADataTable[[#This Row],[RATemplate]])-8),"RA") &amp; " " &amp; RADataTable[[#This Row],[prop_id0]] &amp; " " &amp; RADataTable[[#This Row],[last0]]</f>
        <v>RA 1750127 Nagarajan</v>
      </c>
      <c r="T250">
        <v>4</v>
      </c>
      <c r="U250">
        <v>4</v>
      </c>
      <c r="V250" s="34">
        <v>43032.519444444442</v>
      </c>
      <c r="W250">
        <v>1</v>
      </c>
      <c r="X250" s="15" t="str">
        <f>HYPERLINK("https://www.ejacket.nsf.gov/ej/showProposal.do?Continue=Y&amp;ID="&amp;RADataTable[[#This Row],[prop_id0]],"eJ")</f>
        <v>eJ</v>
      </c>
      <c r="Y250" s="15" t="str">
        <f>HYPERLINK("mailto:"&amp;RADataTable[[#This Row],[email]]&amp;"&amp;subject=Your NSF Proposal:  "&amp;RADataTable[[#This Row],[Div]]&amp;" "&amp;RADataTable[[#This Row],[prop_id0]], RADataTable[[#This Row],[email]])</f>
        <v>viswa@umich.edu</v>
      </c>
      <c r="Z250" s="15" t="str">
        <f>HYPERLINK("mailto:"&amp;RADataTable[[#This Row],[allPIemail]]&amp;"&amp;subject=NSF Proposal:  "&amp;RADataTable[[#This Row],[Div]]&amp;" "&amp;RADataTable[[#This Row],[prop_id0]], "PIs@")</f>
        <v>PIs@</v>
      </c>
      <c r="AA250" t="s">
        <v>245</v>
      </c>
      <c r="AB250" t="s">
        <v>673</v>
      </c>
      <c r="AC250" s="30" t="s">
        <v>788</v>
      </c>
      <c r="AD250" t="s">
        <v>789</v>
      </c>
      <c r="AE250" t="s">
        <v>790</v>
      </c>
      <c r="AF250" s="36">
        <v>524840</v>
      </c>
      <c r="AG250" s="36">
        <v>524840</v>
      </c>
      <c r="AH250" s="24"/>
      <c r="AJ250" s="34"/>
      <c r="AK250" t="s">
        <v>923</v>
      </c>
      <c r="AL250" t="s">
        <v>232</v>
      </c>
      <c r="AM250" s="34" t="s">
        <v>925</v>
      </c>
      <c r="AN250" s="34">
        <v>43032</v>
      </c>
      <c r="AO250" s="24">
        <v>5</v>
      </c>
      <c r="AP250" t="s">
        <v>955</v>
      </c>
      <c r="AR250" s="35"/>
      <c r="AS250"/>
      <c r="AT250" s="34"/>
      <c r="AV250" s="34"/>
      <c r="AX250" s="34"/>
      <c r="AY250"/>
      <c r="BA250" s="34"/>
      <c r="BB250"/>
      <c r="BC250" t="s">
        <v>794</v>
      </c>
      <c r="BD250" s="36">
        <v>524840</v>
      </c>
      <c r="BE250" s="36">
        <v>524840</v>
      </c>
      <c r="BF250">
        <v>0</v>
      </c>
      <c r="BG250" s="34">
        <v>43221</v>
      </c>
      <c r="BH250">
        <v>60</v>
      </c>
      <c r="BI250" t="s">
        <v>283</v>
      </c>
      <c r="BJ250" t="s">
        <v>928</v>
      </c>
      <c r="BK250" t="s">
        <v>934</v>
      </c>
      <c r="BL250" t="s">
        <v>194</v>
      </c>
      <c r="BM250" s="8" t="s">
        <v>192</v>
      </c>
      <c r="BN250" t="s">
        <v>189</v>
      </c>
      <c r="BO250" t="s">
        <v>190</v>
      </c>
      <c r="BP250" s="35" t="s">
        <v>288</v>
      </c>
      <c r="BQ250"/>
      <c r="BU250" s="35"/>
      <c r="BV250" s="35"/>
      <c r="BX250"/>
      <c r="CA250" s="35"/>
      <c r="CB250" s="35"/>
      <c r="CC250"/>
      <c r="CG250" s="35"/>
      <c r="CH250" s="35"/>
      <c r="CK250"/>
      <c r="CM250" s="35"/>
      <c r="CN250" s="35"/>
      <c r="CQ250"/>
      <c r="CS250" s="35"/>
      <c r="CT250" s="35"/>
      <c r="CX250"/>
      <c r="CZ250" s="35"/>
      <c r="DD250" s="34"/>
      <c r="DG250" t="s">
        <v>792</v>
      </c>
      <c r="DH250" t="s">
        <v>956</v>
      </c>
      <c r="DI250" t="s">
        <v>233</v>
      </c>
      <c r="DL250" t="s">
        <v>673</v>
      </c>
      <c r="DM250">
        <v>5</v>
      </c>
      <c r="DN250">
        <v>9</v>
      </c>
      <c r="DO250" t="s">
        <v>793</v>
      </c>
      <c r="DQ250" t="s">
        <v>927</v>
      </c>
      <c r="DR250">
        <v>14</v>
      </c>
      <c r="DS250">
        <v>0</v>
      </c>
      <c r="DU250">
        <v>14</v>
      </c>
      <c r="DV250">
        <v>0</v>
      </c>
      <c r="DX250">
        <v>14</v>
      </c>
      <c r="DY250">
        <v>0</v>
      </c>
      <c r="DZ250" t="s">
        <v>246</v>
      </c>
      <c r="EA250" t="s">
        <v>929</v>
      </c>
    </row>
    <row r="251" spans="1:131" x14ac:dyDescent="0.4">
      <c r="A251" s="34">
        <v>43067.305104166669</v>
      </c>
      <c r="B251" s="25">
        <v>42934.524305555555</v>
      </c>
      <c r="D251" s="34"/>
      <c r="E251" s="34" t="s">
        <v>193</v>
      </c>
      <c r="F251" s="34" t="s">
        <v>191</v>
      </c>
      <c r="G251" s="34" t="s">
        <v>100</v>
      </c>
      <c r="H251" t="s">
        <v>279</v>
      </c>
      <c r="I251" t="s">
        <v>243</v>
      </c>
      <c r="J251" t="s">
        <v>712</v>
      </c>
      <c r="K251" t="s">
        <v>758</v>
      </c>
      <c r="L251" t="s">
        <v>711</v>
      </c>
      <c r="M251" s="30">
        <v>2.06</v>
      </c>
      <c r="N251">
        <v>6.75</v>
      </c>
      <c r="P251" s="24" t="str">
        <f>IFERROR(MID(RADataTable[[#This Row],[RATemplate]],1,LEN(RADataTable[[#This Row],[RATemplate]])-8),"RA") &amp; " " &amp; RADataTable[[#This Row],[prop_id0]] &amp; " " &amp; RADataTable[[#This Row],[last0]]</f>
        <v>RA 1749748 Chandrasekaran</v>
      </c>
      <c r="T251">
        <v>4</v>
      </c>
      <c r="U251">
        <v>4</v>
      </c>
      <c r="V251" s="34">
        <v>43030.722916666666</v>
      </c>
      <c r="W251">
        <v>1</v>
      </c>
      <c r="X251" s="15" t="str">
        <f>HYPERLINK("https://www.ejacket.nsf.gov/ej/showProposal.do?Continue=Y&amp;ID="&amp;RADataTable[[#This Row],[prop_id0]],"eJ")</f>
        <v>eJ</v>
      </c>
      <c r="Y251" s="15" t="str">
        <f>HYPERLINK("mailto:"&amp;RADataTable[[#This Row],[email]]&amp;"&amp;subject=Your NSF Proposal:  "&amp;RADataTable[[#This Row],[Div]]&amp;" "&amp;RADataTable[[#This Row],[prop_id0]], RADataTable[[#This Row],[email]])</f>
        <v>karthe@illinois.edu</v>
      </c>
      <c r="Z251" s="15" t="str">
        <f>HYPERLINK("mailto:"&amp;RADataTable[[#This Row],[allPIemail]]&amp;"&amp;subject=NSF Proposal:  "&amp;RADataTable[[#This Row],[Div]]&amp;" "&amp;RADataTable[[#This Row],[prop_id0]], "PIs@")</f>
        <v>PIs@</v>
      </c>
      <c r="AA251" t="s">
        <v>245</v>
      </c>
      <c r="AB251" t="s">
        <v>668</v>
      </c>
      <c r="AC251" s="30" t="s">
        <v>759</v>
      </c>
      <c r="AD251" t="s">
        <v>760</v>
      </c>
      <c r="AE251" t="s">
        <v>761</v>
      </c>
      <c r="AF251" s="36">
        <v>446040</v>
      </c>
      <c r="AG251" s="36">
        <v>446040</v>
      </c>
      <c r="AH251" s="24"/>
      <c r="AJ251" s="34"/>
      <c r="AK251" t="s">
        <v>923</v>
      </c>
      <c r="AL251" t="s">
        <v>232</v>
      </c>
      <c r="AM251" s="34" t="s">
        <v>925</v>
      </c>
      <c r="AN251" s="34">
        <v>43032</v>
      </c>
      <c r="AO251" s="24">
        <v>6</v>
      </c>
      <c r="AP251" t="s">
        <v>944</v>
      </c>
      <c r="AR251" s="35"/>
      <c r="AS251"/>
      <c r="AT251" s="34"/>
      <c r="AV251" s="34"/>
      <c r="AX251" s="34"/>
      <c r="AY251"/>
      <c r="BA251" s="34"/>
      <c r="BB251"/>
      <c r="BC251" t="s">
        <v>765</v>
      </c>
      <c r="BD251" s="36">
        <v>446040</v>
      </c>
      <c r="BE251" s="36">
        <v>446040</v>
      </c>
      <c r="BF251">
        <v>0</v>
      </c>
      <c r="BG251" s="34">
        <v>43115</v>
      </c>
      <c r="BH251">
        <v>60</v>
      </c>
      <c r="BI251" t="s">
        <v>283</v>
      </c>
      <c r="BJ251" t="s">
        <v>928</v>
      </c>
      <c r="BK251" t="s">
        <v>945</v>
      </c>
      <c r="BL251" t="s">
        <v>194</v>
      </c>
      <c r="BM251" s="8" t="s">
        <v>192</v>
      </c>
      <c r="BN251" t="s">
        <v>189</v>
      </c>
      <c r="BO251" t="s">
        <v>190</v>
      </c>
      <c r="BP251" s="35" t="s">
        <v>718</v>
      </c>
      <c r="BQ251"/>
      <c r="BU251" s="35"/>
      <c r="BV251" s="35"/>
      <c r="BX251"/>
      <c r="CA251" s="35"/>
      <c r="CB251" s="35"/>
      <c r="CC251"/>
      <c r="CG251" s="35"/>
      <c r="CH251" s="35"/>
      <c r="CK251"/>
      <c r="CM251" s="35"/>
      <c r="CN251" s="35"/>
      <c r="CQ251"/>
      <c r="CS251" s="35"/>
      <c r="CT251" s="35"/>
      <c r="CX251"/>
      <c r="CZ251" s="35"/>
      <c r="DD251" s="34"/>
      <c r="DG251" t="s">
        <v>763</v>
      </c>
      <c r="DH251" t="s">
        <v>946</v>
      </c>
      <c r="DI251" t="s">
        <v>233</v>
      </c>
      <c r="DL251" t="s">
        <v>668</v>
      </c>
      <c r="DM251">
        <v>5</v>
      </c>
      <c r="DN251">
        <v>8</v>
      </c>
      <c r="DO251" t="s">
        <v>764</v>
      </c>
      <c r="DQ251" t="s">
        <v>927</v>
      </c>
      <c r="DR251">
        <v>14</v>
      </c>
      <c r="DS251">
        <v>2</v>
      </c>
      <c r="DU251">
        <v>14</v>
      </c>
      <c r="DV251">
        <v>2</v>
      </c>
      <c r="DX251">
        <v>14</v>
      </c>
      <c r="DY251">
        <v>2</v>
      </c>
      <c r="DZ251" t="s">
        <v>246</v>
      </c>
      <c r="EA251" t="s">
        <v>929</v>
      </c>
    </row>
    <row r="252" spans="1:131" x14ac:dyDescent="0.4">
      <c r="A252" s="34">
        <v>43067.305104166669</v>
      </c>
      <c r="B252" s="25">
        <v>42934.524305555555</v>
      </c>
      <c r="D252" s="34"/>
      <c r="E252" s="34" t="s">
        <v>193</v>
      </c>
      <c r="F252" s="34" t="s">
        <v>191</v>
      </c>
      <c r="G252" s="34" t="s">
        <v>100</v>
      </c>
      <c r="H252" t="s">
        <v>279</v>
      </c>
      <c r="I252" t="s">
        <v>243</v>
      </c>
      <c r="J252" t="s">
        <v>712</v>
      </c>
      <c r="K252" t="s">
        <v>758</v>
      </c>
      <c r="L252" t="s">
        <v>711</v>
      </c>
      <c r="M252" s="30">
        <v>2.06</v>
      </c>
      <c r="N252">
        <v>6.75</v>
      </c>
      <c r="P252" s="24" t="str">
        <f>IFERROR(MID(RADataTable[[#This Row],[RATemplate]],1,LEN(RADataTable[[#This Row],[RATemplate]])-8),"RA") &amp; " " &amp; RADataTable[[#This Row],[prop_id0]] &amp; " " &amp; RADataTable[[#This Row],[last0]]</f>
        <v>RA 1749748 Chandrasekaran</v>
      </c>
      <c r="T252">
        <v>4</v>
      </c>
      <c r="U252">
        <v>4</v>
      </c>
      <c r="V252" s="34">
        <v>43030.722916666666</v>
      </c>
      <c r="W252">
        <v>1</v>
      </c>
      <c r="X252" s="15" t="str">
        <f>HYPERLINK("https://www.ejacket.nsf.gov/ej/showProposal.do?Continue=Y&amp;ID="&amp;RADataTable[[#This Row],[prop_id0]],"eJ")</f>
        <v>eJ</v>
      </c>
      <c r="Y252" s="15" t="str">
        <f>HYPERLINK("mailto:"&amp;RADataTable[[#This Row],[email]]&amp;"&amp;subject=Your NSF Proposal:  "&amp;RADataTable[[#This Row],[Div]]&amp;" "&amp;RADataTable[[#This Row],[prop_id0]], RADataTable[[#This Row],[email]])</f>
        <v>karthe@illinois.edu</v>
      </c>
      <c r="Z252" s="15" t="str">
        <f>HYPERLINK("mailto:"&amp;RADataTable[[#This Row],[allPIemail]]&amp;"&amp;subject=NSF Proposal:  "&amp;RADataTable[[#This Row],[Div]]&amp;" "&amp;RADataTable[[#This Row],[prop_id0]], "PIs@")</f>
        <v>PIs@</v>
      </c>
      <c r="AA252" t="s">
        <v>245</v>
      </c>
      <c r="AB252" t="s">
        <v>668</v>
      </c>
      <c r="AC252" s="30" t="s">
        <v>759</v>
      </c>
      <c r="AD252" t="s">
        <v>760</v>
      </c>
      <c r="AE252" t="s">
        <v>761</v>
      </c>
      <c r="AF252" s="36">
        <v>446040</v>
      </c>
      <c r="AG252" s="36">
        <v>446040</v>
      </c>
      <c r="AH252" s="24"/>
      <c r="AJ252" s="34"/>
      <c r="AK252" t="s">
        <v>923</v>
      </c>
      <c r="AL252" t="s">
        <v>232</v>
      </c>
      <c r="AM252" s="34" t="s">
        <v>925</v>
      </c>
      <c r="AN252" s="34">
        <v>43032</v>
      </c>
      <c r="AO252" s="24">
        <v>6</v>
      </c>
      <c r="AP252" t="s">
        <v>944</v>
      </c>
      <c r="AR252" s="35"/>
      <c r="AS252"/>
      <c r="AT252" s="34"/>
      <c r="AV252" s="34"/>
      <c r="AX252" s="34"/>
      <c r="AY252"/>
      <c r="BA252" s="34"/>
      <c r="BB252"/>
      <c r="BC252" t="s">
        <v>765</v>
      </c>
      <c r="BD252" s="36">
        <v>446040</v>
      </c>
      <c r="BE252" s="36">
        <v>446040</v>
      </c>
      <c r="BF252">
        <v>0</v>
      </c>
      <c r="BG252" s="34">
        <v>43115</v>
      </c>
      <c r="BH252">
        <v>60</v>
      </c>
      <c r="BI252" t="s">
        <v>283</v>
      </c>
      <c r="BJ252" t="s">
        <v>928</v>
      </c>
      <c r="BK252" t="s">
        <v>945</v>
      </c>
      <c r="BL252" t="s">
        <v>194</v>
      </c>
      <c r="BM252" s="8" t="s">
        <v>192</v>
      </c>
      <c r="BN252" t="s">
        <v>189</v>
      </c>
      <c r="BO252" t="s">
        <v>190</v>
      </c>
      <c r="BP252" s="35" t="s">
        <v>718</v>
      </c>
      <c r="BQ252"/>
      <c r="BU252" s="35"/>
      <c r="BV252" s="35"/>
      <c r="BX252"/>
      <c r="CA252" s="35"/>
      <c r="CB252" s="35"/>
      <c r="CC252"/>
      <c r="CG252" s="35"/>
      <c r="CH252" s="35"/>
      <c r="CK252"/>
      <c r="CM252" s="35"/>
      <c r="CN252" s="35"/>
      <c r="CQ252"/>
      <c r="CS252" s="35"/>
      <c r="CT252" s="35"/>
      <c r="CX252"/>
      <c r="CZ252" s="35"/>
      <c r="DD252" s="34"/>
      <c r="DG252" t="s">
        <v>763</v>
      </c>
      <c r="DH252" t="s">
        <v>946</v>
      </c>
      <c r="DI252" t="s">
        <v>233</v>
      </c>
      <c r="DL252" t="s">
        <v>668</v>
      </c>
      <c r="DM252">
        <v>5</v>
      </c>
      <c r="DN252">
        <v>8</v>
      </c>
      <c r="DO252" t="s">
        <v>764</v>
      </c>
      <c r="DQ252" t="s">
        <v>927</v>
      </c>
      <c r="DR252">
        <v>14</v>
      </c>
      <c r="DS252">
        <v>2</v>
      </c>
      <c r="DU252">
        <v>14</v>
      </c>
      <c r="DV252">
        <v>2</v>
      </c>
      <c r="DX252">
        <v>14</v>
      </c>
      <c r="DY252">
        <v>2</v>
      </c>
      <c r="DZ252" t="s">
        <v>246</v>
      </c>
      <c r="EA252" t="s">
        <v>929</v>
      </c>
    </row>
    <row r="253" spans="1:131" x14ac:dyDescent="0.4">
      <c r="A253" s="34">
        <v>43067.305104166669</v>
      </c>
      <c r="B253" s="25">
        <v>42934.524305555555</v>
      </c>
      <c r="D253" s="34"/>
      <c r="E253" s="34" t="s">
        <v>193</v>
      </c>
      <c r="F253" s="34" t="s">
        <v>191</v>
      </c>
      <c r="G253" s="34" t="s">
        <v>100</v>
      </c>
      <c r="H253" t="s">
        <v>279</v>
      </c>
      <c r="I253" t="s">
        <v>243</v>
      </c>
      <c r="J253" t="s">
        <v>712</v>
      </c>
      <c r="K253" t="s">
        <v>758</v>
      </c>
      <c r="L253" t="s">
        <v>711</v>
      </c>
      <c r="M253" s="30">
        <v>2.06</v>
      </c>
      <c r="N253">
        <v>6.75</v>
      </c>
      <c r="P253" s="24" t="str">
        <f>IFERROR(MID(RADataTable[[#This Row],[RATemplate]],1,LEN(RADataTable[[#This Row],[RATemplate]])-8),"RA") &amp; " " &amp; RADataTable[[#This Row],[prop_id0]] &amp; " " &amp; RADataTable[[#This Row],[last0]]</f>
        <v>RA 1749748 Chandrasekaran</v>
      </c>
      <c r="T253">
        <v>4</v>
      </c>
      <c r="U253">
        <v>4</v>
      </c>
      <c r="V253" s="34">
        <v>43030.722916666666</v>
      </c>
      <c r="W253">
        <v>1</v>
      </c>
      <c r="X253" s="15" t="str">
        <f>HYPERLINK("https://www.ejacket.nsf.gov/ej/showProposal.do?Continue=Y&amp;ID="&amp;RADataTable[[#This Row],[prop_id0]],"eJ")</f>
        <v>eJ</v>
      </c>
      <c r="Y253" s="15" t="str">
        <f>HYPERLINK("mailto:"&amp;RADataTable[[#This Row],[email]]&amp;"&amp;subject=Your NSF Proposal:  "&amp;RADataTable[[#This Row],[Div]]&amp;" "&amp;RADataTable[[#This Row],[prop_id0]], RADataTable[[#This Row],[email]])</f>
        <v>karthe@illinois.edu</v>
      </c>
      <c r="Z253" s="15" t="str">
        <f>HYPERLINK("mailto:"&amp;RADataTable[[#This Row],[allPIemail]]&amp;"&amp;subject=NSF Proposal:  "&amp;RADataTable[[#This Row],[Div]]&amp;" "&amp;RADataTable[[#This Row],[prop_id0]], "PIs@")</f>
        <v>PIs@</v>
      </c>
      <c r="AA253" t="s">
        <v>245</v>
      </c>
      <c r="AB253" t="s">
        <v>668</v>
      </c>
      <c r="AC253" s="30" t="s">
        <v>759</v>
      </c>
      <c r="AD253" t="s">
        <v>760</v>
      </c>
      <c r="AE253" t="s">
        <v>761</v>
      </c>
      <c r="AF253" s="36">
        <v>446040</v>
      </c>
      <c r="AG253" s="36">
        <v>446040</v>
      </c>
      <c r="AH253" s="24"/>
      <c r="AJ253" s="34"/>
      <c r="AK253" t="s">
        <v>923</v>
      </c>
      <c r="AL253" t="s">
        <v>232</v>
      </c>
      <c r="AM253" s="34" t="s">
        <v>925</v>
      </c>
      <c r="AN253" s="34">
        <v>43032</v>
      </c>
      <c r="AO253" s="24">
        <v>6</v>
      </c>
      <c r="AP253" t="s">
        <v>944</v>
      </c>
      <c r="AR253" s="35"/>
      <c r="AS253"/>
      <c r="AT253" s="34"/>
      <c r="AV253" s="34"/>
      <c r="AX253" s="34"/>
      <c r="AY253"/>
      <c r="BA253" s="34"/>
      <c r="BB253"/>
      <c r="BC253" t="s">
        <v>765</v>
      </c>
      <c r="BD253" s="36">
        <v>446040</v>
      </c>
      <c r="BE253" s="36">
        <v>446040</v>
      </c>
      <c r="BF253">
        <v>0</v>
      </c>
      <c r="BG253" s="34">
        <v>43115</v>
      </c>
      <c r="BH253">
        <v>60</v>
      </c>
      <c r="BI253" t="s">
        <v>283</v>
      </c>
      <c r="BJ253" t="s">
        <v>928</v>
      </c>
      <c r="BK253" t="s">
        <v>945</v>
      </c>
      <c r="BL253" t="s">
        <v>194</v>
      </c>
      <c r="BM253" s="8" t="s">
        <v>192</v>
      </c>
      <c r="BN253" t="s">
        <v>189</v>
      </c>
      <c r="BO253" t="s">
        <v>190</v>
      </c>
      <c r="BP253" s="35" t="s">
        <v>718</v>
      </c>
      <c r="BQ253"/>
      <c r="BU253" s="35"/>
      <c r="BV253" s="35"/>
      <c r="BX253"/>
      <c r="CA253" s="35"/>
      <c r="CB253" s="35"/>
      <c r="CC253"/>
      <c r="CG253" s="35"/>
      <c r="CH253" s="35"/>
      <c r="CK253"/>
      <c r="CM253" s="35"/>
      <c r="CN253" s="35"/>
      <c r="CQ253"/>
      <c r="CS253" s="35"/>
      <c r="CT253" s="35"/>
      <c r="CX253"/>
      <c r="CZ253" s="35"/>
      <c r="DD253" s="34"/>
      <c r="DG253" t="s">
        <v>763</v>
      </c>
      <c r="DH253" t="s">
        <v>946</v>
      </c>
      <c r="DI253" t="s">
        <v>233</v>
      </c>
      <c r="DL253" t="s">
        <v>668</v>
      </c>
      <c r="DM253">
        <v>5</v>
      </c>
      <c r="DN253">
        <v>8</v>
      </c>
      <c r="DO253" t="s">
        <v>764</v>
      </c>
      <c r="DQ253" t="s">
        <v>927</v>
      </c>
      <c r="DR253">
        <v>14</v>
      </c>
      <c r="DS253">
        <v>2</v>
      </c>
      <c r="DU253">
        <v>14</v>
      </c>
      <c r="DV253">
        <v>2</v>
      </c>
      <c r="DX253">
        <v>14</v>
      </c>
      <c r="DY253">
        <v>2</v>
      </c>
      <c r="DZ253" t="s">
        <v>246</v>
      </c>
      <c r="EA253" t="s">
        <v>929</v>
      </c>
    </row>
    <row r="254" spans="1:131" x14ac:dyDescent="0.4">
      <c r="A254" s="34">
        <v>43067.305104166669</v>
      </c>
      <c r="B254" s="25">
        <v>42934.524305555555</v>
      </c>
      <c r="D254" s="34"/>
      <c r="E254" s="34" t="s">
        <v>193</v>
      </c>
      <c r="F254" s="34" t="s">
        <v>191</v>
      </c>
      <c r="G254" s="34" t="s">
        <v>100</v>
      </c>
      <c r="H254" t="s">
        <v>279</v>
      </c>
      <c r="I254" t="s">
        <v>243</v>
      </c>
      <c r="J254" t="s">
        <v>712</v>
      </c>
      <c r="K254" t="s">
        <v>758</v>
      </c>
      <c r="L254" t="s">
        <v>711</v>
      </c>
      <c r="M254" s="30">
        <v>2.06</v>
      </c>
      <c r="N254">
        <v>6.75</v>
      </c>
      <c r="P254" s="24" t="str">
        <f>IFERROR(MID(RADataTable[[#This Row],[RATemplate]],1,LEN(RADataTable[[#This Row],[RATemplate]])-8),"RA") &amp; " " &amp; RADataTable[[#This Row],[prop_id0]] &amp; " " &amp; RADataTable[[#This Row],[last0]]</f>
        <v>RA 1749748 Chandrasekaran</v>
      </c>
      <c r="T254">
        <v>4</v>
      </c>
      <c r="U254">
        <v>4</v>
      </c>
      <c r="V254" s="34">
        <v>43030.722916666666</v>
      </c>
      <c r="W254">
        <v>1</v>
      </c>
      <c r="X254" s="15" t="str">
        <f>HYPERLINK("https://www.ejacket.nsf.gov/ej/showProposal.do?Continue=Y&amp;ID="&amp;RADataTable[[#This Row],[prop_id0]],"eJ")</f>
        <v>eJ</v>
      </c>
      <c r="Y254" s="15" t="str">
        <f>HYPERLINK("mailto:"&amp;RADataTable[[#This Row],[email]]&amp;"&amp;subject=Your NSF Proposal:  "&amp;RADataTable[[#This Row],[Div]]&amp;" "&amp;RADataTable[[#This Row],[prop_id0]], RADataTable[[#This Row],[email]])</f>
        <v>karthe@illinois.edu</v>
      </c>
      <c r="Z254" s="15" t="str">
        <f>HYPERLINK("mailto:"&amp;RADataTable[[#This Row],[allPIemail]]&amp;"&amp;subject=NSF Proposal:  "&amp;RADataTable[[#This Row],[Div]]&amp;" "&amp;RADataTable[[#This Row],[prop_id0]], "PIs@")</f>
        <v>PIs@</v>
      </c>
      <c r="AA254" t="s">
        <v>245</v>
      </c>
      <c r="AB254" t="s">
        <v>668</v>
      </c>
      <c r="AC254" s="30" t="s">
        <v>759</v>
      </c>
      <c r="AD254" t="s">
        <v>760</v>
      </c>
      <c r="AE254" t="s">
        <v>761</v>
      </c>
      <c r="AF254" s="36">
        <v>446040</v>
      </c>
      <c r="AG254" s="36">
        <v>446040</v>
      </c>
      <c r="AH254" s="24"/>
      <c r="AJ254" s="34"/>
      <c r="AK254" t="s">
        <v>923</v>
      </c>
      <c r="AL254" t="s">
        <v>232</v>
      </c>
      <c r="AM254" s="34" t="s">
        <v>925</v>
      </c>
      <c r="AN254" s="34">
        <v>43032</v>
      </c>
      <c r="AO254" s="24">
        <v>6</v>
      </c>
      <c r="AP254" t="s">
        <v>944</v>
      </c>
      <c r="AR254" s="35"/>
      <c r="AS254"/>
      <c r="AT254" s="34"/>
      <c r="AV254" s="34"/>
      <c r="AX254" s="34"/>
      <c r="AY254"/>
      <c r="BA254" s="34"/>
      <c r="BB254"/>
      <c r="BC254" t="s">
        <v>765</v>
      </c>
      <c r="BD254" s="36">
        <v>446040</v>
      </c>
      <c r="BE254" s="36">
        <v>446040</v>
      </c>
      <c r="BF254">
        <v>0</v>
      </c>
      <c r="BG254" s="34">
        <v>43115</v>
      </c>
      <c r="BH254">
        <v>60</v>
      </c>
      <c r="BI254" t="s">
        <v>283</v>
      </c>
      <c r="BJ254" t="s">
        <v>928</v>
      </c>
      <c r="BK254" t="s">
        <v>945</v>
      </c>
      <c r="BL254" t="s">
        <v>194</v>
      </c>
      <c r="BM254" s="8" t="s">
        <v>192</v>
      </c>
      <c r="BN254" t="s">
        <v>189</v>
      </c>
      <c r="BO254" t="s">
        <v>190</v>
      </c>
      <c r="BP254" s="35" t="s">
        <v>718</v>
      </c>
      <c r="BQ254"/>
      <c r="BU254" s="35"/>
      <c r="BV254" s="35"/>
      <c r="BX254"/>
      <c r="CA254" s="35"/>
      <c r="CB254" s="35"/>
      <c r="CC254"/>
      <c r="CG254" s="35"/>
      <c r="CH254" s="35"/>
      <c r="CK254"/>
      <c r="CM254" s="35"/>
      <c r="CN254" s="35"/>
      <c r="CQ254"/>
      <c r="CS254" s="35"/>
      <c r="CT254" s="35"/>
      <c r="CX254"/>
      <c r="CZ254" s="35"/>
      <c r="DD254" s="34"/>
      <c r="DG254" t="s">
        <v>763</v>
      </c>
      <c r="DH254" t="s">
        <v>946</v>
      </c>
      <c r="DI254" t="s">
        <v>233</v>
      </c>
      <c r="DL254" t="s">
        <v>668</v>
      </c>
      <c r="DM254">
        <v>5</v>
      </c>
      <c r="DN254">
        <v>8</v>
      </c>
      <c r="DO254" t="s">
        <v>764</v>
      </c>
      <c r="DQ254" t="s">
        <v>927</v>
      </c>
      <c r="DR254">
        <v>14</v>
      </c>
      <c r="DS254">
        <v>2</v>
      </c>
      <c r="DU254">
        <v>14</v>
      </c>
      <c r="DV254">
        <v>2</v>
      </c>
      <c r="DX254">
        <v>14</v>
      </c>
      <c r="DY254">
        <v>2</v>
      </c>
      <c r="DZ254" t="s">
        <v>246</v>
      </c>
      <c r="EA254" t="s">
        <v>929</v>
      </c>
    </row>
    <row r="255" spans="1:131" x14ac:dyDescent="0.4">
      <c r="A255" s="34">
        <v>43067.305104166669</v>
      </c>
      <c r="B255" s="25">
        <v>42934.524305555555</v>
      </c>
      <c r="D255" s="34"/>
      <c r="E255" s="34" t="s">
        <v>193</v>
      </c>
      <c r="F255" s="34" t="s">
        <v>191</v>
      </c>
      <c r="G255" s="34" t="s">
        <v>100</v>
      </c>
      <c r="H255" t="s">
        <v>279</v>
      </c>
      <c r="I255" t="s">
        <v>243</v>
      </c>
      <c r="J255" t="s">
        <v>712</v>
      </c>
      <c r="K255" t="s">
        <v>758</v>
      </c>
      <c r="L255" t="s">
        <v>711</v>
      </c>
      <c r="M255" s="30">
        <v>2.06</v>
      </c>
      <c r="N255">
        <v>6.75</v>
      </c>
      <c r="P255" s="24" t="str">
        <f>IFERROR(MID(RADataTable[[#This Row],[RATemplate]],1,LEN(RADataTable[[#This Row],[RATemplate]])-8),"RA") &amp; " " &amp; RADataTable[[#This Row],[prop_id0]] &amp; " " &amp; RADataTable[[#This Row],[last0]]</f>
        <v>RA 1749748 Chandrasekaran</v>
      </c>
      <c r="T255">
        <v>4</v>
      </c>
      <c r="U255">
        <v>4</v>
      </c>
      <c r="V255" s="34">
        <v>43030.722916666666</v>
      </c>
      <c r="W255">
        <v>1</v>
      </c>
      <c r="X255" s="15" t="str">
        <f>HYPERLINK("https://www.ejacket.nsf.gov/ej/showProposal.do?Continue=Y&amp;ID="&amp;RADataTable[[#This Row],[prop_id0]],"eJ")</f>
        <v>eJ</v>
      </c>
      <c r="Y255" s="15" t="str">
        <f>HYPERLINK("mailto:"&amp;RADataTable[[#This Row],[email]]&amp;"&amp;subject=Your NSF Proposal:  "&amp;RADataTable[[#This Row],[Div]]&amp;" "&amp;RADataTable[[#This Row],[prop_id0]], RADataTable[[#This Row],[email]])</f>
        <v>karthe@illinois.edu</v>
      </c>
      <c r="Z255" s="15" t="str">
        <f>HYPERLINK("mailto:"&amp;RADataTable[[#This Row],[allPIemail]]&amp;"&amp;subject=NSF Proposal:  "&amp;RADataTable[[#This Row],[Div]]&amp;" "&amp;RADataTable[[#This Row],[prop_id0]], "PIs@")</f>
        <v>PIs@</v>
      </c>
      <c r="AA255" t="s">
        <v>245</v>
      </c>
      <c r="AB255" t="s">
        <v>668</v>
      </c>
      <c r="AC255" s="30" t="s">
        <v>759</v>
      </c>
      <c r="AD255" t="s">
        <v>760</v>
      </c>
      <c r="AE255" t="s">
        <v>761</v>
      </c>
      <c r="AF255" s="36">
        <v>446040</v>
      </c>
      <c r="AG255" s="36">
        <v>446040</v>
      </c>
      <c r="AH255" s="24"/>
      <c r="AJ255" s="34"/>
      <c r="AK255" t="s">
        <v>923</v>
      </c>
      <c r="AL255" t="s">
        <v>232</v>
      </c>
      <c r="AM255" s="34" t="s">
        <v>925</v>
      </c>
      <c r="AN255" s="34">
        <v>43032</v>
      </c>
      <c r="AO255" s="24">
        <v>6</v>
      </c>
      <c r="AP255" t="s">
        <v>944</v>
      </c>
      <c r="AR255" s="35"/>
      <c r="AS255"/>
      <c r="AT255" s="34"/>
      <c r="AV255" s="34"/>
      <c r="AX255" s="34"/>
      <c r="AY255"/>
      <c r="BA255" s="34"/>
      <c r="BB255"/>
      <c r="BC255" t="s">
        <v>765</v>
      </c>
      <c r="BD255" s="36">
        <v>446040</v>
      </c>
      <c r="BE255" s="36">
        <v>446040</v>
      </c>
      <c r="BF255">
        <v>0</v>
      </c>
      <c r="BG255" s="34">
        <v>43115</v>
      </c>
      <c r="BH255">
        <v>60</v>
      </c>
      <c r="BI255" t="s">
        <v>283</v>
      </c>
      <c r="BJ255" t="s">
        <v>928</v>
      </c>
      <c r="BK255" t="s">
        <v>945</v>
      </c>
      <c r="BL255" t="s">
        <v>194</v>
      </c>
      <c r="BM255" s="8" t="s">
        <v>192</v>
      </c>
      <c r="BN255" t="s">
        <v>189</v>
      </c>
      <c r="BO255" t="s">
        <v>190</v>
      </c>
      <c r="BP255" s="35" t="s">
        <v>718</v>
      </c>
      <c r="BQ255"/>
      <c r="BU255" s="35"/>
      <c r="BV255" s="35"/>
      <c r="BX255"/>
      <c r="CA255" s="35"/>
      <c r="CB255" s="35"/>
      <c r="CC255"/>
      <c r="CG255" s="35"/>
      <c r="CH255" s="35"/>
      <c r="CK255"/>
      <c r="CM255" s="35"/>
      <c r="CN255" s="35"/>
      <c r="CQ255"/>
      <c r="CS255" s="35"/>
      <c r="CT255" s="35"/>
      <c r="CX255"/>
      <c r="CZ255" s="35"/>
      <c r="DD255" s="34"/>
      <c r="DG255" t="s">
        <v>763</v>
      </c>
      <c r="DH255" t="s">
        <v>946</v>
      </c>
      <c r="DI255" t="s">
        <v>233</v>
      </c>
      <c r="DL255" t="s">
        <v>668</v>
      </c>
      <c r="DM255">
        <v>5</v>
      </c>
      <c r="DN255">
        <v>8</v>
      </c>
      <c r="DO255" t="s">
        <v>764</v>
      </c>
      <c r="DQ255" t="s">
        <v>927</v>
      </c>
      <c r="DR255">
        <v>14</v>
      </c>
      <c r="DS255">
        <v>2</v>
      </c>
      <c r="DU255">
        <v>14</v>
      </c>
      <c r="DV255">
        <v>2</v>
      </c>
      <c r="DX255">
        <v>14</v>
      </c>
      <c r="DY255">
        <v>2</v>
      </c>
      <c r="DZ255" t="s">
        <v>246</v>
      </c>
      <c r="EA255" t="s">
        <v>929</v>
      </c>
    </row>
    <row r="256" spans="1:131" x14ac:dyDescent="0.4">
      <c r="A256" s="34">
        <v>43067.305104166669</v>
      </c>
      <c r="B256" s="25">
        <v>42934.524305555555</v>
      </c>
      <c r="D256" s="34"/>
      <c r="E256" s="34" t="s">
        <v>193</v>
      </c>
      <c r="F256" s="34" t="s">
        <v>191</v>
      </c>
      <c r="G256" s="34" t="s">
        <v>100</v>
      </c>
      <c r="H256" t="s">
        <v>279</v>
      </c>
      <c r="I256" t="s">
        <v>243</v>
      </c>
      <c r="J256" t="s">
        <v>712</v>
      </c>
      <c r="K256" t="s">
        <v>758</v>
      </c>
      <c r="L256" t="s">
        <v>711</v>
      </c>
      <c r="M256" s="30">
        <v>2.06</v>
      </c>
      <c r="N256">
        <v>6.75</v>
      </c>
      <c r="P256" s="24" t="str">
        <f>IFERROR(MID(RADataTable[[#This Row],[RATemplate]],1,LEN(RADataTable[[#This Row],[RATemplate]])-8),"RA") &amp; " " &amp; RADataTable[[#This Row],[prop_id0]] &amp; " " &amp; RADataTable[[#This Row],[last0]]</f>
        <v>RA 1749748 Chandrasekaran</v>
      </c>
      <c r="T256">
        <v>4</v>
      </c>
      <c r="U256">
        <v>4</v>
      </c>
      <c r="V256" s="34">
        <v>43030.722916666666</v>
      </c>
      <c r="W256">
        <v>1</v>
      </c>
      <c r="X256" s="15" t="str">
        <f>HYPERLINK("https://www.ejacket.nsf.gov/ej/showProposal.do?Continue=Y&amp;ID="&amp;RADataTable[[#This Row],[prop_id0]],"eJ")</f>
        <v>eJ</v>
      </c>
      <c r="Y256" s="15" t="str">
        <f>HYPERLINK("mailto:"&amp;RADataTable[[#This Row],[email]]&amp;"&amp;subject=Your NSF Proposal:  "&amp;RADataTable[[#This Row],[Div]]&amp;" "&amp;RADataTable[[#This Row],[prop_id0]], RADataTable[[#This Row],[email]])</f>
        <v>karthe@illinois.edu</v>
      </c>
      <c r="Z256" s="15" t="str">
        <f>HYPERLINK("mailto:"&amp;RADataTable[[#This Row],[allPIemail]]&amp;"&amp;subject=NSF Proposal:  "&amp;RADataTable[[#This Row],[Div]]&amp;" "&amp;RADataTable[[#This Row],[prop_id0]], "PIs@")</f>
        <v>PIs@</v>
      </c>
      <c r="AA256" t="s">
        <v>245</v>
      </c>
      <c r="AB256" t="s">
        <v>668</v>
      </c>
      <c r="AC256" s="30" t="s">
        <v>759</v>
      </c>
      <c r="AD256" t="s">
        <v>760</v>
      </c>
      <c r="AE256" t="s">
        <v>761</v>
      </c>
      <c r="AF256" s="36">
        <v>446040</v>
      </c>
      <c r="AG256" s="36">
        <v>446040</v>
      </c>
      <c r="AH256" s="24"/>
      <c r="AJ256" s="34"/>
      <c r="AK256" t="s">
        <v>923</v>
      </c>
      <c r="AL256" t="s">
        <v>232</v>
      </c>
      <c r="AM256" s="34" t="s">
        <v>925</v>
      </c>
      <c r="AN256" s="34">
        <v>43032</v>
      </c>
      <c r="AO256" s="24">
        <v>6</v>
      </c>
      <c r="AP256" t="s">
        <v>944</v>
      </c>
      <c r="AR256" s="35"/>
      <c r="AS256"/>
      <c r="AT256" s="34"/>
      <c r="AV256" s="34"/>
      <c r="AX256" s="34"/>
      <c r="AY256"/>
      <c r="BA256" s="34"/>
      <c r="BB256"/>
      <c r="BC256" t="s">
        <v>765</v>
      </c>
      <c r="BD256" s="36">
        <v>446040</v>
      </c>
      <c r="BE256" s="36">
        <v>446040</v>
      </c>
      <c r="BF256">
        <v>0</v>
      </c>
      <c r="BG256" s="34">
        <v>43115</v>
      </c>
      <c r="BH256">
        <v>60</v>
      </c>
      <c r="BI256" t="s">
        <v>283</v>
      </c>
      <c r="BJ256" t="s">
        <v>928</v>
      </c>
      <c r="BK256" t="s">
        <v>945</v>
      </c>
      <c r="BL256" t="s">
        <v>194</v>
      </c>
      <c r="BM256" s="8" t="s">
        <v>192</v>
      </c>
      <c r="BN256" t="s">
        <v>189</v>
      </c>
      <c r="BO256" t="s">
        <v>190</v>
      </c>
      <c r="BP256" s="35" t="s">
        <v>718</v>
      </c>
      <c r="BQ256"/>
      <c r="BU256" s="35"/>
      <c r="BV256" s="35"/>
      <c r="BX256"/>
      <c r="CA256" s="35"/>
      <c r="CB256" s="35"/>
      <c r="CC256"/>
      <c r="CG256" s="35"/>
      <c r="CH256" s="35"/>
      <c r="CK256"/>
      <c r="CM256" s="35"/>
      <c r="CN256" s="35"/>
      <c r="CQ256"/>
      <c r="CS256" s="35"/>
      <c r="CT256" s="35"/>
      <c r="CX256"/>
      <c r="CZ256" s="35"/>
      <c r="DD256" s="34"/>
      <c r="DG256" t="s">
        <v>763</v>
      </c>
      <c r="DH256" t="s">
        <v>946</v>
      </c>
      <c r="DI256" t="s">
        <v>233</v>
      </c>
      <c r="DL256" t="s">
        <v>668</v>
      </c>
      <c r="DM256">
        <v>5</v>
      </c>
      <c r="DN256">
        <v>8</v>
      </c>
      <c r="DO256" t="s">
        <v>764</v>
      </c>
      <c r="DQ256" t="s">
        <v>927</v>
      </c>
      <c r="DR256">
        <v>14</v>
      </c>
      <c r="DS256">
        <v>2</v>
      </c>
      <c r="DU256">
        <v>14</v>
      </c>
      <c r="DV256">
        <v>2</v>
      </c>
      <c r="DX256">
        <v>14</v>
      </c>
      <c r="DY256">
        <v>2</v>
      </c>
      <c r="DZ256" t="s">
        <v>246</v>
      </c>
      <c r="EA256" t="s">
        <v>929</v>
      </c>
    </row>
    <row r="257" spans="1:131" x14ac:dyDescent="0.4">
      <c r="A257" s="34">
        <v>43067.305104166669</v>
      </c>
      <c r="B257" s="25">
        <v>42934.524305555555</v>
      </c>
      <c r="D257" s="34"/>
      <c r="E257" s="34" t="s">
        <v>193</v>
      </c>
      <c r="F257" s="34" t="s">
        <v>191</v>
      </c>
      <c r="G257" s="34" t="s">
        <v>100</v>
      </c>
      <c r="H257" t="s">
        <v>279</v>
      </c>
      <c r="I257" t="s">
        <v>243</v>
      </c>
      <c r="J257" t="s">
        <v>712</v>
      </c>
      <c r="K257" t="s">
        <v>758</v>
      </c>
      <c r="L257" t="s">
        <v>711</v>
      </c>
      <c r="M257" s="30">
        <v>2.06</v>
      </c>
      <c r="N257">
        <v>6.75</v>
      </c>
      <c r="P257" s="24" t="str">
        <f>IFERROR(MID(RADataTable[[#This Row],[RATemplate]],1,LEN(RADataTable[[#This Row],[RATemplate]])-8),"RA") &amp; " " &amp; RADataTable[[#This Row],[prop_id0]] &amp; " " &amp; RADataTable[[#This Row],[last0]]</f>
        <v>RA 1749748 Chandrasekaran</v>
      </c>
      <c r="T257">
        <v>4</v>
      </c>
      <c r="U257">
        <v>4</v>
      </c>
      <c r="V257" s="34">
        <v>43030.722916666666</v>
      </c>
      <c r="W257">
        <v>1</v>
      </c>
      <c r="X257" s="15" t="str">
        <f>HYPERLINK("https://www.ejacket.nsf.gov/ej/showProposal.do?Continue=Y&amp;ID="&amp;RADataTable[[#This Row],[prop_id0]],"eJ")</f>
        <v>eJ</v>
      </c>
      <c r="Y257" s="15" t="str">
        <f>HYPERLINK("mailto:"&amp;RADataTable[[#This Row],[email]]&amp;"&amp;subject=Your NSF Proposal:  "&amp;RADataTable[[#This Row],[Div]]&amp;" "&amp;RADataTable[[#This Row],[prop_id0]], RADataTable[[#This Row],[email]])</f>
        <v>karthe@illinois.edu</v>
      </c>
      <c r="Z257" s="15" t="str">
        <f>HYPERLINK("mailto:"&amp;RADataTable[[#This Row],[allPIemail]]&amp;"&amp;subject=NSF Proposal:  "&amp;RADataTable[[#This Row],[Div]]&amp;" "&amp;RADataTable[[#This Row],[prop_id0]], "PIs@")</f>
        <v>PIs@</v>
      </c>
      <c r="AA257" t="s">
        <v>245</v>
      </c>
      <c r="AB257" t="s">
        <v>668</v>
      </c>
      <c r="AC257" s="30" t="s">
        <v>759</v>
      </c>
      <c r="AD257" t="s">
        <v>760</v>
      </c>
      <c r="AE257" t="s">
        <v>761</v>
      </c>
      <c r="AF257" s="36">
        <v>446040</v>
      </c>
      <c r="AG257" s="36">
        <v>446040</v>
      </c>
      <c r="AH257" s="24"/>
      <c r="AJ257" s="34"/>
      <c r="AK257" t="s">
        <v>923</v>
      </c>
      <c r="AL257" t="s">
        <v>232</v>
      </c>
      <c r="AM257" s="34" t="s">
        <v>925</v>
      </c>
      <c r="AN257" s="34">
        <v>43032</v>
      </c>
      <c r="AO257" s="24">
        <v>6</v>
      </c>
      <c r="AP257" t="s">
        <v>944</v>
      </c>
      <c r="AR257" s="35"/>
      <c r="AS257"/>
      <c r="AT257" s="34"/>
      <c r="AV257" s="34"/>
      <c r="AX257" s="34"/>
      <c r="AY257"/>
      <c r="BA257" s="34"/>
      <c r="BB257"/>
      <c r="BC257" t="s">
        <v>765</v>
      </c>
      <c r="BD257" s="36">
        <v>446040</v>
      </c>
      <c r="BE257" s="36">
        <v>446040</v>
      </c>
      <c r="BF257">
        <v>0</v>
      </c>
      <c r="BG257" s="34">
        <v>43115</v>
      </c>
      <c r="BH257">
        <v>60</v>
      </c>
      <c r="BI257" t="s">
        <v>283</v>
      </c>
      <c r="BJ257" t="s">
        <v>928</v>
      </c>
      <c r="BK257" t="s">
        <v>945</v>
      </c>
      <c r="BL257" t="s">
        <v>194</v>
      </c>
      <c r="BM257" s="8" t="s">
        <v>192</v>
      </c>
      <c r="BN257" t="s">
        <v>189</v>
      </c>
      <c r="BO257" t="s">
        <v>190</v>
      </c>
      <c r="BP257" s="35" t="s">
        <v>718</v>
      </c>
      <c r="BQ257"/>
      <c r="BU257" s="35"/>
      <c r="BV257" s="35"/>
      <c r="BX257"/>
      <c r="CA257" s="35"/>
      <c r="CB257" s="35"/>
      <c r="CC257"/>
      <c r="CG257" s="35"/>
      <c r="CH257" s="35"/>
      <c r="CK257"/>
      <c r="CM257" s="35"/>
      <c r="CN257" s="35"/>
      <c r="CQ257"/>
      <c r="CS257" s="35"/>
      <c r="CT257" s="35"/>
      <c r="CX257"/>
      <c r="CZ257" s="35"/>
      <c r="DD257" s="34"/>
      <c r="DG257" t="s">
        <v>763</v>
      </c>
      <c r="DH257" t="s">
        <v>946</v>
      </c>
      <c r="DI257" t="s">
        <v>233</v>
      </c>
      <c r="DL257" t="s">
        <v>668</v>
      </c>
      <c r="DM257">
        <v>5</v>
      </c>
      <c r="DN257">
        <v>8</v>
      </c>
      <c r="DO257" t="s">
        <v>764</v>
      </c>
      <c r="DQ257" t="s">
        <v>927</v>
      </c>
      <c r="DR257">
        <v>14</v>
      </c>
      <c r="DS257">
        <v>2</v>
      </c>
      <c r="DU257">
        <v>14</v>
      </c>
      <c r="DV257">
        <v>2</v>
      </c>
      <c r="DX257">
        <v>14</v>
      </c>
      <c r="DY257">
        <v>2</v>
      </c>
      <c r="DZ257" t="s">
        <v>246</v>
      </c>
      <c r="EA257" t="s">
        <v>929</v>
      </c>
    </row>
    <row r="258" spans="1:131" x14ac:dyDescent="0.4">
      <c r="A258" s="34">
        <v>43067.305104166669</v>
      </c>
      <c r="B258" s="25">
        <v>42934.524305555555</v>
      </c>
      <c r="D258" s="34"/>
      <c r="E258" s="34" t="s">
        <v>193</v>
      </c>
      <c r="F258" s="34" t="s">
        <v>191</v>
      </c>
      <c r="G258" s="34" t="s">
        <v>100</v>
      </c>
      <c r="H258" t="s">
        <v>279</v>
      </c>
      <c r="I258" t="s">
        <v>243</v>
      </c>
      <c r="J258" t="s">
        <v>712</v>
      </c>
      <c r="K258" t="s">
        <v>758</v>
      </c>
      <c r="L258" t="s">
        <v>711</v>
      </c>
      <c r="M258" s="30">
        <v>2.06</v>
      </c>
      <c r="N258">
        <v>6.75</v>
      </c>
      <c r="P258" s="24" t="str">
        <f>IFERROR(MID(RADataTable[[#This Row],[RATemplate]],1,LEN(RADataTable[[#This Row],[RATemplate]])-8),"RA") &amp; " " &amp; RADataTable[[#This Row],[prop_id0]] &amp; " " &amp; RADataTable[[#This Row],[last0]]</f>
        <v>RA 1749748 Chandrasekaran</v>
      </c>
      <c r="T258">
        <v>4</v>
      </c>
      <c r="U258">
        <v>4</v>
      </c>
      <c r="V258" s="34">
        <v>43030.722916666666</v>
      </c>
      <c r="W258">
        <v>1</v>
      </c>
      <c r="X258" s="15" t="str">
        <f>HYPERLINK("https://www.ejacket.nsf.gov/ej/showProposal.do?Continue=Y&amp;ID="&amp;RADataTable[[#This Row],[prop_id0]],"eJ")</f>
        <v>eJ</v>
      </c>
      <c r="Y258" s="15" t="str">
        <f>HYPERLINK("mailto:"&amp;RADataTable[[#This Row],[email]]&amp;"&amp;subject=Your NSF Proposal:  "&amp;RADataTable[[#This Row],[Div]]&amp;" "&amp;RADataTable[[#This Row],[prop_id0]], RADataTable[[#This Row],[email]])</f>
        <v>karthe@illinois.edu</v>
      </c>
      <c r="Z258" s="15" t="str">
        <f>HYPERLINK("mailto:"&amp;RADataTable[[#This Row],[allPIemail]]&amp;"&amp;subject=NSF Proposal:  "&amp;RADataTable[[#This Row],[Div]]&amp;" "&amp;RADataTable[[#This Row],[prop_id0]], "PIs@")</f>
        <v>PIs@</v>
      </c>
      <c r="AA258" t="s">
        <v>245</v>
      </c>
      <c r="AB258" t="s">
        <v>668</v>
      </c>
      <c r="AC258" s="30" t="s">
        <v>759</v>
      </c>
      <c r="AD258" t="s">
        <v>760</v>
      </c>
      <c r="AE258" t="s">
        <v>761</v>
      </c>
      <c r="AF258" s="36">
        <v>446040</v>
      </c>
      <c r="AG258" s="36">
        <v>446040</v>
      </c>
      <c r="AH258" s="24"/>
      <c r="AJ258" s="34"/>
      <c r="AK258" t="s">
        <v>923</v>
      </c>
      <c r="AL258" t="s">
        <v>232</v>
      </c>
      <c r="AM258" s="34" t="s">
        <v>925</v>
      </c>
      <c r="AN258" s="34">
        <v>43032</v>
      </c>
      <c r="AO258" s="24">
        <v>6</v>
      </c>
      <c r="AP258" t="s">
        <v>944</v>
      </c>
      <c r="AR258" s="35"/>
      <c r="AS258"/>
      <c r="AT258" s="34"/>
      <c r="AV258" s="34"/>
      <c r="AX258" s="34"/>
      <c r="AY258"/>
      <c r="BA258" s="34"/>
      <c r="BB258"/>
      <c r="BC258" t="s">
        <v>765</v>
      </c>
      <c r="BD258" s="36">
        <v>446040</v>
      </c>
      <c r="BE258" s="36">
        <v>446040</v>
      </c>
      <c r="BF258">
        <v>0</v>
      </c>
      <c r="BG258" s="34">
        <v>43115</v>
      </c>
      <c r="BH258">
        <v>60</v>
      </c>
      <c r="BI258" t="s">
        <v>283</v>
      </c>
      <c r="BJ258" t="s">
        <v>928</v>
      </c>
      <c r="BK258" t="s">
        <v>945</v>
      </c>
      <c r="BL258" t="s">
        <v>194</v>
      </c>
      <c r="BM258" s="8" t="s">
        <v>192</v>
      </c>
      <c r="BN258" t="s">
        <v>189</v>
      </c>
      <c r="BO258" t="s">
        <v>190</v>
      </c>
      <c r="BP258" s="35" t="s">
        <v>718</v>
      </c>
      <c r="BQ258"/>
      <c r="BU258" s="35"/>
      <c r="BV258" s="35"/>
      <c r="BX258"/>
      <c r="CA258" s="35"/>
      <c r="CB258" s="35"/>
      <c r="CC258"/>
      <c r="CG258" s="35"/>
      <c r="CH258" s="35"/>
      <c r="CK258"/>
      <c r="CM258" s="35"/>
      <c r="CN258" s="35"/>
      <c r="CQ258"/>
      <c r="CS258" s="35"/>
      <c r="CT258" s="35"/>
      <c r="CX258"/>
      <c r="CZ258" s="35"/>
      <c r="DD258" s="34"/>
      <c r="DG258" t="s">
        <v>763</v>
      </c>
      <c r="DH258" t="s">
        <v>946</v>
      </c>
      <c r="DI258" t="s">
        <v>233</v>
      </c>
      <c r="DL258" t="s">
        <v>668</v>
      </c>
      <c r="DM258">
        <v>5</v>
      </c>
      <c r="DN258">
        <v>8</v>
      </c>
      <c r="DO258" t="s">
        <v>764</v>
      </c>
      <c r="DQ258" t="s">
        <v>927</v>
      </c>
      <c r="DR258">
        <v>14</v>
      </c>
      <c r="DS258">
        <v>2</v>
      </c>
      <c r="DU258">
        <v>14</v>
      </c>
      <c r="DV258">
        <v>2</v>
      </c>
      <c r="DX258">
        <v>14</v>
      </c>
      <c r="DY258">
        <v>2</v>
      </c>
      <c r="DZ258" t="s">
        <v>246</v>
      </c>
      <c r="EA258" t="s">
        <v>929</v>
      </c>
    </row>
    <row r="259" spans="1:131" x14ac:dyDescent="0.4">
      <c r="A259" s="34">
        <v>43067.305104166669</v>
      </c>
      <c r="B259" s="25">
        <v>42934.524305555555</v>
      </c>
      <c r="D259" s="34"/>
      <c r="E259" s="34" t="s">
        <v>193</v>
      </c>
      <c r="F259" s="34" t="s">
        <v>191</v>
      </c>
      <c r="G259" s="34" t="s">
        <v>100</v>
      </c>
      <c r="H259" t="s">
        <v>279</v>
      </c>
      <c r="I259" t="s">
        <v>243</v>
      </c>
      <c r="J259" t="s">
        <v>712</v>
      </c>
      <c r="K259" t="s">
        <v>758</v>
      </c>
      <c r="L259" t="s">
        <v>711</v>
      </c>
      <c r="M259" s="30">
        <v>2.06</v>
      </c>
      <c r="N259">
        <v>6.75</v>
      </c>
      <c r="P259" s="24" t="str">
        <f>IFERROR(MID(RADataTable[[#This Row],[RATemplate]],1,LEN(RADataTable[[#This Row],[RATemplate]])-8),"RA") &amp; " " &amp; RADataTable[[#This Row],[prop_id0]] &amp; " " &amp; RADataTable[[#This Row],[last0]]</f>
        <v>RA 1749748 Chandrasekaran</v>
      </c>
      <c r="T259">
        <v>4</v>
      </c>
      <c r="U259">
        <v>4</v>
      </c>
      <c r="V259" s="34">
        <v>43030.722916666666</v>
      </c>
      <c r="W259">
        <v>1</v>
      </c>
      <c r="X259" s="15" t="str">
        <f>HYPERLINK("https://www.ejacket.nsf.gov/ej/showProposal.do?Continue=Y&amp;ID="&amp;RADataTable[[#This Row],[prop_id0]],"eJ")</f>
        <v>eJ</v>
      </c>
      <c r="Y259" s="15" t="str">
        <f>HYPERLINK("mailto:"&amp;RADataTable[[#This Row],[email]]&amp;"&amp;subject=Your NSF Proposal:  "&amp;RADataTable[[#This Row],[Div]]&amp;" "&amp;RADataTable[[#This Row],[prop_id0]], RADataTable[[#This Row],[email]])</f>
        <v>karthe@illinois.edu</v>
      </c>
      <c r="Z259" s="15" t="str">
        <f>HYPERLINK("mailto:"&amp;RADataTable[[#This Row],[allPIemail]]&amp;"&amp;subject=NSF Proposal:  "&amp;RADataTable[[#This Row],[Div]]&amp;" "&amp;RADataTable[[#This Row],[prop_id0]], "PIs@")</f>
        <v>PIs@</v>
      </c>
      <c r="AA259" t="s">
        <v>245</v>
      </c>
      <c r="AB259" t="s">
        <v>668</v>
      </c>
      <c r="AC259" s="30" t="s">
        <v>759</v>
      </c>
      <c r="AD259" t="s">
        <v>760</v>
      </c>
      <c r="AE259" t="s">
        <v>761</v>
      </c>
      <c r="AF259" s="36">
        <v>446040</v>
      </c>
      <c r="AG259" s="36">
        <v>446040</v>
      </c>
      <c r="AH259" s="24"/>
      <c r="AJ259" s="34"/>
      <c r="AK259" t="s">
        <v>923</v>
      </c>
      <c r="AL259" t="s">
        <v>232</v>
      </c>
      <c r="AM259" s="34" t="s">
        <v>925</v>
      </c>
      <c r="AN259" s="34">
        <v>43032</v>
      </c>
      <c r="AO259" s="24">
        <v>6</v>
      </c>
      <c r="AP259" t="s">
        <v>944</v>
      </c>
      <c r="AR259" s="35"/>
      <c r="AS259"/>
      <c r="AT259" s="34"/>
      <c r="AV259" s="34"/>
      <c r="AX259" s="34"/>
      <c r="AY259"/>
      <c r="BA259" s="34"/>
      <c r="BB259"/>
      <c r="BC259" t="s">
        <v>765</v>
      </c>
      <c r="BD259" s="36">
        <v>446040</v>
      </c>
      <c r="BE259" s="36">
        <v>446040</v>
      </c>
      <c r="BF259">
        <v>0</v>
      </c>
      <c r="BG259" s="34">
        <v>43115</v>
      </c>
      <c r="BH259">
        <v>60</v>
      </c>
      <c r="BI259" t="s">
        <v>283</v>
      </c>
      <c r="BJ259" t="s">
        <v>928</v>
      </c>
      <c r="BK259" t="s">
        <v>945</v>
      </c>
      <c r="BL259" t="s">
        <v>194</v>
      </c>
      <c r="BM259" s="8" t="s">
        <v>192</v>
      </c>
      <c r="BN259" t="s">
        <v>189</v>
      </c>
      <c r="BO259" t="s">
        <v>190</v>
      </c>
      <c r="BP259" s="35" t="s">
        <v>718</v>
      </c>
      <c r="BQ259"/>
      <c r="BU259" s="35"/>
      <c r="BV259" s="35"/>
      <c r="BX259"/>
      <c r="CA259" s="35"/>
      <c r="CB259" s="35"/>
      <c r="CC259"/>
      <c r="CG259" s="35"/>
      <c r="CH259" s="35"/>
      <c r="CK259"/>
      <c r="CM259" s="35"/>
      <c r="CN259" s="35"/>
      <c r="CQ259"/>
      <c r="CS259" s="35"/>
      <c r="CT259" s="35"/>
      <c r="CX259"/>
      <c r="CZ259" s="35"/>
      <c r="DD259" s="34"/>
      <c r="DG259" t="s">
        <v>763</v>
      </c>
      <c r="DH259" t="s">
        <v>946</v>
      </c>
      <c r="DI259" t="s">
        <v>233</v>
      </c>
      <c r="DL259" t="s">
        <v>668</v>
      </c>
      <c r="DM259">
        <v>5</v>
      </c>
      <c r="DN259">
        <v>8</v>
      </c>
      <c r="DO259" t="s">
        <v>764</v>
      </c>
      <c r="DQ259" t="s">
        <v>927</v>
      </c>
      <c r="DR259">
        <v>14</v>
      </c>
      <c r="DS259">
        <v>2</v>
      </c>
      <c r="DU259">
        <v>14</v>
      </c>
      <c r="DV259">
        <v>2</v>
      </c>
      <c r="DX259">
        <v>14</v>
      </c>
      <c r="DY259">
        <v>2</v>
      </c>
      <c r="DZ259" t="s">
        <v>246</v>
      </c>
      <c r="EA259" t="s">
        <v>929</v>
      </c>
    </row>
    <row r="260" spans="1:131" x14ac:dyDescent="0.4">
      <c r="A260" s="34">
        <v>43067.305104166669</v>
      </c>
      <c r="B260" s="25">
        <v>42934.524305555555</v>
      </c>
      <c r="D260" s="34"/>
      <c r="E260" s="34" t="s">
        <v>193</v>
      </c>
      <c r="F260" s="34" t="s">
        <v>191</v>
      </c>
      <c r="G260" s="34" t="s">
        <v>100</v>
      </c>
      <c r="H260" t="s">
        <v>279</v>
      </c>
      <c r="I260" t="s">
        <v>243</v>
      </c>
      <c r="J260" t="s">
        <v>712</v>
      </c>
      <c r="K260" t="s">
        <v>758</v>
      </c>
      <c r="L260" t="s">
        <v>711</v>
      </c>
      <c r="M260" s="30">
        <v>2.06</v>
      </c>
      <c r="N260">
        <v>6.75</v>
      </c>
      <c r="P260" s="24" t="str">
        <f>IFERROR(MID(RADataTable[[#This Row],[RATemplate]],1,LEN(RADataTable[[#This Row],[RATemplate]])-8),"RA") &amp; " " &amp; RADataTable[[#This Row],[prop_id0]] &amp; " " &amp; RADataTable[[#This Row],[last0]]</f>
        <v>RA 1749748 Chandrasekaran</v>
      </c>
      <c r="T260">
        <v>4</v>
      </c>
      <c r="U260">
        <v>4</v>
      </c>
      <c r="V260" s="34">
        <v>43030.722916666666</v>
      </c>
      <c r="W260">
        <v>1</v>
      </c>
      <c r="X260" s="15" t="str">
        <f>HYPERLINK("https://www.ejacket.nsf.gov/ej/showProposal.do?Continue=Y&amp;ID="&amp;RADataTable[[#This Row],[prop_id0]],"eJ")</f>
        <v>eJ</v>
      </c>
      <c r="Y260" s="15" t="str">
        <f>HYPERLINK("mailto:"&amp;RADataTable[[#This Row],[email]]&amp;"&amp;subject=Your NSF Proposal:  "&amp;RADataTable[[#This Row],[Div]]&amp;" "&amp;RADataTable[[#This Row],[prop_id0]], RADataTable[[#This Row],[email]])</f>
        <v>karthe@illinois.edu</v>
      </c>
      <c r="Z260" s="15" t="str">
        <f>HYPERLINK("mailto:"&amp;RADataTable[[#This Row],[allPIemail]]&amp;"&amp;subject=NSF Proposal:  "&amp;RADataTable[[#This Row],[Div]]&amp;" "&amp;RADataTable[[#This Row],[prop_id0]], "PIs@")</f>
        <v>PIs@</v>
      </c>
      <c r="AA260" t="s">
        <v>245</v>
      </c>
      <c r="AB260" t="s">
        <v>668</v>
      </c>
      <c r="AC260" s="30" t="s">
        <v>759</v>
      </c>
      <c r="AD260" t="s">
        <v>760</v>
      </c>
      <c r="AE260" t="s">
        <v>761</v>
      </c>
      <c r="AF260" s="36">
        <v>446040</v>
      </c>
      <c r="AG260" s="36">
        <v>446040</v>
      </c>
      <c r="AH260" s="24"/>
      <c r="AJ260" s="34"/>
      <c r="AK260" t="s">
        <v>923</v>
      </c>
      <c r="AL260" t="s">
        <v>232</v>
      </c>
      <c r="AM260" s="34" t="s">
        <v>925</v>
      </c>
      <c r="AN260" s="34">
        <v>43032</v>
      </c>
      <c r="AO260" s="24">
        <v>6</v>
      </c>
      <c r="AP260" t="s">
        <v>944</v>
      </c>
      <c r="AR260" s="35"/>
      <c r="AS260"/>
      <c r="AT260" s="34"/>
      <c r="AV260" s="34"/>
      <c r="AX260" s="34"/>
      <c r="AY260"/>
      <c r="BA260" s="34"/>
      <c r="BB260"/>
      <c r="BC260" t="s">
        <v>765</v>
      </c>
      <c r="BD260" s="36">
        <v>446040</v>
      </c>
      <c r="BE260" s="36">
        <v>446040</v>
      </c>
      <c r="BF260">
        <v>0</v>
      </c>
      <c r="BG260" s="34">
        <v>43115</v>
      </c>
      <c r="BH260">
        <v>60</v>
      </c>
      <c r="BI260" t="s">
        <v>283</v>
      </c>
      <c r="BJ260" t="s">
        <v>928</v>
      </c>
      <c r="BK260" t="s">
        <v>945</v>
      </c>
      <c r="BL260" t="s">
        <v>194</v>
      </c>
      <c r="BM260" s="8" t="s">
        <v>192</v>
      </c>
      <c r="BN260" t="s">
        <v>189</v>
      </c>
      <c r="BO260" t="s">
        <v>190</v>
      </c>
      <c r="BP260" s="35" t="s">
        <v>718</v>
      </c>
      <c r="BQ260"/>
      <c r="BU260" s="35"/>
      <c r="BV260" s="35"/>
      <c r="BX260"/>
      <c r="CA260" s="35"/>
      <c r="CB260" s="35"/>
      <c r="CC260"/>
      <c r="CG260" s="35"/>
      <c r="CH260" s="35"/>
      <c r="CK260"/>
      <c r="CM260" s="35"/>
      <c r="CN260" s="35"/>
      <c r="CQ260"/>
      <c r="CS260" s="35"/>
      <c r="CT260" s="35"/>
      <c r="CX260"/>
      <c r="CZ260" s="35"/>
      <c r="DD260" s="34"/>
      <c r="DG260" t="s">
        <v>763</v>
      </c>
      <c r="DH260" t="s">
        <v>946</v>
      </c>
      <c r="DI260" t="s">
        <v>233</v>
      </c>
      <c r="DL260" t="s">
        <v>668</v>
      </c>
      <c r="DM260">
        <v>5</v>
      </c>
      <c r="DN260">
        <v>8</v>
      </c>
      <c r="DO260" t="s">
        <v>764</v>
      </c>
      <c r="DQ260" t="s">
        <v>927</v>
      </c>
      <c r="DR260">
        <v>14</v>
      </c>
      <c r="DS260">
        <v>2</v>
      </c>
      <c r="DU260">
        <v>14</v>
      </c>
      <c r="DV260">
        <v>2</v>
      </c>
      <c r="DX260">
        <v>14</v>
      </c>
      <c r="DY260">
        <v>2</v>
      </c>
      <c r="DZ260" t="s">
        <v>246</v>
      </c>
      <c r="EA260" t="s">
        <v>929</v>
      </c>
    </row>
    <row r="261" spans="1:131" x14ac:dyDescent="0.4">
      <c r="A261" s="34">
        <v>43067.305104166669</v>
      </c>
      <c r="B261" s="25">
        <v>42934.524305555555</v>
      </c>
      <c r="D261" s="34"/>
      <c r="E261" s="34" t="s">
        <v>193</v>
      </c>
      <c r="F261" s="34" t="s">
        <v>191</v>
      </c>
      <c r="G261" s="34" t="s">
        <v>100</v>
      </c>
      <c r="H261" t="s">
        <v>279</v>
      </c>
      <c r="I261" t="s">
        <v>243</v>
      </c>
      <c r="J261" t="s">
        <v>712</v>
      </c>
      <c r="K261" t="s">
        <v>758</v>
      </c>
      <c r="L261" t="s">
        <v>711</v>
      </c>
      <c r="M261" s="30">
        <v>2.06</v>
      </c>
      <c r="N261">
        <v>6.75</v>
      </c>
      <c r="P261" s="24" t="str">
        <f>IFERROR(MID(RADataTable[[#This Row],[RATemplate]],1,LEN(RADataTable[[#This Row],[RATemplate]])-8),"RA") &amp; " " &amp; RADataTable[[#This Row],[prop_id0]] &amp; " " &amp; RADataTable[[#This Row],[last0]]</f>
        <v>RA 1749748 Chandrasekaran</v>
      </c>
      <c r="T261">
        <v>4</v>
      </c>
      <c r="U261">
        <v>4</v>
      </c>
      <c r="V261" s="34">
        <v>43030.722916666666</v>
      </c>
      <c r="W261">
        <v>1</v>
      </c>
      <c r="X261" s="15" t="str">
        <f>HYPERLINK("https://www.ejacket.nsf.gov/ej/showProposal.do?Continue=Y&amp;ID="&amp;RADataTable[[#This Row],[prop_id0]],"eJ")</f>
        <v>eJ</v>
      </c>
      <c r="Y261" s="15" t="str">
        <f>HYPERLINK("mailto:"&amp;RADataTable[[#This Row],[email]]&amp;"&amp;subject=Your NSF Proposal:  "&amp;RADataTable[[#This Row],[Div]]&amp;" "&amp;RADataTable[[#This Row],[prop_id0]], RADataTable[[#This Row],[email]])</f>
        <v>karthe@illinois.edu</v>
      </c>
      <c r="Z261" s="15" t="str">
        <f>HYPERLINK("mailto:"&amp;RADataTable[[#This Row],[allPIemail]]&amp;"&amp;subject=NSF Proposal:  "&amp;RADataTable[[#This Row],[Div]]&amp;" "&amp;RADataTable[[#This Row],[prop_id0]], "PIs@")</f>
        <v>PIs@</v>
      </c>
      <c r="AA261" t="s">
        <v>245</v>
      </c>
      <c r="AB261" t="s">
        <v>668</v>
      </c>
      <c r="AC261" s="30" t="s">
        <v>759</v>
      </c>
      <c r="AD261" t="s">
        <v>760</v>
      </c>
      <c r="AE261" t="s">
        <v>761</v>
      </c>
      <c r="AF261" s="36">
        <v>446040</v>
      </c>
      <c r="AG261" s="36">
        <v>446040</v>
      </c>
      <c r="AH261" s="24"/>
      <c r="AJ261" s="34"/>
      <c r="AK261" t="s">
        <v>923</v>
      </c>
      <c r="AL261" t="s">
        <v>232</v>
      </c>
      <c r="AM261" s="34" t="s">
        <v>925</v>
      </c>
      <c r="AN261" s="34">
        <v>43032</v>
      </c>
      <c r="AO261" s="24">
        <v>6</v>
      </c>
      <c r="AP261" t="s">
        <v>944</v>
      </c>
      <c r="AR261" s="35"/>
      <c r="AS261"/>
      <c r="AT261" s="34"/>
      <c r="AV261" s="34"/>
      <c r="AX261" s="34"/>
      <c r="AY261"/>
      <c r="BA261" s="34"/>
      <c r="BB261"/>
      <c r="BC261" t="s">
        <v>765</v>
      </c>
      <c r="BD261" s="36">
        <v>446040</v>
      </c>
      <c r="BE261" s="36">
        <v>446040</v>
      </c>
      <c r="BF261">
        <v>0</v>
      </c>
      <c r="BG261" s="34">
        <v>43115</v>
      </c>
      <c r="BH261">
        <v>60</v>
      </c>
      <c r="BI261" t="s">
        <v>283</v>
      </c>
      <c r="BJ261" t="s">
        <v>928</v>
      </c>
      <c r="BK261" t="s">
        <v>945</v>
      </c>
      <c r="BL261" t="s">
        <v>194</v>
      </c>
      <c r="BM261" s="8" t="s">
        <v>192</v>
      </c>
      <c r="BN261" t="s">
        <v>189</v>
      </c>
      <c r="BO261" t="s">
        <v>190</v>
      </c>
      <c r="BP261" s="35" t="s">
        <v>718</v>
      </c>
      <c r="BQ261"/>
      <c r="BU261" s="35"/>
      <c r="BV261" s="35"/>
      <c r="BX261"/>
      <c r="CA261" s="35"/>
      <c r="CB261" s="35"/>
      <c r="CC261"/>
      <c r="CG261" s="35"/>
      <c r="CH261" s="35"/>
      <c r="CK261"/>
      <c r="CM261" s="35"/>
      <c r="CN261" s="35"/>
      <c r="CQ261"/>
      <c r="CS261" s="35"/>
      <c r="CT261" s="35"/>
      <c r="CX261"/>
      <c r="CZ261" s="35"/>
      <c r="DD261" s="34"/>
      <c r="DG261" t="s">
        <v>763</v>
      </c>
      <c r="DH261" t="s">
        <v>946</v>
      </c>
      <c r="DI261" t="s">
        <v>233</v>
      </c>
      <c r="DL261" t="s">
        <v>668</v>
      </c>
      <c r="DM261">
        <v>5</v>
      </c>
      <c r="DN261">
        <v>8</v>
      </c>
      <c r="DO261" t="s">
        <v>764</v>
      </c>
      <c r="DQ261" t="s">
        <v>927</v>
      </c>
      <c r="DR261">
        <v>14</v>
      </c>
      <c r="DS261">
        <v>2</v>
      </c>
      <c r="DU261">
        <v>14</v>
      </c>
      <c r="DV261">
        <v>2</v>
      </c>
      <c r="DX261">
        <v>14</v>
      </c>
      <c r="DY261">
        <v>2</v>
      </c>
      <c r="DZ261" t="s">
        <v>246</v>
      </c>
      <c r="EA261" t="s">
        <v>929</v>
      </c>
    </row>
    <row r="262" spans="1:131" x14ac:dyDescent="0.4">
      <c r="A262" s="34">
        <v>43067.305104166669</v>
      </c>
      <c r="B262" s="25">
        <v>42934.524305555555</v>
      </c>
      <c r="D262" s="34"/>
      <c r="E262" s="34" t="s">
        <v>193</v>
      </c>
      <c r="F262" s="34" t="s">
        <v>191</v>
      </c>
      <c r="G262" s="34" t="s">
        <v>100</v>
      </c>
      <c r="H262" t="s">
        <v>279</v>
      </c>
      <c r="I262" t="s">
        <v>243</v>
      </c>
      <c r="J262" t="s">
        <v>712</v>
      </c>
      <c r="K262" t="s">
        <v>758</v>
      </c>
      <c r="L262" t="s">
        <v>711</v>
      </c>
      <c r="M262" s="30">
        <v>2.06</v>
      </c>
      <c r="N262">
        <v>6.75</v>
      </c>
      <c r="P262" s="24" t="str">
        <f>IFERROR(MID(RADataTable[[#This Row],[RATemplate]],1,LEN(RADataTable[[#This Row],[RATemplate]])-8),"RA") &amp; " " &amp; RADataTable[[#This Row],[prop_id0]] &amp; " " &amp; RADataTable[[#This Row],[last0]]</f>
        <v>RA 1749748 Chandrasekaran</v>
      </c>
      <c r="T262">
        <v>4</v>
      </c>
      <c r="U262">
        <v>4</v>
      </c>
      <c r="V262" s="34">
        <v>43030.722916666666</v>
      </c>
      <c r="W262">
        <v>1</v>
      </c>
      <c r="X262" s="15" t="str">
        <f>HYPERLINK("https://www.ejacket.nsf.gov/ej/showProposal.do?Continue=Y&amp;ID="&amp;RADataTable[[#This Row],[prop_id0]],"eJ")</f>
        <v>eJ</v>
      </c>
      <c r="Y262" s="15" t="str">
        <f>HYPERLINK("mailto:"&amp;RADataTable[[#This Row],[email]]&amp;"&amp;subject=Your NSF Proposal:  "&amp;RADataTable[[#This Row],[Div]]&amp;" "&amp;RADataTable[[#This Row],[prop_id0]], RADataTable[[#This Row],[email]])</f>
        <v>karthe@illinois.edu</v>
      </c>
      <c r="Z262" s="15" t="str">
        <f>HYPERLINK("mailto:"&amp;RADataTable[[#This Row],[allPIemail]]&amp;"&amp;subject=NSF Proposal:  "&amp;RADataTable[[#This Row],[Div]]&amp;" "&amp;RADataTable[[#This Row],[prop_id0]], "PIs@")</f>
        <v>PIs@</v>
      </c>
      <c r="AA262" t="s">
        <v>245</v>
      </c>
      <c r="AB262" t="s">
        <v>668</v>
      </c>
      <c r="AC262" s="30" t="s">
        <v>759</v>
      </c>
      <c r="AD262" t="s">
        <v>760</v>
      </c>
      <c r="AE262" t="s">
        <v>761</v>
      </c>
      <c r="AF262" s="36">
        <v>446040</v>
      </c>
      <c r="AG262" s="36">
        <v>446040</v>
      </c>
      <c r="AH262" s="24"/>
      <c r="AJ262" s="34"/>
      <c r="AK262" t="s">
        <v>923</v>
      </c>
      <c r="AL262" t="s">
        <v>232</v>
      </c>
      <c r="AM262" s="34" t="s">
        <v>925</v>
      </c>
      <c r="AN262" s="34">
        <v>43032</v>
      </c>
      <c r="AO262" s="24">
        <v>6</v>
      </c>
      <c r="AP262" t="s">
        <v>944</v>
      </c>
      <c r="AR262" s="35"/>
      <c r="AS262"/>
      <c r="AT262" s="34"/>
      <c r="AV262" s="34"/>
      <c r="AX262" s="34"/>
      <c r="AY262"/>
      <c r="BA262" s="34"/>
      <c r="BB262"/>
      <c r="BC262" t="s">
        <v>765</v>
      </c>
      <c r="BD262" s="36">
        <v>446040</v>
      </c>
      <c r="BE262" s="36">
        <v>446040</v>
      </c>
      <c r="BF262">
        <v>0</v>
      </c>
      <c r="BG262" s="34">
        <v>43115</v>
      </c>
      <c r="BH262">
        <v>60</v>
      </c>
      <c r="BI262" t="s">
        <v>283</v>
      </c>
      <c r="BJ262" t="s">
        <v>928</v>
      </c>
      <c r="BK262" t="s">
        <v>945</v>
      </c>
      <c r="BL262" t="s">
        <v>194</v>
      </c>
      <c r="BM262" s="8" t="s">
        <v>192</v>
      </c>
      <c r="BN262" t="s">
        <v>189</v>
      </c>
      <c r="BO262" t="s">
        <v>190</v>
      </c>
      <c r="BP262" s="35" t="s">
        <v>718</v>
      </c>
      <c r="BQ262"/>
      <c r="BU262" s="35"/>
      <c r="BV262" s="35"/>
      <c r="BX262"/>
      <c r="CA262" s="35"/>
      <c r="CB262" s="35"/>
      <c r="CC262"/>
      <c r="CG262" s="35"/>
      <c r="CH262" s="35"/>
      <c r="CK262"/>
      <c r="CM262" s="35"/>
      <c r="CN262" s="35"/>
      <c r="CQ262"/>
      <c r="CS262" s="35"/>
      <c r="CT262" s="35"/>
      <c r="CX262"/>
      <c r="CZ262" s="35"/>
      <c r="DD262" s="34"/>
      <c r="DG262" t="s">
        <v>763</v>
      </c>
      <c r="DH262" t="s">
        <v>946</v>
      </c>
      <c r="DI262" t="s">
        <v>233</v>
      </c>
      <c r="DL262" t="s">
        <v>668</v>
      </c>
      <c r="DM262">
        <v>5</v>
      </c>
      <c r="DN262">
        <v>8</v>
      </c>
      <c r="DO262" t="s">
        <v>764</v>
      </c>
      <c r="DQ262" t="s">
        <v>927</v>
      </c>
      <c r="DR262">
        <v>14</v>
      </c>
      <c r="DS262">
        <v>2</v>
      </c>
      <c r="DU262">
        <v>14</v>
      </c>
      <c r="DV262">
        <v>2</v>
      </c>
      <c r="DX262">
        <v>14</v>
      </c>
      <c r="DY262">
        <v>2</v>
      </c>
      <c r="DZ262" t="s">
        <v>246</v>
      </c>
      <c r="EA262" t="s">
        <v>929</v>
      </c>
    </row>
    <row r="263" spans="1:131" x14ac:dyDescent="0.4">
      <c r="A263" s="34">
        <v>43067.305104166669</v>
      </c>
      <c r="B263" s="25">
        <v>42934.524305555555</v>
      </c>
      <c r="D263" s="34"/>
      <c r="E263" s="34" t="s">
        <v>193</v>
      </c>
      <c r="F263" s="34" t="s">
        <v>191</v>
      </c>
      <c r="G263" s="34" t="s">
        <v>100</v>
      </c>
      <c r="H263" t="s">
        <v>279</v>
      </c>
      <c r="I263" t="s">
        <v>243</v>
      </c>
      <c r="J263" t="s">
        <v>712</v>
      </c>
      <c r="K263" t="s">
        <v>758</v>
      </c>
      <c r="L263" t="s">
        <v>711</v>
      </c>
      <c r="M263" s="30">
        <v>2.06</v>
      </c>
      <c r="N263">
        <v>6.75</v>
      </c>
      <c r="P263" s="24" t="str">
        <f>IFERROR(MID(RADataTable[[#This Row],[RATemplate]],1,LEN(RADataTable[[#This Row],[RATemplate]])-8),"RA") &amp; " " &amp; RADataTable[[#This Row],[prop_id0]] &amp; " " &amp; RADataTable[[#This Row],[last0]]</f>
        <v>RA 1749748 Chandrasekaran</v>
      </c>
      <c r="T263">
        <v>4</v>
      </c>
      <c r="U263">
        <v>4</v>
      </c>
      <c r="V263" s="34">
        <v>43030.722916666666</v>
      </c>
      <c r="W263">
        <v>1</v>
      </c>
      <c r="X263" s="15" t="str">
        <f>HYPERLINK("https://www.ejacket.nsf.gov/ej/showProposal.do?Continue=Y&amp;ID="&amp;RADataTable[[#This Row],[prop_id0]],"eJ")</f>
        <v>eJ</v>
      </c>
      <c r="Y263" s="15" t="str">
        <f>HYPERLINK("mailto:"&amp;RADataTable[[#This Row],[email]]&amp;"&amp;subject=Your NSF Proposal:  "&amp;RADataTable[[#This Row],[Div]]&amp;" "&amp;RADataTable[[#This Row],[prop_id0]], RADataTable[[#This Row],[email]])</f>
        <v>karthe@illinois.edu</v>
      </c>
      <c r="Z263" s="15" t="str">
        <f>HYPERLINK("mailto:"&amp;RADataTable[[#This Row],[allPIemail]]&amp;"&amp;subject=NSF Proposal:  "&amp;RADataTable[[#This Row],[Div]]&amp;" "&amp;RADataTable[[#This Row],[prop_id0]], "PIs@")</f>
        <v>PIs@</v>
      </c>
      <c r="AA263" t="s">
        <v>245</v>
      </c>
      <c r="AB263" t="s">
        <v>668</v>
      </c>
      <c r="AC263" s="30" t="s">
        <v>759</v>
      </c>
      <c r="AD263" t="s">
        <v>760</v>
      </c>
      <c r="AE263" t="s">
        <v>761</v>
      </c>
      <c r="AF263" s="36">
        <v>446040</v>
      </c>
      <c r="AG263" s="36">
        <v>446040</v>
      </c>
      <c r="AH263" s="24"/>
      <c r="AJ263" s="34"/>
      <c r="AK263" t="s">
        <v>923</v>
      </c>
      <c r="AL263" t="s">
        <v>232</v>
      </c>
      <c r="AM263" s="34" t="s">
        <v>925</v>
      </c>
      <c r="AN263" s="34">
        <v>43032</v>
      </c>
      <c r="AO263" s="24">
        <v>6</v>
      </c>
      <c r="AP263" t="s">
        <v>944</v>
      </c>
      <c r="AR263" s="35"/>
      <c r="AS263"/>
      <c r="AT263" s="34"/>
      <c r="AV263" s="34"/>
      <c r="AX263" s="34"/>
      <c r="AY263"/>
      <c r="BA263" s="34"/>
      <c r="BB263"/>
      <c r="BC263" t="s">
        <v>765</v>
      </c>
      <c r="BD263" s="36">
        <v>446040</v>
      </c>
      <c r="BE263" s="36">
        <v>446040</v>
      </c>
      <c r="BF263">
        <v>0</v>
      </c>
      <c r="BG263" s="34">
        <v>43115</v>
      </c>
      <c r="BH263">
        <v>60</v>
      </c>
      <c r="BI263" t="s">
        <v>283</v>
      </c>
      <c r="BJ263" t="s">
        <v>928</v>
      </c>
      <c r="BK263" t="s">
        <v>945</v>
      </c>
      <c r="BL263" t="s">
        <v>194</v>
      </c>
      <c r="BM263" s="8" t="s">
        <v>192</v>
      </c>
      <c r="BN263" t="s">
        <v>189</v>
      </c>
      <c r="BO263" t="s">
        <v>190</v>
      </c>
      <c r="BP263" s="35" t="s">
        <v>718</v>
      </c>
      <c r="BQ263"/>
      <c r="BU263" s="35"/>
      <c r="BV263" s="35"/>
      <c r="BX263"/>
      <c r="CA263" s="35"/>
      <c r="CB263" s="35"/>
      <c r="CC263"/>
      <c r="CG263" s="35"/>
      <c r="CH263" s="35"/>
      <c r="CK263"/>
      <c r="CM263" s="35"/>
      <c r="CN263" s="35"/>
      <c r="CQ263"/>
      <c r="CS263" s="35"/>
      <c r="CT263" s="35"/>
      <c r="CX263"/>
      <c r="CZ263" s="35"/>
      <c r="DD263" s="34"/>
      <c r="DG263" t="s">
        <v>763</v>
      </c>
      <c r="DH263" t="s">
        <v>946</v>
      </c>
      <c r="DI263" t="s">
        <v>233</v>
      </c>
      <c r="DL263" t="s">
        <v>668</v>
      </c>
      <c r="DM263">
        <v>5</v>
      </c>
      <c r="DN263">
        <v>8</v>
      </c>
      <c r="DO263" t="s">
        <v>764</v>
      </c>
      <c r="DQ263" t="s">
        <v>927</v>
      </c>
      <c r="DR263">
        <v>14</v>
      </c>
      <c r="DS263">
        <v>2</v>
      </c>
      <c r="DU263">
        <v>14</v>
      </c>
      <c r="DV263">
        <v>2</v>
      </c>
      <c r="DX263">
        <v>14</v>
      </c>
      <c r="DY263">
        <v>2</v>
      </c>
      <c r="DZ263" t="s">
        <v>246</v>
      </c>
      <c r="EA263" t="s">
        <v>929</v>
      </c>
    </row>
    <row r="264" spans="1:131" x14ac:dyDescent="0.4">
      <c r="A264" s="34">
        <v>43067.305104166669</v>
      </c>
      <c r="B264" s="25">
        <v>42934.524305555555</v>
      </c>
      <c r="D264" s="34"/>
      <c r="E264" s="34" t="s">
        <v>193</v>
      </c>
      <c r="F264" s="34" t="s">
        <v>191</v>
      </c>
      <c r="G264" s="34" t="s">
        <v>100</v>
      </c>
      <c r="H264" t="s">
        <v>279</v>
      </c>
      <c r="I264" t="s">
        <v>243</v>
      </c>
      <c r="J264" t="s">
        <v>712</v>
      </c>
      <c r="K264" t="s">
        <v>758</v>
      </c>
      <c r="L264" t="s">
        <v>711</v>
      </c>
      <c r="M264" s="30">
        <v>2.06</v>
      </c>
      <c r="N264">
        <v>6.75</v>
      </c>
      <c r="P264" s="24" t="str">
        <f>IFERROR(MID(RADataTable[[#This Row],[RATemplate]],1,LEN(RADataTable[[#This Row],[RATemplate]])-8),"RA") &amp; " " &amp; RADataTable[[#This Row],[prop_id0]] &amp; " " &amp; RADataTable[[#This Row],[last0]]</f>
        <v>RA 1749748 Chandrasekaran</v>
      </c>
      <c r="T264">
        <v>4</v>
      </c>
      <c r="U264">
        <v>4</v>
      </c>
      <c r="V264" s="34">
        <v>43030.722916666666</v>
      </c>
      <c r="W264">
        <v>1</v>
      </c>
      <c r="X264" s="15" t="str">
        <f>HYPERLINK("https://www.ejacket.nsf.gov/ej/showProposal.do?Continue=Y&amp;ID="&amp;RADataTable[[#This Row],[prop_id0]],"eJ")</f>
        <v>eJ</v>
      </c>
      <c r="Y264" s="15" t="str">
        <f>HYPERLINK("mailto:"&amp;RADataTable[[#This Row],[email]]&amp;"&amp;subject=Your NSF Proposal:  "&amp;RADataTable[[#This Row],[Div]]&amp;" "&amp;RADataTable[[#This Row],[prop_id0]], RADataTable[[#This Row],[email]])</f>
        <v>karthe@illinois.edu</v>
      </c>
      <c r="Z264" s="15" t="str">
        <f>HYPERLINK("mailto:"&amp;RADataTable[[#This Row],[allPIemail]]&amp;"&amp;subject=NSF Proposal:  "&amp;RADataTable[[#This Row],[Div]]&amp;" "&amp;RADataTable[[#This Row],[prop_id0]], "PIs@")</f>
        <v>PIs@</v>
      </c>
      <c r="AA264" t="s">
        <v>245</v>
      </c>
      <c r="AB264" t="s">
        <v>668</v>
      </c>
      <c r="AC264" s="30" t="s">
        <v>759</v>
      </c>
      <c r="AD264" t="s">
        <v>760</v>
      </c>
      <c r="AE264" t="s">
        <v>761</v>
      </c>
      <c r="AF264" s="36">
        <v>446040</v>
      </c>
      <c r="AG264" s="36">
        <v>446040</v>
      </c>
      <c r="AH264" s="24"/>
      <c r="AJ264" s="34"/>
      <c r="AK264" t="s">
        <v>923</v>
      </c>
      <c r="AL264" t="s">
        <v>232</v>
      </c>
      <c r="AM264" s="34" t="s">
        <v>925</v>
      </c>
      <c r="AN264" s="34">
        <v>43032</v>
      </c>
      <c r="AO264" s="24">
        <v>6</v>
      </c>
      <c r="AP264" t="s">
        <v>944</v>
      </c>
      <c r="AR264" s="35"/>
      <c r="AS264"/>
      <c r="AT264" s="34"/>
      <c r="AV264" s="34"/>
      <c r="AX264" s="34"/>
      <c r="AY264"/>
      <c r="BA264" s="34"/>
      <c r="BB264"/>
      <c r="BC264" t="s">
        <v>765</v>
      </c>
      <c r="BD264" s="36">
        <v>446040</v>
      </c>
      <c r="BE264" s="36">
        <v>446040</v>
      </c>
      <c r="BF264">
        <v>0</v>
      </c>
      <c r="BG264" s="34">
        <v>43115</v>
      </c>
      <c r="BH264">
        <v>60</v>
      </c>
      <c r="BI264" t="s">
        <v>283</v>
      </c>
      <c r="BJ264" t="s">
        <v>928</v>
      </c>
      <c r="BK264" t="s">
        <v>945</v>
      </c>
      <c r="BL264" t="s">
        <v>194</v>
      </c>
      <c r="BM264" s="8" t="s">
        <v>192</v>
      </c>
      <c r="BN264" t="s">
        <v>189</v>
      </c>
      <c r="BO264" t="s">
        <v>190</v>
      </c>
      <c r="BP264" s="35" t="s">
        <v>718</v>
      </c>
      <c r="BQ264"/>
      <c r="BU264" s="35"/>
      <c r="BV264" s="35"/>
      <c r="BX264"/>
      <c r="CA264" s="35"/>
      <c r="CB264" s="35"/>
      <c r="CC264"/>
      <c r="CG264" s="35"/>
      <c r="CH264" s="35"/>
      <c r="CK264"/>
      <c r="CM264" s="35"/>
      <c r="CN264" s="35"/>
      <c r="CQ264"/>
      <c r="CS264" s="35"/>
      <c r="CT264" s="35"/>
      <c r="CX264"/>
      <c r="CZ264" s="35"/>
      <c r="DD264" s="34"/>
      <c r="DG264" t="s">
        <v>763</v>
      </c>
      <c r="DH264" t="s">
        <v>946</v>
      </c>
      <c r="DI264" t="s">
        <v>233</v>
      </c>
      <c r="DL264" t="s">
        <v>668</v>
      </c>
      <c r="DM264">
        <v>5</v>
      </c>
      <c r="DN264">
        <v>8</v>
      </c>
      <c r="DO264" t="s">
        <v>764</v>
      </c>
      <c r="DQ264" t="s">
        <v>927</v>
      </c>
      <c r="DR264">
        <v>14</v>
      </c>
      <c r="DS264">
        <v>2</v>
      </c>
      <c r="DU264">
        <v>14</v>
      </c>
      <c r="DV264">
        <v>2</v>
      </c>
      <c r="DX264">
        <v>14</v>
      </c>
      <c r="DY264">
        <v>2</v>
      </c>
      <c r="DZ264" t="s">
        <v>246</v>
      </c>
      <c r="EA264" t="s">
        <v>929</v>
      </c>
    </row>
    <row r="265" spans="1:131" x14ac:dyDescent="0.4">
      <c r="A265" s="34">
        <v>43067.305104166669</v>
      </c>
      <c r="B265" s="25">
        <v>42934.524305555555</v>
      </c>
      <c r="D265" s="34"/>
      <c r="E265" s="34" t="s">
        <v>193</v>
      </c>
      <c r="F265" s="34" t="s">
        <v>191</v>
      </c>
      <c r="G265" s="34" t="s">
        <v>100</v>
      </c>
      <c r="H265" t="s">
        <v>279</v>
      </c>
      <c r="I265" t="s">
        <v>243</v>
      </c>
      <c r="J265" t="s">
        <v>712</v>
      </c>
      <c r="K265" t="s">
        <v>758</v>
      </c>
      <c r="L265" t="s">
        <v>711</v>
      </c>
      <c r="M265" s="30">
        <v>2.06</v>
      </c>
      <c r="N265">
        <v>6.75</v>
      </c>
      <c r="P265" s="24" t="str">
        <f>IFERROR(MID(RADataTable[[#This Row],[RATemplate]],1,LEN(RADataTable[[#This Row],[RATemplate]])-8),"RA") &amp; " " &amp; RADataTable[[#This Row],[prop_id0]] &amp; " " &amp; RADataTable[[#This Row],[last0]]</f>
        <v>RA 1749748 Chandrasekaran</v>
      </c>
      <c r="T265">
        <v>4</v>
      </c>
      <c r="U265">
        <v>4</v>
      </c>
      <c r="V265" s="34">
        <v>43030.722916666666</v>
      </c>
      <c r="W265">
        <v>1</v>
      </c>
      <c r="X265" s="15" t="str">
        <f>HYPERLINK("https://www.ejacket.nsf.gov/ej/showProposal.do?Continue=Y&amp;ID="&amp;RADataTable[[#This Row],[prop_id0]],"eJ")</f>
        <v>eJ</v>
      </c>
      <c r="Y265" s="15" t="str">
        <f>HYPERLINK("mailto:"&amp;RADataTable[[#This Row],[email]]&amp;"&amp;subject=Your NSF Proposal:  "&amp;RADataTable[[#This Row],[Div]]&amp;" "&amp;RADataTable[[#This Row],[prop_id0]], RADataTable[[#This Row],[email]])</f>
        <v>karthe@illinois.edu</v>
      </c>
      <c r="Z265" s="15" t="str">
        <f>HYPERLINK("mailto:"&amp;RADataTable[[#This Row],[allPIemail]]&amp;"&amp;subject=NSF Proposal:  "&amp;RADataTable[[#This Row],[Div]]&amp;" "&amp;RADataTable[[#This Row],[prop_id0]], "PIs@")</f>
        <v>PIs@</v>
      </c>
      <c r="AA265" t="s">
        <v>245</v>
      </c>
      <c r="AB265" t="s">
        <v>668</v>
      </c>
      <c r="AC265" s="30" t="s">
        <v>759</v>
      </c>
      <c r="AD265" t="s">
        <v>760</v>
      </c>
      <c r="AE265" t="s">
        <v>761</v>
      </c>
      <c r="AF265" s="36">
        <v>446040</v>
      </c>
      <c r="AG265" s="36">
        <v>446040</v>
      </c>
      <c r="AH265" s="24"/>
      <c r="AJ265" s="34"/>
      <c r="AK265" t="s">
        <v>923</v>
      </c>
      <c r="AL265" t="s">
        <v>232</v>
      </c>
      <c r="AM265" s="34" t="s">
        <v>925</v>
      </c>
      <c r="AN265" s="34">
        <v>43032</v>
      </c>
      <c r="AO265" s="24">
        <v>6</v>
      </c>
      <c r="AP265" t="s">
        <v>944</v>
      </c>
      <c r="AR265" s="35"/>
      <c r="AS265"/>
      <c r="AT265" s="34"/>
      <c r="AV265" s="34"/>
      <c r="AX265" s="34"/>
      <c r="AY265"/>
      <c r="BA265" s="34"/>
      <c r="BB265"/>
      <c r="BC265" t="s">
        <v>765</v>
      </c>
      <c r="BD265" s="36">
        <v>446040</v>
      </c>
      <c r="BE265" s="36">
        <v>446040</v>
      </c>
      <c r="BF265">
        <v>0</v>
      </c>
      <c r="BG265" s="34">
        <v>43115</v>
      </c>
      <c r="BH265">
        <v>60</v>
      </c>
      <c r="BI265" t="s">
        <v>283</v>
      </c>
      <c r="BJ265" t="s">
        <v>928</v>
      </c>
      <c r="BK265" t="s">
        <v>945</v>
      </c>
      <c r="BL265" t="s">
        <v>194</v>
      </c>
      <c r="BM265" s="8" t="s">
        <v>192</v>
      </c>
      <c r="BN265" t="s">
        <v>189</v>
      </c>
      <c r="BO265" t="s">
        <v>190</v>
      </c>
      <c r="BP265" s="35" t="s">
        <v>718</v>
      </c>
      <c r="BQ265"/>
      <c r="BU265" s="35"/>
      <c r="BV265" s="35"/>
      <c r="BX265"/>
      <c r="CA265" s="35"/>
      <c r="CB265" s="35"/>
      <c r="CC265"/>
      <c r="CG265" s="35"/>
      <c r="CH265" s="35"/>
      <c r="CK265"/>
      <c r="CM265" s="35"/>
      <c r="CN265" s="35"/>
      <c r="CQ265"/>
      <c r="CS265" s="35"/>
      <c r="CT265" s="35"/>
      <c r="CX265"/>
      <c r="CZ265" s="35"/>
      <c r="DD265" s="34"/>
      <c r="DG265" t="s">
        <v>763</v>
      </c>
      <c r="DH265" t="s">
        <v>946</v>
      </c>
      <c r="DI265" t="s">
        <v>233</v>
      </c>
      <c r="DL265" t="s">
        <v>668</v>
      </c>
      <c r="DM265">
        <v>5</v>
      </c>
      <c r="DN265">
        <v>8</v>
      </c>
      <c r="DO265" t="s">
        <v>764</v>
      </c>
      <c r="DQ265" t="s">
        <v>927</v>
      </c>
      <c r="DR265">
        <v>14</v>
      </c>
      <c r="DS265">
        <v>2</v>
      </c>
      <c r="DU265">
        <v>14</v>
      </c>
      <c r="DV265">
        <v>2</v>
      </c>
      <c r="DX265">
        <v>14</v>
      </c>
      <c r="DY265">
        <v>2</v>
      </c>
      <c r="DZ265" t="s">
        <v>246</v>
      </c>
      <c r="EA265" t="s">
        <v>929</v>
      </c>
    </row>
    <row r="266" spans="1:131" x14ac:dyDescent="0.4">
      <c r="A266" s="34">
        <v>43067.305104166669</v>
      </c>
      <c r="B266" s="25">
        <v>42934.524305555555</v>
      </c>
      <c r="D266" s="34"/>
      <c r="E266" s="34" t="s">
        <v>193</v>
      </c>
      <c r="F266" s="34" t="s">
        <v>191</v>
      </c>
      <c r="G266" s="34" t="s">
        <v>100</v>
      </c>
      <c r="H266" t="s">
        <v>279</v>
      </c>
      <c r="I266" t="s">
        <v>243</v>
      </c>
      <c r="J266" t="s">
        <v>712</v>
      </c>
      <c r="K266" t="s">
        <v>758</v>
      </c>
      <c r="L266" t="s">
        <v>711</v>
      </c>
      <c r="M266" s="30">
        <v>2.06</v>
      </c>
      <c r="N266">
        <v>6.75</v>
      </c>
      <c r="P266" s="24" t="str">
        <f>IFERROR(MID(RADataTable[[#This Row],[RATemplate]],1,LEN(RADataTable[[#This Row],[RATemplate]])-8),"RA") &amp; " " &amp; RADataTable[[#This Row],[prop_id0]] &amp; " " &amp; RADataTable[[#This Row],[last0]]</f>
        <v>RA 1749748 Chandrasekaran</v>
      </c>
      <c r="T266">
        <v>4</v>
      </c>
      <c r="U266">
        <v>4</v>
      </c>
      <c r="V266" s="34">
        <v>43030.722916666666</v>
      </c>
      <c r="W266">
        <v>1</v>
      </c>
      <c r="X266" s="15" t="str">
        <f>HYPERLINK("https://www.ejacket.nsf.gov/ej/showProposal.do?Continue=Y&amp;ID="&amp;RADataTable[[#This Row],[prop_id0]],"eJ")</f>
        <v>eJ</v>
      </c>
      <c r="Y266" s="15" t="str">
        <f>HYPERLINK("mailto:"&amp;RADataTable[[#This Row],[email]]&amp;"&amp;subject=Your NSF Proposal:  "&amp;RADataTable[[#This Row],[Div]]&amp;" "&amp;RADataTable[[#This Row],[prop_id0]], RADataTable[[#This Row],[email]])</f>
        <v>karthe@illinois.edu</v>
      </c>
      <c r="Z266" s="15" t="str">
        <f>HYPERLINK("mailto:"&amp;RADataTable[[#This Row],[allPIemail]]&amp;"&amp;subject=NSF Proposal:  "&amp;RADataTable[[#This Row],[Div]]&amp;" "&amp;RADataTable[[#This Row],[prop_id0]], "PIs@")</f>
        <v>PIs@</v>
      </c>
      <c r="AA266" t="s">
        <v>245</v>
      </c>
      <c r="AB266" t="s">
        <v>668</v>
      </c>
      <c r="AC266" s="30" t="s">
        <v>759</v>
      </c>
      <c r="AD266" t="s">
        <v>760</v>
      </c>
      <c r="AE266" t="s">
        <v>761</v>
      </c>
      <c r="AF266" s="36">
        <v>446040</v>
      </c>
      <c r="AG266" s="36">
        <v>446040</v>
      </c>
      <c r="AH266" s="24"/>
      <c r="AJ266" s="34"/>
      <c r="AK266" t="s">
        <v>923</v>
      </c>
      <c r="AL266" t="s">
        <v>232</v>
      </c>
      <c r="AM266" s="34" t="s">
        <v>925</v>
      </c>
      <c r="AN266" s="34">
        <v>43032</v>
      </c>
      <c r="AO266" s="24">
        <v>6</v>
      </c>
      <c r="AP266" t="s">
        <v>944</v>
      </c>
      <c r="AR266" s="35"/>
      <c r="AS266"/>
      <c r="AT266" s="34"/>
      <c r="AV266" s="34"/>
      <c r="AX266" s="34"/>
      <c r="AY266"/>
      <c r="BA266" s="34"/>
      <c r="BB266"/>
      <c r="BC266" t="s">
        <v>765</v>
      </c>
      <c r="BD266" s="36">
        <v>446040</v>
      </c>
      <c r="BE266" s="36">
        <v>446040</v>
      </c>
      <c r="BF266">
        <v>0</v>
      </c>
      <c r="BG266" s="34">
        <v>43115</v>
      </c>
      <c r="BH266">
        <v>60</v>
      </c>
      <c r="BI266" t="s">
        <v>283</v>
      </c>
      <c r="BJ266" t="s">
        <v>928</v>
      </c>
      <c r="BK266" t="s">
        <v>945</v>
      </c>
      <c r="BL266" t="s">
        <v>194</v>
      </c>
      <c r="BM266" s="8" t="s">
        <v>192</v>
      </c>
      <c r="BN266" t="s">
        <v>189</v>
      </c>
      <c r="BO266" t="s">
        <v>190</v>
      </c>
      <c r="BP266" s="35" t="s">
        <v>718</v>
      </c>
      <c r="BQ266"/>
      <c r="BU266" s="35"/>
      <c r="BV266" s="35"/>
      <c r="BX266"/>
      <c r="CA266" s="35"/>
      <c r="CB266" s="35"/>
      <c r="CC266"/>
      <c r="CG266" s="35"/>
      <c r="CH266" s="35"/>
      <c r="CK266"/>
      <c r="CM266" s="35"/>
      <c r="CN266" s="35"/>
      <c r="CQ266"/>
      <c r="CS266" s="35"/>
      <c r="CT266" s="35"/>
      <c r="CX266"/>
      <c r="CZ266" s="35"/>
      <c r="DD266" s="34"/>
      <c r="DG266" t="s">
        <v>763</v>
      </c>
      <c r="DH266" t="s">
        <v>946</v>
      </c>
      <c r="DI266" t="s">
        <v>233</v>
      </c>
      <c r="DL266" t="s">
        <v>668</v>
      </c>
      <c r="DM266">
        <v>5</v>
      </c>
      <c r="DN266">
        <v>8</v>
      </c>
      <c r="DO266" t="s">
        <v>764</v>
      </c>
      <c r="DQ266" t="s">
        <v>927</v>
      </c>
      <c r="DR266">
        <v>14</v>
      </c>
      <c r="DS266">
        <v>2</v>
      </c>
      <c r="DU266">
        <v>14</v>
      </c>
      <c r="DV266">
        <v>2</v>
      </c>
      <c r="DX266">
        <v>14</v>
      </c>
      <c r="DY266">
        <v>2</v>
      </c>
      <c r="DZ266" t="s">
        <v>246</v>
      </c>
      <c r="EA266" t="s">
        <v>929</v>
      </c>
    </row>
    <row r="267" spans="1:131" x14ac:dyDescent="0.4">
      <c r="A267" s="34">
        <v>43067.305104166669</v>
      </c>
      <c r="B267" s="25">
        <v>42934.524305555555</v>
      </c>
      <c r="D267" s="34"/>
      <c r="E267" s="34" t="s">
        <v>193</v>
      </c>
      <c r="F267" s="34" t="s">
        <v>191</v>
      </c>
      <c r="G267" s="34" t="s">
        <v>100</v>
      </c>
      <c r="H267" t="s">
        <v>279</v>
      </c>
      <c r="I267" t="s">
        <v>243</v>
      </c>
      <c r="J267" t="s">
        <v>712</v>
      </c>
      <c r="K267" t="s">
        <v>758</v>
      </c>
      <c r="L267" t="s">
        <v>711</v>
      </c>
      <c r="M267" s="30">
        <v>2.06</v>
      </c>
      <c r="N267">
        <v>6.75</v>
      </c>
      <c r="P267" s="24" t="str">
        <f>IFERROR(MID(RADataTable[[#This Row],[RATemplate]],1,LEN(RADataTable[[#This Row],[RATemplate]])-8),"RA") &amp; " " &amp; RADataTable[[#This Row],[prop_id0]] &amp; " " &amp; RADataTable[[#This Row],[last0]]</f>
        <v>RA 1749748 Chandrasekaran</v>
      </c>
      <c r="T267">
        <v>4</v>
      </c>
      <c r="U267">
        <v>4</v>
      </c>
      <c r="V267" s="34">
        <v>43030.722916666666</v>
      </c>
      <c r="W267">
        <v>1</v>
      </c>
      <c r="X267" s="15" t="str">
        <f>HYPERLINK("https://www.ejacket.nsf.gov/ej/showProposal.do?Continue=Y&amp;ID="&amp;RADataTable[[#This Row],[prop_id0]],"eJ")</f>
        <v>eJ</v>
      </c>
      <c r="Y267" s="15" t="str">
        <f>HYPERLINK("mailto:"&amp;RADataTable[[#This Row],[email]]&amp;"&amp;subject=Your NSF Proposal:  "&amp;RADataTable[[#This Row],[Div]]&amp;" "&amp;RADataTable[[#This Row],[prop_id0]], RADataTable[[#This Row],[email]])</f>
        <v>karthe@illinois.edu</v>
      </c>
      <c r="Z267" s="15" t="str">
        <f>HYPERLINK("mailto:"&amp;RADataTable[[#This Row],[allPIemail]]&amp;"&amp;subject=NSF Proposal:  "&amp;RADataTable[[#This Row],[Div]]&amp;" "&amp;RADataTable[[#This Row],[prop_id0]], "PIs@")</f>
        <v>PIs@</v>
      </c>
      <c r="AA267" t="s">
        <v>245</v>
      </c>
      <c r="AB267" t="s">
        <v>668</v>
      </c>
      <c r="AC267" s="30" t="s">
        <v>759</v>
      </c>
      <c r="AD267" t="s">
        <v>760</v>
      </c>
      <c r="AE267" t="s">
        <v>761</v>
      </c>
      <c r="AF267" s="36">
        <v>446040</v>
      </c>
      <c r="AG267" s="36">
        <v>446040</v>
      </c>
      <c r="AH267" s="24"/>
      <c r="AJ267" s="34"/>
      <c r="AK267" t="s">
        <v>923</v>
      </c>
      <c r="AL267" t="s">
        <v>232</v>
      </c>
      <c r="AM267" s="34" t="s">
        <v>925</v>
      </c>
      <c r="AN267" s="34">
        <v>43032</v>
      </c>
      <c r="AO267" s="24">
        <v>6</v>
      </c>
      <c r="AP267" t="s">
        <v>944</v>
      </c>
      <c r="AR267" s="35"/>
      <c r="AS267"/>
      <c r="AT267" s="34"/>
      <c r="AV267" s="34"/>
      <c r="AX267" s="34"/>
      <c r="AY267"/>
      <c r="BA267" s="34"/>
      <c r="BB267"/>
      <c r="BC267" t="s">
        <v>765</v>
      </c>
      <c r="BD267" s="36">
        <v>446040</v>
      </c>
      <c r="BE267" s="36">
        <v>446040</v>
      </c>
      <c r="BF267">
        <v>0</v>
      </c>
      <c r="BG267" s="34">
        <v>43115</v>
      </c>
      <c r="BH267">
        <v>60</v>
      </c>
      <c r="BI267" t="s">
        <v>283</v>
      </c>
      <c r="BJ267" t="s">
        <v>928</v>
      </c>
      <c r="BK267" t="s">
        <v>945</v>
      </c>
      <c r="BL267" t="s">
        <v>194</v>
      </c>
      <c r="BM267" s="8" t="s">
        <v>192</v>
      </c>
      <c r="BN267" t="s">
        <v>189</v>
      </c>
      <c r="BO267" t="s">
        <v>190</v>
      </c>
      <c r="BP267" s="35" t="s">
        <v>718</v>
      </c>
      <c r="BQ267"/>
      <c r="BU267" s="35"/>
      <c r="BV267" s="35"/>
      <c r="BX267"/>
      <c r="CA267" s="35"/>
      <c r="CB267" s="35"/>
      <c r="CC267"/>
      <c r="CG267" s="35"/>
      <c r="CH267" s="35"/>
      <c r="CK267"/>
      <c r="CM267" s="35"/>
      <c r="CN267" s="35"/>
      <c r="CQ267"/>
      <c r="CS267" s="35"/>
      <c r="CT267" s="35"/>
      <c r="CX267"/>
      <c r="CZ267" s="35"/>
      <c r="DD267" s="34"/>
      <c r="DG267" t="s">
        <v>763</v>
      </c>
      <c r="DH267" t="s">
        <v>946</v>
      </c>
      <c r="DI267" t="s">
        <v>233</v>
      </c>
      <c r="DL267" t="s">
        <v>668</v>
      </c>
      <c r="DM267">
        <v>5</v>
      </c>
      <c r="DN267">
        <v>8</v>
      </c>
      <c r="DO267" t="s">
        <v>764</v>
      </c>
      <c r="DQ267" t="s">
        <v>927</v>
      </c>
      <c r="DR267">
        <v>14</v>
      </c>
      <c r="DS267">
        <v>2</v>
      </c>
      <c r="DU267">
        <v>14</v>
      </c>
      <c r="DV267">
        <v>2</v>
      </c>
      <c r="DX267">
        <v>14</v>
      </c>
      <c r="DY267">
        <v>2</v>
      </c>
      <c r="DZ267" t="s">
        <v>246</v>
      </c>
      <c r="EA267" t="s">
        <v>929</v>
      </c>
    </row>
    <row r="268" spans="1:131" x14ac:dyDescent="0.4">
      <c r="A268" s="34">
        <v>43067.305104166669</v>
      </c>
      <c r="B268" s="25">
        <v>42934.524305555555</v>
      </c>
      <c r="D268" s="34"/>
      <c r="E268" s="34" t="s">
        <v>193</v>
      </c>
      <c r="F268" s="34" t="s">
        <v>191</v>
      </c>
      <c r="G268" s="34" t="s">
        <v>100</v>
      </c>
      <c r="H268" t="s">
        <v>279</v>
      </c>
      <c r="I268" t="s">
        <v>243</v>
      </c>
      <c r="J268" t="s">
        <v>712</v>
      </c>
      <c r="K268" t="s">
        <v>758</v>
      </c>
      <c r="L268" t="s">
        <v>711</v>
      </c>
      <c r="M268" s="30">
        <v>2.06</v>
      </c>
      <c r="N268">
        <v>6.75</v>
      </c>
      <c r="P268" s="24" t="str">
        <f>IFERROR(MID(RADataTable[[#This Row],[RATemplate]],1,LEN(RADataTable[[#This Row],[RATemplate]])-8),"RA") &amp; " " &amp; RADataTable[[#This Row],[prop_id0]] &amp; " " &amp; RADataTable[[#This Row],[last0]]</f>
        <v>RA 1749748 Chandrasekaran</v>
      </c>
      <c r="T268">
        <v>4</v>
      </c>
      <c r="U268">
        <v>4</v>
      </c>
      <c r="V268" s="34">
        <v>43030.722916666666</v>
      </c>
      <c r="W268">
        <v>1</v>
      </c>
      <c r="X268" s="15" t="str">
        <f>HYPERLINK("https://www.ejacket.nsf.gov/ej/showProposal.do?Continue=Y&amp;ID="&amp;RADataTable[[#This Row],[prop_id0]],"eJ")</f>
        <v>eJ</v>
      </c>
      <c r="Y268" s="15" t="str">
        <f>HYPERLINK("mailto:"&amp;RADataTable[[#This Row],[email]]&amp;"&amp;subject=Your NSF Proposal:  "&amp;RADataTable[[#This Row],[Div]]&amp;" "&amp;RADataTable[[#This Row],[prop_id0]], RADataTable[[#This Row],[email]])</f>
        <v>karthe@illinois.edu</v>
      </c>
      <c r="Z268" s="15" t="str">
        <f>HYPERLINK("mailto:"&amp;RADataTable[[#This Row],[allPIemail]]&amp;"&amp;subject=NSF Proposal:  "&amp;RADataTable[[#This Row],[Div]]&amp;" "&amp;RADataTable[[#This Row],[prop_id0]], "PIs@")</f>
        <v>PIs@</v>
      </c>
      <c r="AA268" t="s">
        <v>245</v>
      </c>
      <c r="AB268" t="s">
        <v>668</v>
      </c>
      <c r="AC268" s="30" t="s">
        <v>759</v>
      </c>
      <c r="AD268" t="s">
        <v>760</v>
      </c>
      <c r="AE268" t="s">
        <v>761</v>
      </c>
      <c r="AF268" s="36">
        <v>446040</v>
      </c>
      <c r="AG268" s="36">
        <v>446040</v>
      </c>
      <c r="AH268" s="24"/>
      <c r="AJ268" s="34"/>
      <c r="AK268" t="s">
        <v>923</v>
      </c>
      <c r="AL268" t="s">
        <v>232</v>
      </c>
      <c r="AM268" s="34" t="s">
        <v>925</v>
      </c>
      <c r="AN268" s="34">
        <v>43032</v>
      </c>
      <c r="AO268" s="24">
        <v>6</v>
      </c>
      <c r="AP268" t="s">
        <v>944</v>
      </c>
      <c r="AR268" s="35"/>
      <c r="AS268"/>
      <c r="AT268" s="34"/>
      <c r="AV268" s="34"/>
      <c r="AX268" s="34"/>
      <c r="AY268"/>
      <c r="BA268" s="34"/>
      <c r="BB268"/>
      <c r="BC268" t="s">
        <v>765</v>
      </c>
      <c r="BD268" s="36">
        <v>446040</v>
      </c>
      <c r="BE268" s="36">
        <v>446040</v>
      </c>
      <c r="BF268">
        <v>0</v>
      </c>
      <c r="BG268" s="34">
        <v>43115</v>
      </c>
      <c r="BH268">
        <v>60</v>
      </c>
      <c r="BI268" t="s">
        <v>283</v>
      </c>
      <c r="BJ268" t="s">
        <v>928</v>
      </c>
      <c r="BK268" t="s">
        <v>945</v>
      </c>
      <c r="BL268" t="s">
        <v>194</v>
      </c>
      <c r="BM268" s="8" t="s">
        <v>192</v>
      </c>
      <c r="BN268" t="s">
        <v>189</v>
      </c>
      <c r="BO268" t="s">
        <v>190</v>
      </c>
      <c r="BP268" s="35" t="s">
        <v>718</v>
      </c>
      <c r="BQ268"/>
      <c r="BU268" s="35"/>
      <c r="BV268" s="35"/>
      <c r="BX268"/>
      <c r="CA268" s="35"/>
      <c r="CB268" s="35"/>
      <c r="CC268"/>
      <c r="CG268" s="35"/>
      <c r="CH268" s="35"/>
      <c r="CK268"/>
      <c r="CM268" s="35"/>
      <c r="CN268" s="35"/>
      <c r="CQ268"/>
      <c r="CS268" s="35"/>
      <c r="CT268" s="35"/>
      <c r="CX268"/>
      <c r="CZ268" s="35"/>
      <c r="DD268" s="34"/>
      <c r="DG268" t="s">
        <v>763</v>
      </c>
      <c r="DH268" t="s">
        <v>946</v>
      </c>
      <c r="DI268" t="s">
        <v>233</v>
      </c>
      <c r="DL268" t="s">
        <v>668</v>
      </c>
      <c r="DM268">
        <v>5</v>
      </c>
      <c r="DN268">
        <v>8</v>
      </c>
      <c r="DO268" t="s">
        <v>764</v>
      </c>
      <c r="DQ268" t="s">
        <v>927</v>
      </c>
      <c r="DR268">
        <v>14</v>
      </c>
      <c r="DS268">
        <v>2</v>
      </c>
      <c r="DU268">
        <v>14</v>
      </c>
      <c r="DV268">
        <v>2</v>
      </c>
      <c r="DX268">
        <v>14</v>
      </c>
      <c r="DY268">
        <v>2</v>
      </c>
      <c r="DZ268" t="s">
        <v>246</v>
      </c>
      <c r="EA268" t="s">
        <v>929</v>
      </c>
    </row>
    <row r="269" spans="1:131" x14ac:dyDescent="0.4">
      <c r="A269" s="34">
        <v>43067.305104166669</v>
      </c>
      <c r="B269" s="25">
        <v>42934.524305555555</v>
      </c>
      <c r="D269" s="34"/>
      <c r="E269" s="34" t="s">
        <v>193</v>
      </c>
      <c r="F269" s="34" t="s">
        <v>191</v>
      </c>
      <c r="G269" s="34" t="s">
        <v>100</v>
      </c>
      <c r="H269" t="s">
        <v>279</v>
      </c>
      <c r="I269" t="s">
        <v>243</v>
      </c>
      <c r="J269" t="s">
        <v>712</v>
      </c>
      <c r="K269" t="s">
        <v>758</v>
      </c>
      <c r="L269" t="s">
        <v>711</v>
      </c>
      <c r="M269" s="30">
        <v>2.06</v>
      </c>
      <c r="N269">
        <v>6.75</v>
      </c>
      <c r="P269" s="24" t="str">
        <f>IFERROR(MID(RADataTable[[#This Row],[RATemplate]],1,LEN(RADataTable[[#This Row],[RATemplate]])-8),"RA") &amp; " " &amp; RADataTable[[#This Row],[prop_id0]] &amp; " " &amp; RADataTable[[#This Row],[last0]]</f>
        <v>RA 1749748 Chandrasekaran</v>
      </c>
      <c r="T269">
        <v>4</v>
      </c>
      <c r="U269">
        <v>4</v>
      </c>
      <c r="V269" s="34">
        <v>43030.722916666666</v>
      </c>
      <c r="W269">
        <v>1</v>
      </c>
      <c r="X269" s="15" t="str">
        <f>HYPERLINK("https://www.ejacket.nsf.gov/ej/showProposal.do?Continue=Y&amp;ID="&amp;RADataTable[[#This Row],[prop_id0]],"eJ")</f>
        <v>eJ</v>
      </c>
      <c r="Y269" s="15" t="str">
        <f>HYPERLINK("mailto:"&amp;RADataTable[[#This Row],[email]]&amp;"&amp;subject=Your NSF Proposal:  "&amp;RADataTable[[#This Row],[Div]]&amp;" "&amp;RADataTable[[#This Row],[prop_id0]], RADataTable[[#This Row],[email]])</f>
        <v>karthe@illinois.edu</v>
      </c>
      <c r="Z269" s="15" t="str">
        <f>HYPERLINK("mailto:"&amp;RADataTable[[#This Row],[allPIemail]]&amp;"&amp;subject=NSF Proposal:  "&amp;RADataTable[[#This Row],[Div]]&amp;" "&amp;RADataTable[[#This Row],[prop_id0]], "PIs@")</f>
        <v>PIs@</v>
      </c>
      <c r="AA269" t="s">
        <v>245</v>
      </c>
      <c r="AB269" t="s">
        <v>668</v>
      </c>
      <c r="AC269" s="30" t="s">
        <v>759</v>
      </c>
      <c r="AD269" t="s">
        <v>760</v>
      </c>
      <c r="AE269" t="s">
        <v>761</v>
      </c>
      <c r="AF269" s="36">
        <v>446040</v>
      </c>
      <c r="AG269" s="36">
        <v>446040</v>
      </c>
      <c r="AH269" s="24"/>
      <c r="AJ269" s="34"/>
      <c r="AK269" t="s">
        <v>923</v>
      </c>
      <c r="AL269" t="s">
        <v>232</v>
      </c>
      <c r="AM269" s="34" t="s">
        <v>925</v>
      </c>
      <c r="AN269" s="34">
        <v>43032</v>
      </c>
      <c r="AO269" s="24">
        <v>6</v>
      </c>
      <c r="AP269" t="s">
        <v>944</v>
      </c>
      <c r="AR269" s="35"/>
      <c r="AS269"/>
      <c r="AT269" s="34"/>
      <c r="AV269" s="34"/>
      <c r="AX269" s="34"/>
      <c r="AY269"/>
      <c r="BA269" s="34"/>
      <c r="BB269"/>
      <c r="BC269" t="s">
        <v>765</v>
      </c>
      <c r="BD269" s="36">
        <v>446040</v>
      </c>
      <c r="BE269" s="36">
        <v>446040</v>
      </c>
      <c r="BF269">
        <v>0</v>
      </c>
      <c r="BG269" s="34">
        <v>43115</v>
      </c>
      <c r="BH269">
        <v>60</v>
      </c>
      <c r="BI269" t="s">
        <v>283</v>
      </c>
      <c r="BJ269" t="s">
        <v>928</v>
      </c>
      <c r="BK269" t="s">
        <v>945</v>
      </c>
      <c r="BL269" t="s">
        <v>194</v>
      </c>
      <c r="BM269" s="8" t="s">
        <v>192</v>
      </c>
      <c r="BN269" t="s">
        <v>189</v>
      </c>
      <c r="BO269" t="s">
        <v>190</v>
      </c>
      <c r="BP269" s="35" t="s">
        <v>718</v>
      </c>
      <c r="BQ269"/>
      <c r="BU269" s="35"/>
      <c r="BV269" s="35"/>
      <c r="BX269"/>
      <c r="CA269" s="35"/>
      <c r="CB269" s="35"/>
      <c r="CC269"/>
      <c r="CG269" s="35"/>
      <c r="CH269" s="35"/>
      <c r="CK269"/>
      <c r="CM269" s="35"/>
      <c r="CN269" s="35"/>
      <c r="CQ269"/>
      <c r="CS269" s="35"/>
      <c r="CT269" s="35"/>
      <c r="CX269"/>
      <c r="CZ269" s="35"/>
      <c r="DD269" s="34"/>
      <c r="DG269" t="s">
        <v>763</v>
      </c>
      <c r="DH269" t="s">
        <v>946</v>
      </c>
      <c r="DI269" t="s">
        <v>233</v>
      </c>
      <c r="DL269" t="s">
        <v>668</v>
      </c>
      <c r="DM269">
        <v>5</v>
      </c>
      <c r="DN269">
        <v>8</v>
      </c>
      <c r="DO269" t="s">
        <v>764</v>
      </c>
      <c r="DQ269" t="s">
        <v>927</v>
      </c>
      <c r="DR269">
        <v>14</v>
      </c>
      <c r="DS269">
        <v>2</v>
      </c>
      <c r="DU269">
        <v>14</v>
      </c>
      <c r="DV269">
        <v>2</v>
      </c>
      <c r="DX269">
        <v>14</v>
      </c>
      <c r="DY269">
        <v>2</v>
      </c>
      <c r="DZ269" t="s">
        <v>246</v>
      </c>
      <c r="EA269" t="s">
        <v>929</v>
      </c>
    </row>
    <row r="270" spans="1:131" x14ac:dyDescent="0.4">
      <c r="A270" s="34">
        <v>43067.305104166669</v>
      </c>
      <c r="B270" s="25">
        <v>42934.524305555555</v>
      </c>
      <c r="D270" s="34"/>
      <c r="E270" s="34" t="s">
        <v>193</v>
      </c>
      <c r="F270" s="34" t="s">
        <v>191</v>
      </c>
      <c r="G270" s="34" t="s">
        <v>100</v>
      </c>
      <c r="H270" t="s">
        <v>279</v>
      </c>
      <c r="I270" t="s">
        <v>243</v>
      </c>
      <c r="J270" t="s">
        <v>712</v>
      </c>
      <c r="K270" t="s">
        <v>758</v>
      </c>
      <c r="L270" t="s">
        <v>711</v>
      </c>
      <c r="M270" s="30">
        <v>2.06</v>
      </c>
      <c r="N270">
        <v>6.75</v>
      </c>
      <c r="P270" s="24" t="str">
        <f>IFERROR(MID(RADataTable[[#This Row],[RATemplate]],1,LEN(RADataTable[[#This Row],[RATemplate]])-8),"RA") &amp; " " &amp; RADataTable[[#This Row],[prop_id0]] &amp; " " &amp; RADataTable[[#This Row],[last0]]</f>
        <v>RA 1749748 Chandrasekaran</v>
      </c>
      <c r="T270">
        <v>4</v>
      </c>
      <c r="U270">
        <v>4</v>
      </c>
      <c r="V270" s="34">
        <v>43030.722916666666</v>
      </c>
      <c r="W270">
        <v>1</v>
      </c>
      <c r="X270" s="15" t="str">
        <f>HYPERLINK("https://www.ejacket.nsf.gov/ej/showProposal.do?Continue=Y&amp;ID="&amp;RADataTable[[#This Row],[prop_id0]],"eJ")</f>
        <v>eJ</v>
      </c>
      <c r="Y270" s="15" t="str">
        <f>HYPERLINK("mailto:"&amp;RADataTable[[#This Row],[email]]&amp;"&amp;subject=Your NSF Proposal:  "&amp;RADataTable[[#This Row],[Div]]&amp;" "&amp;RADataTable[[#This Row],[prop_id0]], RADataTable[[#This Row],[email]])</f>
        <v>karthe@illinois.edu</v>
      </c>
      <c r="Z270" s="15" t="str">
        <f>HYPERLINK("mailto:"&amp;RADataTable[[#This Row],[allPIemail]]&amp;"&amp;subject=NSF Proposal:  "&amp;RADataTable[[#This Row],[Div]]&amp;" "&amp;RADataTable[[#This Row],[prop_id0]], "PIs@")</f>
        <v>PIs@</v>
      </c>
      <c r="AA270" t="s">
        <v>245</v>
      </c>
      <c r="AB270" t="s">
        <v>668</v>
      </c>
      <c r="AC270" s="30" t="s">
        <v>759</v>
      </c>
      <c r="AD270" t="s">
        <v>760</v>
      </c>
      <c r="AE270" t="s">
        <v>761</v>
      </c>
      <c r="AF270" s="36">
        <v>446040</v>
      </c>
      <c r="AG270" s="36">
        <v>446040</v>
      </c>
      <c r="AH270" s="24"/>
      <c r="AJ270" s="34"/>
      <c r="AK270" t="s">
        <v>923</v>
      </c>
      <c r="AL270" t="s">
        <v>232</v>
      </c>
      <c r="AM270" s="34" t="s">
        <v>925</v>
      </c>
      <c r="AN270" s="34">
        <v>43032</v>
      </c>
      <c r="AO270" s="24">
        <v>6</v>
      </c>
      <c r="AP270" t="s">
        <v>944</v>
      </c>
      <c r="AR270" s="35"/>
      <c r="AS270"/>
      <c r="AT270" s="34"/>
      <c r="AV270" s="34"/>
      <c r="AX270" s="34"/>
      <c r="AY270"/>
      <c r="BA270" s="34"/>
      <c r="BB270"/>
      <c r="BC270" t="s">
        <v>765</v>
      </c>
      <c r="BD270" s="36">
        <v>446040</v>
      </c>
      <c r="BE270" s="36">
        <v>446040</v>
      </c>
      <c r="BF270">
        <v>0</v>
      </c>
      <c r="BG270" s="34">
        <v>43115</v>
      </c>
      <c r="BH270">
        <v>60</v>
      </c>
      <c r="BI270" t="s">
        <v>283</v>
      </c>
      <c r="BJ270" t="s">
        <v>928</v>
      </c>
      <c r="BK270" t="s">
        <v>945</v>
      </c>
      <c r="BL270" t="s">
        <v>194</v>
      </c>
      <c r="BM270" s="8" t="s">
        <v>192</v>
      </c>
      <c r="BN270" t="s">
        <v>189</v>
      </c>
      <c r="BO270" t="s">
        <v>190</v>
      </c>
      <c r="BP270" s="35" t="s">
        <v>718</v>
      </c>
      <c r="BQ270"/>
      <c r="BU270" s="35"/>
      <c r="BV270" s="35"/>
      <c r="BX270"/>
      <c r="CA270" s="35"/>
      <c r="CB270" s="35"/>
      <c r="CC270"/>
      <c r="CG270" s="35"/>
      <c r="CH270" s="35"/>
      <c r="CK270"/>
      <c r="CM270" s="35"/>
      <c r="CN270" s="35"/>
      <c r="CQ270"/>
      <c r="CS270" s="35"/>
      <c r="CT270" s="35"/>
      <c r="CX270"/>
      <c r="CZ270" s="35"/>
      <c r="DD270" s="34"/>
      <c r="DG270" t="s">
        <v>763</v>
      </c>
      <c r="DH270" t="s">
        <v>946</v>
      </c>
      <c r="DI270" t="s">
        <v>233</v>
      </c>
      <c r="DL270" t="s">
        <v>668</v>
      </c>
      <c r="DM270">
        <v>5</v>
      </c>
      <c r="DN270">
        <v>8</v>
      </c>
      <c r="DO270" t="s">
        <v>764</v>
      </c>
      <c r="DQ270" t="s">
        <v>927</v>
      </c>
      <c r="DR270">
        <v>14</v>
      </c>
      <c r="DS270">
        <v>2</v>
      </c>
      <c r="DU270">
        <v>14</v>
      </c>
      <c r="DV270">
        <v>2</v>
      </c>
      <c r="DX270">
        <v>14</v>
      </c>
      <c r="DY270">
        <v>2</v>
      </c>
      <c r="DZ270" t="s">
        <v>246</v>
      </c>
      <c r="EA270" t="s">
        <v>929</v>
      </c>
    </row>
    <row r="271" spans="1:131" x14ac:dyDescent="0.4">
      <c r="A271" s="34">
        <v>43067.305104166669</v>
      </c>
      <c r="B271" s="25">
        <v>42934.524305555555</v>
      </c>
      <c r="D271" s="34"/>
      <c r="E271" s="34" t="s">
        <v>193</v>
      </c>
      <c r="F271" s="34" t="s">
        <v>191</v>
      </c>
      <c r="G271" s="34" t="s">
        <v>100</v>
      </c>
      <c r="H271" t="s">
        <v>279</v>
      </c>
      <c r="I271" t="s">
        <v>243</v>
      </c>
      <c r="J271" t="s">
        <v>712</v>
      </c>
      <c r="K271" t="s">
        <v>758</v>
      </c>
      <c r="L271" t="s">
        <v>711</v>
      </c>
      <c r="M271" s="30">
        <v>2.06</v>
      </c>
      <c r="N271">
        <v>6.75</v>
      </c>
      <c r="P271" s="24" t="str">
        <f>IFERROR(MID(RADataTable[[#This Row],[RATemplate]],1,LEN(RADataTable[[#This Row],[RATemplate]])-8),"RA") &amp; " " &amp; RADataTable[[#This Row],[prop_id0]] &amp; " " &amp; RADataTable[[#This Row],[last0]]</f>
        <v>RA 1749748 Chandrasekaran</v>
      </c>
      <c r="T271">
        <v>4</v>
      </c>
      <c r="U271">
        <v>4</v>
      </c>
      <c r="V271" s="34">
        <v>43030.722916666666</v>
      </c>
      <c r="W271">
        <v>1</v>
      </c>
      <c r="X271" s="15" t="str">
        <f>HYPERLINK("https://www.ejacket.nsf.gov/ej/showProposal.do?Continue=Y&amp;ID="&amp;RADataTable[[#This Row],[prop_id0]],"eJ")</f>
        <v>eJ</v>
      </c>
      <c r="Y271" s="15" t="str">
        <f>HYPERLINK("mailto:"&amp;RADataTable[[#This Row],[email]]&amp;"&amp;subject=Your NSF Proposal:  "&amp;RADataTable[[#This Row],[Div]]&amp;" "&amp;RADataTable[[#This Row],[prop_id0]], RADataTable[[#This Row],[email]])</f>
        <v>karthe@illinois.edu</v>
      </c>
      <c r="Z271" s="15" t="str">
        <f>HYPERLINK("mailto:"&amp;RADataTable[[#This Row],[allPIemail]]&amp;"&amp;subject=NSF Proposal:  "&amp;RADataTable[[#This Row],[Div]]&amp;" "&amp;RADataTable[[#This Row],[prop_id0]], "PIs@")</f>
        <v>PIs@</v>
      </c>
      <c r="AA271" t="s">
        <v>245</v>
      </c>
      <c r="AB271" t="s">
        <v>668</v>
      </c>
      <c r="AC271" s="30" t="s">
        <v>759</v>
      </c>
      <c r="AD271" t="s">
        <v>760</v>
      </c>
      <c r="AE271" t="s">
        <v>761</v>
      </c>
      <c r="AF271" s="36">
        <v>446040</v>
      </c>
      <c r="AG271" s="36">
        <v>446040</v>
      </c>
      <c r="AH271" s="24"/>
      <c r="AJ271" s="34"/>
      <c r="AK271" t="s">
        <v>923</v>
      </c>
      <c r="AL271" t="s">
        <v>232</v>
      </c>
      <c r="AM271" s="34" t="s">
        <v>925</v>
      </c>
      <c r="AN271" s="34">
        <v>43032</v>
      </c>
      <c r="AO271" s="24">
        <v>6</v>
      </c>
      <c r="AP271" t="s">
        <v>944</v>
      </c>
      <c r="AR271" s="35"/>
      <c r="AS271"/>
      <c r="AT271" s="34"/>
      <c r="AV271" s="34"/>
      <c r="AX271" s="34"/>
      <c r="AY271"/>
      <c r="BA271" s="34"/>
      <c r="BB271"/>
      <c r="BC271" t="s">
        <v>765</v>
      </c>
      <c r="BD271" s="36">
        <v>446040</v>
      </c>
      <c r="BE271" s="36">
        <v>446040</v>
      </c>
      <c r="BF271">
        <v>0</v>
      </c>
      <c r="BG271" s="34">
        <v>43115</v>
      </c>
      <c r="BH271">
        <v>60</v>
      </c>
      <c r="BI271" t="s">
        <v>283</v>
      </c>
      <c r="BJ271" t="s">
        <v>928</v>
      </c>
      <c r="BK271" t="s">
        <v>945</v>
      </c>
      <c r="BL271" t="s">
        <v>194</v>
      </c>
      <c r="BM271" s="8" t="s">
        <v>192</v>
      </c>
      <c r="BN271" t="s">
        <v>189</v>
      </c>
      <c r="BO271" t="s">
        <v>190</v>
      </c>
      <c r="BP271" s="35" t="s">
        <v>718</v>
      </c>
      <c r="BQ271"/>
      <c r="BU271" s="35"/>
      <c r="BV271" s="35"/>
      <c r="BX271"/>
      <c r="CA271" s="35"/>
      <c r="CB271" s="35"/>
      <c r="CC271"/>
      <c r="CG271" s="35"/>
      <c r="CH271" s="35"/>
      <c r="CK271"/>
      <c r="CM271" s="35"/>
      <c r="CN271" s="35"/>
      <c r="CQ271"/>
      <c r="CS271" s="35"/>
      <c r="CT271" s="35"/>
      <c r="CX271"/>
      <c r="CZ271" s="35"/>
      <c r="DD271" s="34"/>
      <c r="DG271" t="s">
        <v>763</v>
      </c>
      <c r="DH271" t="s">
        <v>946</v>
      </c>
      <c r="DI271" t="s">
        <v>233</v>
      </c>
      <c r="DL271" t="s">
        <v>668</v>
      </c>
      <c r="DM271">
        <v>5</v>
      </c>
      <c r="DN271">
        <v>8</v>
      </c>
      <c r="DO271" t="s">
        <v>764</v>
      </c>
      <c r="DQ271" t="s">
        <v>927</v>
      </c>
      <c r="DR271">
        <v>14</v>
      </c>
      <c r="DS271">
        <v>2</v>
      </c>
      <c r="DU271">
        <v>14</v>
      </c>
      <c r="DV271">
        <v>2</v>
      </c>
      <c r="DX271">
        <v>14</v>
      </c>
      <c r="DY271">
        <v>2</v>
      </c>
      <c r="DZ271" t="s">
        <v>246</v>
      </c>
      <c r="EA271" t="s">
        <v>929</v>
      </c>
    </row>
    <row r="272" spans="1:131" x14ac:dyDescent="0.4">
      <c r="A272" s="34">
        <v>43067.305104166669</v>
      </c>
      <c r="B272" s="25">
        <v>42934.524305555555</v>
      </c>
      <c r="D272" s="34"/>
      <c r="E272" s="34" t="s">
        <v>193</v>
      </c>
      <c r="F272" s="34" t="s">
        <v>191</v>
      </c>
      <c r="G272" s="34" t="s">
        <v>100</v>
      </c>
      <c r="H272" t="s">
        <v>279</v>
      </c>
      <c r="I272" t="s">
        <v>243</v>
      </c>
      <c r="J272" t="s">
        <v>712</v>
      </c>
      <c r="K272" t="s">
        <v>758</v>
      </c>
      <c r="L272" t="s">
        <v>711</v>
      </c>
      <c r="M272" s="30">
        <v>2.06</v>
      </c>
      <c r="N272">
        <v>6.75</v>
      </c>
      <c r="P272" s="24" t="str">
        <f>IFERROR(MID(RADataTable[[#This Row],[RATemplate]],1,LEN(RADataTable[[#This Row],[RATemplate]])-8),"RA") &amp; " " &amp; RADataTable[[#This Row],[prop_id0]] &amp; " " &amp; RADataTable[[#This Row],[last0]]</f>
        <v>RA 1749748 Chandrasekaran</v>
      </c>
      <c r="T272">
        <v>4</v>
      </c>
      <c r="U272">
        <v>4</v>
      </c>
      <c r="V272" s="34">
        <v>43030.722916666666</v>
      </c>
      <c r="W272">
        <v>1</v>
      </c>
      <c r="X272" s="15" t="str">
        <f>HYPERLINK("https://www.ejacket.nsf.gov/ej/showProposal.do?Continue=Y&amp;ID="&amp;RADataTable[[#This Row],[prop_id0]],"eJ")</f>
        <v>eJ</v>
      </c>
      <c r="Y272" s="15" t="str">
        <f>HYPERLINK("mailto:"&amp;RADataTable[[#This Row],[email]]&amp;"&amp;subject=Your NSF Proposal:  "&amp;RADataTable[[#This Row],[Div]]&amp;" "&amp;RADataTable[[#This Row],[prop_id0]], RADataTable[[#This Row],[email]])</f>
        <v>karthe@illinois.edu</v>
      </c>
      <c r="Z272" s="15" t="str">
        <f>HYPERLINK("mailto:"&amp;RADataTable[[#This Row],[allPIemail]]&amp;"&amp;subject=NSF Proposal:  "&amp;RADataTable[[#This Row],[Div]]&amp;" "&amp;RADataTable[[#This Row],[prop_id0]], "PIs@")</f>
        <v>PIs@</v>
      </c>
      <c r="AA272" t="s">
        <v>245</v>
      </c>
      <c r="AB272" t="s">
        <v>668</v>
      </c>
      <c r="AC272" s="30" t="s">
        <v>759</v>
      </c>
      <c r="AD272" t="s">
        <v>760</v>
      </c>
      <c r="AE272" t="s">
        <v>761</v>
      </c>
      <c r="AF272" s="36">
        <v>446040</v>
      </c>
      <c r="AG272" s="36">
        <v>446040</v>
      </c>
      <c r="AH272" s="24"/>
      <c r="AJ272" s="34"/>
      <c r="AK272" t="s">
        <v>923</v>
      </c>
      <c r="AL272" t="s">
        <v>232</v>
      </c>
      <c r="AM272" s="34" t="s">
        <v>925</v>
      </c>
      <c r="AN272" s="34">
        <v>43032</v>
      </c>
      <c r="AO272" s="24">
        <v>6</v>
      </c>
      <c r="AP272" t="s">
        <v>944</v>
      </c>
      <c r="AR272" s="35"/>
      <c r="AS272"/>
      <c r="AT272" s="34"/>
      <c r="AV272" s="34"/>
      <c r="AX272" s="34"/>
      <c r="AY272"/>
      <c r="BA272" s="34"/>
      <c r="BB272"/>
      <c r="BC272" t="s">
        <v>765</v>
      </c>
      <c r="BD272" s="36">
        <v>446040</v>
      </c>
      <c r="BE272" s="36">
        <v>446040</v>
      </c>
      <c r="BF272">
        <v>0</v>
      </c>
      <c r="BG272" s="34">
        <v>43115</v>
      </c>
      <c r="BH272">
        <v>60</v>
      </c>
      <c r="BI272" t="s">
        <v>283</v>
      </c>
      <c r="BJ272" t="s">
        <v>928</v>
      </c>
      <c r="BK272" t="s">
        <v>945</v>
      </c>
      <c r="BL272" t="s">
        <v>194</v>
      </c>
      <c r="BM272" s="8" t="s">
        <v>192</v>
      </c>
      <c r="BN272" t="s">
        <v>189</v>
      </c>
      <c r="BO272" t="s">
        <v>190</v>
      </c>
      <c r="BP272" s="35" t="s">
        <v>718</v>
      </c>
      <c r="BQ272"/>
      <c r="BU272" s="35"/>
      <c r="BV272" s="35"/>
      <c r="BX272"/>
      <c r="CA272" s="35"/>
      <c r="CB272" s="35"/>
      <c r="CC272"/>
      <c r="CG272" s="35"/>
      <c r="CH272" s="35"/>
      <c r="CK272"/>
      <c r="CM272" s="35"/>
      <c r="CN272" s="35"/>
      <c r="CQ272"/>
      <c r="CS272" s="35"/>
      <c r="CT272" s="35"/>
      <c r="CX272"/>
      <c r="CZ272" s="35"/>
      <c r="DD272" s="34"/>
      <c r="DG272" t="s">
        <v>763</v>
      </c>
      <c r="DH272" t="s">
        <v>946</v>
      </c>
      <c r="DI272" t="s">
        <v>233</v>
      </c>
      <c r="DL272" t="s">
        <v>668</v>
      </c>
      <c r="DM272">
        <v>5</v>
      </c>
      <c r="DN272">
        <v>8</v>
      </c>
      <c r="DO272" t="s">
        <v>764</v>
      </c>
      <c r="DQ272" t="s">
        <v>927</v>
      </c>
      <c r="DR272">
        <v>14</v>
      </c>
      <c r="DS272">
        <v>2</v>
      </c>
      <c r="DU272">
        <v>14</v>
      </c>
      <c r="DV272">
        <v>2</v>
      </c>
      <c r="DX272">
        <v>14</v>
      </c>
      <c r="DY272">
        <v>2</v>
      </c>
      <c r="DZ272" t="s">
        <v>246</v>
      </c>
      <c r="EA272" t="s">
        <v>929</v>
      </c>
    </row>
    <row r="273" spans="1:131" x14ac:dyDescent="0.4">
      <c r="A273" s="34">
        <v>43067.305104166669</v>
      </c>
      <c r="B273" s="25">
        <v>42934.524305555555</v>
      </c>
      <c r="D273" s="34"/>
      <c r="E273" s="34" t="s">
        <v>193</v>
      </c>
      <c r="F273" s="34" t="s">
        <v>191</v>
      </c>
      <c r="G273" s="34" t="s">
        <v>100</v>
      </c>
      <c r="H273" t="s">
        <v>279</v>
      </c>
      <c r="I273" t="s">
        <v>243</v>
      </c>
      <c r="J273" t="s">
        <v>712</v>
      </c>
      <c r="K273" t="s">
        <v>758</v>
      </c>
      <c r="L273" t="s">
        <v>711</v>
      </c>
      <c r="M273" s="30">
        <v>2.06</v>
      </c>
      <c r="N273">
        <v>6.75</v>
      </c>
      <c r="P273" s="24" t="str">
        <f>IFERROR(MID(RADataTable[[#This Row],[RATemplate]],1,LEN(RADataTable[[#This Row],[RATemplate]])-8),"RA") &amp; " " &amp; RADataTable[[#This Row],[prop_id0]] &amp; " " &amp; RADataTable[[#This Row],[last0]]</f>
        <v>RA 1749748 Chandrasekaran</v>
      </c>
      <c r="T273">
        <v>4</v>
      </c>
      <c r="U273">
        <v>4</v>
      </c>
      <c r="V273" s="34">
        <v>43030.722916666666</v>
      </c>
      <c r="W273">
        <v>1</v>
      </c>
      <c r="X273" s="15" t="str">
        <f>HYPERLINK("https://www.ejacket.nsf.gov/ej/showProposal.do?Continue=Y&amp;ID="&amp;RADataTable[[#This Row],[prop_id0]],"eJ")</f>
        <v>eJ</v>
      </c>
      <c r="Y273" s="15" t="str">
        <f>HYPERLINK("mailto:"&amp;RADataTable[[#This Row],[email]]&amp;"&amp;subject=Your NSF Proposal:  "&amp;RADataTable[[#This Row],[Div]]&amp;" "&amp;RADataTable[[#This Row],[prop_id0]], RADataTable[[#This Row],[email]])</f>
        <v>karthe@illinois.edu</v>
      </c>
      <c r="Z273" s="15" t="str">
        <f>HYPERLINK("mailto:"&amp;RADataTable[[#This Row],[allPIemail]]&amp;"&amp;subject=NSF Proposal:  "&amp;RADataTable[[#This Row],[Div]]&amp;" "&amp;RADataTable[[#This Row],[prop_id0]], "PIs@")</f>
        <v>PIs@</v>
      </c>
      <c r="AA273" t="s">
        <v>245</v>
      </c>
      <c r="AB273" t="s">
        <v>668</v>
      </c>
      <c r="AC273" s="30" t="s">
        <v>759</v>
      </c>
      <c r="AD273" t="s">
        <v>760</v>
      </c>
      <c r="AE273" t="s">
        <v>761</v>
      </c>
      <c r="AF273" s="36">
        <v>446040</v>
      </c>
      <c r="AG273" s="36">
        <v>446040</v>
      </c>
      <c r="AH273" s="24"/>
      <c r="AJ273" s="34"/>
      <c r="AK273" t="s">
        <v>923</v>
      </c>
      <c r="AL273" t="s">
        <v>232</v>
      </c>
      <c r="AM273" s="34" t="s">
        <v>925</v>
      </c>
      <c r="AN273" s="34">
        <v>43032</v>
      </c>
      <c r="AO273" s="24">
        <v>6</v>
      </c>
      <c r="AP273" t="s">
        <v>944</v>
      </c>
      <c r="AR273" s="35"/>
      <c r="AS273"/>
      <c r="AT273" s="34"/>
      <c r="AV273" s="34"/>
      <c r="AX273" s="34"/>
      <c r="AY273"/>
      <c r="BA273" s="34"/>
      <c r="BB273"/>
      <c r="BC273" t="s">
        <v>765</v>
      </c>
      <c r="BD273" s="36">
        <v>446040</v>
      </c>
      <c r="BE273" s="36">
        <v>446040</v>
      </c>
      <c r="BF273">
        <v>0</v>
      </c>
      <c r="BG273" s="34">
        <v>43115</v>
      </c>
      <c r="BH273">
        <v>60</v>
      </c>
      <c r="BI273" t="s">
        <v>283</v>
      </c>
      <c r="BJ273" t="s">
        <v>928</v>
      </c>
      <c r="BK273" t="s">
        <v>945</v>
      </c>
      <c r="BL273" t="s">
        <v>194</v>
      </c>
      <c r="BM273" s="8" t="s">
        <v>192</v>
      </c>
      <c r="BN273" t="s">
        <v>189</v>
      </c>
      <c r="BO273" t="s">
        <v>190</v>
      </c>
      <c r="BP273" s="35" t="s">
        <v>718</v>
      </c>
      <c r="BQ273"/>
      <c r="BU273" s="35"/>
      <c r="BV273" s="35"/>
      <c r="BX273"/>
      <c r="CA273" s="35"/>
      <c r="CB273" s="35"/>
      <c r="CC273"/>
      <c r="CG273" s="35"/>
      <c r="CH273" s="35"/>
      <c r="CK273"/>
      <c r="CM273" s="35"/>
      <c r="CN273" s="35"/>
      <c r="CQ273"/>
      <c r="CS273" s="35"/>
      <c r="CT273" s="35"/>
      <c r="CX273"/>
      <c r="CZ273" s="35"/>
      <c r="DD273" s="34"/>
      <c r="DG273" t="s">
        <v>763</v>
      </c>
      <c r="DH273" t="s">
        <v>946</v>
      </c>
      <c r="DI273" t="s">
        <v>233</v>
      </c>
      <c r="DL273" t="s">
        <v>668</v>
      </c>
      <c r="DM273">
        <v>5</v>
      </c>
      <c r="DN273">
        <v>8</v>
      </c>
      <c r="DO273" t="s">
        <v>764</v>
      </c>
      <c r="DQ273" t="s">
        <v>927</v>
      </c>
      <c r="DR273">
        <v>14</v>
      </c>
      <c r="DS273">
        <v>2</v>
      </c>
      <c r="DU273">
        <v>14</v>
      </c>
      <c r="DV273">
        <v>2</v>
      </c>
      <c r="DX273">
        <v>14</v>
      </c>
      <c r="DY273">
        <v>2</v>
      </c>
      <c r="DZ273" t="s">
        <v>246</v>
      </c>
      <c r="EA273" t="s">
        <v>929</v>
      </c>
    </row>
    <row r="274" spans="1:131" x14ac:dyDescent="0.4">
      <c r="A274" s="34">
        <v>43067.305104166669</v>
      </c>
      <c r="B274" s="25">
        <v>42934.524305555555</v>
      </c>
      <c r="D274" s="34"/>
      <c r="E274" s="34" t="s">
        <v>193</v>
      </c>
      <c r="F274" s="34" t="s">
        <v>191</v>
      </c>
      <c r="G274" s="34" t="s">
        <v>100</v>
      </c>
      <c r="H274" t="s">
        <v>279</v>
      </c>
      <c r="I274" t="s">
        <v>243</v>
      </c>
      <c r="J274" t="s">
        <v>712</v>
      </c>
      <c r="K274" t="s">
        <v>758</v>
      </c>
      <c r="L274" t="s">
        <v>711</v>
      </c>
      <c r="M274" s="30">
        <v>2.06</v>
      </c>
      <c r="N274">
        <v>6.75</v>
      </c>
      <c r="P274" s="24" t="str">
        <f>IFERROR(MID(RADataTable[[#This Row],[RATemplate]],1,LEN(RADataTable[[#This Row],[RATemplate]])-8),"RA") &amp; " " &amp; RADataTable[[#This Row],[prop_id0]] &amp; " " &amp; RADataTable[[#This Row],[last0]]</f>
        <v>RA 1749748 Chandrasekaran</v>
      </c>
      <c r="T274">
        <v>4</v>
      </c>
      <c r="U274">
        <v>4</v>
      </c>
      <c r="V274" s="34">
        <v>43030.722916666666</v>
      </c>
      <c r="W274">
        <v>1</v>
      </c>
      <c r="X274" s="15" t="str">
        <f>HYPERLINK("https://www.ejacket.nsf.gov/ej/showProposal.do?Continue=Y&amp;ID="&amp;RADataTable[[#This Row],[prop_id0]],"eJ")</f>
        <v>eJ</v>
      </c>
      <c r="Y274" s="15" t="str">
        <f>HYPERLINK("mailto:"&amp;RADataTable[[#This Row],[email]]&amp;"&amp;subject=Your NSF Proposal:  "&amp;RADataTable[[#This Row],[Div]]&amp;" "&amp;RADataTable[[#This Row],[prop_id0]], RADataTable[[#This Row],[email]])</f>
        <v>karthe@illinois.edu</v>
      </c>
      <c r="Z274" s="15" t="str">
        <f>HYPERLINK("mailto:"&amp;RADataTable[[#This Row],[allPIemail]]&amp;"&amp;subject=NSF Proposal:  "&amp;RADataTable[[#This Row],[Div]]&amp;" "&amp;RADataTable[[#This Row],[prop_id0]], "PIs@")</f>
        <v>PIs@</v>
      </c>
      <c r="AA274" t="s">
        <v>245</v>
      </c>
      <c r="AB274" t="s">
        <v>668</v>
      </c>
      <c r="AC274" s="30" t="s">
        <v>759</v>
      </c>
      <c r="AD274" t="s">
        <v>760</v>
      </c>
      <c r="AE274" t="s">
        <v>761</v>
      </c>
      <c r="AF274" s="36">
        <v>446040</v>
      </c>
      <c r="AG274" s="36">
        <v>446040</v>
      </c>
      <c r="AH274" s="24"/>
      <c r="AJ274" s="34"/>
      <c r="AK274" t="s">
        <v>923</v>
      </c>
      <c r="AL274" t="s">
        <v>232</v>
      </c>
      <c r="AM274" s="34" t="s">
        <v>925</v>
      </c>
      <c r="AN274" s="34">
        <v>43032</v>
      </c>
      <c r="AO274" s="24">
        <v>6</v>
      </c>
      <c r="AP274" t="s">
        <v>944</v>
      </c>
      <c r="AR274" s="35"/>
      <c r="AS274"/>
      <c r="AT274" s="34"/>
      <c r="AV274" s="34"/>
      <c r="AX274" s="34"/>
      <c r="AY274"/>
      <c r="BA274" s="34"/>
      <c r="BB274"/>
      <c r="BC274" t="s">
        <v>765</v>
      </c>
      <c r="BD274" s="36">
        <v>446040</v>
      </c>
      <c r="BE274" s="36">
        <v>446040</v>
      </c>
      <c r="BF274">
        <v>0</v>
      </c>
      <c r="BG274" s="34">
        <v>43115</v>
      </c>
      <c r="BH274">
        <v>60</v>
      </c>
      <c r="BI274" t="s">
        <v>283</v>
      </c>
      <c r="BJ274" t="s">
        <v>928</v>
      </c>
      <c r="BK274" t="s">
        <v>945</v>
      </c>
      <c r="BL274" t="s">
        <v>194</v>
      </c>
      <c r="BM274" s="8" t="s">
        <v>192</v>
      </c>
      <c r="BN274" t="s">
        <v>189</v>
      </c>
      <c r="BO274" t="s">
        <v>190</v>
      </c>
      <c r="BP274" s="35" t="s">
        <v>718</v>
      </c>
      <c r="BQ274"/>
      <c r="BU274" s="35"/>
      <c r="BV274" s="35"/>
      <c r="BX274"/>
      <c r="CA274" s="35"/>
      <c r="CB274" s="35"/>
      <c r="CC274"/>
      <c r="CG274" s="35"/>
      <c r="CH274" s="35"/>
      <c r="CK274"/>
      <c r="CM274" s="35"/>
      <c r="CN274" s="35"/>
      <c r="CQ274"/>
      <c r="CS274" s="35"/>
      <c r="CT274" s="35"/>
      <c r="CX274"/>
      <c r="CZ274" s="35"/>
      <c r="DD274" s="34"/>
      <c r="DG274" t="s">
        <v>763</v>
      </c>
      <c r="DH274" t="s">
        <v>946</v>
      </c>
      <c r="DI274" t="s">
        <v>233</v>
      </c>
      <c r="DL274" t="s">
        <v>668</v>
      </c>
      <c r="DM274">
        <v>5</v>
      </c>
      <c r="DN274">
        <v>8</v>
      </c>
      <c r="DO274" t="s">
        <v>764</v>
      </c>
      <c r="DQ274" t="s">
        <v>927</v>
      </c>
      <c r="DR274">
        <v>14</v>
      </c>
      <c r="DS274">
        <v>2</v>
      </c>
      <c r="DU274">
        <v>14</v>
      </c>
      <c r="DV274">
        <v>2</v>
      </c>
      <c r="DX274">
        <v>14</v>
      </c>
      <c r="DY274">
        <v>2</v>
      </c>
      <c r="DZ274" t="s">
        <v>246</v>
      </c>
      <c r="EA274" t="s">
        <v>929</v>
      </c>
    </row>
    <row r="275" spans="1:131" x14ac:dyDescent="0.4">
      <c r="A275" s="34">
        <v>43067.305104166669</v>
      </c>
      <c r="B275" s="25">
        <v>42934.524305555555</v>
      </c>
      <c r="D275" s="34"/>
      <c r="E275" s="34" t="s">
        <v>193</v>
      </c>
      <c r="F275" s="34" t="s">
        <v>191</v>
      </c>
      <c r="G275" s="34" t="s">
        <v>100</v>
      </c>
      <c r="H275" t="s">
        <v>279</v>
      </c>
      <c r="I275" t="s">
        <v>243</v>
      </c>
      <c r="J275" t="s">
        <v>712</v>
      </c>
      <c r="K275" t="s">
        <v>758</v>
      </c>
      <c r="L275" t="s">
        <v>711</v>
      </c>
      <c r="M275" s="30">
        <v>2.06</v>
      </c>
      <c r="N275">
        <v>6.75</v>
      </c>
      <c r="P275" s="24" t="str">
        <f>IFERROR(MID(RADataTable[[#This Row],[RATemplate]],1,LEN(RADataTable[[#This Row],[RATemplate]])-8),"RA") &amp; " " &amp; RADataTable[[#This Row],[prop_id0]] &amp; " " &amp; RADataTable[[#This Row],[last0]]</f>
        <v>RA 1749748 Chandrasekaran</v>
      </c>
      <c r="T275">
        <v>4</v>
      </c>
      <c r="U275">
        <v>4</v>
      </c>
      <c r="V275" s="34">
        <v>43030.722916666666</v>
      </c>
      <c r="W275">
        <v>1</v>
      </c>
      <c r="X275" s="15" t="str">
        <f>HYPERLINK("https://www.ejacket.nsf.gov/ej/showProposal.do?Continue=Y&amp;ID="&amp;RADataTable[[#This Row],[prop_id0]],"eJ")</f>
        <v>eJ</v>
      </c>
      <c r="Y275" s="15" t="str">
        <f>HYPERLINK("mailto:"&amp;RADataTable[[#This Row],[email]]&amp;"&amp;subject=Your NSF Proposal:  "&amp;RADataTable[[#This Row],[Div]]&amp;" "&amp;RADataTable[[#This Row],[prop_id0]], RADataTable[[#This Row],[email]])</f>
        <v>karthe@illinois.edu</v>
      </c>
      <c r="Z275" s="15" t="str">
        <f>HYPERLINK("mailto:"&amp;RADataTable[[#This Row],[allPIemail]]&amp;"&amp;subject=NSF Proposal:  "&amp;RADataTable[[#This Row],[Div]]&amp;" "&amp;RADataTable[[#This Row],[prop_id0]], "PIs@")</f>
        <v>PIs@</v>
      </c>
      <c r="AA275" t="s">
        <v>245</v>
      </c>
      <c r="AB275" t="s">
        <v>668</v>
      </c>
      <c r="AC275" s="30" t="s">
        <v>759</v>
      </c>
      <c r="AD275" t="s">
        <v>760</v>
      </c>
      <c r="AE275" t="s">
        <v>761</v>
      </c>
      <c r="AF275" s="36">
        <v>446040</v>
      </c>
      <c r="AG275" s="36">
        <v>446040</v>
      </c>
      <c r="AH275" s="24"/>
      <c r="AJ275" s="34"/>
      <c r="AK275" t="s">
        <v>923</v>
      </c>
      <c r="AL275" t="s">
        <v>232</v>
      </c>
      <c r="AM275" s="34" t="s">
        <v>925</v>
      </c>
      <c r="AN275" s="34">
        <v>43032</v>
      </c>
      <c r="AO275" s="24">
        <v>6</v>
      </c>
      <c r="AP275" t="s">
        <v>944</v>
      </c>
      <c r="AR275" s="35"/>
      <c r="AS275"/>
      <c r="AT275" s="34"/>
      <c r="AV275" s="34"/>
      <c r="AX275" s="34"/>
      <c r="AY275"/>
      <c r="BA275" s="34"/>
      <c r="BB275"/>
      <c r="BC275" t="s">
        <v>765</v>
      </c>
      <c r="BD275" s="36">
        <v>446040</v>
      </c>
      <c r="BE275" s="36">
        <v>446040</v>
      </c>
      <c r="BF275">
        <v>0</v>
      </c>
      <c r="BG275" s="34">
        <v>43115</v>
      </c>
      <c r="BH275">
        <v>60</v>
      </c>
      <c r="BI275" t="s">
        <v>283</v>
      </c>
      <c r="BJ275" t="s">
        <v>928</v>
      </c>
      <c r="BK275" t="s">
        <v>945</v>
      </c>
      <c r="BL275" t="s">
        <v>194</v>
      </c>
      <c r="BM275" s="8" t="s">
        <v>192</v>
      </c>
      <c r="BN275" t="s">
        <v>189</v>
      </c>
      <c r="BO275" t="s">
        <v>190</v>
      </c>
      <c r="BP275" s="35" t="s">
        <v>718</v>
      </c>
      <c r="BQ275"/>
      <c r="BU275" s="35"/>
      <c r="BV275" s="35"/>
      <c r="BX275"/>
      <c r="CA275" s="35"/>
      <c r="CB275" s="35"/>
      <c r="CC275"/>
      <c r="CG275" s="35"/>
      <c r="CH275" s="35"/>
      <c r="CK275"/>
      <c r="CM275" s="35"/>
      <c r="CN275" s="35"/>
      <c r="CQ275"/>
      <c r="CS275" s="35"/>
      <c r="CT275" s="35"/>
      <c r="CX275"/>
      <c r="CZ275" s="35"/>
      <c r="DD275" s="34"/>
      <c r="DG275" t="s">
        <v>763</v>
      </c>
      <c r="DH275" t="s">
        <v>946</v>
      </c>
      <c r="DI275" t="s">
        <v>233</v>
      </c>
      <c r="DL275" t="s">
        <v>668</v>
      </c>
      <c r="DM275">
        <v>5</v>
      </c>
      <c r="DN275">
        <v>8</v>
      </c>
      <c r="DO275" t="s">
        <v>764</v>
      </c>
      <c r="DQ275" t="s">
        <v>927</v>
      </c>
      <c r="DR275">
        <v>14</v>
      </c>
      <c r="DS275">
        <v>2</v>
      </c>
      <c r="DU275">
        <v>14</v>
      </c>
      <c r="DV275">
        <v>2</v>
      </c>
      <c r="DX275">
        <v>14</v>
      </c>
      <c r="DY275">
        <v>2</v>
      </c>
      <c r="DZ275" t="s">
        <v>246</v>
      </c>
      <c r="EA275" t="s">
        <v>929</v>
      </c>
    </row>
    <row r="276" spans="1:131" x14ac:dyDescent="0.4">
      <c r="A276" s="34">
        <v>43067.305104166669</v>
      </c>
      <c r="B276" s="25">
        <v>42934.524305555555</v>
      </c>
      <c r="D276" s="34"/>
      <c r="E276" s="34" t="s">
        <v>193</v>
      </c>
      <c r="F276" s="34" t="s">
        <v>191</v>
      </c>
      <c r="G276" s="34" t="s">
        <v>100</v>
      </c>
      <c r="H276" t="s">
        <v>279</v>
      </c>
      <c r="I276" t="s">
        <v>243</v>
      </c>
      <c r="J276" t="s">
        <v>712</v>
      </c>
      <c r="K276" t="s">
        <v>758</v>
      </c>
      <c r="L276" t="s">
        <v>711</v>
      </c>
      <c r="M276" s="30">
        <v>2.06</v>
      </c>
      <c r="N276">
        <v>6.75</v>
      </c>
      <c r="P276" s="24" t="str">
        <f>IFERROR(MID(RADataTable[[#This Row],[RATemplate]],1,LEN(RADataTable[[#This Row],[RATemplate]])-8),"RA") &amp; " " &amp; RADataTable[[#This Row],[prop_id0]] &amp; " " &amp; RADataTable[[#This Row],[last0]]</f>
        <v>RA 1749748 Chandrasekaran</v>
      </c>
      <c r="T276">
        <v>4</v>
      </c>
      <c r="U276">
        <v>4</v>
      </c>
      <c r="V276" s="34">
        <v>43030.722916666666</v>
      </c>
      <c r="W276">
        <v>1</v>
      </c>
      <c r="X276" s="15" t="str">
        <f>HYPERLINK("https://www.ejacket.nsf.gov/ej/showProposal.do?Continue=Y&amp;ID="&amp;RADataTable[[#This Row],[prop_id0]],"eJ")</f>
        <v>eJ</v>
      </c>
      <c r="Y276" s="15" t="str">
        <f>HYPERLINK("mailto:"&amp;RADataTable[[#This Row],[email]]&amp;"&amp;subject=Your NSF Proposal:  "&amp;RADataTable[[#This Row],[Div]]&amp;" "&amp;RADataTable[[#This Row],[prop_id0]], RADataTable[[#This Row],[email]])</f>
        <v>karthe@illinois.edu</v>
      </c>
      <c r="Z276" s="15" t="str">
        <f>HYPERLINK("mailto:"&amp;RADataTable[[#This Row],[allPIemail]]&amp;"&amp;subject=NSF Proposal:  "&amp;RADataTable[[#This Row],[Div]]&amp;" "&amp;RADataTable[[#This Row],[prop_id0]], "PIs@")</f>
        <v>PIs@</v>
      </c>
      <c r="AA276" t="s">
        <v>245</v>
      </c>
      <c r="AB276" t="s">
        <v>668</v>
      </c>
      <c r="AC276" s="30" t="s">
        <v>759</v>
      </c>
      <c r="AD276" t="s">
        <v>760</v>
      </c>
      <c r="AE276" t="s">
        <v>761</v>
      </c>
      <c r="AF276" s="36">
        <v>446040</v>
      </c>
      <c r="AG276" s="36">
        <v>446040</v>
      </c>
      <c r="AH276" s="24"/>
      <c r="AJ276" s="34"/>
      <c r="AK276" t="s">
        <v>923</v>
      </c>
      <c r="AL276" t="s">
        <v>232</v>
      </c>
      <c r="AM276" s="34" t="s">
        <v>925</v>
      </c>
      <c r="AN276" s="34">
        <v>43032</v>
      </c>
      <c r="AO276" s="24">
        <v>6</v>
      </c>
      <c r="AP276" t="s">
        <v>944</v>
      </c>
      <c r="AR276" s="35"/>
      <c r="AS276"/>
      <c r="AT276" s="34"/>
      <c r="AV276" s="34"/>
      <c r="AX276" s="34"/>
      <c r="AY276"/>
      <c r="BA276" s="34"/>
      <c r="BB276"/>
      <c r="BC276" t="s">
        <v>765</v>
      </c>
      <c r="BD276" s="36">
        <v>446040</v>
      </c>
      <c r="BE276" s="36">
        <v>446040</v>
      </c>
      <c r="BF276">
        <v>0</v>
      </c>
      <c r="BG276" s="34">
        <v>43115</v>
      </c>
      <c r="BH276">
        <v>60</v>
      </c>
      <c r="BI276" t="s">
        <v>283</v>
      </c>
      <c r="BJ276" t="s">
        <v>928</v>
      </c>
      <c r="BK276" t="s">
        <v>945</v>
      </c>
      <c r="BL276" t="s">
        <v>194</v>
      </c>
      <c r="BM276" s="8" t="s">
        <v>192</v>
      </c>
      <c r="BN276" t="s">
        <v>189</v>
      </c>
      <c r="BO276" t="s">
        <v>190</v>
      </c>
      <c r="BP276" s="35" t="s">
        <v>718</v>
      </c>
      <c r="BQ276"/>
      <c r="BU276" s="35"/>
      <c r="BV276" s="35"/>
      <c r="BX276"/>
      <c r="CA276" s="35"/>
      <c r="CB276" s="35"/>
      <c r="CC276"/>
      <c r="CG276" s="35"/>
      <c r="CH276" s="35"/>
      <c r="CK276"/>
      <c r="CM276" s="35"/>
      <c r="CN276" s="35"/>
      <c r="CQ276"/>
      <c r="CS276" s="35"/>
      <c r="CT276" s="35"/>
      <c r="CX276"/>
      <c r="CZ276" s="35"/>
      <c r="DD276" s="34"/>
      <c r="DG276" t="s">
        <v>763</v>
      </c>
      <c r="DH276" t="s">
        <v>946</v>
      </c>
      <c r="DI276" t="s">
        <v>233</v>
      </c>
      <c r="DL276" t="s">
        <v>668</v>
      </c>
      <c r="DM276">
        <v>5</v>
      </c>
      <c r="DN276">
        <v>8</v>
      </c>
      <c r="DO276" t="s">
        <v>764</v>
      </c>
      <c r="DQ276" t="s">
        <v>927</v>
      </c>
      <c r="DR276">
        <v>14</v>
      </c>
      <c r="DS276">
        <v>2</v>
      </c>
      <c r="DU276">
        <v>14</v>
      </c>
      <c r="DV276">
        <v>2</v>
      </c>
      <c r="DX276">
        <v>14</v>
      </c>
      <c r="DY276">
        <v>2</v>
      </c>
      <c r="DZ276" t="s">
        <v>246</v>
      </c>
      <c r="EA276" t="s">
        <v>929</v>
      </c>
    </row>
    <row r="277" spans="1:131" x14ac:dyDescent="0.4">
      <c r="A277" s="34">
        <v>43067.305104166669</v>
      </c>
      <c r="B277" s="25">
        <v>42934.524305555555</v>
      </c>
      <c r="D277" s="34"/>
      <c r="E277" s="34" t="s">
        <v>193</v>
      </c>
      <c r="F277" s="34" t="s">
        <v>191</v>
      </c>
      <c r="G277" s="34" t="s">
        <v>100</v>
      </c>
      <c r="H277" t="s">
        <v>279</v>
      </c>
      <c r="I277" t="s">
        <v>243</v>
      </c>
      <c r="J277" t="s">
        <v>712</v>
      </c>
      <c r="K277" t="s">
        <v>758</v>
      </c>
      <c r="L277" t="s">
        <v>711</v>
      </c>
      <c r="M277" s="30">
        <v>2.06</v>
      </c>
      <c r="N277">
        <v>6.75</v>
      </c>
      <c r="P277" s="24" t="str">
        <f>IFERROR(MID(RADataTable[[#This Row],[RATemplate]],1,LEN(RADataTable[[#This Row],[RATemplate]])-8),"RA") &amp; " " &amp; RADataTable[[#This Row],[prop_id0]] &amp; " " &amp; RADataTable[[#This Row],[last0]]</f>
        <v>RA 1749748 Chandrasekaran</v>
      </c>
      <c r="T277">
        <v>4</v>
      </c>
      <c r="U277">
        <v>4</v>
      </c>
      <c r="V277" s="34">
        <v>43030.722916666666</v>
      </c>
      <c r="W277">
        <v>1</v>
      </c>
      <c r="X277" s="15" t="str">
        <f>HYPERLINK("https://www.ejacket.nsf.gov/ej/showProposal.do?Continue=Y&amp;ID="&amp;RADataTable[[#This Row],[prop_id0]],"eJ")</f>
        <v>eJ</v>
      </c>
      <c r="Y277" s="15" t="str">
        <f>HYPERLINK("mailto:"&amp;RADataTable[[#This Row],[email]]&amp;"&amp;subject=Your NSF Proposal:  "&amp;RADataTable[[#This Row],[Div]]&amp;" "&amp;RADataTable[[#This Row],[prop_id0]], RADataTable[[#This Row],[email]])</f>
        <v>karthe@illinois.edu</v>
      </c>
      <c r="Z277" s="15" t="str">
        <f>HYPERLINK("mailto:"&amp;RADataTable[[#This Row],[allPIemail]]&amp;"&amp;subject=NSF Proposal:  "&amp;RADataTable[[#This Row],[Div]]&amp;" "&amp;RADataTable[[#This Row],[prop_id0]], "PIs@")</f>
        <v>PIs@</v>
      </c>
      <c r="AA277" t="s">
        <v>245</v>
      </c>
      <c r="AB277" t="s">
        <v>668</v>
      </c>
      <c r="AC277" s="30" t="s">
        <v>759</v>
      </c>
      <c r="AD277" t="s">
        <v>760</v>
      </c>
      <c r="AE277" t="s">
        <v>761</v>
      </c>
      <c r="AF277" s="36">
        <v>446040</v>
      </c>
      <c r="AG277" s="36">
        <v>446040</v>
      </c>
      <c r="AH277" s="24"/>
      <c r="AJ277" s="34"/>
      <c r="AK277" t="s">
        <v>923</v>
      </c>
      <c r="AL277" t="s">
        <v>232</v>
      </c>
      <c r="AM277" s="34" t="s">
        <v>925</v>
      </c>
      <c r="AN277" s="34">
        <v>43032</v>
      </c>
      <c r="AO277" s="24">
        <v>6</v>
      </c>
      <c r="AP277" t="s">
        <v>944</v>
      </c>
      <c r="AR277" s="35"/>
      <c r="AS277"/>
      <c r="AT277" s="34"/>
      <c r="AV277" s="34"/>
      <c r="AX277" s="34"/>
      <c r="AY277"/>
      <c r="BA277" s="34"/>
      <c r="BB277"/>
      <c r="BC277" t="s">
        <v>765</v>
      </c>
      <c r="BD277" s="36">
        <v>446040</v>
      </c>
      <c r="BE277" s="36">
        <v>446040</v>
      </c>
      <c r="BF277">
        <v>0</v>
      </c>
      <c r="BG277" s="34">
        <v>43115</v>
      </c>
      <c r="BH277">
        <v>60</v>
      </c>
      <c r="BI277" t="s">
        <v>283</v>
      </c>
      <c r="BJ277" t="s">
        <v>928</v>
      </c>
      <c r="BK277" t="s">
        <v>945</v>
      </c>
      <c r="BL277" t="s">
        <v>194</v>
      </c>
      <c r="BM277" s="8" t="s">
        <v>192</v>
      </c>
      <c r="BN277" t="s">
        <v>189</v>
      </c>
      <c r="BO277" t="s">
        <v>190</v>
      </c>
      <c r="BP277" s="35" t="s">
        <v>718</v>
      </c>
      <c r="BQ277"/>
      <c r="BU277" s="35"/>
      <c r="BV277" s="35"/>
      <c r="BX277"/>
      <c r="CA277" s="35"/>
      <c r="CB277" s="35"/>
      <c r="CC277"/>
      <c r="CG277" s="35"/>
      <c r="CH277" s="35"/>
      <c r="CK277"/>
      <c r="CM277" s="35"/>
      <c r="CN277" s="35"/>
      <c r="CQ277"/>
      <c r="CS277" s="35"/>
      <c r="CT277" s="35"/>
      <c r="CX277"/>
      <c r="CZ277" s="35"/>
      <c r="DD277" s="34"/>
      <c r="DG277" t="s">
        <v>763</v>
      </c>
      <c r="DH277" t="s">
        <v>946</v>
      </c>
      <c r="DI277" t="s">
        <v>233</v>
      </c>
      <c r="DL277" t="s">
        <v>668</v>
      </c>
      <c r="DM277">
        <v>5</v>
      </c>
      <c r="DN277">
        <v>8</v>
      </c>
      <c r="DO277" t="s">
        <v>764</v>
      </c>
      <c r="DQ277" t="s">
        <v>927</v>
      </c>
      <c r="DR277">
        <v>14</v>
      </c>
      <c r="DS277">
        <v>2</v>
      </c>
      <c r="DU277">
        <v>14</v>
      </c>
      <c r="DV277">
        <v>2</v>
      </c>
      <c r="DX277">
        <v>14</v>
      </c>
      <c r="DY277">
        <v>2</v>
      </c>
      <c r="DZ277" t="s">
        <v>246</v>
      </c>
      <c r="EA277" t="s">
        <v>929</v>
      </c>
    </row>
    <row r="278" spans="1:131" x14ac:dyDescent="0.4">
      <c r="A278" s="34">
        <v>43067.305104166669</v>
      </c>
      <c r="B278" s="25">
        <v>42934.524305555555</v>
      </c>
      <c r="D278" s="34"/>
      <c r="E278" s="34" t="s">
        <v>193</v>
      </c>
      <c r="F278" s="34" t="s">
        <v>191</v>
      </c>
      <c r="G278" s="34" t="s">
        <v>100</v>
      </c>
      <c r="H278" t="s">
        <v>279</v>
      </c>
      <c r="I278" t="s">
        <v>243</v>
      </c>
      <c r="J278" t="s">
        <v>712</v>
      </c>
      <c r="K278" t="s">
        <v>758</v>
      </c>
      <c r="L278" t="s">
        <v>711</v>
      </c>
      <c r="M278" s="30">
        <v>2.06</v>
      </c>
      <c r="N278">
        <v>6.75</v>
      </c>
      <c r="P278" s="24" t="str">
        <f>IFERROR(MID(RADataTable[[#This Row],[RATemplate]],1,LEN(RADataTable[[#This Row],[RATemplate]])-8),"RA") &amp; " " &amp; RADataTable[[#This Row],[prop_id0]] &amp; " " &amp; RADataTable[[#This Row],[last0]]</f>
        <v>RA 1749748 Chandrasekaran</v>
      </c>
      <c r="T278">
        <v>4</v>
      </c>
      <c r="U278">
        <v>4</v>
      </c>
      <c r="V278" s="34">
        <v>43030.722916666666</v>
      </c>
      <c r="W278">
        <v>1</v>
      </c>
      <c r="X278" s="15" t="str">
        <f>HYPERLINK("https://www.ejacket.nsf.gov/ej/showProposal.do?Continue=Y&amp;ID="&amp;RADataTable[[#This Row],[prop_id0]],"eJ")</f>
        <v>eJ</v>
      </c>
      <c r="Y278" s="15" t="str">
        <f>HYPERLINK("mailto:"&amp;RADataTable[[#This Row],[email]]&amp;"&amp;subject=Your NSF Proposal:  "&amp;RADataTable[[#This Row],[Div]]&amp;" "&amp;RADataTable[[#This Row],[prop_id0]], RADataTable[[#This Row],[email]])</f>
        <v>karthe@illinois.edu</v>
      </c>
      <c r="Z278" s="15" t="str">
        <f>HYPERLINK("mailto:"&amp;RADataTable[[#This Row],[allPIemail]]&amp;"&amp;subject=NSF Proposal:  "&amp;RADataTable[[#This Row],[Div]]&amp;" "&amp;RADataTable[[#This Row],[prop_id0]], "PIs@")</f>
        <v>PIs@</v>
      </c>
      <c r="AA278" t="s">
        <v>245</v>
      </c>
      <c r="AB278" t="s">
        <v>668</v>
      </c>
      <c r="AC278" s="30" t="s">
        <v>759</v>
      </c>
      <c r="AD278" t="s">
        <v>760</v>
      </c>
      <c r="AE278" t="s">
        <v>761</v>
      </c>
      <c r="AF278" s="36">
        <v>446040</v>
      </c>
      <c r="AG278" s="36">
        <v>446040</v>
      </c>
      <c r="AH278" s="24"/>
      <c r="AJ278" s="34"/>
      <c r="AK278" t="s">
        <v>923</v>
      </c>
      <c r="AL278" t="s">
        <v>232</v>
      </c>
      <c r="AM278" s="34" t="s">
        <v>925</v>
      </c>
      <c r="AN278" s="34">
        <v>43032</v>
      </c>
      <c r="AO278" s="24">
        <v>6</v>
      </c>
      <c r="AP278" t="s">
        <v>944</v>
      </c>
      <c r="AR278" s="35"/>
      <c r="AS278"/>
      <c r="AT278" s="34"/>
      <c r="AV278" s="34"/>
      <c r="AX278" s="34"/>
      <c r="AY278"/>
      <c r="BA278" s="34"/>
      <c r="BB278"/>
      <c r="BC278" t="s">
        <v>765</v>
      </c>
      <c r="BD278" s="36">
        <v>446040</v>
      </c>
      <c r="BE278" s="36">
        <v>446040</v>
      </c>
      <c r="BF278">
        <v>0</v>
      </c>
      <c r="BG278" s="34">
        <v>43115</v>
      </c>
      <c r="BH278">
        <v>60</v>
      </c>
      <c r="BI278" t="s">
        <v>283</v>
      </c>
      <c r="BJ278" t="s">
        <v>928</v>
      </c>
      <c r="BK278" t="s">
        <v>945</v>
      </c>
      <c r="BL278" t="s">
        <v>194</v>
      </c>
      <c r="BM278" s="8" t="s">
        <v>192</v>
      </c>
      <c r="BN278" t="s">
        <v>189</v>
      </c>
      <c r="BO278" t="s">
        <v>190</v>
      </c>
      <c r="BP278" s="35" t="s">
        <v>718</v>
      </c>
      <c r="BQ278"/>
      <c r="BU278" s="35"/>
      <c r="BV278" s="35"/>
      <c r="BX278"/>
      <c r="CA278" s="35"/>
      <c r="CB278" s="35"/>
      <c r="CC278"/>
      <c r="CG278" s="35"/>
      <c r="CH278" s="35"/>
      <c r="CK278"/>
      <c r="CM278" s="35"/>
      <c r="CN278" s="35"/>
      <c r="CQ278"/>
      <c r="CS278" s="35"/>
      <c r="CT278" s="35"/>
      <c r="CX278"/>
      <c r="CZ278" s="35"/>
      <c r="DD278" s="34"/>
      <c r="DG278" t="s">
        <v>763</v>
      </c>
      <c r="DH278" t="s">
        <v>946</v>
      </c>
      <c r="DI278" t="s">
        <v>233</v>
      </c>
      <c r="DL278" t="s">
        <v>668</v>
      </c>
      <c r="DM278">
        <v>5</v>
      </c>
      <c r="DN278">
        <v>8</v>
      </c>
      <c r="DO278" t="s">
        <v>764</v>
      </c>
      <c r="DQ278" t="s">
        <v>927</v>
      </c>
      <c r="DR278">
        <v>14</v>
      </c>
      <c r="DS278">
        <v>2</v>
      </c>
      <c r="DU278">
        <v>14</v>
      </c>
      <c r="DV278">
        <v>2</v>
      </c>
      <c r="DX278">
        <v>14</v>
      </c>
      <c r="DY278">
        <v>2</v>
      </c>
      <c r="DZ278" t="s">
        <v>246</v>
      </c>
      <c r="EA278" t="s">
        <v>929</v>
      </c>
    </row>
    <row r="279" spans="1:131" x14ac:dyDescent="0.4">
      <c r="A279" s="34">
        <v>43067.305104166669</v>
      </c>
      <c r="B279" s="25">
        <v>42934.524305555555</v>
      </c>
      <c r="D279" s="34"/>
      <c r="E279" s="34" t="s">
        <v>193</v>
      </c>
      <c r="F279" s="34" t="s">
        <v>191</v>
      </c>
      <c r="G279" s="34" t="s">
        <v>100</v>
      </c>
      <c r="H279" t="s">
        <v>279</v>
      </c>
      <c r="I279" t="s">
        <v>243</v>
      </c>
      <c r="J279" t="s">
        <v>712</v>
      </c>
      <c r="K279" t="s">
        <v>758</v>
      </c>
      <c r="L279" t="s">
        <v>711</v>
      </c>
      <c r="M279" s="30">
        <v>2.06</v>
      </c>
      <c r="N279">
        <v>6.75</v>
      </c>
      <c r="P279" s="24" t="str">
        <f>IFERROR(MID(RADataTable[[#This Row],[RATemplate]],1,LEN(RADataTable[[#This Row],[RATemplate]])-8),"RA") &amp; " " &amp; RADataTable[[#This Row],[prop_id0]] &amp; " " &amp; RADataTable[[#This Row],[last0]]</f>
        <v>RA 1749748 Chandrasekaran</v>
      </c>
      <c r="T279">
        <v>4</v>
      </c>
      <c r="U279">
        <v>4</v>
      </c>
      <c r="V279" s="34">
        <v>43030.722916666666</v>
      </c>
      <c r="W279">
        <v>1</v>
      </c>
      <c r="X279" s="15" t="str">
        <f>HYPERLINK("https://www.ejacket.nsf.gov/ej/showProposal.do?Continue=Y&amp;ID="&amp;RADataTable[[#This Row],[prop_id0]],"eJ")</f>
        <v>eJ</v>
      </c>
      <c r="Y279" s="15" t="str">
        <f>HYPERLINK("mailto:"&amp;RADataTable[[#This Row],[email]]&amp;"&amp;subject=Your NSF Proposal:  "&amp;RADataTable[[#This Row],[Div]]&amp;" "&amp;RADataTable[[#This Row],[prop_id0]], RADataTable[[#This Row],[email]])</f>
        <v>karthe@illinois.edu</v>
      </c>
      <c r="Z279" s="15" t="str">
        <f>HYPERLINK("mailto:"&amp;RADataTable[[#This Row],[allPIemail]]&amp;"&amp;subject=NSF Proposal:  "&amp;RADataTable[[#This Row],[Div]]&amp;" "&amp;RADataTable[[#This Row],[prop_id0]], "PIs@")</f>
        <v>PIs@</v>
      </c>
      <c r="AA279" t="s">
        <v>245</v>
      </c>
      <c r="AB279" t="s">
        <v>668</v>
      </c>
      <c r="AC279" s="30" t="s">
        <v>759</v>
      </c>
      <c r="AD279" t="s">
        <v>760</v>
      </c>
      <c r="AE279" t="s">
        <v>761</v>
      </c>
      <c r="AF279" s="36">
        <v>446040</v>
      </c>
      <c r="AG279" s="36">
        <v>446040</v>
      </c>
      <c r="AH279" s="24"/>
      <c r="AJ279" s="34"/>
      <c r="AK279" t="s">
        <v>923</v>
      </c>
      <c r="AL279" t="s">
        <v>232</v>
      </c>
      <c r="AM279" s="34" t="s">
        <v>925</v>
      </c>
      <c r="AN279" s="34">
        <v>43032</v>
      </c>
      <c r="AO279" s="24">
        <v>6</v>
      </c>
      <c r="AP279" t="s">
        <v>944</v>
      </c>
      <c r="AR279" s="35"/>
      <c r="AS279"/>
      <c r="AT279" s="34"/>
      <c r="AV279" s="34"/>
      <c r="AX279" s="34"/>
      <c r="AY279"/>
      <c r="BA279" s="34"/>
      <c r="BB279"/>
      <c r="BC279" t="s">
        <v>765</v>
      </c>
      <c r="BD279" s="36">
        <v>446040</v>
      </c>
      <c r="BE279" s="36">
        <v>446040</v>
      </c>
      <c r="BF279">
        <v>0</v>
      </c>
      <c r="BG279" s="34">
        <v>43115</v>
      </c>
      <c r="BH279">
        <v>60</v>
      </c>
      <c r="BI279" t="s">
        <v>283</v>
      </c>
      <c r="BJ279" t="s">
        <v>928</v>
      </c>
      <c r="BK279" t="s">
        <v>945</v>
      </c>
      <c r="BL279" t="s">
        <v>194</v>
      </c>
      <c r="BM279" s="8" t="s">
        <v>192</v>
      </c>
      <c r="BN279" t="s">
        <v>189</v>
      </c>
      <c r="BO279" t="s">
        <v>190</v>
      </c>
      <c r="BP279" s="35" t="s">
        <v>718</v>
      </c>
      <c r="BQ279"/>
      <c r="BU279" s="35"/>
      <c r="BV279" s="35"/>
      <c r="BX279"/>
      <c r="CA279" s="35"/>
      <c r="CB279" s="35"/>
      <c r="CC279"/>
      <c r="CG279" s="35"/>
      <c r="CH279" s="35"/>
      <c r="CK279"/>
      <c r="CM279" s="35"/>
      <c r="CN279" s="35"/>
      <c r="CQ279"/>
      <c r="CS279" s="35"/>
      <c r="CT279" s="35"/>
      <c r="CX279"/>
      <c r="CZ279" s="35"/>
      <c r="DD279" s="34"/>
      <c r="DG279" t="s">
        <v>763</v>
      </c>
      <c r="DH279" t="s">
        <v>946</v>
      </c>
      <c r="DI279" t="s">
        <v>233</v>
      </c>
      <c r="DL279" t="s">
        <v>668</v>
      </c>
      <c r="DM279">
        <v>5</v>
      </c>
      <c r="DN279">
        <v>8</v>
      </c>
      <c r="DO279" t="s">
        <v>764</v>
      </c>
      <c r="DQ279" t="s">
        <v>927</v>
      </c>
      <c r="DR279">
        <v>14</v>
      </c>
      <c r="DS279">
        <v>2</v>
      </c>
      <c r="DU279">
        <v>14</v>
      </c>
      <c r="DV279">
        <v>2</v>
      </c>
      <c r="DX279">
        <v>14</v>
      </c>
      <c r="DY279">
        <v>2</v>
      </c>
      <c r="DZ279" t="s">
        <v>246</v>
      </c>
      <c r="EA279" t="s">
        <v>929</v>
      </c>
    </row>
    <row r="280" spans="1:131" x14ac:dyDescent="0.4">
      <c r="A280" s="34">
        <v>43067.305104166669</v>
      </c>
      <c r="B280" s="25">
        <v>42934.524305555555</v>
      </c>
      <c r="D280" s="34"/>
      <c r="E280" s="34" t="s">
        <v>193</v>
      </c>
      <c r="F280" s="34" t="s">
        <v>191</v>
      </c>
      <c r="G280" s="34" t="s">
        <v>100</v>
      </c>
      <c r="H280" t="s">
        <v>279</v>
      </c>
      <c r="I280" t="s">
        <v>243</v>
      </c>
      <c r="J280" t="s">
        <v>712</v>
      </c>
      <c r="K280" t="s">
        <v>758</v>
      </c>
      <c r="L280" t="s">
        <v>711</v>
      </c>
      <c r="M280" s="30">
        <v>2.06</v>
      </c>
      <c r="N280">
        <v>6.75</v>
      </c>
      <c r="P280" s="24" t="str">
        <f>IFERROR(MID(RADataTable[[#This Row],[RATemplate]],1,LEN(RADataTable[[#This Row],[RATemplate]])-8),"RA") &amp; " " &amp; RADataTable[[#This Row],[prop_id0]] &amp; " " &amp; RADataTable[[#This Row],[last0]]</f>
        <v>RA 1749748 Chandrasekaran</v>
      </c>
      <c r="T280">
        <v>4</v>
      </c>
      <c r="U280">
        <v>4</v>
      </c>
      <c r="V280" s="34">
        <v>43030.722916666666</v>
      </c>
      <c r="W280">
        <v>1</v>
      </c>
      <c r="X280" s="15" t="str">
        <f>HYPERLINK("https://www.ejacket.nsf.gov/ej/showProposal.do?Continue=Y&amp;ID="&amp;RADataTable[[#This Row],[prop_id0]],"eJ")</f>
        <v>eJ</v>
      </c>
      <c r="Y280" s="15" t="str">
        <f>HYPERLINK("mailto:"&amp;RADataTable[[#This Row],[email]]&amp;"&amp;subject=Your NSF Proposal:  "&amp;RADataTable[[#This Row],[Div]]&amp;" "&amp;RADataTable[[#This Row],[prop_id0]], RADataTable[[#This Row],[email]])</f>
        <v>karthe@illinois.edu</v>
      </c>
      <c r="Z280" s="15" t="str">
        <f>HYPERLINK("mailto:"&amp;RADataTable[[#This Row],[allPIemail]]&amp;"&amp;subject=NSF Proposal:  "&amp;RADataTable[[#This Row],[Div]]&amp;" "&amp;RADataTable[[#This Row],[prop_id0]], "PIs@")</f>
        <v>PIs@</v>
      </c>
      <c r="AA280" t="s">
        <v>245</v>
      </c>
      <c r="AB280" t="s">
        <v>668</v>
      </c>
      <c r="AC280" s="30" t="s">
        <v>759</v>
      </c>
      <c r="AD280" t="s">
        <v>760</v>
      </c>
      <c r="AE280" t="s">
        <v>761</v>
      </c>
      <c r="AF280" s="36">
        <v>446040</v>
      </c>
      <c r="AG280" s="36">
        <v>446040</v>
      </c>
      <c r="AH280" s="24"/>
      <c r="AJ280" s="34"/>
      <c r="AK280" t="s">
        <v>923</v>
      </c>
      <c r="AL280" t="s">
        <v>232</v>
      </c>
      <c r="AM280" s="34" t="s">
        <v>925</v>
      </c>
      <c r="AN280" s="34">
        <v>43032</v>
      </c>
      <c r="AO280" s="24">
        <v>6</v>
      </c>
      <c r="AP280" t="s">
        <v>944</v>
      </c>
      <c r="AR280" s="35"/>
      <c r="AS280"/>
      <c r="AT280" s="34"/>
      <c r="AV280" s="34"/>
      <c r="AX280" s="34"/>
      <c r="AY280"/>
      <c r="BA280" s="34"/>
      <c r="BB280"/>
      <c r="BC280" t="s">
        <v>765</v>
      </c>
      <c r="BD280" s="36">
        <v>446040</v>
      </c>
      <c r="BE280" s="36">
        <v>446040</v>
      </c>
      <c r="BF280">
        <v>0</v>
      </c>
      <c r="BG280" s="34">
        <v>43115</v>
      </c>
      <c r="BH280">
        <v>60</v>
      </c>
      <c r="BI280" t="s">
        <v>283</v>
      </c>
      <c r="BJ280" t="s">
        <v>928</v>
      </c>
      <c r="BK280" t="s">
        <v>945</v>
      </c>
      <c r="BL280" t="s">
        <v>194</v>
      </c>
      <c r="BM280" s="8" t="s">
        <v>192</v>
      </c>
      <c r="BN280" t="s">
        <v>189</v>
      </c>
      <c r="BO280" t="s">
        <v>190</v>
      </c>
      <c r="BP280" s="35" t="s">
        <v>718</v>
      </c>
      <c r="BQ280"/>
      <c r="BU280" s="35"/>
      <c r="BV280" s="35"/>
      <c r="BX280"/>
      <c r="CA280" s="35"/>
      <c r="CB280" s="35"/>
      <c r="CC280"/>
      <c r="CG280" s="35"/>
      <c r="CH280" s="35"/>
      <c r="CK280"/>
      <c r="CM280" s="35"/>
      <c r="CN280" s="35"/>
      <c r="CQ280"/>
      <c r="CS280" s="35"/>
      <c r="CT280" s="35"/>
      <c r="CX280"/>
      <c r="CZ280" s="35"/>
      <c r="DD280" s="34"/>
      <c r="DG280" t="s">
        <v>763</v>
      </c>
      <c r="DH280" t="s">
        <v>946</v>
      </c>
      <c r="DI280" t="s">
        <v>233</v>
      </c>
      <c r="DL280" t="s">
        <v>668</v>
      </c>
      <c r="DM280">
        <v>5</v>
      </c>
      <c r="DN280">
        <v>8</v>
      </c>
      <c r="DO280" t="s">
        <v>764</v>
      </c>
      <c r="DQ280" t="s">
        <v>927</v>
      </c>
      <c r="DR280">
        <v>14</v>
      </c>
      <c r="DS280">
        <v>2</v>
      </c>
      <c r="DU280">
        <v>14</v>
      </c>
      <c r="DV280">
        <v>2</v>
      </c>
      <c r="DX280">
        <v>14</v>
      </c>
      <c r="DY280">
        <v>2</v>
      </c>
      <c r="DZ280" t="s">
        <v>246</v>
      </c>
      <c r="EA280" t="s">
        <v>929</v>
      </c>
    </row>
    <row r="281" spans="1:131" x14ac:dyDescent="0.4">
      <c r="A281" s="34">
        <v>43067.305104166669</v>
      </c>
      <c r="B281" s="25">
        <v>42934.524305555555</v>
      </c>
      <c r="D281" s="34"/>
      <c r="E281" s="34" t="s">
        <v>193</v>
      </c>
      <c r="F281" s="34" t="s">
        <v>191</v>
      </c>
      <c r="G281" s="34" t="s">
        <v>100</v>
      </c>
      <c r="H281" t="s">
        <v>279</v>
      </c>
      <c r="I281" t="s">
        <v>243</v>
      </c>
      <c r="J281" t="s">
        <v>712</v>
      </c>
      <c r="K281" t="s">
        <v>758</v>
      </c>
      <c r="L281" t="s">
        <v>711</v>
      </c>
      <c r="M281" s="30">
        <v>2.06</v>
      </c>
      <c r="N281">
        <v>6.75</v>
      </c>
      <c r="P281" s="24" t="str">
        <f>IFERROR(MID(RADataTable[[#This Row],[RATemplate]],1,LEN(RADataTable[[#This Row],[RATemplate]])-8),"RA") &amp; " " &amp; RADataTable[[#This Row],[prop_id0]] &amp; " " &amp; RADataTable[[#This Row],[last0]]</f>
        <v>RA 1749748 Chandrasekaran</v>
      </c>
      <c r="T281">
        <v>4</v>
      </c>
      <c r="U281">
        <v>4</v>
      </c>
      <c r="V281" s="34">
        <v>43030.722916666666</v>
      </c>
      <c r="W281">
        <v>1</v>
      </c>
      <c r="X281" s="15" t="str">
        <f>HYPERLINK("https://www.ejacket.nsf.gov/ej/showProposal.do?Continue=Y&amp;ID="&amp;RADataTable[[#This Row],[prop_id0]],"eJ")</f>
        <v>eJ</v>
      </c>
      <c r="Y281" s="15" t="str">
        <f>HYPERLINK("mailto:"&amp;RADataTable[[#This Row],[email]]&amp;"&amp;subject=Your NSF Proposal:  "&amp;RADataTable[[#This Row],[Div]]&amp;" "&amp;RADataTable[[#This Row],[prop_id0]], RADataTable[[#This Row],[email]])</f>
        <v>karthe@illinois.edu</v>
      </c>
      <c r="Z281" s="15" t="str">
        <f>HYPERLINK("mailto:"&amp;RADataTable[[#This Row],[allPIemail]]&amp;"&amp;subject=NSF Proposal:  "&amp;RADataTable[[#This Row],[Div]]&amp;" "&amp;RADataTable[[#This Row],[prop_id0]], "PIs@")</f>
        <v>PIs@</v>
      </c>
      <c r="AA281" t="s">
        <v>245</v>
      </c>
      <c r="AB281" t="s">
        <v>668</v>
      </c>
      <c r="AC281" s="30" t="s">
        <v>759</v>
      </c>
      <c r="AD281" t="s">
        <v>760</v>
      </c>
      <c r="AE281" t="s">
        <v>761</v>
      </c>
      <c r="AF281" s="36">
        <v>446040</v>
      </c>
      <c r="AG281" s="36">
        <v>446040</v>
      </c>
      <c r="AH281" s="24"/>
      <c r="AJ281" s="34"/>
      <c r="AK281" t="s">
        <v>923</v>
      </c>
      <c r="AL281" t="s">
        <v>232</v>
      </c>
      <c r="AM281" s="34" t="s">
        <v>925</v>
      </c>
      <c r="AN281" s="34">
        <v>43032</v>
      </c>
      <c r="AO281" s="24">
        <v>6</v>
      </c>
      <c r="AP281" t="s">
        <v>944</v>
      </c>
      <c r="AR281" s="35"/>
      <c r="AS281"/>
      <c r="AT281" s="34"/>
      <c r="AV281" s="34"/>
      <c r="AX281" s="34"/>
      <c r="AY281"/>
      <c r="BA281" s="34"/>
      <c r="BB281"/>
      <c r="BC281" t="s">
        <v>765</v>
      </c>
      <c r="BD281" s="36">
        <v>446040</v>
      </c>
      <c r="BE281" s="36">
        <v>446040</v>
      </c>
      <c r="BF281">
        <v>0</v>
      </c>
      <c r="BG281" s="34">
        <v>43115</v>
      </c>
      <c r="BH281">
        <v>60</v>
      </c>
      <c r="BI281" t="s">
        <v>283</v>
      </c>
      <c r="BJ281" t="s">
        <v>928</v>
      </c>
      <c r="BK281" t="s">
        <v>945</v>
      </c>
      <c r="BL281" t="s">
        <v>194</v>
      </c>
      <c r="BM281" s="8" t="s">
        <v>192</v>
      </c>
      <c r="BN281" t="s">
        <v>189</v>
      </c>
      <c r="BO281" t="s">
        <v>190</v>
      </c>
      <c r="BP281" s="35" t="s">
        <v>718</v>
      </c>
      <c r="BQ281"/>
      <c r="BU281" s="35"/>
      <c r="BV281" s="35"/>
      <c r="BX281"/>
      <c r="CA281" s="35"/>
      <c r="CB281" s="35"/>
      <c r="CC281"/>
      <c r="CG281" s="35"/>
      <c r="CH281" s="35"/>
      <c r="CK281"/>
      <c r="CM281" s="35"/>
      <c r="CN281" s="35"/>
      <c r="CQ281"/>
      <c r="CS281" s="35"/>
      <c r="CT281" s="35"/>
      <c r="CX281"/>
      <c r="CZ281" s="35"/>
      <c r="DD281" s="34"/>
      <c r="DG281" t="s">
        <v>763</v>
      </c>
      <c r="DH281" t="s">
        <v>946</v>
      </c>
      <c r="DI281" t="s">
        <v>233</v>
      </c>
      <c r="DL281" t="s">
        <v>668</v>
      </c>
      <c r="DM281">
        <v>5</v>
      </c>
      <c r="DN281">
        <v>8</v>
      </c>
      <c r="DO281" t="s">
        <v>764</v>
      </c>
      <c r="DQ281" t="s">
        <v>927</v>
      </c>
      <c r="DR281">
        <v>14</v>
      </c>
      <c r="DS281">
        <v>2</v>
      </c>
      <c r="DU281">
        <v>14</v>
      </c>
      <c r="DV281">
        <v>2</v>
      </c>
      <c r="DX281">
        <v>14</v>
      </c>
      <c r="DY281">
        <v>2</v>
      </c>
      <c r="DZ281" t="s">
        <v>246</v>
      </c>
      <c r="EA281" t="s">
        <v>929</v>
      </c>
    </row>
    <row r="282" spans="1:131" x14ac:dyDescent="0.4">
      <c r="A282" s="34">
        <v>43067.305104166669</v>
      </c>
      <c r="B282" s="25">
        <v>42934.507638888892</v>
      </c>
      <c r="D282" s="34"/>
      <c r="E282" s="34" t="s">
        <v>193</v>
      </c>
      <c r="F282" s="34" t="s">
        <v>191</v>
      </c>
      <c r="G282" s="34" t="s">
        <v>100</v>
      </c>
      <c r="H282" t="s">
        <v>279</v>
      </c>
      <c r="I282" t="s">
        <v>243</v>
      </c>
      <c r="J282" t="s">
        <v>712</v>
      </c>
      <c r="K282" t="s">
        <v>729</v>
      </c>
      <c r="L282" t="s">
        <v>711</v>
      </c>
      <c r="M282" s="30">
        <v>2.0699999999999998</v>
      </c>
      <c r="N282">
        <v>7.5</v>
      </c>
      <c r="P282" s="24" t="str">
        <f>IFERROR(MID(RADataTable[[#This Row],[RATemplate]],1,LEN(RADataTable[[#This Row],[RATemplate]])-8),"RA") &amp; " " &amp; RADataTable[[#This Row],[prop_id0]] &amp; " " &amp; RADataTable[[#This Row],[last0]]</f>
        <v>RA 1749734 Sidford</v>
      </c>
      <c r="T282">
        <v>4</v>
      </c>
      <c r="U282">
        <v>4</v>
      </c>
      <c r="V282" s="34">
        <v>43032.515277777777</v>
      </c>
      <c r="W282">
        <v>1</v>
      </c>
      <c r="X282" s="15" t="str">
        <f>HYPERLINK("https://www.ejacket.nsf.gov/ej/showProposal.do?Continue=Y&amp;ID="&amp;RADataTable[[#This Row],[prop_id0]],"eJ")</f>
        <v>eJ</v>
      </c>
      <c r="Y282" s="15" t="str">
        <f>HYPERLINK("mailto:"&amp;RADataTable[[#This Row],[email]]&amp;"&amp;subject=Your NSF Proposal:  "&amp;RADataTable[[#This Row],[Div]]&amp;" "&amp;RADataTable[[#This Row],[prop_id0]], RADataTable[[#This Row],[email]])</f>
        <v>sidford@stanford.edu</v>
      </c>
      <c r="Z282" s="15" t="str">
        <f>HYPERLINK("mailto:"&amp;RADataTable[[#This Row],[allPIemail]]&amp;"&amp;subject=NSF Proposal:  "&amp;RADataTable[[#This Row],[Div]]&amp;" "&amp;RADataTable[[#This Row],[prop_id0]], "PIs@")</f>
        <v>PIs@</v>
      </c>
      <c r="AA282" t="s">
        <v>245</v>
      </c>
      <c r="AB282" t="s">
        <v>667</v>
      </c>
      <c r="AC282" s="30" t="s">
        <v>752</v>
      </c>
      <c r="AD282" t="s">
        <v>753</v>
      </c>
      <c r="AE282" t="s">
        <v>754</v>
      </c>
      <c r="AF282" s="36">
        <v>500000</v>
      </c>
      <c r="AG282" s="36">
        <v>500000</v>
      </c>
      <c r="AH282" s="24"/>
      <c r="AJ282" s="34"/>
      <c r="AK282" t="s">
        <v>923</v>
      </c>
      <c r="AL282" t="s">
        <v>232</v>
      </c>
      <c r="AM282" s="34" t="s">
        <v>925</v>
      </c>
      <c r="AN282" s="34">
        <v>43032</v>
      </c>
      <c r="AO282" s="24">
        <v>7</v>
      </c>
      <c r="AP282" t="s">
        <v>942</v>
      </c>
      <c r="AR282" s="35"/>
      <c r="AS282"/>
      <c r="AT282" s="34"/>
      <c r="AV282" s="34"/>
      <c r="AX282" s="34"/>
      <c r="AY282"/>
      <c r="BA282" s="34"/>
      <c r="BB282"/>
      <c r="BC282" t="s">
        <v>757</v>
      </c>
      <c r="BD282" s="36">
        <v>500000</v>
      </c>
      <c r="BE282" s="36">
        <v>500000</v>
      </c>
      <c r="BF282">
        <v>0</v>
      </c>
      <c r="BG282" s="34">
        <v>43009</v>
      </c>
      <c r="BH282">
        <v>60</v>
      </c>
      <c r="BI282" t="s">
        <v>283</v>
      </c>
      <c r="BJ282" t="s">
        <v>928</v>
      </c>
      <c r="BK282" t="s">
        <v>934</v>
      </c>
      <c r="BL282" t="s">
        <v>194</v>
      </c>
      <c r="BM282" s="8" t="s">
        <v>192</v>
      </c>
      <c r="BN282" t="s">
        <v>189</v>
      </c>
      <c r="BO282" t="s">
        <v>190</v>
      </c>
      <c r="BP282" s="35" t="s">
        <v>288</v>
      </c>
      <c r="BQ282"/>
      <c r="BU282" s="35"/>
      <c r="BV282" s="35"/>
      <c r="BX282"/>
      <c r="CA282" s="35"/>
      <c r="CB282" s="35"/>
      <c r="CC282"/>
      <c r="CG282" s="35"/>
      <c r="CH282" s="35"/>
      <c r="CK282"/>
      <c r="CM282" s="35"/>
      <c r="CN282" s="35"/>
      <c r="CQ282"/>
      <c r="CS282" s="35"/>
      <c r="CT282" s="35"/>
      <c r="CX282"/>
      <c r="CZ282" s="35"/>
      <c r="DD282" s="34"/>
      <c r="DG282" t="s">
        <v>755</v>
      </c>
      <c r="DH282" t="s">
        <v>943</v>
      </c>
      <c r="DI282" t="s">
        <v>233</v>
      </c>
      <c r="DL282" t="s">
        <v>667</v>
      </c>
      <c r="DM282">
        <v>7</v>
      </c>
      <c r="DN282">
        <v>9</v>
      </c>
      <c r="DO282" t="s">
        <v>756</v>
      </c>
      <c r="DQ282" t="s">
        <v>927</v>
      </c>
      <c r="DR282">
        <v>14</v>
      </c>
      <c r="DS282">
        <v>1</v>
      </c>
      <c r="DU282">
        <v>14</v>
      </c>
      <c r="DV282">
        <v>1</v>
      </c>
      <c r="DX282">
        <v>14</v>
      </c>
      <c r="DY282">
        <v>1</v>
      </c>
      <c r="DZ282" t="s">
        <v>246</v>
      </c>
      <c r="EA282" t="s">
        <v>929</v>
      </c>
    </row>
    <row r="283" spans="1:131" x14ac:dyDescent="0.4">
      <c r="A283" s="34">
        <v>43067.305104166669</v>
      </c>
      <c r="B283" s="25">
        <v>42934.507638888892</v>
      </c>
      <c r="D283" s="34"/>
      <c r="E283" s="34" t="s">
        <v>193</v>
      </c>
      <c r="F283" s="34" t="s">
        <v>191</v>
      </c>
      <c r="G283" s="34" t="s">
        <v>100</v>
      </c>
      <c r="H283" t="s">
        <v>279</v>
      </c>
      <c r="I283" t="s">
        <v>243</v>
      </c>
      <c r="J283" t="s">
        <v>712</v>
      </c>
      <c r="K283" t="s">
        <v>729</v>
      </c>
      <c r="L283" t="s">
        <v>711</v>
      </c>
      <c r="M283" s="30">
        <v>2.0699999999999998</v>
      </c>
      <c r="N283">
        <v>7.5</v>
      </c>
      <c r="P283" s="24" t="str">
        <f>IFERROR(MID(RADataTable[[#This Row],[RATemplate]],1,LEN(RADataTable[[#This Row],[RATemplate]])-8),"RA") &amp; " " &amp; RADataTable[[#This Row],[prop_id0]] &amp; " " &amp; RADataTable[[#This Row],[last0]]</f>
        <v>RA 1749734 Sidford</v>
      </c>
      <c r="T283">
        <v>4</v>
      </c>
      <c r="U283">
        <v>4</v>
      </c>
      <c r="V283" s="34">
        <v>43032.515277777777</v>
      </c>
      <c r="W283">
        <v>1</v>
      </c>
      <c r="X283" s="15" t="str">
        <f>HYPERLINK("https://www.ejacket.nsf.gov/ej/showProposal.do?Continue=Y&amp;ID="&amp;RADataTable[[#This Row],[prop_id0]],"eJ")</f>
        <v>eJ</v>
      </c>
      <c r="Y283" s="15" t="str">
        <f>HYPERLINK("mailto:"&amp;RADataTable[[#This Row],[email]]&amp;"&amp;subject=Your NSF Proposal:  "&amp;RADataTable[[#This Row],[Div]]&amp;" "&amp;RADataTable[[#This Row],[prop_id0]], RADataTable[[#This Row],[email]])</f>
        <v>sidford@stanford.edu</v>
      </c>
      <c r="Z283" s="15" t="str">
        <f>HYPERLINK("mailto:"&amp;RADataTable[[#This Row],[allPIemail]]&amp;"&amp;subject=NSF Proposal:  "&amp;RADataTable[[#This Row],[Div]]&amp;" "&amp;RADataTable[[#This Row],[prop_id0]], "PIs@")</f>
        <v>PIs@</v>
      </c>
      <c r="AA283" t="s">
        <v>245</v>
      </c>
      <c r="AB283" t="s">
        <v>667</v>
      </c>
      <c r="AC283" s="30" t="s">
        <v>752</v>
      </c>
      <c r="AD283" t="s">
        <v>753</v>
      </c>
      <c r="AE283" t="s">
        <v>754</v>
      </c>
      <c r="AF283" s="36">
        <v>500000</v>
      </c>
      <c r="AG283" s="36">
        <v>500000</v>
      </c>
      <c r="AH283" s="24"/>
      <c r="AJ283" s="34"/>
      <c r="AK283" t="s">
        <v>923</v>
      </c>
      <c r="AL283" t="s">
        <v>232</v>
      </c>
      <c r="AM283" s="34" t="s">
        <v>925</v>
      </c>
      <c r="AN283" s="34">
        <v>43032</v>
      </c>
      <c r="AO283" s="24">
        <v>7</v>
      </c>
      <c r="AP283" t="s">
        <v>942</v>
      </c>
      <c r="AR283" s="35"/>
      <c r="AS283"/>
      <c r="AT283" s="34"/>
      <c r="AV283" s="34"/>
      <c r="AX283" s="34"/>
      <c r="AY283"/>
      <c r="BA283" s="34"/>
      <c r="BB283"/>
      <c r="BC283" t="s">
        <v>757</v>
      </c>
      <c r="BD283" s="36">
        <v>500000</v>
      </c>
      <c r="BE283" s="36">
        <v>500000</v>
      </c>
      <c r="BF283">
        <v>0</v>
      </c>
      <c r="BG283" s="34">
        <v>43009</v>
      </c>
      <c r="BH283">
        <v>60</v>
      </c>
      <c r="BI283" t="s">
        <v>283</v>
      </c>
      <c r="BJ283" t="s">
        <v>928</v>
      </c>
      <c r="BK283" t="s">
        <v>934</v>
      </c>
      <c r="BL283" t="s">
        <v>194</v>
      </c>
      <c r="BM283" s="8" t="s">
        <v>192</v>
      </c>
      <c r="BN283" t="s">
        <v>189</v>
      </c>
      <c r="BO283" t="s">
        <v>190</v>
      </c>
      <c r="BP283" s="35" t="s">
        <v>288</v>
      </c>
      <c r="BQ283"/>
      <c r="BU283" s="35"/>
      <c r="BV283" s="35"/>
      <c r="BX283"/>
      <c r="CA283" s="35"/>
      <c r="CB283" s="35"/>
      <c r="CC283"/>
      <c r="CG283" s="35"/>
      <c r="CH283" s="35"/>
      <c r="CK283"/>
      <c r="CM283" s="35"/>
      <c r="CN283" s="35"/>
      <c r="CQ283"/>
      <c r="CS283" s="35"/>
      <c r="CT283" s="35"/>
      <c r="CX283"/>
      <c r="CZ283" s="35"/>
      <c r="DD283" s="34"/>
      <c r="DG283" t="s">
        <v>755</v>
      </c>
      <c r="DH283" t="s">
        <v>943</v>
      </c>
      <c r="DI283" t="s">
        <v>233</v>
      </c>
      <c r="DL283" t="s">
        <v>667</v>
      </c>
      <c r="DM283">
        <v>7</v>
      </c>
      <c r="DN283">
        <v>9</v>
      </c>
      <c r="DO283" t="s">
        <v>756</v>
      </c>
      <c r="DQ283" t="s">
        <v>927</v>
      </c>
      <c r="DR283">
        <v>14</v>
      </c>
      <c r="DS283">
        <v>1</v>
      </c>
      <c r="DU283">
        <v>14</v>
      </c>
      <c r="DV283">
        <v>1</v>
      </c>
      <c r="DX283">
        <v>14</v>
      </c>
      <c r="DY283">
        <v>1</v>
      </c>
      <c r="DZ283" t="s">
        <v>246</v>
      </c>
      <c r="EA283" t="s">
        <v>929</v>
      </c>
    </row>
    <row r="284" spans="1:131" x14ac:dyDescent="0.4">
      <c r="A284" s="34">
        <v>43067.305104166669</v>
      </c>
      <c r="B284" s="25">
        <v>42934.507638888892</v>
      </c>
      <c r="D284" s="34"/>
      <c r="E284" s="34" t="s">
        <v>193</v>
      </c>
      <c r="F284" s="34" t="s">
        <v>191</v>
      </c>
      <c r="G284" s="34" t="s">
        <v>100</v>
      </c>
      <c r="H284" t="s">
        <v>279</v>
      </c>
      <c r="I284" t="s">
        <v>243</v>
      </c>
      <c r="J284" t="s">
        <v>712</v>
      </c>
      <c r="K284" t="s">
        <v>729</v>
      </c>
      <c r="L284" t="s">
        <v>711</v>
      </c>
      <c r="M284" s="30">
        <v>2.0699999999999998</v>
      </c>
      <c r="N284">
        <v>7.5</v>
      </c>
      <c r="P284" s="24" t="str">
        <f>IFERROR(MID(RADataTable[[#This Row],[RATemplate]],1,LEN(RADataTable[[#This Row],[RATemplate]])-8),"RA") &amp; " " &amp; RADataTable[[#This Row],[prop_id0]] &amp; " " &amp; RADataTable[[#This Row],[last0]]</f>
        <v>RA 1749734 Sidford</v>
      </c>
      <c r="T284">
        <v>4</v>
      </c>
      <c r="U284">
        <v>4</v>
      </c>
      <c r="V284" s="34">
        <v>43032.515277777777</v>
      </c>
      <c r="W284">
        <v>1</v>
      </c>
      <c r="X284" s="15" t="str">
        <f>HYPERLINK("https://www.ejacket.nsf.gov/ej/showProposal.do?Continue=Y&amp;ID="&amp;RADataTable[[#This Row],[prop_id0]],"eJ")</f>
        <v>eJ</v>
      </c>
      <c r="Y284" s="15" t="str">
        <f>HYPERLINK("mailto:"&amp;RADataTable[[#This Row],[email]]&amp;"&amp;subject=Your NSF Proposal:  "&amp;RADataTable[[#This Row],[Div]]&amp;" "&amp;RADataTable[[#This Row],[prop_id0]], RADataTable[[#This Row],[email]])</f>
        <v>sidford@stanford.edu</v>
      </c>
      <c r="Z284" s="15" t="str">
        <f>HYPERLINK("mailto:"&amp;RADataTable[[#This Row],[allPIemail]]&amp;"&amp;subject=NSF Proposal:  "&amp;RADataTable[[#This Row],[Div]]&amp;" "&amp;RADataTable[[#This Row],[prop_id0]], "PIs@")</f>
        <v>PIs@</v>
      </c>
      <c r="AA284" t="s">
        <v>245</v>
      </c>
      <c r="AB284" t="s">
        <v>667</v>
      </c>
      <c r="AC284" s="30" t="s">
        <v>752</v>
      </c>
      <c r="AD284" t="s">
        <v>753</v>
      </c>
      <c r="AE284" t="s">
        <v>754</v>
      </c>
      <c r="AF284" s="36">
        <v>500000</v>
      </c>
      <c r="AG284" s="36">
        <v>500000</v>
      </c>
      <c r="AH284" s="24"/>
      <c r="AJ284" s="34"/>
      <c r="AK284" t="s">
        <v>923</v>
      </c>
      <c r="AL284" t="s">
        <v>232</v>
      </c>
      <c r="AM284" s="34" t="s">
        <v>925</v>
      </c>
      <c r="AN284" s="34">
        <v>43032</v>
      </c>
      <c r="AO284" s="24">
        <v>7</v>
      </c>
      <c r="AP284" t="s">
        <v>942</v>
      </c>
      <c r="AR284" s="35"/>
      <c r="AS284"/>
      <c r="AT284" s="34"/>
      <c r="AV284" s="34"/>
      <c r="AX284" s="34"/>
      <c r="AY284"/>
      <c r="BA284" s="34"/>
      <c r="BB284"/>
      <c r="BC284" t="s">
        <v>757</v>
      </c>
      <c r="BD284" s="36">
        <v>500000</v>
      </c>
      <c r="BE284" s="36">
        <v>500000</v>
      </c>
      <c r="BF284">
        <v>0</v>
      </c>
      <c r="BG284" s="34">
        <v>43009</v>
      </c>
      <c r="BH284">
        <v>60</v>
      </c>
      <c r="BI284" t="s">
        <v>283</v>
      </c>
      <c r="BJ284" t="s">
        <v>928</v>
      </c>
      <c r="BK284" t="s">
        <v>934</v>
      </c>
      <c r="BL284" t="s">
        <v>194</v>
      </c>
      <c r="BM284" s="8" t="s">
        <v>192</v>
      </c>
      <c r="BN284" t="s">
        <v>189</v>
      </c>
      <c r="BO284" t="s">
        <v>190</v>
      </c>
      <c r="BP284" s="35" t="s">
        <v>288</v>
      </c>
      <c r="BQ284"/>
      <c r="BU284" s="35"/>
      <c r="BV284" s="35"/>
      <c r="BX284"/>
      <c r="CA284" s="35"/>
      <c r="CB284" s="35"/>
      <c r="CC284"/>
      <c r="CG284" s="35"/>
      <c r="CH284" s="35"/>
      <c r="CK284"/>
      <c r="CM284" s="35"/>
      <c r="CN284" s="35"/>
      <c r="CQ284"/>
      <c r="CS284" s="35"/>
      <c r="CT284" s="35"/>
      <c r="CX284"/>
      <c r="CZ284" s="35"/>
      <c r="DD284" s="34"/>
      <c r="DG284" t="s">
        <v>755</v>
      </c>
      <c r="DH284" t="s">
        <v>943</v>
      </c>
      <c r="DI284" t="s">
        <v>233</v>
      </c>
      <c r="DL284" t="s">
        <v>667</v>
      </c>
      <c r="DM284">
        <v>7</v>
      </c>
      <c r="DN284">
        <v>9</v>
      </c>
      <c r="DO284" t="s">
        <v>756</v>
      </c>
      <c r="DQ284" t="s">
        <v>927</v>
      </c>
      <c r="DR284">
        <v>14</v>
      </c>
      <c r="DS284">
        <v>1</v>
      </c>
      <c r="DU284">
        <v>14</v>
      </c>
      <c r="DV284">
        <v>1</v>
      </c>
      <c r="DX284">
        <v>14</v>
      </c>
      <c r="DY284">
        <v>1</v>
      </c>
      <c r="DZ284" t="s">
        <v>246</v>
      </c>
      <c r="EA284" t="s">
        <v>929</v>
      </c>
    </row>
    <row r="285" spans="1:131" x14ac:dyDescent="0.4">
      <c r="A285" s="34">
        <v>43067.305104166669</v>
      </c>
      <c r="B285" s="25">
        <v>42934.507638888892</v>
      </c>
      <c r="D285" s="34"/>
      <c r="E285" s="34" t="s">
        <v>193</v>
      </c>
      <c r="F285" s="34" t="s">
        <v>191</v>
      </c>
      <c r="G285" s="34" t="s">
        <v>100</v>
      </c>
      <c r="H285" t="s">
        <v>279</v>
      </c>
      <c r="I285" t="s">
        <v>243</v>
      </c>
      <c r="J285" t="s">
        <v>712</v>
      </c>
      <c r="K285" t="s">
        <v>729</v>
      </c>
      <c r="L285" t="s">
        <v>711</v>
      </c>
      <c r="M285" s="30">
        <v>2.0699999999999998</v>
      </c>
      <c r="N285">
        <v>7.5</v>
      </c>
      <c r="P285" s="24" t="str">
        <f>IFERROR(MID(RADataTable[[#This Row],[RATemplate]],1,LEN(RADataTable[[#This Row],[RATemplate]])-8),"RA") &amp; " " &amp; RADataTable[[#This Row],[prop_id0]] &amp; " " &amp; RADataTable[[#This Row],[last0]]</f>
        <v>RA 1749734 Sidford</v>
      </c>
      <c r="T285">
        <v>4</v>
      </c>
      <c r="U285">
        <v>4</v>
      </c>
      <c r="V285" s="34">
        <v>43032.515277777777</v>
      </c>
      <c r="W285">
        <v>1</v>
      </c>
      <c r="X285" s="15" t="str">
        <f>HYPERLINK("https://www.ejacket.nsf.gov/ej/showProposal.do?Continue=Y&amp;ID="&amp;RADataTable[[#This Row],[prop_id0]],"eJ")</f>
        <v>eJ</v>
      </c>
      <c r="Y285" s="15" t="str">
        <f>HYPERLINK("mailto:"&amp;RADataTable[[#This Row],[email]]&amp;"&amp;subject=Your NSF Proposal:  "&amp;RADataTable[[#This Row],[Div]]&amp;" "&amp;RADataTable[[#This Row],[prop_id0]], RADataTable[[#This Row],[email]])</f>
        <v>sidford@stanford.edu</v>
      </c>
      <c r="Z285" s="15" t="str">
        <f>HYPERLINK("mailto:"&amp;RADataTable[[#This Row],[allPIemail]]&amp;"&amp;subject=NSF Proposal:  "&amp;RADataTable[[#This Row],[Div]]&amp;" "&amp;RADataTable[[#This Row],[prop_id0]], "PIs@")</f>
        <v>PIs@</v>
      </c>
      <c r="AA285" t="s">
        <v>245</v>
      </c>
      <c r="AB285" t="s">
        <v>667</v>
      </c>
      <c r="AC285" s="30" t="s">
        <v>752</v>
      </c>
      <c r="AD285" t="s">
        <v>753</v>
      </c>
      <c r="AE285" t="s">
        <v>754</v>
      </c>
      <c r="AF285" s="36">
        <v>500000</v>
      </c>
      <c r="AG285" s="36">
        <v>500000</v>
      </c>
      <c r="AH285" s="24"/>
      <c r="AJ285" s="34"/>
      <c r="AK285" t="s">
        <v>923</v>
      </c>
      <c r="AL285" t="s">
        <v>232</v>
      </c>
      <c r="AM285" s="34" t="s">
        <v>925</v>
      </c>
      <c r="AN285" s="34">
        <v>43032</v>
      </c>
      <c r="AO285" s="24">
        <v>7</v>
      </c>
      <c r="AP285" t="s">
        <v>942</v>
      </c>
      <c r="AR285" s="35"/>
      <c r="AS285"/>
      <c r="AT285" s="34"/>
      <c r="AV285" s="34"/>
      <c r="AX285" s="34"/>
      <c r="AY285"/>
      <c r="BA285" s="34"/>
      <c r="BB285"/>
      <c r="BC285" t="s">
        <v>757</v>
      </c>
      <c r="BD285" s="36">
        <v>500000</v>
      </c>
      <c r="BE285" s="36">
        <v>500000</v>
      </c>
      <c r="BF285">
        <v>0</v>
      </c>
      <c r="BG285" s="34">
        <v>43009</v>
      </c>
      <c r="BH285">
        <v>60</v>
      </c>
      <c r="BI285" t="s">
        <v>283</v>
      </c>
      <c r="BJ285" t="s">
        <v>928</v>
      </c>
      <c r="BK285" t="s">
        <v>934</v>
      </c>
      <c r="BL285" t="s">
        <v>194</v>
      </c>
      <c r="BM285" s="8" t="s">
        <v>192</v>
      </c>
      <c r="BN285" t="s">
        <v>189</v>
      </c>
      <c r="BO285" t="s">
        <v>190</v>
      </c>
      <c r="BP285" s="35" t="s">
        <v>288</v>
      </c>
      <c r="BQ285"/>
      <c r="BU285" s="35"/>
      <c r="BV285" s="35"/>
      <c r="BX285"/>
      <c r="CA285" s="35"/>
      <c r="CB285" s="35"/>
      <c r="CC285"/>
      <c r="CG285" s="35"/>
      <c r="CH285" s="35"/>
      <c r="CK285"/>
      <c r="CM285" s="35"/>
      <c r="CN285" s="35"/>
      <c r="CQ285"/>
      <c r="CS285" s="35"/>
      <c r="CT285" s="35"/>
      <c r="CX285"/>
      <c r="CZ285" s="35"/>
      <c r="DD285" s="34"/>
      <c r="DG285" t="s">
        <v>755</v>
      </c>
      <c r="DH285" t="s">
        <v>943</v>
      </c>
      <c r="DI285" t="s">
        <v>233</v>
      </c>
      <c r="DL285" t="s">
        <v>667</v>
      </c>
      <c r="DM285">
        <v>7</v>
      </c>
      <c r="DN285">
        <v>9</v>
      </c>
      <c r="DO285" t="s">
        <v>756</v>
      </c>
      <c r="DQ285" t="s">
        <v>927</v>
      </c>
      <c r="DR285">
        <v>14</v>
      </c>
      <c r="DS285">
        <v>1</v>
      </c>
      <c r="DU285">
        <v>14</v>
      </c>
      <c r="DV285">
        <v>1</v>
      </c>
      <c r="DX285">
        <v>14</v>
      </c>
      <c r="DY285">
        <v>1</v>
      </c>
      <c r="DZ285" t="s">
        <v>246</v>
      </c>
      <c r="EA285" t="s">
        <v>929</v>
      </c>
    </row>
    <row r="286" spans="1:131" x14ac:dyDescent="0.4">
      <c r="A286" s="34">
        <v>43067.305104166669</v>
      </c>
      <c r="B286" s="25">
        <v>42934.507638888892</v>
      </c>
      <c r="D286" s="34"/>
      <c r="E286" s="34" t="s">
        <v>193</v>
      </c>
      <c r="F286" s="34" t="s">
        <v>191</v>
      </c>
      <c r="G286" s="34" t="s">
        <v>100</v>
      </c>
      <c r="H286" t="s">
        <v>279</v>
      </c>
      <c r="I286" t="s">
        <v>243</v>
      </c>
      <c r="J286" t="s">
        <v>712</v>
      </c>
      <c r="K286" t="s">
        <v>729</v>
      </c>
      <c r="L286" t="s">
        <v>711</v>
      </c>
      <c r="M286" s="30">
        <v>2.0699999999999998</v>
      </c>
      <c r="N286">
        <v>7.5</v>
      </c>
      <c r="P286" s="24" t="str">
        <f>IFERROR(MID(RADataTable[[#This Row],[RATemplate]],1,LEN(RADataTable[[#This Row],[RATemplate]])-8),"RA") &amp; " " &amp; RADataTable[[#This Row],[prop_id0]] &amp; " " &amp; RADataTable[[#This Row],[last0]]</f>
        <v>RA 1749734 Sidford</v>
      </c>
      <c r="T286">
        <v>4</v>
      </c>
      <c r="U286">
        <v>4</v>
      </c>
      <c r="V286" s="34">
        <v>43032.515277777777</v>
      </c>
      <c r="W286">
        <v>1</v>
      </c>
      <c r="X286" s="15" t="str">
        <f>HYPERLINK("https://www.ejacket.nsf.gov/ej/showProposal.do?Continue=Y&amp;ID="&amp;RADataTable[[#This Row],[prop_id0]],"eJ")</f>
        <v>eJ</v>
      </c>
      <c r="Y286" s="15" t="str">
        <f>HYPERLINK("mailto:"&amp;RADataTable[[#This Row],[email]]&amp;"&amp;subject=Your NSF Proposal:  "&amp;RADataTable[[#This Row],[Div]]&amp;" "&amp;RADataTable[[#This Row],[prop_id0]], RADataTable[[#This Row],[email]])</f>
        <v>sidford@stanford.edu</v>
      </c>
      <c r="Z286" s="15" t="str">
        <f>HYPERLINK("mailto:"&amp;RADataTable[[#This Row],[allPIemail]]&amp;"&amp;subject=NSF Proposal:  "&amp;RADataTable[[#This Row],[Div]]&amp;" "&amp;RADataTable[[#This Row],[prop_id0]], "PIs@")</f>
        <v>PIs@</v>
      </c>
      <c r="AA286" t="s">
        <v>245</v>
      </c>
      <c r="AB286" t="s">
        <v>667</v>
      </c>
      <c r="AC286" s="30" t="s">
        <v>752</v>
      </c>
      <c r="AD286" t="s">
        <v>753</v>
      </c>
      <c r="AE286" t="s">
        <v>754</v>
      </c>
      <c r="AF286" s="36">
        <v>500000</v>
      </c>
      <c r="AG286" s="36">
        <v>500000</v>
      </c>
      <c r="AH286" s="24"/>
      <c r="AJ286" s="34"/>
      <c r="AK286" t="s">
        <v>923</v>
      </c>
      <c r="AL286" t="s">
        <v>232</v>
      </c>
      <c r="AM286" s="34" t="s">
        <v>925</v>
      </c>
      <c r="AN286" s="34">
        <v>43032</v>
      </c>
      <c r="AO286" s="24">
        <v>7</v>
      </c>
      <c r="AP286" t="s">
        <v>942</v>
      </c>
      <c r="AR286" s="35"/>
      <c r="AS286"/>
      <c r="AT286" s="34"/>
      <c r="AV286" s="34"/>
      <c r="AX286" s="34"/>
      <c r="AY286"/>
      <c r="BA286" s="34"/>
      <c r="BB286"/>
      <c r="BC286" t="s">
        <v>757</v>
      </c>
      <c r="BD286" s="36">
        <v>500000</v>
      </c>
      <c r="BE286" s="36">
        <v>500000</v>
      </c>
      <c r="BF286">
        <v>0</v>
      </c>
      <c r="BG286" s="34">
        <v>43009</v>
      </c>
      <c r="BH286">
        <v>60</v>
      </c>
      <c r="BI286" t="s">
        <v>283</v>
      </c>
      <c r="BJ286" t="s">
        <v>928</v>
      </c>
      <c r="BK286" t="s">
        <v>934</v>
      </c>
      <c r="BL286" t="s">
        <v>194</v>
      </c>
      <c r="BM286" s="8" t="s">
        <v>192</v>
      </c>
      <c r="BN286" t="s">
        <v>189</v>
      </c>
      <c r="BO286" t="s">
        <v>190</v>
      </c>
      <c r="BP286" s="35" t="s">
        <v>288</v>
      </c>
      <c r="BQ286"/>
      <c r="BU286" s="35"/>
      <c r="BV286" s="35"/>
      <c r="BX286"/>
      <c r="CA286" s="35"/>
      <c r="CB286" s="35"/>
      <c r="CC286"/>
      <c r="CG286" s="35"/>
      <c r="CH286" s="35"/>
      <c r="CK286"/>
      <c r="CM286" s="35"/>
      <c r="CN286" s="35"/>
      <c r="CQ286"/>
      <c r="CS286" s="35"/>
      <c r="CT286" s="35"/>
      <c r="CX286"/>
      <c r="CZ286" s="35"/>
      <c r="DD286" s="34"/>
      <c r="DG286" t="s">
        <v>755</v>
      </c>
      <c r="DH286" t="s">
        <v>943</v>
      </c>
      <c r="DI286" t="s">
        <v>233</v>
      </c>
      <c r="DL286" t="s">
        <v>667</v>
      </c>
      <c r="DM286">
        <v>7</v>
      </c>
      <c r="DN286">
        <v>9</v>
      </c>
      <c r="DO286" t="s">
        <v>756</v>
      </c>
      <c r="DQ286" t="s">
        <v>927</v>
      </c>
      <c r="DR286">
        <v>14</v>
      </c>
      <c r="DS286">
        <v>1</v>
      </c>
      <c r="DU286">
        <v>14</v>
      </c>
      <c r="DV286">
        <v>1</v>
      </c>
      <c r="DX286">
        <v>14</v>
      </c>
      <c r="DY286">
        <v>1</v>
      </c>
      <c r="DZ286" t="s">
        <v>246</v>
      </c>
      <c r="EA286" t="s">
        <v>929</v>
      </c>
    </row>
    <row r="287" spans="1:131" x14ac:dyDescent="0.4">
      <c r="A287" s="34">
        <v>43067.305104166669</v>
      </c>
      <c r="B287" s="25">
        <v>42934.507638888892</v>
      </c>
      <c r="D287" s="34"/>
      <c r="E287" s="34" t="s">
        <v>193</v>
      </c>
      <c r="F287" s="34" t="s">
        <v>191</v>
      </c>
      <c r="G287" s="34" t="s">
        <v>100</v>
      </c>
      <c r="H287" t="s">
        <v>279</v>
      </c>
      <c r="I287" t="s">
        <v>243</v>
      </c>
      <c r="J287" t="s">
        <v>712</v>
      </c>
      <c r="K287" t="s">
        <v>729</v>
      </c>
      <c r="L287" t="s">
        <v>711</v>
      </c>
      <c r="M287" s="30">
        <v>2.0699999999999998</v>
      </c>
      <c r="N287">
        <v>7.5</v>
      </c>
      <c r="P287" s="24" t="str">
        <f>IFERROR(MID(RADataTable[[#This Row],[RATemplate]],1,LEN(RADataTable[[#This Row],[RATemplate]])-8),"RA") &amp; " " &amp; RADataTable[[#This Row],[prop_id0]] &amp; " " &amp; RADataTable[[#This Row],[last0]]</f>
        <v>RA 1749734 Sidford</v>
      </c>
      <c r="T287">
        <v>4</v>
      </c>
      <c r="U287">
        <v>4</v>
      </c>
      <c r="V287" s="34">
        <v>43032.515277777777</v>
      </c>
      <c r="W287">
        <v>1</v>
      </c>
      <c r="X287" s="15" t="str">
        <f>HYPERLINK("https://www.ejacket.nsf.gov/ej/showProposal.do?Continue=Y&amp;ID="&amp;RADataTable[[#This Row],[prop_id0]],"eJ")</f>
        <v>eJ</v>
      </c>
      <c r="Y287" s="15" t="str">
        <f>HYPERLINK("mailto:"&amp;RADataTable[[#This Row],[email]]&amp;"&amp;subject=Your NSF Proposal:  "&amp;RADataTable[[#This Row],[Div]]&amp;" "&amp;RADataTable[[#This Row],[prop_id0]], RADataTable[[#This Row],[email]])</f>
        <v>sidford@stanford.edu</v>
      </c>
      <c r="Z287" s="15" t="str">
        <f>HYPERLINK("mailto:"&amp;RADataTable[[#This Row],[allPIemail]]&amp;"&amp;subject=NSF Proposal:  "&amp;RADataTable[[#This Row],[Div]]&amp;" "&amp;RADataTable[[#This Row],[prop_id0]], "PIs@")</f>
        <v>PIs@</v>
      </c>
      <c r="AA287" t="s">
        <v>245</v>
      </c>
      <c r="AB287" t="s">
        <v>667</v>
      </c>
      <c r="AC287" s="30" t="s">
        <v>752</v>
      </c>
      <c r="AD287" t="s">
        <v>753</v>
      </c>
      <c r="AE287" t="s">
        <v>754</v>
      </c>
      <c r="AF287" s="36">
        <v>500000</v>
      </c>
      <c r="AG287" s="36">
        <v>500000</v>
      </c>
      <c r="AH287" s="24"/>
      <c r="AJ287" s="34"/>
      <c r="AK287" t="s">
        <v>923</v>
      </c>
      <c r="AL287" t="s">
        <v>232</v>
      </c>
      <c r="AM287" s="34" t="s">
        <v>925</v>
      </c>
      <c r="AN287" s="34">
        <v>43032</v>
      </c>
      <c r="AO287" s="24">
        <v>7</v>
      </c>
      <c r="AP287" t="s">
        <v>942</v>
      </c>
      <c r="AR287" s="35"/>
      <c r="AS287"/>
      <c r="AT287" s="34"/>
      <c r="AV287" s="34"/>
      <c r="AX287" s="34"/>
      <c r="AY287"/>
      <c r="BA287" s="34"/>
      <c r="BB287"/>
      <c r="BC287" t="s">
        <v>757</v>
      </c>
      <c r="BD287" s="36">
        <v>500000</v>
      </c>
      <c r="BE287" s="36">
        <v>500000</v>
      </c>
      <c r="BF287">
        <v>0</v>
      </c>
      <c r="BG287" s="34">
        <v>43009</v>
      </c>
      <c r="BH287">
        <v>60</v>
      </c>
      <c r="BI287" t="s">
        <v>283</v>
      </c>
      <c r="BJ287" t="s">
        <v>928</v>
      </c>
      <c r="BK287" t="s">
        <v>934</v>
      </c>
      <c r="BL287" t="s">
        <v>194</v>
      </c>
      <c r="BM287" s="8" t="s">
        <v>192</v>
      </c>
      <c r="BN287" t="s">
        <v>189</v>
      </c>
      <c r="BO287" t="s">
        <v>190</v>
      </c>
      <c r="BP287" s="35" t="s">
        <v>288</v>
      </c>
      <c r="BQ287"/>
      <c r="BU287" s="35"/>
      <c r="BV287" s="35"/>
      <c r="BX287"/>
      <c r="CA287" s="35"/>
      <c r="CB287" s="35"/>
      <c r="CC287"/>
      <c r="CG287" s="35"/>
      <c r="CH287" s="35"/>
      <c r="CK287"/>
      <c r="CM287" s="35"/>
      <c r="CN287" s="35"/>
      <c r="CQ287"/>
      <c r="CS287" s="35"/>
      <c r="CT287" s="35"/>
      <c r="CX287"/>
      <c r="CZ287" s="35"/>
      <c r="DD287" s="34"/>
      <c r="DG287" t="s">
        <v>755</v>
      </c>
      <c r="DH287" t="s">
        <v>943</v>
      </c>
      <c r="DI287" t="s">
        <v>233</v>
      </c>
      <c r="DL287" t="s">
        <v>667</v>
      </c>
      <c r="DM287">
        <v>7</v>
      </c>
      <c r="DN287">
        <v>9</v>
      </c>
      <c r="DO287" t="s">
        <v>756</v>
      </c>
      <c r="DQ287" t="s">
        <v>927</v>
      </c>
      <c r="DR287">
        <v>14</v>
      </c>
      <c r="DS287">
        <v>1</v>
      </c>
      <c r="DU287">
        <v>14</v>
      </c>
      <c r="DV287">
        <v>1</v>
      </c>
      <c r="DX287">
        <v>14</v>
      </c>
      <c r="DY287">
        <v>1</v>
      </c>
      <c r="DZ287" t="s">
        <v>246</v>
      </c>
      <c r="EA287" t="s">
        <v>929</v>
      </c>
    </row>
    <row r="288" spans="1:131" x14ac:dyDescent="0.4">
      <c r="A288" s="34">
        <v>43067.305104166669</v>
      </c>
      <c r="B288" s="25">
        <v>42934.507638888892</v>
      </c>
      <c r="D288" s="34"/>
      <c r="E288" s="34" t="s">
        <v>193</v>
      </c>
      <c r="F288" s="34" t="s">
        <v>191</v>
      </c>
      <c r="G288" s="34" t="s">
        <v>100</v>
      </c>
      <c r="H288" t="s">
        <v>279</v>
      </c>
      <c r="I288" t="s">
        <v>243</v>
      </c>
      <c r="J288" t="s">
        <v>712</v>
      </c>
      <c r="K288" t="s">
        <v>729</v>
      </c>
      <c r="L288" t="s">
        <v>711</v>
      </c>
      <c r="M288" s="30">
        <v>2.0699999999999998</v>
      </c>
      <c r="N288">
        <v>7.5</v>
      </c>
      <c r="P288" s="24" t="str">
        <f>IFERROR(MID(RADataTable[[#This Row],[RATemplate]],1,LEN(RADataTable[[#This Row],[RATemplate]])-8),"RA") &amp; " " &amp; RADataTable[[#This Row],[prop_id0]] &amp; " " &amp; RADataTable[[#This Row],[last0]]</f>
        <v>RA 1749734 Sidford</v>
      </c>
      <c r="T288">
        <v>4</v>
      </c>
      <c r="U288">
        <v>4</v>
      </c>
      <c r="V288" s="34">
        <v>43032.515277777777</v>
      </c>
      <c r="W288">
        <v>1</v>
      </c>
      <c r="X288" s="15" t="str">
        <f>HYPERLINK("https://www.ejacket.nsf.gov/ej/showProposal.do?Continue=Y&amp;ID="&amp;RADataTable[[#This Row],[prop_id0]],"eJ")</f>
        <v>eJ</v>
      </c>
      <c r="Y288" s="15" t="str">
        <f>HYPERLINK("mailto:"&amp;RADataTable[[#This Row],[email]]&amp;"&amp;subject=Your NSF Proposal:  "&amp;RADataTable[[#This Row],[Div]]&amp;" "&amp;RADataTable[[#This Row],[prop_id0]], RADataTable[[#This Row],[email]])</f>
        <v>sidford@stanford.edu</v>
      </c>
      <c r="Z288" s="15" t="str">
        <f>HYPERLINK("mailto:"&amp;RADataTable[[#This Row],[allPIemail]]&amp;"&amp;subject=NSF Proposal:  "&amp;RADataTable[[#This Row],[Div]]&amp;" "&amp;RADataTable[[#This Row],[prop_id0]], "PIs@")</f>
        <v>PIs@</v>
      </c>
      <c r="AA288" t="s">
        <v>245</v>
      </c>
      <c r="AB288" t="s">
        <v>667</v>
      </c>
      <c r="AC288" s="30" t="s">
        <v>752</v>
      </c>
      <c r="AD288" t="s">
        <v>753</v>
      </c>
      <c r="AE288" t="s">
        <v>754</v>
      </c>
      <c r="AF288" s="36">
        <v>500000</v>
      </c>
      <c r="AG288" s="36">
        <v>500000</v>
      </c>
      <c r="AH288" s="24"/>
      <c r="AJ288" s="34"/>
      <c r="AK288" t="s">
        <v>923</v>
      </c>
      <c r="AL288" t="s">
        <v>232</v>
      </c>
      <c r="AM288" s="34" t="s">
        <v>925</v>
      </c>
      <c r="AN288" s="34">
        <v>43032</v>
      </c>
      <c r="AO288" s="24">
        <v>7</v>
      </c>
      <c r="AP288" t="s">
        <v>942</v>
      </c>
      <c r="AR288" s="35"/>
      <c r="AS288"/>
      <c r="AT288" s="34"/>
      <c r="AV288" s="34"/>
      <c r="AX288" s="34"/>
      <c r="AY288"/>
      <c r="BA288" s="34"/>
      <c r="BB288"/>
      <c r="BC288" t="s">
        <v>757</v>
      </c>
      <c r="BD288" s="36">
        <v>500000</v>
      </c>
      <c r="BE288" s="36">
        <v>500000</v>
      </c>
      <c r="BF288">
        <v>0</v>
      </c>
      <c r="BG288" s="34">
        <v>43009</v>
      </c>
      <c r="BH288">
        <v>60</v>
      </c>
      <c r="BI288" t="s">
        <v>283</v>
      </c>
      <c r="BJ288" t="s">
        <v>928</v>
      </c>
      <c r="BK288" t="s">
        <v>934</v>
      </c>
      <c r="BL288" t="s">
        <v>194</v>
      </c>
      <c r="BM288" s="8" t="s">
        <v>192</v>
      </c>
      <c r="BN288" t="s">
        <v>189</v>
      </c>
      <c r="BO288" t="s">
        <v>190</v>
      </c>
      <c r="BP288" s="35" t="s">
        <v>288</v>
      </c>
      <c r="BQ288"/>
      <c r="BU288" s="35"/>
      <c r="BV288" s="35"/>
      <c r="BX288"/>
      <c r="CA288" s="35"/>
      <c r="CB288" s="35"/>
      <c r="CC288"/>
      <c r="CG288" s="35"/>
      <c r="CH288" s="35"/>
      <c r="CK288"/>
      <c r="CM288" s="35"/>
      <c r="CN288" s="35"/>
      <c r="CQ288"/>
      <c r="CS288" s="35"/>
      <c r="CT288" s="35"/>
      <c r="CX288"/>
      <c r="CZ288" s="35"/>
      <c r="DD288" s="34"/>
      <c r="DG288" t="s">
        <v>755</v>
      </c>
      <c r="DH288" t="s">
        <v>943</v>
      </c>
      <c r="DI288" t="s">
        <v>233</v>
      </c>
      <c r="DL288" t="s">
        <v>667</v>
      </c>
      <c r="DM288">
        <v>7</v>
      </c>
      <c r="DN288">
        <v>9</v>
      </c>
      <c r="DO288" t="s">
        <v>756</v>
      </c>
      <c r="DQ288" t="s">
        <v>927</v>
      </c>
      <c r="DR288">
        <v>14</v>
      </c>
      <c r="DS288">
        <v>1</v>
      </c>
      <c r="DU288">
        <v>14</v>
      </c>
      <c r="DV288">
        <v>1</v>
      </c>
      <c r="DX288">
        <v>14</v>
      </c>
      <c r="DY288">
        <v>1</v>
      </c>
      <c r="DZ288" t="s">
        <v>246</v>
      </c>
      <c r="EA288" t="s">
        <v>929</v>
      </c>
    </row>
    <row r="289" spans="1:131" x14ac:dyDescent="0.4">
      <c r="A289" s="34">
        <v>43067.305104166669</v>
      </c>
      <c r="B289" s="25">
        <v>42934.507638888892</v>
      </c>
      <c r="D289" s="34"/>
      <c r="E289" s="34" t="s">
        <v>193</v>
      </c>
      <c r="F289" s="34" t="s">
        <v>191</v>
      </c>
      <c r="G289" s="34" t="s">
        <v>100</v>
      </c>
      <c r="H289" t="s">
        <v>279</v>
      </c>
      <c r="I289" t="s">
        <v>243</v>
      </c>
      <c r="J289" t="s">
        <v>712</v>
      </c>
      <c r="K289" t="s">
        <v>729</v>
      </c>
      <c r="L289" t="s">
        <v>711</v>
      </c>
      <c r="M289" s="30">
        <v>2.0699999999999998</v>
      </c>
      <c r="N289">
        <v>7.5</v>
      </c>
      <c r="P289" s="24" t="str">
        <f>IFERROR(MID(RADataTable[[#This Row],[RATemplate]],1,LEN(RADataTable[[#This Row],[RATemplate]])-8),"RA") &amp; " " &amp; RADataTable[[#This Row],[prop_id0]] &amp; " " &amp; RADataTable[[#This Row],[last0]]</f>
        <v>RA 1749734 Sidford</v>
      </c>
      <c r="T289">
        <v>4</v>
      </c>
      <c r="U289">
        <v>4</v>
      </c>
      <c r="V289" s="34">
        <v>43032.515277777777</v>
      </c>
      <c r="W289">
        <v>1</v>
      </c>
      <c r="X289" s="15" t="str">
        <f>HYPERLINK("https://www.ejacket.nsf.gov/ej/showProposal.do?Continue=Y&amp;ID="&amp;RADataTable[[#This Row],[prop_id0]],"eJ")</f>
        <v>eJ</v>
      </c>
      <c r="Y289" s="15" t="str">
        <f>HYPERLINK("mailto:"&amp;RADataTable[[#This Row],[email]]&amp;"&amp;subject=Your NSF Proposal:  "&amp;RADataTable[[#This Row],[Div]]&amp;" "&amp;RADataTable[[#This Row],[prop_id0]], RADataTable[[#This Row],[email]])</f>
        <v>sidford@stanford.edu</v>
      </c>
      <c r="Z289" s="15" t="str">
        <f>HYPERLINK("mailto:"&amp;RADataTable[[#This Row],[allPIemail]]&amp;"&amp;subject=NSF Proposal:  "&amp;RADataTable[[#This Row],[Div]]&amp;" "&amp;RADataTable[[#This Row],[prop_id0]], "PIs@")</f>
        <v>PIs@</v>
      </c>
      <c r="AA289" t="s">
        <v>245</v>
      </c>
      <c r="AB289" t="s">
        <v>667</v>
      </c>
      <c r="AC289" s="30" t="s">
        <v>752</v>
      </c>
      <c r="AD289" t="s">
        <v>753</v>
      </c>
      <c r="AE289" t="s">
        <v>754</v>
      </c>
      <c r="AF289" s="36">
        <v>500000</v>
      </c>
      <c r="AG289" s="36">
        <v>500000</v>
      </c>
      <c r="AH289" s="24"/>
      <c r="AJ289" s="34"/>
      <c r="AK289" t="s">
        <v>923</v>
      </c>
      <c r="AL289" t="s">
        <v>232</v>
      </c>
      <c r="AM289" s="34" t="s">
        <v>925</v>
      </c>
      <c r="AN289" s="34">
        <v>43032</v>
      </c>
      <c r="AO289" s="24">
        <v>7</v>
      </c>
      <c r="AP289" t="s">
        <v>942</v>
      </c>
      <c r="AR289" s="35"/>
      <c r="AS289"/>
      <c r="AT289" s="34"/>
      <c r="AV289" s="34"/>
      <c r="AX289" s="34"/>
      <c r="AY289"/>
      <c r="BA289" s="34"/>
      <c r="BB289"/>
      <c r="BC289" t="s">
        <v>757</v>
      </c>
      <c r="BD289" s="36">
        <v>500000</v>
      </c>
      <c r="BE289" s="36">
        <v>500000</v>
      </c>
      <c r="BF289">
        <v>0</v>
      </c>
      <c r="BG289" s="34">
        <v>43009</v>
      </c>
      <c r="BH289">
        <v>60</v>
      </c>
      <c r="BI289" t="s">
        <v>283</v>
      </c>
      <c r="BJ289" t="s">
        <v>928</v>
      </c>
      <c r="BK289" t="s">
        <v>934</v>
      </c>
      <c r="BL289" t="s">
        <v>194</v>
      </c>
      <c r="BM289" s="8" t="s">
        <v>192</v>
      </c>
      <c r="BN289" t="s">
        <v>189</v>
      </c>
      <c r="BO289" t="s">
        <v>190</v>
      </c>
      <c r="BP289" s="35" t="s">
        <v>288</v>
      </c>
      <c r="BQ289"/>
      <c r="BU289" s="35"/>
      <c r="BV289" s="35"/>
      <c r="BX289"/>
      <c r="CA289" s="35"/>
      <c r="CB289" s="35"/>
      <c r="CC289"/>
      <c r="CG289" s="35"/>
      <c r="CH289" s="35"/>
      <c r="CK289"/>
      <c r="CM289" s="35"/>
      <c r="CN289" s="35"/>
      <c r="CQ289"/>
      <c r="CS289" s="35"/>
      <c r="CT289" s="35"/>
      <c r="CX289"/>
      <c r="CZ289" s="35"/>
      <c r="DD289" s="34"/>
      <c r="DG289" t="s">
        <v>755</v>
      </c>
      <c r="DH289" t="s">
        <v>943</v>
      </c>
      <c r="DI289" t="s">
        <v>233</v>
      </c>
      <c r="DL289" t="s">
        <v>667</v>
      </c>
      <c r="DM289">
        <v>7</v>
      </c>
      <c r="DN289">
        <v>9</v>
      </c>
      <c r="DO289" t="s">
        <v>756</v>
      </c>
      <c r="DQ289" t="s">
        <v>927</v>
      </c>
      <c r="DR289">
        <v>14</v>
      </c>
      <c r="DS289">
        <v>1</v>
      </c>
      <c r="DU289">
        <v>14</v>
      </c>
      <c r="DV289">
        <v>1</v>
      </c>
      <c r="DX289">
        <v>14</v>
      </c>
      <c r="DY289">
        <v>1</v>
      </c>
      <c r="DZ289" t="s">
        <v>246</v>
      </c>
      <c r="EA289" t="s">
        <v>929</v>
      </c>
    </row>
    <row r="290" spans="1:131" x14ac:dyDescent="0.4">
      <c r="A290" s="34">
        <v>43067.305104166669</v>
      </c>
      <c r="B290" s="25">
        <v>42934.507638888892</v>
      </c>
      <c r="D290" s="34"/>
      <c r="E290" s="34" t="s">
        <v>193</v>
      </c>
      <c r="F290" s="34" t="s">
        <v>191</v>
      </c>
      <c r="G290" s="34" t="s">
        <v>100</v>
      </c>
      <c r="H290" t="s">
        <v>279</v>
      </c>
      <c r="I290" t="s">
        <v>243</v>
      </c>
      <c r="J290" t="s">
        <v>712</v>
      </c>
      <c r="K290" t="s">
        <v>729</v>
      </c>
      <c r="L290" t="s">
        <v>711</v>
      </c>
      <c r="M290" s="30">
        <v>2.0699999999999998</v>
      </c>
      <c r="N290">
        <v>7.5</v>
      </c>
      <c r="P290" s="24" t="str">
        <f>IFERROR(MID(RADataTable[[#This Row],[RATemplate]],1,LEN(RADataTable[[#This Row],[RATemplate]])-8),"RA") &amp; " " &amp; RADataTable[[#This Row],[prop_id0]] &amp; " " &amp; RADataTable[[#This Row],[last0]]</f>
        <v>RA 1749734 Sidford</v>
      </c>
      <c r="T290">
        <v>4</v>
      </c>
      <c r="U290">
        <v>4</v>
      </c>
      <c r="V290" s="34">
        <v>43032.515277777777</v>
      </c>
      <c r="W290">
        <v>1</v>
      </c>
      <c r="X290" s="15" t="str">
        <f>HYPERLINK("https://www.ejacket.nsf.gov/ej/showProposal.do?Continue=Y&amp;ID="&amp;RADataTable[[#This Row],[prop_id0]],"eJ")</f>
        <v>eJ</v>
      </c>
      <c r="Y290" s="15" t="str">
        <f>HYPERLINK("mailto:"&amp;RADataTable[[#This Row],[email]]&amp;"&amp;subject=Your NSF Proposal:  "&amp;RADataTable[[#This Row],[Div]]&amp;" "&amp;RADataTable[[#This Row],[prop_id0]], RADataTable[[#This Row],[email]])</f>
        <v>sidford@stanford.edu</v>
      </c>
      <c r="Z290" s="15" t="str">
        <f>HYPERLINK("mailto:"&amp;RADataTable[[#This Row],[allPIemail]]&amp;"&amp;subject=NSF Proposal:  "&amp;RADataTable[[#This Row],[Div]]&amp;" "&amp;RADataTable[[#This Row],[prop_id0]], "PIs@")</f>
        <v>PIs@</v>
      </c>
      <c r="AA290" t="s">
        <v>245</v>
      </c>
      <c r="AB290" t="s">
        <v>667</v>
      </c>
      <c r="AC290" s="30" t="s">
        <v>752</v>
      </c>
      <c r="AD290" t="s">
        <v>753</v>
      </c>
      <c r="AE290" t="s">
        <v>754</v>
      </c>
      <c r="AF290" s="36">
        <v>500000</v>
      </c>
      <c r="AG290" s="36">
        <v>500000</v>
      </c>
      <c r="AH290" s="24"/>
      <c r="AJ290" s="34"/>
      <c r="AK290" t="s">
        <v>923</v>
      </c>
      <c r="AL290" t="s">
        <v>232</v>
      </c>
      <c r="AM290" s="34" t="s">
        <v>925</v>
      </c>
      <c r="AN290" s="34">
        <v>43032</v>
      </c>
      <c r="AO290" s="24">
        <v>7</v>
      </c>
      <c r="AP290" t="s">
        <v>942</v>
      </c>
      <c r="AR290" s="35"/>
      <c r="AS290"/>
      <c r="AT290" s="34"/>
      <c r="AV290" s="34"/>
      <c r="AX290" s="34"/>
      <c r="AY290"/>
      <c r="BA290" s="34"/>
      <c r="BB290"/>
      <c r="BC290" t="s">
        <v>757</v>
      </c>
      <c r="BD290" s="36">
        <v>500000</v>
      </c>
      <c r="BE290" s="36">
        <v>500000</v>
      </c>
      <c r="BF290">
        <v>0</v>
      </c>
      <c r="BG290" s="34">
        <v>43009</v>
      </c>
      <c r="BH290">
        <v>60</v>
      </c>
      <c r="BI290" t="s">
        <v>283</v>
      </c>
      <c r="BJ290" t="s">
        <v>928</v>
      </c>
      <c r="BK290" t="s">
        <v>934</v>
      </c>
      <c r="BL290" t="s">
        <v>194</v>
      </c>
      <c r="BM290" s="8" t="s">
        <v>192</v>
      </c>
      <c r="BN290" t="s">
        <v>189</v>
      </c>
      <c r="BO290" t="s">
        <v>190</v>
      </c>
      <c r="BP290" s="35" t="s">
        <v>288</v>
      </c>
      <c r="BQ290"/>
      <c r="BU290" s="35"/>
      <c r="BV290" s="35"/>
      <c r="BX290"/>
      <c r="CA290" s="35"/>
      <c r="CB290" s="35"/>
      <c r="CC290"/>
      <c r="CG290" s="35"/>
      <c r="CH290" s="35"/>
      <c r="CK290"/>
      <c r="CM290" s="35"/>
      <c r="CN290" s="35"/>
      <c r="CQ290"/>
      <c r="CS290" s="35"/>
      <c r="CT290" s="35"/>
      <c r="CX290"/>
      <c r="CZ290" s="35"/>
      <c r="DD290" s="34"/>
      <c r="DG290" t="s">
        <v>755</v>
      </c>
      <c r="DH290" t="s">
        <v>943</v>
      </c>
      <c r="DI290" t="s">
        <v>233</v>
      </c>
      <c r="DL290" t="s">
        <v>667</v>
      </c>
      <c r="DM290">
        <v>7</v>
      </c>
      <c r="DN290">
        <v>9</v>
      </c>
      <c r="DO290" t="s">
        <v>756</v>
      </c>
      <c r="DQ290" t="s">
        <v>927</v>
      </c>
      <c r="DR290">
        <v>14</v>
      </c>
      <c r="DS290">
        <v>1</v>
      </c>
      <c r="DU290">
        <v>14</v>
      </c>
      <c r="DV290">
        <v>1</v>
      </c>
      <c r="DX290">
        <v>14</v>
      </c>
      <c r="DY290">
        <v>1</v>
      </c>
      <c r="DZ290" t="s">
        <v>246</v>
      </c>
      <c r="EA290" t="s">
        <v>929</v>
      </c>
    </row>
    <row r="291" spans="1:131" x14ac:dyDescent="0.4">
      <c r="A291" s="34">
        <v>43067.305104166669</v>
      </c>
      <c r="B291" s="25">
        <v>42934.507638888892</v>
      </c>
      <c r="D291" s="34"/>
      <c r="E291" s="34" t="s">
        <v>193</v>
      </c>
      <c r="F291" s="34" t="s">
        <v>191</v>
      </c>
      <c r="G291" s="34" t="s">
        <v>100</v>
      </c>
      <c r="H291" t="s">
        <v>279</v>
      </c>
      <c r="I291" t="s">
        <v>243</v>
      </c>
      <c r="J291" t="s">
        <v>712</v>
      </c>
      <c r="K291" t="s">
        <v>729</v>
      </c>
      <c r="L291" t="s">
        <v>711</v>
      </c>
      <c r="M291" s="30">
        <v>2.0699999999999998</v>
      </c>
      <c r="N291">
        <v>7.5</v>
      </c>
      <c r="P291" s="24" t="str">
        <f>IFERROR(MID(RADataTable[[#This Row],[RATemplate]],1,LEN(RADataTable[[#This Row],[RATemplate]])-8),"RA") &amp; " " &amp; RADataTable[[#This Row],[prop_id0]] &amp; " " &amp; RADataTable[[#This Row],[last0]]</f>
        <v>RA 1749734 Sidford</v>
      </c>
      <c r="T291">
        <v>4</v>
      </c>
      <c r="U291">
        <v>4</v>
      </c>
      <c r="V291" s="34">
        <v>43032.515277777777</v>
      </c>
      <c r="W291">
        <v>1</v>
      </c>
      <c r="X291" s="15" t="str">
        <f>HYPERLINK("https://www.ejacket.nsf.gov/ej/showProposal.do?Continue=Y&amp;ID="&amp;RADataTable[[#This Row],[prop_id0]],"eJ")</f>
        <v>eJ</v>
      </c>
      <c r="Y291" s="15" t="str">
        <f>HYPERLINK("mailto:"&amp;RADataTable[[#This Row],[email]]&amp;"&amp;subject=Your NSF Proposal:  "&amp;RADataTable[[#This Row],[Div]]&amp;" "&amp;RADataTable[[#This Row],[prop_id0]], RADataTable[[#This Row],[email]])</f>
        <v>sidford@stanford.edu</v>
      </c>
      <c r="Z291" s="15" t="str">
        <f>HYPERLINK("mailto:"&amp;RADataTable[[#This Row],[allPIemail]]&amp;"&amp;subject=NSF Proposal:  "&amp;RADataTable[[#This Row],[Div]]&amp;" "&amp;RADataTable[[#This Row],[prop_id0]], "PIs@")</f>
        <v>PIs@</v>
      </c>
      <c r="AA291" t="s">
        <v>245</v>
      </c>
      <c r="AB291" t="s">
        <v>667</v>
      </c>
      <c r="AC291" s="30" t="s">
        <v>752</v>
      </c>
      <c r="AD291" t="s">
        <v>753</v>
      </c>
      <c r="AE291" t="s">
        <v>754</v>
      </c>
      <c r="AF291" s="36">
        <v>500000</v>
      </c>
      <c r="AG291" s="36">
        <v>500000</v>
      </c>
      <c r="AH291" s="24"/>
      <c r="AJ291" s="34"/>
      <c r="AK291" t="s">
        <v>923</v>
      </c>
      <c r="AL291" t="s">
        <v>232</v>
      </c>
      <c r="AM291" s="34" t="s">
        <v>925</v>
      </c>
      <c r="AN291" s="34">
        <v>43032</v>
      </c>
      <c r="AO291" s="24">
        <v>7</v>
      </c>
      <c r="AP291" t="s">
        <v>942</v>
      </c>
      <c r="AR291" s="35"/>
      <c r="AS291"/>
      <c r="AT291" s="34"/>
      <c r="AV291" s="34"/>
      <c r="AX291" s="34"/>
      <c r="AY291"/>
      <c r="BA291" s="34"/>
      <c r="BB291"/>
      <c r="BC291" t="s">
        <v>757</v>
      </c>
      <c r="BD291" s="36">
        <v>500000</v>
      </c>
      <c r="BE291" s="36">
        <v>500000</v>
      </c>
      <c r="BF291">
        <v>0</v>
      </c>
      <c r="BG291" s="34">
        <v>43009</v>
      </c>
      <c r="BH291">
        <v>60</v>
      </c>
      <c r="BI291" t="s">
        <v>283</v>
      </c>
      <c r="BJ291" t="s">
        <v>928</v>
      </c>
      <c r="BK291" t="s">
        <v>934</v>
      </c>
      <c r="BL291" t="s">
        <v>194</v>
      </c>
      <c r="BM291" s="8" t="s">
        <v>192</v>
      </c>
      <c r="BN291" t="s">
        <v>189</v>
      </c>
      <c r="BO291" t="s">
        <v>190</v>
      </c>
      <c r="BP291" s="35" t="s">
        <v>288</v>
      </c>
      <c r="BQ291"/>
      <c r="BU291" s="35"/>
      <c r="BV291" s="35"/>
      <c r="BX291"/>
      <c r="CA291" s="35"/>
      <c r="CB291" s="35"/>
      <c r="CC291"/>
      <c r="CG291" s="35"/>
      <c r="CH291" s="35"/>
      <c r="CK291"/>
      <c r="CM291" s="35"/>
      <c r="CN291" s="35"/>
      <c r="CQ291"/>
      <c r="CS291" s="35"/>
      <c r="CT291" s="35"/>
      <c r="CX291"/>
      <c r="CZ291" s="35"/>
      <c r="DD291" s="34"/>
      <c r="DG291" t="s">
        <v>755</v>
      </c>
      <c r="DH291" t="s">
        <v>943</v>
      </c>
      <c r="DI291" t="s">
        <v>233</v>
      </c>
      <c r="DL291" t="s">
        <v>667</v>
      </c>
      <c r="DM291">
        <v>7</v>
      </c>
      <c r="DN291">
        <v>9</v>
      </c>
      <c r="DO291" t="s">
        <v>756</v>
      </c>
      <c r="DQ291" t="s">
        <v>927</v>
      </c>
      <c r="DR291">
        <v>14</v>
      </c>
      <c r="DS291">
        <v>1</v>
      </c>
      <c r="DU291">
        <v>14</v>
      </c>
      <c r="DV291">
        <v>1</v>
      </c>
      <c r="DX291">
        <v>14</v>
      </c>
      <c r="DY291">
        <v>1</v>
      </c>
      <c r="DZ291" t="s">
        <v>246</v>
      </c>
      <c r="EA291" t="s">
        <v>929</v>
      </c>
    </row>
    <row r="292" spans="1:131" x14ac:dyDescent="0.4">
      <c r="A292" s="34">
        <v>43067.305104166669</v>
      </c>
      <c r="B292" s="25">
        <v>42934.507638888892</v>
      </c>
      <c r="D292" s="34"/>
      <c r="E292" s="34" t="s">
        <v>193</v>
      </c>
      <c r="F292" s="34" t="s">
        <v>191</v>
      </c>
      <c r="G292" s="34" t="s">
        <v>100</v>
      </c>
      <c r="H292" t="s">
        <v>279</v>
      </c>
      <c r="I292" t="s">
        <v>243</v>
      </c>
      <c r="J292" t="s">
        <v>712</v>
      </c>
      <c r="K292" t="s">
        <v>729</v>
      </c>
      <c r="L292" t="s">
        <v>711</v>
      </c>
      <c r="M292" s="30">
        <v>2.0699999999999998</v>
      </c>
      <c r="N292">
        <v>7.5</v>
      </c>
      <c r="P292" s="24" t="str">
        <f>IFERROR(MID(RADataTable[[#This Row],[RATemplate]],1,LEN(RADataTable[[#This Row],[RATemplate]])-8),"RA") &amp; " " &amp; RADataTable[[#This Row],[prop_id0]] &amp; " " &amp; RADataTable[[#This Row],[last0]]</f>
        <v>RA 1749734 Sidford</v>
      </c>
      <c r="T292">
        <v>4</v>
      </c>
      <c r="U292">
        <v>4</v>
      </c>
      <c r="V292" s="34">
        <v>43032.515277777777</v>
      </c>
      <c r="W292">
        <v>1</v>
      </c>
      <c r="X292" s="15" t="str">
        <f>HYPERLINK("https://www.ejacket.nsf.gov/ej/showProposal.do?Continue=Y&amp;ID="&amp;RADataTable[[#This Row],[prop_id0]],"eJ")</f>
        <v>eJ</v>
      </c>
      <c r="Y292" s="15" t="str">
        <f>HYPERLINK("mailto:"&amp;RADataTable[[#This Row],[email]]&amp;"&amp;subject=Your NSF Proposal:  "&amp;RADataTable[[#This Row],[Div]]&amp;" "&amp;RADataTable[[#This Row],[prop_id0]], RADataTable[[#This Row],[email]])</f>
        <v>sidford@stanford.edu</v>
      </c>
      <c r="Z292" s="15" t="str">
        <f>HYPERLINK("mailto:"&amp;RADataTable[[#This Row],[allPIemail]]&amp;"&amp;subject=NSF Proposal:  "&amp;RADataTable[[#This Row],[Div]]&amp;" "&amp;RADataTable[[#This Row],[prop_id0]], "PIs@")</f>
        <v>PIs@</v>
      </c>
      <c r="AA292" t="s">
        <v>245</v>
      </c>
      <c r="AB292" t="s">
        <v>667</v>
      </c>
      <c r="AC292" s="30" t="s">
        <v>752</v>
      </c>
      <c r="AD292" t="s">
        <v>753</v>
      </c>
      <c r="AE292" t="s">
        <v>754</v>
      </c>
      <c r="AF292" s="36">
        <v>500000</v>
      </c>
      <c r="AG292" s="36">
        <v>500000</v>
      </c>
      <c r="AH292" s="24"/>
      <c r="AJ292" s="34"/>
      <c r="AK292" t="s">
        <v>923</v>
      </c>
      <c r="AL292" t="s">
        <v>232</v>
      </c>
      <c r="AM292" s="34" t="s">
        <v>925</v>
      </c>
      <c r="AN292" s="34">
        <v>43032</v>
      </c>
      <c r="AO292" s="24">
        <v>7</v>
      </c>
      <c r="AP292" t="s">
        <v>942</v>
      </c>
      <c r="AR292" s="35"/>
      <c r="AS292"/>
      <c r="AT292" s="34"/>
      <c r="AV292" s="34"/>
      <c r="AX292" s="34"/>
      <c r="AY292"/>
      <c r="BA292" s="34"/>
      <c r="BB292"/>
      <c r="BC292" t="s">
        <v>757</v>
      </c>
      <c r="BD292" s="36">
        <v>500000</v>
      </c>
      <c r="BE292" s="36">
        <v>500000</v>
      </c>
      <c r="BF292">
        <v>0</v>
      </c>
      <c r="BG292" s="34">
        <v>43009</v>
      </c>
      <c r="BH292">
        <v>60</v>
      </c>
      <c r="BI292" t="s">
        <v>283</v>
      </c>
      <c r="BJ292" t="s">
        <v>928</v>
      </c>
      <c r="BK292" t="s">
        <v>934</v>
      </c>
      <c r="BL292" t="s">
        <v>194</v>
      </c>
      <c r="BM292" s="8" t="s">
        <v>192</v>
      </c>
      <c r="BN292" t="s">
        <v>189</v>
      </c>
      <c r="BO292" t="s">
        <v>190</v>
      </c>
      <c r="BP292" s="35" t="s">
        <v>288</v>
      </c>
      <c r="BQ292"/>
      <c r="BU292" s="35"/>
      <c r="BV292" s="35"/>
      <c r="BX292"/>
      <c r="CA292" s="35"/>
      <c r="CB292" s="35"/>
      <c r="CC292"/>
      <c r="CG292" s="35"/>
      <c r="CH292" s="35"/>
      <c r="CK292"/>
      <c r="CM292" s="35"/>
      <c r="CN292" s="35"/>
      <c r="CQ292"/>
      <c r="CS292" s="35"/>
      <c r="CT292" s="35"/>
      <c r="CX292"/>
      <c r="CZ292" s="35"/>
      <c r="DD292" s="34"/>
      <c r="DG292" t="s">
        <v>755</v>
      </c>
      <c r="DH292" t="s">
        <v>943</v>
      </c>
      <c r="DI292" t="s">
        <v>233</v>
      </c>
      <c r="DL292" t="s">
        <v>667</v>
      </c>
      <c r="DM292">
        <v>7</v>
      </c>
      <c r="DN292">
        <v>9</v>
      </c>
      <c r="DO292" t="s">
        <v>756</v>
      </c>
      <c r="DQ292" t="s">
        <v>927</v>
      </c>
      <c r="DR292">
        <v>14</v>
      </c>
      <c r="DS292">
        <v>1</v>
      </c>
      <c r="DU292">
        <v>14</v>
      </c>
      <c r="DV292">
        <v>1</v>
      </c>
      <c r="DX292">
        <v>14</v>
      </c>
      <c r="DY292">
        <v>1</v>
      </c>
      <c r="DZ292" t="s">
        <v>246</v>
      </c>
      <c r="EA292" t="s">
        <v>929</v>
      </c>
    </row>
    <row r="293" spans="1:131" x14ac:dyDescent="0.4">
      <c r="A293" s="34">
        <v>43067.305104166669</v>
      </c>
      <c r="B293" s="25">
        <v>42934.507638888892</v>
      </c>
      <c r="D293" s="34"/>
      <c r="E293" s="34" t="s">
        <v>193</v>
      </c>
      <c r="F293" s="34" t="s">
        <v>191</v>
      </c>
      <c r="G293" s="34" t="s">
        <v>100</v>
      </c>
      <c r="H293" t="s">
        <v>279</v>
      </c>
      <c r="I293" t="s">
        <v>243</v>
      </c>
      <c r="J293" t="s">
        <v>712</v>
      </c>
      <c r="K293" t="s">
        <v>729</v>
      </c>
      <c r="L293" t="s">
        <v>711</v>
      </c>
      <c r="M293" s="30">
        <v>2.0699999999999998</v>
      </c>
      <c r="N293">
        <v>7.5</v>
      </c>
      <c r="P293" s="24" t="str">
        <f>IFERROR(MID(RADataTable[[#This Row],[RATemplate]],1,LEN(RADataTable[[#This Row],[RATemplate]])-8),"RA") &amp; " " &amp; RADataTable[[#This Row],[prop_id0]] &amp; " " &amp; RADataTable[[#This Row],[last0]]</f>
        <v>RA 1749734 Sidford</v>
      </c>
      <c r="T293">
        <v>4</v>
      </c>
      <c r="U293">
        <v>4</v>
      </c>
      <c r="V293" s="34">
        <v>43032.515277777777</v>
      </c>
      <c r="W293">
        <v>1</v>
      </c>
      <c r="X293" s="15" t="str">
        <f>HYPERLINK("https://www.ejacket.nsf.gov/ej/showProposal.do?Continue=Y&amp;ID="&amp;RADataTable[[#This Row],[prop_id0]],"eJ")</f>
        <v>eJ</v>
      </c>
      <c r="Y293" s="15" t="str">
        <f>HYPERLINK("mailto:"&amp;RADataTable[[#This Row],[email]]&amp;"&amp;subject=Your NSF Proposal:  "&amp;RADataTable[[#This Row],[Div]]&amp;" "&amp;RADataTable[[#This Row],[prop_id0]], RADataTable[[#This Row],[email]])</f>
        <v>sidford@stanford.edu</v>
      </c>
      <c r="Z293" s="15" t="str">
        <f>HYPERLINK("mailto:"&amp;RADataTable[[#This Row],[allPIemail]]&amp;"&amp;subject=NSF Proposal:  "&amp;RADataTable[[#This Row],[Div]]&amp;" "&amp;RADataTable[[#This Row],[prop_id0]], "PIs@")</f>
        <v>PIs@</v>
      </c>
      <c r="AA293" t="s">
        <v>245</v>
      </c>
      <c r="AB293" t="s">
        <v>667</v>
      </c>
      <c r="AC293" s="30" t="s">
        <v>752</v>
      </c>
      <c r="AD293" t="s">
        <v>753</v>
      </c>
      <c r="AE293" t="s">
        <v>754</v>
      </c>
      <c r="AF293" s="36">
        <v>500000</v>
      </c>
      <c r="AG293" s="36">
        <v>500000</v>
      </c>
      <c r="AH293" s="24"/>
      <c r="AJ293" s="34"/>
      <c r="AK293" t="s">
        <v>923</v>
      </c>
      <c r="AL293" t="s">
        <v>232</v>
      </c>
      <c r="AM293" s="34" t="s">
        <v>925</v>
      </c>
      <c r="AN293" s="34">
        <v>43032</v>
      </c>
      <c r="AO293" s="24">
        <v>7</v>
      </c>
      <c r="AP293" t="s">
        <v>942</v>
      </c>
      <c r="AR293" s="35"/>
      <c r="AS293"/>
      <c r="AT293" s="34"/>
      <c r="AV293" s="34"/>
      <c r="AX293" s="34"/>
      <c r="AY293"/>
      <c r="BA293" s="34"/>
      <c r="BB293"/>
      <c r="BC293" t="s">
        <v>757</v>
      </c>
      <c r="BD293" s="36">
        <v>500000</v>
      </c>
      <c r="BE293" s="36">
        <v>500000</v>
      </c>
      <c r="BF293">
        <v>0</v>
      </c>
      <c r="BG293" s="34">
        <v>43009</v>
      </c>
      <c r="BH293">
        <v>60</v>
      </c>
      <c r="BI293" t="s">
        <v>283</v>
      </c>
      <c r="BJ293" t="s">
        <v>928</v>
      </c>
      <c r="BK293" t="s">
        <v>934</v>
      </c>
      <c r="BL293" t="s">
        <v>194</v>
      </c>
      <c r="BM293" s="8" t="s">
        <v>192</v>
      </c>
      <c r="BN293" t="s">
        <v>189</v>
      </c>
      <c r="BO293" t="s">
        <v>190</v>
      </c>
      <c r="BP293" s="35" t="s">
        <v>288</v>
      </c>
      <c r="BQ293"/>
      <c r="BU293" s="35"/>
      <c r="BV293" s="35"/>
      <c r="BX293"/>
      <c r="CA293" s="35"/>
      <c r="CB293" s="35"/>
      <c r="CC293"/>
      <c r="CG293" s="35"/>
      <c r="CH293" s="35"/>
      <c r="CK293"/>
      <c r="CM293" s="35"/>
      <c r="CN293" s="35"/>
      <c r="CQ293"/>
      <c r="CS293" s="35"/>
      <c r="CT293" s="35"/>
      <c r="CX293"/>
      <c r="CZ293" s="35"/>
      <c r="DD293" s="34"/>
      <c r="DG293" t="s">
        <v>755</v>
      </c>
      <c r="DH293" t="s">
        <v>943</v>
      </c>
      <c r="DI293" t="s">
        <v>233</v>
      </c>
      <c r="DL293" t="s">
        <v>667</v>
      </c>
      <c r="DM293">
        <v>7</v>
      </c>
      <c r="DN293">
        <v>9</v>
      </c>
      <c r="DO293" t="s">
        <v>756</v>
      </c>
      <c r="DQ293" t="s">
        <v>927</v>
      </c>
      <c r="DR293">
        <v>14</v>
      </c>
      <c r="DS293">
        <v>1</v>
      </c>
      <c r="DU293">
        <v>14</v>
      </c>
      <c r="DV293">
        <v>1</v>
      </c>
      <c r="DX293">
        <v>14</v>
      </c>
      <c r="DY293">
        <v>1</v>
      </c>
      <c r="DZ293" t="s">
        <v>246</v>
      </c>
      <c r="EA293" t="s">
        <v>929</v>
      </c>
    </row>
    <row r="294" spans="1:131" x14ac:dyDescent="0.4">
      <c r="A294" s="34">
        <v>43067.305104166669</v>
      </c>
      <c r="B294" s="25">
        <v>42934.507638888892</v>
      </c>
      <c r="D294" s="34"/>
      <c r="E294" s="34" t="s">
        <v>193</v>
      </c>
      <c r="F294" s="34" t="s">
        <v>191</v>
      </c>
      <c r="G294" s="34" t="s">
        <v>100</v>
      </c>
      <c r="H294" t="s">
        <v>279</v>
      </c>
      <c r="I294" t="s">
        <v>243</v>
      </c>
      <c r="J294" t="s">
        <v>712</v>
      </c>
      <c r="K294" t="s">
        <v>729</v>
      </c>
      <c r="L294" t="s">
        <v>711</v>
      </c>
      <c r="M294" s="30">
        <v>2.0699999999999998</v>
      </c>
      <c r="N294">
        <v>7.5</v>
      </c>
      <c r="P294" s="24" t="str">
        <f>IFERROR(MID(RADataTable[[#This Row],[RATemplate]],1,LEN(RADataTable[[#This Row],[RATemplate]])-8),"RA") &amp; " " &amp; RADataTable[[#This Row],[prop_id0]] &amp; " " &amp; RADataTable[[#This Row],[last0]]</f>
        <v>RA 1749734 Sidford</v>
      </c>
      <c r="T294">
        <v>4</v>
      </c>
      <c r="U294">
        <v>4</v>
      </c>
      <c r="V294" s="34">
        <v>43032.515277777777</v>
      </c>
      <c r="W294">
        <v>1</v>
      </c>
      <c r="X294" s="15" t="str">
        <f>HYPERLINK("https://www.ejacket.nsf.gov/ej/showProposal.do?Continue=Y&amp;ID="&amp;RADataTable[[#This Row],[prop_id0]],"eJ")</f>
        <v>eJ</v>
      </c>
      <c r="Y294" s="15" t="str">
        <f>HYPERLINK("mailto:"&amp;RADataTable[[#This Row],[email]]&amp;"&amp;subject=Your NSF Proposal:  "&amp;RADataTable[[#This Row],[Div]]&amp;" "&amp;RADataTable[[#This Row],[prop_id0]], RADataTable[[#This Row],[email]])</f>
        <v>sidford@stanford.edu</v>
      </c>
      <c r="Z294" s="15" t="str">
        <f>HYPERLINK("mailto:"&amp;RADataTable[[#This Row],[allPIemail]]&amp;"&amp;subject=NSF Proposal:  "&amp;RADataTable[[#This Row],[Div]]&amp;" "&amp;RADataTable[[#This Row],[prop_id0]], "PIs@")</f>
        <v>PIs@</v>
      </c>
      <c r="AA294" t="s">
        <v>245</v>
      </c>
      <c r="AB294" t="s">
        <v>667</v>
      </c>
      <c r="AC294" s="30" t="s">
        <v>752</v>
      </c>
      <c r="AD294" t="s">
        <v>753</v>
      </c>
      <c r="AE294" t="s">
        <v>754</v>
      </c>
      <c r="AF294" s="36">
        <v>500000</v>
      </c>
      <c r="AG294" s="36">
        <v>500000</v>
      </c>
      <c r="AH294" s="24"/>
      <c r="AJ294" s="34"/>
      <c r="AK294" t="s">
        <v>923</v>
      </c>
      <c r="AL294" t="s">
        <v>232</v>
      </c>
      <c r="AM294" s="34" t="s">
        <v>925</v>
      </c>
      <c r="AN294" s="34">
        <v>43032</v>
      </c>
      <c r="AO294" s="24">
        <v>7</v>
      </c>
      <c r="AP294" t="s">
        <v>942</v>
      </c>
      <c r="AR294" s="35"/>
      <c r="AS294"/>
      <c r="AT294" s="34"/>
      <c r="AV294" s="34"/>
      <c r="AX294" s="34"/>
      <c r="AY294"/>
      <c r="BA294" s="34"/>
      <c r="BB294"/>
      <c r="BC294" t="s">
        <v>757</v>
      </c>
      <c r="BD294" s="36">
        <v>500000</v>
      </c>
      <c r="BE294" s="36">
        <v>500000</v>
      </c>
      <c r="BF294">
        <v>0</v>
      </c>
      <c r="BG294" s="34">
        <v>43009</v>
      </c>
      <c r="BH294">
        <v>60</v>
      </c>
      <c r="BI294" t="s">
        <v>283</v>
      </c>
      <c r="BJ294" t="s">
        <v>928</v>
      </c>
      <c r="BK294" t="s">
        <v>934</v>
      </c>
      <c r="BL294" t="s">
        <v>194</v>
      </c>
      <c r="BM294" s="8" t="s">
        <v>192</v>
      </c>
      <c r="BN294" t="s">
        <v>189</v>
      </c>
      <c r="BO294" t="s">
        <v>190</v>
      </c>
      <c r="BP294" s="35" t="s">
        <v>288</v>
      </c>
      <c r="BQ294"/>
      <c r="BU294" s="35"/>
      <c r="BV294" s="35"/>
      <c r="BX294"/>
      <c r="CA294" s="35"/>
      <c r="CB294" s="35"/>
      <c r="CC294"/>
      <c r="CG294" s="35"/>
      <c r="CH294" s="35"/>
      <c r="CK294"/>
      <c r="CM294" s="35"/>
      <c r="CN294" s="35"/>
      <c r="CQ294"/>
      <c r="CS294" s="35"/>
      <c r="CT294" s="35"/>
      <c r="CX294"/>
      <c r="CZ294" s="35"/>
      <c r="DD294" s="34"/>
      <c r="DG294" t="s">
        <v>755</v>
      </c>
      <c r="DH294" t="s">
        <v>943</v>
      </c>
      <c r="DI294" t="s">
        <v>233</v>
      </c>
      <c r="DL294" t="s">
        <v>667</v>
      </c>
      <c r="DM294">
        <v>7</v>
      </c>
      <c r="DN294">
        <v>9</v>
      </c>
      <c r="DO294" t="s">
        <v>756</v>
      </c>
      <c r="DQ294" t="s">
        <v>927</v>
      </c>
      <c r="DR294">
        <v>14</v>
      </c>
      <c r="DS294">
        <v>1</v>
      </c>
      <c r="DU294">
        <v>14</v>
      </c>
      <c r="DV294">
        <v>1</v>
      </c>
      <c r="DX294">
        <v>14</v>
      </c>
      <c r="DY294">
        <v>1</v>
      </c>
      <c r="DZ294" t="s">
        <v>246</v>
      </c>
      <c r="EA294" t="s">
        <v>929</v>
      </c>
    </row>
    <row r="295" spans="1:131" x14ac:dyDescent="0.4">
      <c r="A295" s="34">
        <v>43067.305104166669</v>
      </c>
      <c r="B295" s="25">
        <v>42934.507638888892</v>
      </c>
      <c r="D295" s="34"/>
      <c r="E295" s="34" t="s">
        <v>193</v>
      </c>
      <c r="F295" s="34" t="s">
        <v>191</v>
      </c>
      <c r="G295" s="34" t="s">
        <v>100</v>
      </c>
      <c r="H295" t="s">
        <v>279</v>
      </c>
      <c r="I295" t="s">
        <v>243</v>
      </c>
      <c r="J295" t="s">
        <v>712</v>
      </c>
      <c r="K295" t="s">
        <v>729</v>
      </c>
      <c r="L295" t="s">
        <v>711</v>
      </c>
      <c r="M295" s="30">
        <v>2.0699999999999998</v>
      </c>
      <c r="N295">
        <v>7.5</v>
      </c>
      <c r="P295" s="24" t="str">
        <f>IFERROR(MID(RADataTable[[#This Row],[RATemplate]],1,LEN(RADataTable[[#This Row],[RATemplate]])-8),"RA") &amp; " " &amp; RADataTable[[#This Row],[prop_id0]] &amp; " " &amp; RADataTable[[#This Row],[last0]]</f>
        <v>RA 1749734 Sidford</v>
      </c>
      <c r="T295">
        <v>4</v>
      </c>
      <c r="U295">
        <v>4</v>
      </c>
      <c r="V295" s="34">
        <v>43032.515277777777</v>
      </c>
      <c r="W295">
        <v>1</v>
      </c>
      <c r="X295" s="15" t="str">
        <f>HYPERLINK("https://www.ejacket.nsf.gov/ej/showProposal.do?Continue=Y&amp;ID="&amp;RADataTable[[#This Row],[prop_id0]],"eJ")</f>
        <v>eJ</v>
      </c>
      <c r="Y295" s="15" t="str">
        <f>HYPERLINK("mailto:"&amp;RADataTable[[#This Row],[email]]&amp;"&amp;subject=Your NSF Proposal:  "&amp;RADataTable[[#This Row],[Div]]&amp;" "&amp;RADataTable[[#This Row],[prop_id0]], RADataTable[[#This Row],[email]])</f>
        <v>sidford@stanford.edu</v>
      </c>
      <c r="Z295" s="15" t="str">
        <f>HYPERLINK("mailto:"&amp;RADataTable[[#This Row],[allPIemail]]&amp;"&amp;subject=NSF Proposal:  "&amp;RADataTable[[#This Row],[Div]]&amp;" "&amp;RADataTable[[#This Row],[prop_id0]], "PIs@")</f>
        <v>PIs@</v>
      </c>
      <c r="AA295" t="s">
        <v>245</v>
      </c>
      <c r="AB295" t="s">
        <v>667</v>
      </c>
      <c r="AC295" s="30" t="s">
        <v>752</v>
      </c>
      <c r="AD295" t="s">
        <v>753</v>
      </c>
      <c r="AE295" t="s">
        <v>754</v>
      </c>
      <c r="AF295" s="36">
        <v>500000</v>
      </c>
      <c r="AG295" s="36">
        <v>500000</v>
      </c>
      <c r="AH295" s="24"/>
      <c r="AJ295" s="34"/>
      <c r="AK295" t="s">
        <v>923</v>
      </c>
      <c r="AL295" t="s">
        <v>232</v>
      </c>
      <c r="AM295" s="34" t="s">
        <v>925</v>
      </c>
      <c r="AN295" s="34">
        <v>43032</v>
      </c>
      <c r="AO295" s="24">
        <v>7</v>
      </c>
      <c r="AP295" t="s">
        <v>942</v>
      </c>
      <c r="AR295" s="35"/>
      <c r="AS295"/>
      <c r="AT295" s="34"/>
      <c r="AV295" s="34"/>
      <c r="AX295" s="34"/>
      <c r="AY295"/>
      <c r="BA295" s="34"/>
      <c r="BB295"/>
      <c r="BC295" t="s">
        <v>757</v>
      </c>
      <c r="BD295" s="36">
        <v>500000</v>
      </c>
      <c r="BE295" s="36">
        <v>500000</v>
      </c>
      <c r="BF295">
        <v>0</v>
      </c>
      <c r="BG295" s="34">
        <v>43009</v>
      </c>
      <c r="BH295">
        <v>60</v>
      </c>
      <c r="BI295" t="s">
        <v>283</v>
      </c>
      <c r="BJ295" t="s">
        <v>928</v>
      </c>
      <c r="BK295" t="s">
        <v>934</v>
      </c>
      <c r="BL295" t="s">
        <v>194</v>
      </c>
      <c r="BM295" s="8" t="s">
        <v>192</v>
      </c>
      <c r="BN295" t="s">
        <v>189</v>
      </c>
      <c r="BO295" t="s">
        <v>190</v>
      </c>
      <c r="BP295" s="35" t="s">
        <v>288</v>
      </c>
      <c r="BQ295"/>
      <c r="BU295" s="35"/>
      <c r="BV295" s="35"/>
      <c r="BX295"/>
      <c r="CA295" s="35"/>
      <c r="CB295" s="35"/>
      <c r="CC295"/>
      <c r="CG295" s="35"/>
      <c r="CH295" s="35"/>
      <c r="CK295"/>
      <c r="CM295" s="35"/>
      <c r="CN295" s="35"/>
      <c r="CQ295"/>
      <c r="CS295" s="35"/>
      <c r="CT295" s="35"/>
      <c r="CX295"/>
      <c r="CZ295" s="35"/>
      <c r="DD295" s="34"/>
      <c r="DG295" t="s">
        <v>755</v>
      </c>
      <c r="DH295" t="s">
        <v>943</v>
      </c>
      <c r="DI295" t="s">
        <v>233</v>
      </c>
      <c r="DL295" t="s">
        <v>667</v>
      </c>
      <c r="DM295">
        <v>7</v>
      </c>
      <c r="DN295">
        <v>9</v>
      </c>
      <c r="DO295" t="s">
        <v>756</v>
      </c>
      <c r="DQ295" t="s">
        <v>927</v>
      </c>
      <c r="DR295">
        <v>14</v>
      </c>
      <c r="DS295">
        <v>1</v>
      </c>
      <c r="DU295">
        <v>14</v>
      </c>
      <c r="DV295">
        <v>1</v>
      </c>
      <c r="DX295">
        <v>14</v>
      </c>
      <c r="DY295">
        <v>1</v>
      </c>
      <c r="DZ295" t="s">
        <v>246</v>
      </c>
      <c r="EA295" t="s">
        <v>929</v>
      </c>
    </row>
    <row r="296" spans="1:131" x14ac:dyDescent="0.4">
      <c r="A296" s="34">
        <v>43067.305104166669</v>
      </c>
      <c r="B296" s="25">
        <v>42934.507638888892</v>
      </c>
      <c r="D296" s="34"/>
      <c r="E296" s="34" t="s">
        <v>193</v>
      </c>
      <c r="F296" s="34" t="s">
        <v>191</v>
      </c>
      <c r="G296" s="34" t="s">
        <v>100</v>
      </c>
      <c r="H296" t="s">
        <v>279</v>
      </c>
      <c r="I296" t="s">
        <v>243</v>
      </c>
      <c r="J296" t="s">
        <v>712</v>
      </c>
      <c r="K296" t="s">
        <v>729</v>
      </c>
      <c r="L296" t="s">
        <v>711</v>
      </c>
      <c r="M296" s="30">
        <v>2.0699999999999998</v>
      </c>
      <c r="N296">
        <v>7.5</v>
      </c>
      <c r="P296" s="24" t="str">
        <f>IFERROR(MID(RADataTable[[#This Row],[RATemplate]],1,LEN(RADataTable[[#This Row],[RATemplate]])-8),"RA") &amp; " " &amp; RADataTable[[#This Row],[prop_id0]] &amp; " " &amp; RADataTable[[#This Row],[last0]]</f>
        <v>RA 1749734 Sidford</v>
      </c>
      <c r="T296">
        <v>4</v>
      </c>
      <c r="U296">
        <v>4</v>
      </c>
      <c r="V296" s="34">
        <v>43032.515277777777</v>
      </c>
      <c r="W296">
        <v>1</v>
      </c>
      <c r="X296" s="15" t="str">
        <f>HYPERLINK("https://www.ejacket.nsf.gov/ej/showProposal.do?Continue=Y&amp;ID="&amp;RADataTable[[#This Row],[prop_id0]],"eJ")</f>
        <v>eJ</v>
      </c>
      <c r="Y296" s="15" t="str">
        <f>HYPERLINK("mailto:"&amp;RADataTable[[#This Row],[email]]&amp;"&amp;subject=Your NSF Proposal:  "&amp;RADataTable[[#This Row],[Div]]&amp;" "&amp;RADataTable[[#This Row],[prop_id0]], RADataTable[[#This Row],[email]])</f>
        <v>sidford@stanford.edu</v>
      </c>
      <c r="Z296" s="15" t="str">
        <f>HYPERLINK("mailto:"&amp;RADataTable[[#This Row],[allPIemail]]&amp;"&amp;subject=NSF Proposal:  "&amp;RADataTable[[#This Row],[Div]]&amp;" "&amp;RADataTable[[#This Row],[prop_id0]], "PIs@")</f>
        <v>PIs@</v>
      </c>
      <c r="AA296" t="s">
        <v>245</v>
      </c>
      <c r="AB296" t="s">
        <v>667</v>
      </c>
      <c r="AC296" s="30" t="s">
        <v>752</v>
      </c>
      <c r="AD296" t="s">
        <v>753</v>
      </c>
      <c r="AE296" t="s">
        <v>754</v>
      </c>
      <c r="AF296" s="36">
        <v>500000</v>
      </c>
      <c r="AG296" s="36">
        <v>500000</v>
      </c>
      <c r="AH296" s="24"/>
      <c r="AJ296" s="34"/>
      <c r="AK296" t="s">
        <v>923</v>
      </c>
      <c r="AL296" t="s">
        <v>232</v>
      </c>
      <c r="AM296" s="34" t="s">
        <v>925</v>
      </c>
      <c r="AN296" s="34">
        <v>43032</v>
      </c>
      <c r="AO296" s="24">
        <v>7</v>
      </c>
      <c r="AP296" t="s">
        <v>942</v>
      </c>
      <c r="AR296" s="35"/>
      <c r="AS296"/>
      <c r="AT296" s="34"/>
      <c r="AV296" s="34"/>
      <c r="AX296" s="34"/>
      <c r="AY296"/>
      <c r="BA296" s="34"/>
      <c r="BB296"/>
      <c r="BC296" t="s">
        <v>757</v>
      </c>
      <c r="BD296" s="36">
        <v>500000</v>
      </c>
      <c r="BE296" s="36">
        <v>500000</v>
      </c>
      <c r="BF296">
        <v>0</v>
      </c>
      <c r="BG296" s="34">
        <v>43009</v>
      </c>
      <c r="BH296">
        <v>60</v>
      </c>
      <c r="BI296" t="s">
        <v>283</v>
      </c>
      <c r="BJ296" t="s">
        <v>928</v>
      </c>
      <c r="BK296" t="s">
        <v>934</v>
      </c>
      <c r="BL296" t="s">
        <v>194</v>
      </c>
      <c r="BM296" s="8" t="s">
        <v>192</v>
      </c>
      <c r="BN296" t="s">
        <v>189</v>
      </c>
      <c r="BO296" t="s">
        <v>190</v>
      </c>
      <c r="BP296" s="35" t="s">
        <v>288</v>
      </c>
      <c r="BQ296"/>
      <c r="BU296" s="35"/>
      <c r="BV296" s="35"/>
      <c r="BX296"/>
      <c r="CA296" s="35"/>
      <c r="CB296" s="35"/>
      <c r="CC296"/>
      <c r="CG296" s="35"/>
      <c r="CH296" s="35"/>
      <c r="CK296"/>
      <c r="CM296" s="35"/>
      <c r="CN296" s="35"/>
      <c r="CQ296"/>
      <c r="CS296" s="35"/>
      <c r="CT296" s="35"/>
      <c r="CX296"/>
      <c r="CZ296" s="35"/>
      <c r="DD296" s="34"/>
      <c r="DG296" t="s">
        <v>755</v>
      </c>
      <c r="DH296" t="s">
        <v>943</v>
      </c>
      <c r="DI296" t="s">
        <v>233</v>
      </c>
      <c r="DL296" t="s">
        <v>667</v>
      </c>
      <c r="DM296">
        <v>7</v>
      </c>
      <c r="DN296">
        <v>9</v>
      </c>
      <c r="DO296" t="s">
        <v>756</v>
      </c>
      <c r="DQ296" t="s">
        <v>927</v>
      </c>
      <c r="DR296">
        <v>14</v>
      </c>
      <c r="DS296">
        <v>1</v>
      </c>
      <c r="DU296">
        <v>14</v>
      </c>
      <c r="DV296">
        <v>1</v>
      </c>
      <c r="DX296">
        <v>14</v>
      </c>
      <c r="DY296">
        <v>1</v>
      </c>
      <c r="DZ296" t="s">
        <v>246</v>
      </c>
      <c r="EA296" t="s">
        <v>929</v>
      </c>
    </row>
    <row r="297" spans="1:131" x14ac:dyDescent="0.4">
      <c r="A297" s="34">
        <v>43067.305104166669</v>
      </c>
      <c r="B297" s="25">
        <v>42934.507638888892</v>
      </c>
      <c r="D297" s="34"/>
      <c r="E297" s="34" t="s">
        <v>193</v>
      </c>
      <c r="F297" s="34" t="s">
        <v>191</v>
      </c>
      <c r="G297" s="34" t="s">
        <v>100</v>
      </c>
      <c r="H297" t="s">
        <v>279</v>
      </c>
      <c r="I297" t="s">
        <v>243</v>
      </c>
      <c r="J297" t="s">
        <v>712</v>
      </c>
      <c r="K297" t="s">
        <v>729</v>
      </c>
      <c r="L297" t="s">
        <v>711</v>
      </c>
      <c r="M297" s="30">
        <v>2.0699999999999998</v>
      </c>
      <c r="N297">
        <v>7.5</v>
      </c>
      <c r="P297" s="24" t="str">
        <f>IFERROR(MID(RADataTable[[#This Row],[RATemplate]],1,LEN(RADataTable[[#This Row],[RATemplate]])-8),"RA") &amp; " " &amp; RADataTable[[#This Row],[prop_id0]] &amp; " " &amp; RADataTable[[#This Row],[last0]]</f>
        <v>RA 1749734 Sidford</v>
      </c>
      <c r="T297">
        <v>4</v>
      </c>
      <c r="U297">
        <v>4</v>
      </c>
      <c r="V297" s="34">
        <v>43032.515277777777</v>
      </c>
      <c r="W297">
        <v>1</v>
      </c>
      <c r="X297" s="15" t="str">
        <f>HYPERLINK("https://www.ejacket.nsf.gov/ej/showProposal.do?Continue=Y&amp;ID="&amp;RADataTable[[#This Row],[prop_id0]],"eJ")</f>
        <v>eJ</v>
      </c>
      <c r="Y297" s="15" t="str">
        <f>HYPERLINK("mailto:"&amp;RADataTable[[#This Row],[email]]&amp;"&amp;subject=Your NSF Proposal:  "&amp;RADataTable[[#This Row],[Div]]&amp;" "&amp;RADataTable[[#This Row],[prop_id0]], RADataTable[[#This Row],[email]])</f>
        <v>sidford@stanford.edu</v>
      </c>
      <c r="Z297" s="15" t="str">
        <f>HYPERLINK("mailto:"&amp;RADataTable[[#This Row],[allPIemail]]&amp;"&amp;subject=NSF Proposal:  "&amp;RADataTable[[#This Row],[Div]]&amp;" "&amp;RADataTable[[#This Row],[prop_id0]], "PIs@")</f>
        <v>PIs@</v>
      </c>
      <c r="AA297" t="s">
        <v>245</v>
      </c>
      <c r="AB297" t="s">
        <v>667</v>
      </c>
      <c r="AC297" s="30" t="s">
        <v>752</v>
      </c>
      <c r="AD297" t="s">
        <v>753</v>
      </c>
      <c r="AE297" t="s">
        <v>754</v>
      </c>
      <c r="AF297" s="36">
        <v>500000</v>
      </c>
      <c r="AG297" s="36">
        <v>500000</v>
      </c>
      <c r="AH297" s="24"/>
      <c r="AJ297" s="34"/>
      <c r="AK297" t="s">
        <v>923</v>
      </c>
      <c r="AL297" t="s">
        <v>232</v>
      </c>
      <c r="AM297" s="34" t="s">
        <v>925</v>
      </c>
      <c r="AN297" s="34">
        <v>43032</v>
      </c>
      <c r="AO297" s="24">
        <v>7</v>
      </c>
      <c r="AP297" t="s">
        <v>942</v>
      </c>
      <c r="AR297" s="35"/>
      <c r="AS297"/>
      <c r="AT297" s="34"/>
      <c r="AV297" s="34"/>
      <c r="AX297" s="34"/>
      <c r="AY297"/>
      <c r="BA297" s="34"/>
      <c r="BB297"/>
      <c r="BC297" t="s">
        <v>757</v>
      </c>
      <c r="BD297" s="36">
        <v>500000</v>
      </c>
      <c r="BE297" s="36">
        <v>500000</v>
      </c>
      <c r="BF297">
        <v>0</v>
      </c>
      <c r="BG297" s="34">
        <v>43009</v>
      </c>
      <c r="BH297">
        <v>60</v>
      </c>
      <c r="BI297" t="s">
        <v>283</v>
      </c>
      <c r="BJ297" t="s">
        <v>928</v>
      </c>
      <c r="BK297" t="s">
        <v>934</v>
      </c>
      <c r="BL297" t="s">
        <v>194</v>
      </c>
      <c r="BM297" s="8" t="s">
        <v>192</v>
      </c>
      <c r="BN297" t="s">
        <v>189</v>
      </c>
      <c r="BO297" t="s">
        <v>190</v>
      </c>
      <c r="BP297" s="35" t="s">
        <v>288</v>
      </c>
      <c r="BQ297"/>
      <c r="BU297" s="35"/>
      <c r="BV297" s="35"/>
      <c r="BX297"/>
      <c r="CA297" s="35"/>
      <c r="CB297" s="35"/>
      <c r="CC297"/>
      <c r="CG297" s="35"/>
      <c r="CH297" s="35"/>
      <c r="CK297"/>
      <c r="CM297" s="35"/>
      <c r="CN297" s="35"/>
      <c r="CQ297"/>
      <c r="CS297" s="35"/>
      <c r="CT297" s="35"/>
      <c r="CX297"/>
      <c r="CZ297" s="35"/>
      <c r="DD297" s="34"/>
      <c r="DG297" t="s">
        <v>755</v>
      </c>
      <c r="DH297" t="s">
        <v>943</v>
      </c>
      <c r="DI297" t="s">
        <v>233</v>
      </c>
      <c r="DL297" t="s">
        <v>667</v>
      </c>
      <c r="DM297">
        <v>7</v>
      </c>
      <c r="DN297">
        <v>9</v>
      </c>
      <c r="DO297" t="s">
        <v>756</v>
      </c>
      <c r="DQ297" t="s">
        <v>927</v>
      </c>
      <c r="DR297">
        <v>14</v>
      </c>
      <c r="DS297">
        <v>1</v>
      </c>
      <c r="DU297">
        <v>14</v>
      </c>
      <c r="DV297">
        <v>1</v>
      </c>
      <c r="DX297">
        <v>14</v>
      </c>
      <c r="DY297">
        <v>1</v>
      </c>
      <c r="DZ297" t="s">
        <v>246</v>
      </c>
      <c r="EA297" t="s">
        <v>929</v>
      </c>
    </row>
    <row r="298" spans="1:131" x14ac:dyDescent="0.4">
      <c r="A298" s="34">
        <v>43067.305104166669</v>
      </c>
      <c r="B298" s="25">
        <v>42934.507638888892</v>
      </c>
      <c r="D298" s="34"/>
      <c r="E298" s="34" t="s">
        <v>193</v>
      </c>
      <c r="F298" s="34" t="s">
        <v>191</v>
      </c>
      <c r="G298" s="34" t="s">
        <v>100</v>
      </c>
      <c r="H298" t="s">
        <v>279</v>
      </c>
      <c r="I298" t="s">
        <v>243</v>
      </c>
      <c r="J298" t="s">
        <v>712</v>
      </c>
      <c r="K298" t="s">
        <v>729</v>
      </c>
      <c r="L298" t="s">
        <v>711</v>
      </c>
      <c r="M298" s="30">
        <v>2.0699999999999998</v>
      </c>
      <c r="N298">
        <v>7.5</v>
      </c>
      <c r="P298" s="24" t="str">
        <f>IFERROR(MID(RADataTable[[#This Row],[RATemplate]],1,LEN(RADataTable[[#This Row],[RATemplate]])-8),"RA") &amp; " " &amp; RADataTable[[#This Row],[prop_id0]] &amp; " " &amp; RADataTable[[#This Row],[last0]]</f>
        <v>RA 1749734 Sidford</v>
      </c>
      <c r="T298">
        <v>4</v>
      </c>
      <c r="U298">
        <v>4</v>
      </c>
      <c r="V298" s="34">
        <v>43032.515277777777</v>
      </c>
      <c r="W298">
        <v>1</v>
      </c>
      <c r="X298" s="15" t="str">
        <f>HYPERLINK("https://www.ejacket.nsf.gov/ej/showProposal.do?Continue=Y&amp;ID="&amp;RADataTable[[#This Row],[prop_id0]],"eJ")</f>
        <v>eJ</v>
      </c>
      <c r="Y298" s="15" t="str">
        <f>HYPERLINK("mailto:"&amp;RADataTable[[#This Row],[email]]&amp;"&amp;subject=Your NSF Proposal:  "&amp;RADataTable[[#This Row],[Div]]&amp;" "&amp;RADataTable[[#This Row],[prop_id0]], RADataTable[[#This Row],[email]])</f>
        <v>sidford@stanford.edu</v>
      </c>
      <c r="Z298" s="15" t="str">
        <f>HYPERLINK("mailto:"&amp;RADataTable[[#This Row],[allPIemail]]&amp;"&amp;subject=NSF Proposal:  "&amp;RADataTable[[#This Row],[Div]]&amp;" "&amp;RADataTable[[#This Row],[prop_id0]], "PIs@")</f>
        <v>PIs@</v>
      </c>
      <c r="AA298" t="s">
        <v>245</v>
      </c>
      <c r="AB298" t="s">
        <v>667</v>
      </c>
      <c r="AC298" s="30" t="s">
        <v>752</v>
      </c>
      <c r="AD298" t="s">
        <v>753</v>
      </c>
      <c r="AE298" t="s">
        <v>754</v>
      </c>
      <c r="AF298" s="36">
        <v>500000</v>
      </c>
      <c r="AG298" s="36">
        <v>500000</v>
      </c>
      <c r="AH298" s="24"/>
      <c r="AJ298" s="34"/>
      <c r="AK298" t="s">
        <v>923</v>
      </c>
      <c r="AL298" t="s">
        <v>232</v>
      </c>
      <c r="AM298" s="34" t="s">
        <v>925</v>
      </c>
      <c r="AN298" s="34">
        <v>43032</v>
      </c>
      <c r="AO298" s="24">
        <v>7</v>
      </c>
      <c r="AP298" t="s">
        <v>942</v>
      </c>
      <c r="AR298" s="35"/>
      <c r="AS298"/>
      <c r="AT298" s="34"/>
      <c r="AV298" s="34"/>
      <c r="AX298" s="34"/>
      <c r="AY298"/>
      <c r="BA298" s="34"/>
      <c r="BB298"/>
      <c r="BC298" t="s">
        <v>757</v>
      </c>
      <c r="BD298" s="36">
        <v>500000</v>
      </c>
      <c r="BE298" s="36">
        <v>500000</v>
      </c>
      <c r="BF298">
        <v>0</v>
      </c>
      <c r="BG298" s="34">
        <v>43009</v>
      </c>
      <c r="BH298">
        <v>60</v>
      </c>
      <c r="BI298" t="s">
        <v>283</v>
      </c>
      <c r="BJ298" t="s">
        <v>928</v>
      </c>
      <c r="BK298" t="s">
        <v>934</v>
      </c>
      <c r="BL298" t="s">
        <v>194</v>
      </c>
      <c r="BM298" s="8" t="s">
        <v>192</v>
      </c>
      <c r="BN298" t="s">
        <v>189</v>
      </c>
      <c r="BO298" t="s">
        <v>190</v>
      </c>
      <c r="BP298" s="35" t="s">
        <v>288</v>
      </c>
      <c r="BQ298"/>
      <c r="BU298" s="35"/>
      <c r="BV298" s="35"/>
      <c r="BX298"/>
      <c r="CA298" s="35"/>
      <c r="CB298" s="35"/>
      <c r="CC298"/>
      <c r="CG298" s="35"/>
      <c r="CH298" s="35"/>
      <c r="CK298"/>
      <c r="CM298" s="35"/>
      <c r="CN298" s="35"/>
      <c r="CQ298"/>
      <c r="CS298" s="35"/>
      <c r="CT298" s="35"/>
      <c r="CX298"/>
      <c r="CZ298" s="35"/>
      <c r="DD298" s="34"/>
      <c r="DG298" t="s">
        <v>755</v>
      </c>
      <c r="DH298" t="s">
        <v>943</v>
      </c>
      <c r="DI298" t="s">
        <v>233</v>
      </c>
      <c r="DL298" t="s">
        <v>667</v>
      </c>
      <c r="DM298">
        <v>7</v>
      </c>
      <c r="DN298">
        <v>9</v>
      </c>
      <c r="DO298" t="s">
        <v>756</v>
      </c>
      <c r="DQ298" t="s">
        <v>927</v>
      </c>
      <c r="DR298">
        <v>14</v>
      </c>
      <c r="DS298">
        <v>1</v>
      </c>
      <c r="DU298">
        <v>14</v>
      </c>
      <c r="DV298">
        <v>1</v>
      </c>
      <c r="DX298">
        <v>14</v>
      </c>
      <c r="DY298">
        <v>1</v>
      </c>
      <c r="DZ298" t="s">
        <v>246</v>
      </c>
      <c r="EA298" t="s">
        <v>929</v>
      </c>
    </row>
    <row r="299" spans="1:131" x14ac:dyDescent="0.4">
      <c r="A299" s="34">
        <v>43067.305104166669</v>
      </c>
      <c r="B299" s="25">
        <v>42934.507638888892</v>
      </c>
      <c r="D299" s="34"/>
      <c r="E299" s="34" t="s">
        <v>193</v>
      </c>
      <c r="F299" s="34" t="s">
        <v>191</v>
      </c>
      <c r="G299" s="34" t="s">
        <v>100</v>
      </c>
      <c r="H299" t="s">
        <v>279</v>
      </c>
      <c r="I299" t="s">
        <v>243</v>
      </c>
      <c r="J299" t="s">
        <v>712</v>
      </c>
      <c r="K299" t="s">
        <v>729</v>
      </c>
      <c r="L299" t="s">
        <v>711</v>
      </c>
      <c r="M299" s="30">
        <v>2.0699999999999998</v>
      </c>
      <c r="N299">
        <v>7.5</v>
      </c>
      <c r="P299" s="24" t="str">
        <f>IFERROR(MID(RADataTable[[#This Row],[RATemplate]],1,LEN(RADataTable[[#This Row],[RATemplate]])-8),"RA") &amp; " " &amp; RADataTable[[#This Row],[prop_id0]] &amp; " " &amp; RADataTable[[#This Row],[last0]]</f>
        <v>RA 1749734 Sidford</v>
      </c>
      <c r="T299">
        <v>4</v>
      </c>
      <c r="U299">
        <v>4</v>
      </c>
      <c r="V299" s="34">
        <v>43032.515277777777</v>
      </c>
      <c r="W299">
        <v>1</v>
      </c>
      <c r="X299" s="15" t="str">
        <f>HYPERLINK("https://www.ejacket.nsf.gov/ej/showProposal.do?Continue=Y&amp;ID="&amp;RADataTable[[#This Row],[prop_id0]],"eJ")</f>
        <v>eJ</v>
      </c>
      <c r="Y299" s="15" t="str">
        <f>HYPERLINK("mailto:"&amp;RADataTable[[#This Row],[email]]&amp;"&amp;subject=Your NSF Proposal:  "&amp;RADataTable[[#This Row],[Div]]&amp;" "&amp;RADataTable[[#This Row],[prop_id0]], RADataTable[[#This Row],[email]])</f>
        <v>sidford@stanford.edu</v>
      </c>
      <c r="Z299" s="15" t="str">
        <f>HYPERLINK("mailto:"&amp;RADataTable[[#This Row],[allPIemail]]&amp;"&amp;subject=NSF Proposal:  "&amp;RADataTable[[#This Row],[Div]]&amp;" "&amp;RADataTable[[#This Row],[prop_id0]], "PIs@")</f>
        <v>PIs@</v>
      </c>
      <c r="AA299" t="s">
        <v>245</v>
      </c>
      <c r="AB299" t="s">
        <v>667</v>
      </c>
      <c r="AC299" s="30" t="s">
        <v>752</v>
      </c>
      <c r="AD299" t="s">
        <v>753</v>
      </c>
      <c r="AE299" t="s">
        <v>754</v>
      </c>
      <c r="AF299" s="36">
        <v>500000</v>
      </c>
      <c r="AG299" s="36">
        <v>500000</v>
      </c>
      <c r="AH299" s="24"/>
      <c r="AJ299" s="34"/>
      <c r="AK299" t="s">
        <v>923</v>
      </c>
      <c r="AL299" t="s">
        <v>232</v>
      </c>
      <c r="AM299" s="34" t="s">
        <v>925</v>
      </c>
      <c r="AN299" s="34">
        <v>43032</v>
      </c>
      <c r="AO299" s="24">
        <v>7</v>
      </c>
      <c r="AP299" t="s">
        <v>942</v>
      </c>
      <c r="AR299" s="35"/>
      <c r="AS299"/>
      <c r="AT299" s="34"/>
      <c r="AV299" s="34"/>
      <c r="AX299" s="34"/>
      <c r="AY299"/>
      <c r="BA299" s="34"/>
      <c r="BB299"/>
      <c r="BC299" t="s">
        <v>757</v>
      </c>
      <c r="BD299" s="36">
        <v>500000</v>
      </c>
      <c r="BE299" s="36">
        <v>500000</v>
      </c>
      <c r="BF299">
        <v>0</v>
      </c>
      <c r="BG299" s="34">
        <v>43009</v>
      </c>
      <c r="BH299">
        <v>60</v>
      </c>
      <c r="BI299" t="s">
        <v>283</v>
      </c>
      <c r="BJ299" t="s">
        <v>928</v>
      </c>
      <c r="BK299" t="s">
        <v>934</v>
      </c>
      <c r="BL299" t="s">
        <v>194</v>
      </c>
      <c r="BM299" s="8" t="s">
        <v>192</v>
      </c>
      <c r="BN299" t="s">
        <v>189</v>
      </c>
      <c r="BO299" t="s">
        <v>190</v>
      </c>
      <c r="BP299" s="35" t="s">
        <v>288</v>
      </c>
      <c r="BQ299"/>
      <c r="BU299" s="35"/>
      <c r="BV299" s="35"/>
      <c r="BX299"/>
      <c r="CA299" s="35"/>
      <c r="CB299" s="35"/>
      <c r="CC299"/>
      <c r="CG299" s="35"/>
      <c r="CH299" s="35"/>
      <c r="CK299"/>
      <c r="CM299" s="35"/>
      <c r="CN299" s="35"/>
      <c r="CQ299"/>
      <c r="CS299" s="35"/>
      <c r="CT299" s="35"/>
      <c r="CX299"/>
      <c r="CZ299" s="35"/>
      <c r="DD299" s="34"/>
      <c r="DG299" t="s">
        <v>755</v>
      </c>
      <c r="DH299" t="s">
        <v>943</v>
      </c>
      <c r="DI299" t="s">
        <v>233</v>
      </c>
      <c r="DL299" t="s">
        <v>667</v>
      </c>
      <c r="DM299">
        <v>7</v>
      </c>
      <c r="DN299">
        <v>9</v>
      </c>
      <c r="DO299" t="s">
        <v>756</v>
      </c>
      <c r="DQ299" t="s">
        <v>927</v>
      </c>
      <c r="DR299">
        <v>14</v>
      </c>
      <c r="DS299">
        <v>1</v>
      </c>
      <c r="DU299">
        <v>14</v>
      </c>
      <c r="DV299">
        <v>1</v>
      </c>
      <c r="DX299">
        <v>14</v>
      </c>
      <c r="DY299">
        <v>1</v>
      </c>
      <c r="DZ299" t="s">
        <v>246</v>
      </c>
      <c r="EA299" t="s">
        <v>929</v>
      </c>
    </row>
    <row r="300" spans="1:131" x14ac:dyDescent="0.4">
      <c r="A300" s="34">
        <v>43067.305104166669</v>
      </c>
      <c r="B300" s="25">
        <v>42934.507638888892</v>
      </c>
      <c r="D300" s="34"/>
      <c r="E300" s="34" t="s">
        <v>193</v>
      </c>
      <c r="F300" s="34" t="s">
        <v>191</v>
      </c>
      <c r="G300" s="34" t="s">
        <v>100</v>
      </c>
      <c r="H300" t="s">
        <v>279</v>
      </c>
      <c r="I300" t="s">
        <v>243</v>
      </c>
      <c r="J300" t="s">
        <v>712</v>
      </c>
      <c r="K300" t="s">
        <v>729</v>
      </c>
      <c r="L300" t="s">
        <v>711</v>
      </c>
      <c r="M300" s="30">
        <v>2.0699999999999998</v>
      </c>
      <c r="N300">
        <v>7.5</v>
      </c>
      <c r="P300" s="24" t="str">
        <f>IFERROR(MID(RADataTable[[#This Row],[RATemplate]],1,LEN(RADataTable[[#This Row],[RATemplate]])-8),"RA") &amp; " " &amp; RADataTable[[#This Row],[prop_id0]] &amp; " " &amp; RADataTable[[#This Row],[last0]]</f>
        <v>RA 1749734 Sidford</v>
      </c>
      <c r="T300">
        <v>4</v>
      </c>
      <c r="U300">
        <v>4</v>
      </c>
      <c r="V300" s="34">
        <v>43032.515277777777</v>
      </c>
      <c r="W300">
        <v>1</v>
      </c>
      <c r="X300" s="15" t="str">
        <f>HYPERLINK("https://www.ejacket.nsf.gov/ej/showProposal.do?Continue=Y&amp;ID="&amp;RADataTable[[#This Row],[prop_id0]],"eJ")</f>
        <v>eJ</v>
      </c>
      <c r="Y300" s="15" t="str">
        <f>HYPERLINK("mailto:"&amp;RADataTable[[#This Row],[email]]&amp;"&amp;subject=Your NSF Proposal:  "&amp;RADataTable[[#This Row],[Div]]&amp;" "&amp;RADataTable[[#This Row],[prop_id0]], RADataTable[[#This Row],[email]])</f>
        <v>sidford@stanford.edu</v>
      </c>
      <c r="Z300" s="15" t="str">
        <f>HYPERLINK("mailto:"&amp;RADataTable[[#This Row],[allPIemail]]&amp;"&amp;subject=NSF Proposal:  "&amp;RADataTable[[#This Row],[Div]]&amp;" "&amp;RADataTable[[#This Row],[prop_id0]], "PIs@")</f>
        <v>PIs@</v>
      </c>
      <c r="AA300" t="s">
        <v>245</v>
      </c>
      <c r="AB300" t="s">
        <v>667</v>
      </c>
      <c r="AC300" s="30" t="s">
        <v>752</v>
      </c>
      <c r="AD300" t="s">
        <v>753</v>
      </c>
      <c r="AE300" t="s">
        <v>754</v>
      </c>
      <c r="AF300" s="36">
        <v>500000</v>
      </c>
      <c r="AG300" s="36">
        <v>500000</v>
      </c>
      <c r="AH300" s="24"/>
      <c r="AJ300" s="34"/>
      <c r="AK300" t="s">
        <v>923</v>
      </c>
      <c r="AL300" t="s">
        <v>232</v>
      </c>
      <c r="AM300" s="34" t="s">
        <v>925</v>
      </c>
      <c r="AN300" s="34">
        <v>43032</v>
      </c>
      <c r="AO300" s="24">
        <v>7</v>
      </c>
      <c r="AP300" t="s">
        <v>942</v>
      </c>
      <c r="AR300" s="35"/>
      <c r="AS300"/>
      <c r="AT300" s="34"/>
      <c r="AV300" s="34"/>
      <c r="AX300" s="34"/>
      <c r="AY300"/>
      <c r="BA300" s="34"/>
      <c r="BB300"/>
      <c r="BC300" t="s">
        <v>757</v>
      </c>
      <c r="BD300" s="36">
        <v>500000</v>
      </c>
      <c r="BE300" s="36">
        <v>500000</v>
      </c>
      <c r="BF300">
        <v>0</v>
      </c>
      <c r="BG300" s="34">
        <v>43009</v>
      </c>
      <c r="BH300">
        <v>60</v>
      </c>
      <c r="BI300" t="s">
        <v>283</v>
      </c>
      <c r="BJ300" t="s">
        <v>928</v>
      </c>
      <c r="BK300" t="s">
        <v>934</v>
      </c>
      <c r="BL300" t="s">
        <v>194</v>
      </c>
      <c r="BM300" s="8" t="s">
        <v>192</v>
      </c>
      <c r="BN300" t="s">
        <v>189</v>
      </c>
      <c r="BO300" t="s">
        <v>190</v>
      </c>
      <c r="BP300" s="35" t="s">
        <v>288</v>
      </c>
      <c r="BQ300"/>
      <c r="BU300" s="35"/>
      <c r="BV300" s="35"/>
      <c r="BX300"/>
      <c r="CA300" s="35"/>
      <c r="CB300" s="35"/>
      <c r="CC300"/>
      <c r="CG300" s="35"/>
      <c r="CH300" s="35"/>
      <c r="CK300"/>
      <c r="CM300" s="35"/>
      <c r="CN300" s="35"/>
      <c r="CQ300"/>
      <c r="CS300" s="35"/>
      <c r="CT300" s="35"/>
      <c r="CX300"/>
      <c r="CZ300" s="35"/>
      <c r="DD300" s="34"/>
      <c r="DG300" t="s">
        <v>755</v>
      </c>
      <c r="DH300" t="s">
        <v>943</v>
      </c>
      <c r="DI300" t="s">
        <v>233</v>
      </c>
      <c r="DL300" t="s">
        <v>667</v>
      </c>
      <c r="DM300">
        <v>7</v>
      </c>
      <c r="DN300">
        <v>9</v>
      </c>
      <c r="DO300" t="s">
        <v>756</v>
      </c>
      <c r="DQ300" t="s">
        <v>927</v>
      </c>
      <c r="DR300">
        <v>14</v>
      </c>
      <c r="DS300">
        <v>1</v>
      </c>
      <c r="DU300">
        <v>14</v>
      </c>
      <c r="DV300">
        <v>1</v>
      </c>
      <c r="DX300">
        <v>14</v>
      </c>
      <c r="DY300">
        <v>1</v>
      </c>
      <c r="DZ300" t="s">
        <v>246</v>
      </c>
      <c r="EA300" t="s">
        <v>929</v>
      </c>
    </row>
    <row r="301" spans="1:131" x14ac:dyDescent="0.4">
      <c r="A301" s="34">
        <v>43067.305104166669</v>
      </c>
      <c r="B301" s="25">
        <v>42934.507638888892</v>
      </c>
      <c r="D301" s="34"/>
      <c r="E301" s="34" t="s">
        <v>193</v>
      </c>
      <c r="F301" s="34" t="s">
        <v>191</v>
      </c>
      <c r="G301" s="34" t="s">
        <v>100</v>
      </c>
      <c r="H301" t="s">
        <v>279</v>
      </c>
      <c r="I301" t="s">
        <v>243</v>
      </c>
      <c r="J301" t="s">
        <v>712</v>
      </c>
      <c r="K301" t="s">
        <v>729</v>
      </c>
      <c r="L301" t="s">
        <v>711</v>
      </c>
      <c r="M301" s="30">
        <v>2.0699999999999998</v>
      </c>
      <c r="N301">
        <v>7.5</v>
      </c>
      <c r="P301" s="24" t="str">
        <f>IFERROR(MID(RADataTable[[#This Row],[RATemplate]],1,LEN(RADataTable[[#This Row],[RATemplate]])-8),"RA") &amp; " " &amp; RADataTable[[#This Row],[prop_id0]] &amp; " " &amp; RADataTable[[#This Row],[last0]]</f>
        <v>RA 1749734 Sidford</v>
      </c>
      <c r="T301">
        <v>4</v>
      </c>
      <c r="U301">
        <v>4</v>
      </c>
      <c r="V301" s="34">
        <v>43032.515277777777</v>
      </c>
      <c r="W301">
        <v>1</v>
      </c>
      <c r="X301" s="15" t="str">
        <f>HYPERLINK("https://www.ejacket.nsf.gov/ej/showProposal.do?Continue=Y&amp;ID="&amp;RADataTable[[#This Row],[prop_id0]],"eJ")</f>
        <v>eJ</v>
      </c>
      <c r="Y301" s="15" t="str">
        <f>HYPERLINK("mailto:"&amp;RADataTable[[#This Row],[email]]&amp;"&amp;subject=Your NSF Proposal:  "&amp;RADataTable[[#This Row],[Div]]&amp;" "&amp;RADataTable[[#This Row],[prop_id0]], RADataTable[[#This Row],[email]])</f>
        <v>sidford@stanford.edu</v>
      </c>
      <c r="Z301" s="15" t="str">
        <f>HYPERLINK("mailto:"&amp;RADataTable[[#This Row],[allPIemail]]&amp;"&amp;subject=NSF Proposal:  "&amp;RADataTable[[#This Row],[Div]]&amp;" "&amp;RADataTable[[#This Row],[prop_id0]], "PIs@")</f>
        <v>PIs@</v>
      </c>
      <c r="AA301" t="s">
        <v>245</v>
      </c>
      <c r="AB301" t="s">
        <v>667</v>
      </c>
      <c r="AC301" s="30" t="s">
        <v>752</v>
      </c>
      <c r="AD301" t="s">
        <v>753</v>
      </c>
      <c r="AE301" t="s">
        <v>754</v>
      </c>
      <c r="AF301" s="36">
        <v>500000</v>
      </c>
      <c r="AG301" s="36">
        <v>500000</v>
      </c>
      <c r="AH301" s="24"/>
      <c r="AJ301" s="34"/>
      <c r="AK301" t="s">
        <v>923</v>
      </c>
      <c r="AL301" t="s">
        <v>232</v>
      </c>
      <c r="AM301" s="34" t="s">
        <v>925</v>
      </c>
      <c r="AN301" s="34">
        <v>43032</v>
      </c>
      <c r="AO301" s="24">
        <v>7</v>
      </c>
      <c r="AP301" t="s">
        <v>942</v>
      </c>
      <c r="AR301" s="35"/>
      <c r="AS301"/>
      <c r="AT301" s="34"/>
      <c r="AV301" s="34"/>
      <c r="AX301" s="34"/>
      <c r="AY301"/>
      <c r="BA301" s="34"/>
      <c r="BB301"/>
      <c r="BC301" t="s">
        <v>757</v>
      </c>
      <c r="BD301" s="36">
        <v>500000</v>
      </c>
      <c r="BE301" s="36">
        <v>500000</v>
      </c>
      <c r="BF301">
        <v>0</v>
      </c>
      <c r="BG301" s="34">
        <v>43009</v>
      </c>
      <c r="BH301">
        <v>60</v>
      </c>
      <c r="BI301" t="s">
        <v>283</v>
      </c>
      <c r="BJ301" t="s">
        <v>928</v>
      </c>
      <c r="BK301" t="s">
        <v>934</v>
      </c>
      <c r="BL301" t="s">
        <v>194</v>
      </c>
      <c r="BM301" s="8" t="s">
        <v>192</v>
      </c>
      <c r="BN301" t="s">
        <v>189</v>
      </c>
      <c r="BO301" t="s">
        <v>190</v>
      </c>
      <c r="BP301" s="35" t="s">
        <v>288</v>
      </c>
      <c r="BQ301"/>
      <c r="BU301" s="35"/>
      <c r="BV301" s="35"/>
      <c r="BX301"/>
      <c r="CA301" s="35"/>
      <c r="CB301" s="35"/>
      <c r="CC301"/>
      <c r="CG301" s="35"/>
      <c r="CH301" s="35"/>
      <c r="CK301"/>
      <c r="CM301" s="35"/>
      <c r="CN301" s="35"/>
      <c r="CQ301"/>
      <c r="CS301" s="35"/>
      <c r="CT301" s="35"/>
      <c r="CX301"/>
      <c r="CZ301" s="35"/>
      <c r="DD301" s="34"/>
      <c r="DG301" t="s">
        <v>755</v>
      </c>
      <c r="DH301" t="s">
        <v>943</v>
      </c>
      <c r="DI301" t="s">
        <v>233</v>
      </c>
      <c r="DL301" t="s">
        <v>667</v>
      </c>
      <c r="DM301">
        <v>7</v>
      </c>
      <c r="DN301">
        <v>9</v>
      </c>
      <c r="DO301" t="s">
        <v>756</v>
      </c>
      <c r="DQ301" t="s">
        <v>927</v>
      </c>
      <c r="DR301">
        <v>14</v>
      </c>
      <c r="DS301">
        <v>1</v>
      </c>
      <c r="DU301">
        <v>14</v>
      </c>
      <c r="DV301">
        <v>1</v>
      </c>
      <c r="DX301">
        <v>14</v>
      </c>
      <c r="DY301">
        <v>1</v>
      </c>
      <c r="DZ301" t="s">
        <v>246</v>
      </c>
      <c r="EA301" t="s">
        <v>929</v>
      </c>
    </row>
    <row r="302" spans="1:131" x14ac:dyDescent="0.4">
      <c r="A302" s="34">
        <v>43067.305104166669</v>
      </c>
      <c r="B302" s="25">
        <v>42934.507638888892</v>
      </c>
      <c r="D302" s="34"/>
      <c r="E302" s="34" t="s">
        <v>193</v>
      </c>
      <c r="F302" s="34" t="s">
        <v>191</v>
      </c>
      <c r="G302" s="34" t="s">
        <v>100</v>
      </c>
      <c r="H302" t="s">
        <v>279</v>
      </c>
      <c r="I302" t="s">
        <v>243</v>
      </c>
      <c r="J302" t="s">
        <v>712</v>
      </c>
      <c r="K302" t="s">
        <v>729</v>
      </c>
      <c r="L302" t="s">
        <v>711</v>
      </c>
      <c r="M302" s="30">
        <v>2.0699999999999998</v>
      </c>
      <c r="N302">
        <v>7.5</v>
      </c>
      <c r="P302" s="24" t="str">
        <f>IFERROR(MID(RADataTable[[#This Row],[RATemplate]],1,LEN(RADataTable[[#This Row],[RATemplate]])-8),"RA") &amp; " " &amp; RADataTable[[#This Row],[prop_id0]] &amp; " " &amp; RADataTable[[#This Row],[last0]]</f>
        <v>RA 1749734 Sidford</v>
      </c>
      <c r="T302">
        <v>4</v>
      </c>
      <c r="U302">
        <v>4</v>
      </c>
      <c r="V302" s="34">
        <v>43032.515277777777</v>
      </c>
      <c r="W302">
        <v>1</v>
      </c>
      <c r="X302" s="15" t="str">
        <f>HYPERLINK("https://www.ejacket.nsf.gov/ej/showProposal.do?Continue=Y&amp;ID="&amp;RADataTable[[#This Row],[prop_id0]],"eJ")</f>
        <v>eJ</v>
      </c>
      <c r="Y302" s="15" t="str">
        <f>HYPERLINK("mailto:"&amp;RADataTable[[#This Row],[email]]&amp;"&amp;subject=Your NSF Proposal:  "&amp;RADataTable[[#This Row],[Div]]&amp;" "&amp;RADataTable[[#This Row],[prop_id0]], RADataTable[[#This Row],[email]])</f>
        <v>sidford@stanford.edu</v>
      </c>
      <c r="Z302" s="15" t="str">
        <f>HYPERLINK("mailto:"&amp;RADataTable[[#This Row],[allPIemail]]&amp;"&amp;subject=NSF Proposal:  "&amp;RADataTable[[#This Row],[Div]]&amp;" "&amp;RADataTable[[#This Row],[prop_id0]], "PIs@")</f>
        <v>PIs@</v>
      </c>
      <c r="AA302" t="s">
        <v>245</v>
      </c>
      <c r="AB302" t="s">
        <v>667</v>
      </c>
      <c r="AC302" s="30" t="s">
        <v>752</v>
      </c>
      <c r="AD302" t="s">
        <v>753</v>
      </c>
      <c r="AE302" t="s">
        <v>754</v>
      </c>
      <c r="AF302" s="36">
        <v>500000</v>
      </c>
      <c r="AG302" s="36">
        <v>500000</v>
      </c>
      <c r="AH302" s="24"/>
      <c r="AJ302" s="34"/>
      <c r="AK302" t="s">
        <v>923</v>
      </c>
      <c r="AL302" t="s">
        <v>232</v>
      </c>
      <c r="AM302" s="34" t="s">
        <v>925</v>
      </c>
      <c r="AN302" s="34">
        <v>43032</v>
      </c>
      <c r="AO302" s="24">
        <v>7</v>
      </c>
      <c r="AP302" t="s">
        <v>942</v>
      </c>
      <c r="AR302" s="35"/>
      <c r="AS302"/>
      <c r="AT302" s="34"/>
      <c r="AV302" s="34"/>
      <c r="AX302" s="34"/>
      <c r="AY302"/>
      <c r="BA302" s="34"/>
      <c r="BB302"/>
      <c r="BC302" t="s">
        <v>757</v>
      </c>
      <c r="BD302" s="36">
        <v>500000</v>
      </c>
      <c r="BE302" s="36">
        <v>500000</v>
      </c>
      <c r="BF302">
        <v>0</v>
      </c>
      <c r="BG302" s="34">
        <v>43009</v>
      </c>
      <c r="BH302">
        <v>60</v>
      </c>
      <c r="BI302" t="s">
        <v>283</v>
      </c>
      <c r="BJ302" t="s">
        <v>928</v>
      </c>
      <c r="BK302" t="s">
        <v>934</v>
      </c>
      <c r="BL302" t="s">
        <v>194</v>
      </c>
      <c r="BM302" s="8" t="s">
        <v>192</v>
      </c>
      <c r="BN302" t="s">
        <v>189</v>
      </c>
      <c r="BO302" t="s">
        <v>190</v>
      </c>
      <c r="BP302" s="35" t="s">
        <v>288</v>
      </c>
      <c r="BQ302"/>
      <c r="BU302" s="35"/>
      <c r="BV302" s="35"/>
      <c r="BX302"/>
      <c r="CA302" s="35"/>
      <c r="CB302" s="35"/>
      <c r="CC302"/>
      <c r="CG302" s="35"/>
      <c r="CH302" s="35"/>
      <c r="CK302"/>
      <c r="CM302" s="35"/>
      <c r="CN302" s="35"/>
      <c r="CQ302"/>
      <c r="CS302" s="35"/>
      <c r="CT302" s="35"/>
      <c r="CX302"/>
      <c r="CZ302" s="35"/>
      <c r="DD302" s="34"/>
      <c r="DG302" t="s">
        <v>755</v>
      </c>
      <c r="DH302" t="s">
        <v>943</v>
      </c>
      <c r="DI302" t="s">
        <v>233</v>
      </c>
      <c r="DL302" t="s">
        <v>667</v>
      </c>
      <c r="DM302">
        <v>7</v>
      </c>
      <c r="DN302">
        <v>9</v>
      </c>
      <c r="DO302" t="s">
        <v>756</v>
      </c>
      <c r="DQ302" t="s">
        <v>927</v>
      </c>
      <c r="DR302">
        <v>14</v>
      </c>
      <c r="DS302">
        <v>1</v>
      </c>
      <c r="DU302">
        <v>14</v>
      </c>
      <c r="DV302">
        <v>1</v>
      </c>
      <c r="DX302">
        <v>14</v>
      </c>
      <c r="DY302">
        <v>1</v>
      </c>
      <c r="DZ302" t="s">
        <v>246</v>
      </c>
      <c r="EA302" t="s">
        <v>929</v>
      </c>
    </row>
    <row r="303" spans="1:131" x14ac:dyDescent="0.4">
      <c r="A303" s="34">
        <v>43067.305104166669</v>
      </c>
      <c r="B303" s="25">
        <v>42934.507638888892</v>
      </c>
      <c r="D303" s="34"/>
      <c r="E303" s="34" t="s">
        <v>193</v>
      </c>
      <c r="F303" s="34" t="s">
        <v>191</v>
      </c>
      <c r="G303" s="34" t="s">
        <v>100</v>
      </c>
      <c r="H303" t="s">
        <v>279</v>
      </c>
      <c r="I303" t="s">
        <v>243</v>
      </c>
      <c r="J303" t="s">
        <v>712</v>
      </c>
      <c r="K303" t="s">
        <v>729</v>
      </c>
      <c r="L303" t="s">
        <v>711</v>
      </c>
      <c r="M303" s="30">
        <v>2.0699999999999998</v>
      </c>
      <c r="N303">
        <v>7.5</v>
      </c>
      <c r="P303" s="24" t="str">
        <f>IFERROR(MID(RADataTable[[#This Row],[RATemplate]],1,LEN(RADataTable[[#This Row],[RATemplate]])-8),"RA") &amp; " " &amp; RADataTable[[#This Row],[prop_id0]] &amp; " " &amp; RADataTable[[#This Row],[last0]]</f>
        <v>RA 1749734 Sidford</v>
      </c>
      <c r="T303">
        <v>4</v>
      </c>
      <c r="U303">
        <v>4</v>
      </c>
      <c r="V303" s="34">
        <v>43032.515277777777</v>
      </c>
      <c r="W303">
        <v>1</v>
      </c>
      <c r="X303" s="15" t="str">
        <f>HYPERLINK("https://www.ejacket.nsf.gov/ej/showProposal.do?Continue=Y&amp;ID="&amp;RADataTable[[#This Row],[prop_id0]],"eJ")</f>
        <v>eJ</v>
      </c>
      <c r="Y303" s="15" t="str">
        <f>HYPERLINK("mailto:"&amp;RADataTable[[#This Row],[email]]&amp;"&amp;subject=Your NSF Proposal:  "&amp;RADataTable[[#This Row],[Div]]&amp;" "&amp;RADataTable[[#This Row],[prop_id0]], RADataTable[[#This Row],[email]])</f>
        <v>sidford@stanford.edu</v>
      </c>
      <c r="Z303" s="15" t="str">
        <f>HYPERLINK("mailto:"&amp;RADataTable[[#This Row],[allPIemail]]&amp;"&amp;subject=NSF Proposal:  "&amp;RADataTable[[#This Row],[Div]]&amp;" "&amp;RADataTable[[#This Row],[prop_id0]], "PIs@")</f>
        <v>PIs@</v>
      </c>
      <c r="AA303" t="s">
        <v>245</v>
      </c>
      <c r="AB303" t="s">
        <v>667</v>
      </c>
      <c r="AC303" s="30" t="s">
        <v>752</v>
      </c>
      <c r="AD303" t="s">
        <v>753</v>
      </c>
      <c r="AE303" t="s">
        <v>754</v>
      </c>
      <c r="AF303" s="36">
        <v>500000</v>
      </c>
      <c r="AG303" s="36">
        <v>500000</v>
      </c>
      <c r="AH303" s="24"/>
      <c r="AJ303" s="34"/>
      <c r="AK303" t="s">
        <v>923</v>
      </c>
      <c r="AL303" t="s">
        <v>232</v>
      </c>
      <c r="AM303" s="34" t="s">
        <v>925</v>
      </c>
      <c r="AN303" s="34">
        <v>43032</v>
      </c>
      <c r="AO303" s="24">
        <v>7</v>
      </c>
      <c r="AP303" t="s">
        <v>942</v>
      </c>
      <c r="AR303" s="35"/>
      <c r="AS303"/>
      <c r="AT303" s="34"/>
      <c r="AV303" s="34"/>
      <c r="AX303" s="34"/>
      <c r="AY303"/>
      <c r="BA303" s="34"/>
      <c r="BB303"/>
      <c r="BC303" t="s">
        <v>757</v>
      </c>
      <c r="BD303" s="36">
        <v>500000</v>
      </c>
      <c r="BE303" s="36">
        <v>500000</v>
      </c>
      <c r="BF303">
        <v>0</v>
      </c>
      <c r="BG303" s="34">
        <v>43009</v>
      </c>
      <c r="BH303">
        <v>60</v>
      </c>
      <c r="BI303" t="s">
        <v>283</v>
      </c>
      <c r="BJ303" t="s">
        <v>928</v>
      </c>
      <c r="BK303" t="s">
        <v>934</v>
      </c>
      <c r="BL303" t="s">
        <v>194</v>
      </c>
      <c r="BM303" s="8" t="s">
        <v>192</v>
      </c>
      <c r="BN303" t="s">
        <v>189</v>
      </c>
      <c r="BO303" t="s">
        <v>190</v>
      </c>
      <c r="BP303" s="35" t="s">
        <v>288</v>
      </c>
      <c r="BQ303"/>
      <c r="BU303" s="35"/>
      <c r="BV303" s="35"/>
      <c r="BX303"/>
      <c r="CA303" s="35"/>
      <c r="CB303" s="35"/>
      <c r="CC303"/>
      <c r="CG303" s="35"/>
      <c r="CH303" s="35"/>
      <c r="CK303"/>
      <c r="CM303" s="35"/>
      <c r="CN303" s="35"/>
      <c r="CQ303"/>
      <c r="CS303" s="35"/>
      <c r="CT303" s="35"/>
      <c r="CX303"/>
      <c r="CZ303" s="35"/>
      <c r="DD303" s="34"/>
      <c r="DG303" t="s">
        <v>755</v>
      </c>
      <c r="DH303" t="s">
        <v>943</v>
      </c>
      <c r="DI303" t="s">
        <v>233</v>
      </c>
      <c r="DL303" t="s">
        <v>667</v>
      </c>
      <c r="DM303">
        <v>7</v>
      </c>
      <c r="DN303">
        <v>9</v>
      </c>
      <c r="DO303" t="s">
        <v>756</v>
      </c>
      <c r="DQ303" t="s">
        <v>927</v>
      </c>
      <c r="DR303">
        <v>14</v>
      </c>
      <c r="DS303">
        <v>1</v>
      </c>
      <c r="DU303">
        <v>14</v>
      </c>
      <c r="DV303">
        <v>1</v>
      </c>
      <c r="DX303">
        <v>14</v>
      </c>
      <c r="DY303">
        <v>1</v>
      </c>
      <c r="DZ303" t="s">
        <v>246</v>
      </c>
      <c r="EA303" t="s">
        <v>929</v>
      </c>
    </row>
    <row r="304" spans="1:131" x14ac:dyDescent="0.4">
      <c r="A304" s="34">
        <v>43067.305104166669</v>
      </c>
      <c r="B304" s="25">
        <v>42934.507638888892</v>
      </c>
      <c r="D304" s="34"/>
      <c r="E304" s="34" t="s">
        <v>193</v>
      </c>
      <c r="F304" s="34" t="s">
        <v>191</v>
      </c>
      <c r="G304" s="34" t="s">
        <v>100</v>
      </c>
      <c r="H304" t="s">
        <v>279</v>
      </c>
      <c r="I304" t="s">
        <v>243</v>
      </c>
      <c r="J304" t="s">
        <v>712</v>
      </c>
      <c r="K304" t="s">
        <v>729</v>
      </c>
      <c r="L304" t="s">
        <v>711</v>
      </c>
      <c r="M304" s="30">
        <v>2.0699999999999998</v>
      </c>
      <c r="N304">
        <v>7.5</v>
      </c>
      <c r="P304" s="24" t="str">
        <f>IFERROR(MID(RADataTable[[#This Row],[RATemplate]],1,LEN(RADataTable[[#This Row],[RATemplate]])-8),"RA") &amp; " " &amp; RADataTable[[#This Row],[prop_id0]] &amp; " " &amp; RADataTable[[#This Row],[last0]]</f>
        <v>RA 1749734 Sidford</v>
      </c>
      <c r="T304">
        <v>4</v>
      </c>
      <c r="U304">
        <v>4</v>
      </c>
      <c r="V304" s="34">
        <v>43032.515277777777</v>
      </c>
      <c r="W304">
        <v>1</v>
      </c>
      <c r="X304" s="15" t="str">
        <f>HYPERLINK("https://www.ejacket.nsf.gov/ej/showProposal.do?Continue=Y&amp;ID="&amp;RADataTable[[#This Row],[prop_id0]],"eJ")</f>
        <v>eJ</v>
      </c>
      <c r="Y304" s="15" t="str">
        <f>HYPERLINK("mailto:"&amp;RADataTable[[#This Row],[email]]&amp;"&amp;subject=Your NSF Proposal:  "&amp;RADataTable[[#This Row],[Div]]&amp;" "&amp;RADataTable[[#This Row],[prop_id0]], RADataTable[[#This Row],[email]])</f>
        <v>sidford@stanford.edu</v>
      </c>
      <c r="Z304" s="15" t="str">
        <f>HYPERLINK("mailto:"&amp;RADataTable[[#This Row],[allPIemail]]&amp;"&amp;subject=NSF Proposal:  "&amp;RADataTable[[#This Row],[Div]]&amp;" "&amp;RADataTable[[#This Row],[prop_id0]], "PIs@")</f>
        <v>PIs@</v>
      </c>
      <c r="AA304" t="s">
        <v>245</v>
      </c>
      <c r="AB304" t="s">
        <v>667</v>
      </c>
      <c r="AC304" s="30" t="s">
        <v>752</v>
      </c>
      <c r="AD304" t="s">
        <v>753</v>
      </c>
      <c r="AE304" t="s">
        <v>754</v>
      </c>
      <c r="AF304" s="36">
        <v>500000</v>
      </c>
      <c r="AG304" s="36">
        <v>500000</v>
      </c>
      <c r="AH304" s="24"/>
      <c r="AJ304" s="34"/>
      <c r="AK304" t="s">
        <v>923</v>
      </c>
      <c r="AL304" t="s">
        <v>232</v>
      </c>
      <c r="AM304" s="34" t="s">
        <v>925</v>
      </c>
      <c r="AN304" s="34">
        <v>43032</v>
      </c>
      <c r="AO304" s="24">
        <v>7</v>
      </c>
      <c r="AP304" t="s">
        <v>942</v>
      </c>
      <c r="AR304" s="35"/>
      <c r="AS304"/>
      <c r="AT304" s="34"/>
      <c r="AV304" s="34"/>
      <c r="AX304" s="34"/>
      <c r="AY304"/>
      <c r="BA304" s="34"/>
      <c r="BB304"/>
      <c r="BC304" t="s">
        <v>757</v>
      </c>
      <c r="BD304" s="36">
        <v>500000</v>
      </c>
      <c r="BE304" s="36">
        <v>500000</v>
      </c>
      <c r="BF304">
        <v>0</v>
      </c>
      <c r="BG304" s="34">
        <v>43009</v>
      </c>
      <c r="BH304">
        <v>60</v>
      </c>
      <c r="BI304" t="s">
        <v>283</v>
      </c>
      <c r="BJ304" t="s">
        <v>928</v>
      </c>
      <c r="BK304" t="s">
        <v>934</v>
      </c>
      <c r="BL304" t="s">
        <v>194</v>
      </c>
      <c r="BM304" s="8" t="s">
        <v>192</v>
      </c>
      <c r="BN304" t="s">
        <v>189</v>
      </c>
      <c r="BO304" t="s">
        <v>190</v>
      </c>
      <c r="BP304" s="35" t="s">
        <v>288</v>
      </c>
      <c r="BQ304"/>
      <c r="BU304" s="35"/>
      <c r="BV304" s="35"/>
      <c r="BX304"/>
      <c r="CA304" s="35"/>
      <c r="CB304" s="35"/>
      <c r="CC304"/>
      <c r="CG304" s="35"/>
      <c r="CH304" s="35"/>
      <c r="CK304"/>
      <c r="CM304" s="35"/>
      <c r="CN304" s="35"/>
      <c r="CQ304"/>
      <c r="CS304" s="35"/>
      <c r="CT304" s="35"/>
      <c r="CX304"/>
      <c r="CZ304" s="35"/>
      <c r="DD304" s="34"/>
      <c r="DG304" t="s">
        <v>755</v>
      </c>
      <c r="DH304" t="s">
        <v>943</v>
      </c>
      <c r="DI304" t="s">
        <v>233</v>
      </c>
      <c r="DL304" t="s">
        <v>667</v>
      </c>
      <c r="DM304">
        <v>7</v>
      </c>
      <c r="DN304">
        <v>9</v>
      </c>
      <c r="DO304" t="s">
        <v>756</v>
      </c>
      <c r="DQ304" t="s">
        <v>927</v>
      </c>
      <c r="DR304">
        <v>14</v>
      </c>
      <c r="DS304">
        <v>1</v>
      </c>
      <c r="DU304">
        <v>14</v>
      </c>
      <c r="DV304">
        <v>1</v>
      </c>
      <c r="DX304">
        <v>14</v>
      </c>
      <c r="DY304">
        <v>1</v>
      </c>
      <c r="DZ304" t="s">
        <v>246</v>
      </c>
      <c r="EA304" t="s">
        <v>929</v>
      </c>
    </row>
    <row r="305" spans="1:131" x14ac:dyDescent="0.4">
      <c r="A305" s="34">
        <v>43067.305104166669</v>
      </c>
      <c r="B305" s="25">
        <v>42934.507638888892</v>
      </c>
      <c r="D305" s="34"/>
      <c r="E305" s="34" t="s">
        <v>193</v>
      </c>
      <c r="F305" s="34" t="s">
        <v>191</v>
      </c>
      <c r="G305" s="34" t="s">
        <v>100</v>
      </c>
      <c r="H305" t="s">
        <v>279</v>
      </c>
      <c r="I305" t="s">
        <v>243</v>
      </c>
      <c r="J305" t="s">
        <v>712</v>
      </c>
      <c r="K305" t="s">
        <v>729</v>
      </c>
      <c r="L305" t="s">
        <v>711</v>
      </c>
      <c r="M305" s="30">
        <v>2.0699999999999998</v>
      </c>
      <c r="N305">
        <v>7.5</v>
      </c>
      <c r="P305" s="24" t="str">
        <f>IFERROR(MID(RADataTable[[#This Row],[RATemplate]],1,LEN(RADataTable[[#This Row],[RATemplate]])-8),"RA") &amp; " " &amp; RADataTable[[#This Row],[prop_id0]] &amp; " " &amp; RADataTable[[#This Row],[last0]]</f>
        <v>RA 1749734 Sidford</v>
      </c>
      <c r="T305">
        <v>4</v>
      </c>
      <c r="U305">
        <v>4</v>
      </c>
      <c r="V305" s="34">
        <v>43032.515277777777</v>
      </c>
      <c r="W305">
        <v>1</v>
      </c>
      <c r="X305" s="15" t="str">
        <f>HYPERLINK("https://www.ejacket.nsf.gov/ej/showProposal.do?Continue=Y&amp;ID="&amp;RADataTable[[#This Row],[prop_id0]],"eJ")</f>
        <v>eJ</v>
      </c>
      <c r="Y305" s="15" t="str">
        <f>HYPERLINK("mailto:"&amp;RADataTable[[#This Row],[email]]&amp;"&amp;subject=Your NSF Proposal:  "&amp;RADataTable[[#This Row],[Div]]&amp;" "&amp;RADataTable[[#This Row],[prop_id0]], RADataTable[[#This Row],[email]])</f>
        <v>sidford@stanford.edu</v>
      </c>
      <c r="Z305" s="15" t="str">
        <f>HYPERLINK("mailto:"&amp;RADataTable[[#This Row],[allPIemail]]&amp;"&amp;subject=NSF Proposal:  "&amp;RADataTable[[#This Row],[Div]]&amp;" "&amp;RADataTable[[#This Row],[prop_id0]], "PIs@")</f>
        <v>PIs@</v>
      </c>
      <c r="AA305" t="s">
        <v>245</v>
      </c>
      <c r="AB305" t="s">
        <v>667</v>
      </c>
      <c r="AC305" s="30" t="s">
        <v>752</v>
      </c>
      <c r="AD305" t="s">
        <v>753</v>
      </c>
      <c r="AE305" t="s">
        <v>754</v>
      </c>
      <c r="AF305" s="36">
        <v>500000</v>
      </c>
      <c r="AG305" s="36">
        <v>500000</v>
      </c>
      <c r="AH305" s="24"/>
      <c r="AJ305" s="34"/>
      <c r="AK305" t="s">
        <v>923</v>
      </c>
      <c r="AL305" t="s">
        <v>232</v>
      </c>
      <c r="AM305" s="34" t="s">
        <v>925</v>
      </c>
      <c r="AN305" s="34">
        <v>43032</v>
      </c>
      <c r="AO305" s="24">
        <v>7</v>
      </c>
      <c r="AP305" t="s">
        <v>942</v>
      </c>
      <c r="AR305" s="35"/>
      <c r="AS305"/>
      <c r="AT305" s="34"/>
      <c r="AV305" s="34"/>
      <c r="AX305" s="34"/>
      <c r="AY305"/>
      <c r="BA305" s="34"/>
      <c r="BB305"/>
      <c r="BC305" t="s">
        <v>757</v>
      </c>
      <c r="BD305" s="36">
        <v>500000</v>
      </c>
      <c r="BE305" s="36">
        <v>500000</v>
      </c>
      <c r="BF305">
        <v>0</v>
      </c>
      <c r="BG305" s="34">
        <v>43009</v>
      </c>
      <c r="BH305">
        <v>60</v>
      </c>
      <c r="BI305" t="s">
        <v>283</v>
      </c>
      <c r="BJ305" t="s">
        <v>928</v>
      </c>
      <c r="BK305" t="s">
        <v>934</v>
      </c>
      <c r="BL305" t="s">
        <v>194</v>
      </c>
      <c r="BM305" s="8" t="s">
        <v>192</v>
      </c>
      <c r="BN305" t="s">
        <v>189</v>
      </c>
      <c r="BO305" t="s">
        <v>190</v>
      </c>
      <c r="BP305" s="35" t="s">
        <v>288</v>
      </c>
      <c r="BQ305"/>
      <c r="BU305" s="35"/>
      <c r="BV305" s="35"/>
      <c r="BX305"/>
      <c r="CA305" s="35"/>
      <c r="CB305" s="35"/>
      <c r="CC305"/>
      <c r="CG305" s="35"/>
      <c r="CH305" s="35"/>
      <c r="CK305"/>
      <c r="CM305" s="35"/>
      <c r="CN305" s="35"/>
      <c r="CQ305"/>
      <c r="CS305" s="35"/>
      <c r="CT305" s="35"/>
      <c r="CX305"/>
      <c r="CZ305" s="35"/>
      <c r="DD305" s="34"/>
      <c r="DG305" t="s">
        <v>755</v>
      </c>
      <c r="DH305" t="s">
        <v>943</v>
      </c>
      <c r="DI305" t="s">
        <v>233</v>
      </c>
      <c r="DL305" t="s">
        <v>667</v>
      </c>
      <c r="DM305">
        <v>7</v>
      </c>
      <c r="DN305">
        <v>9</v>
      </c>
      <c r="DO305" t="s">
        <v>756</v>
      </c>
      <c r="DQ305" t="s">
        <v>927</v>
      </c>
      <c r="DR305">
        <v>14</v>
      </c>
      <c r="DS305">
        <v>1</v>
      </c>
      <c r="DU305">
        <v>14</v>
      </c>
      <c r="DV305">
        <v>1</v>
      </c>
      <c r="DX305">
        <v>14</v>
      </c>
      <c r="DY305">
        <v>1</v>
      </c>
      <c r="DZ305" t="s">
        <v>246</v>
      </c>
      <c r="EA305" t="s">
        <v>929</v>
      </c>
    </row>
    <row r="306" spans="1:131" x14ac:dyDescent="0.4">
      <c r="A306" s="34">
        <v>43067.305104166669</v>
      </c>
      <c r="B306" s="25">
        <v>42934.507638888892</v>
      </c>
      <c r="D306" s="34"/>
      <c r="E306" s="34" t="s">
        <v>193</v>
      </c>
      <c r="F306" s="34" t="s">
        <v>191</v>
      </c>
      <c r="G306" s="34" t="s">
        <v>100</v>
      </c>
      <c r="H306" t="s">
        <v>279</v>
      </c>
      <c r="I306" t="s">
        <v>243</v>
      </c>
      <c r="J306" t="s">
        <v>712</v>
      </c>
      <c r="K306" t="s">
        <v>729</v>
      </c>
      <c r="L306" t="s">
        <v>711</v>
      </c>
      <c r="M306" s="30">
        <v>2.0699999999999998</v>
      </c>
      <c r="N306">
        <v>7.5</v>
      </c>
      <c r="P306" s="24" t="str">
        <f>IFERROR(MID(RADataTable[[#This Row],[RATemplate]],1,LEN(RADataTable[[#This Row],[RATemplate]])-8),"RA") &amp; " " &amp; RADataTable[[#This Row],[prop_id0]] &amp; " " &amp; RADataTable[[#This Row],[last0]]</f>
        <v>RA 1749734 Sidford</v>
      </c>
      <c r="T306">
        <v>4</v>
      </c>
      <c r="U306">
        <v>4</v>
      </c>
      <c r="V306" s="34">
        <v>43032.515277777777</v>
      </c>
      <c r="W306">
        <v>1</v>
      </c>
      <c r="X306" s="15" t="str">
        <f>HYPERLINK("https://www.ejacket.nsf.gov/ej/showProposal.do?Continue=Y&amp;ID="&amp;RADataTable[[#This Row],[prop_id0]],"eJ")</f>
        <v>eJ</v>
      </c>
      <c r="Y306" s="15" t="str">
        <f>HYPERLINK("mailto:"&amp;RADataTable[[#This Row],[email]]&amp;"&amp;subject=Your NSF Proposal:  "&amp;RADataTable[[#This Row],[Div]]&amp;" "&amp;RADataTable[[#This Row],[prop_id0]], RADataTable[[#This Row],[email]])</f>
        <v>sidford@stanford.edu</v>
      </c>
      <c r="Z306" s="15" t="str">
        <f>HYPERLINK("mailto:"&amp;RADataTable[[#This Row],[allPIemail]]&amp;"&amp;subject=NSF Proposal:  "&amp;RADataTable[[#This Row],[Div]]&amp;" "&amp;RADataTable[[#This Row],[prop_id0]], "PIs@")</f>
        <v>PIs@</v>
      </c>
      <c r="AA306" t="s">
        <v>245</v>
      </c>
      <c r="AB306" t="s">
        <v>667</v>
      </c>
      <c r="AC306" s="30" t="s">
        <v>752</v>
      </c>
      <c r="AD306" t="s">
        <v>753</v>
      </c>
      <c r="AE306" t="s">
        <v>754</v>
      </c>
      <c r="AF306" s="36">
        <v>500000</v>
      </c>
      <c r="AG306" s="36">
        <v>500000</v>
      </c>
      <c r="AH306" s="24"/>
      <c r="AJ306" s="34"/>
      <c r="AK306" t="s">
        <v>923</v>
      </c>
      <c r="AL306" t="s">
        <v>232</v>
      </c>
      <c r="AM306" s="34" t="s">
        <v>925</v>
      </c>
      <c r="AN306" s="34">
        <v>43032</v>
      </c>
      <c r="AO306" s="24">
        <v>7</v>
      </c>
      <c r="AP306" t="s">
        <v>942</v>
      </c>
      <c r="AR306" s="35"/>
      <c r="AS306"/>
      <c r="AT306" s="34"/>
      <c r="AV306" s="34"/>
      <c r="AX306" s="34"/>
      <c r="AY306"/>
      <c r="BA306" s="34"/>
      <c r="BB306"/>
      <c r="BC306" t="s">
        <v>757</v>
      </c>
      <c r="BD306" s="36">
        <v>500000</v>
      </c>
      <c r="BE306" s="36">
        <v>500000</v>
      </c>
      <c r="BF306">
        <v>0</v>
      </c>
      <c r="BG306" s="34">
        <v>43009</v>
      </c>
      <c r="BH306">
        <v>60</v>
      </c>
      <c r="BI306" t="s">
        <v>283</v>
      </c>
      <c r="BJ306" t="s">
        <v>928</v>
      </c>
      <c r="BK306" t="s">
        <v>934</v>
      </c>
      <c r="BL306" t="s">
        <v>194</v>
      </c>
      <c r="BM306" s="8" t="s">
        <v>192</v>
      </c>
      <c r="BN306" t="s">
        <v>189</v>
      </c>
      <c r="BO306" t="s">
        <v>190</v>
      </c>
      <c r="BP306" s="35" t="s">
        <v>288</v>
      </c>
      <c r="BQ306"/>
      <c r="BU306" s="35"/>
      <c r="BV306" s="35"/>
      <c r="BX306"/>
      <c r="CA306" s="35"/>
      <c r="CB306" s="35"/>
      <c r="CC306"/>
      <c r="CG306" s="35"/>
      <c r="CH306" s="35"/>
      <c r="CK306"/>
      <c r="CM306" s="35"/>
      <c r="CN306" s="35"/>
      <c r="CQ306"/>
      <c r="CS306" s="35"/>
      <c r="CT306" s="35"/>
      <c r="CX306"/>
      <c r="CZ306" s="35"/>
      <c r="DD306" s="34"/>
      <c r="DG306" t="s">
        <v>755</v>
      </c>
      <c r="DH306" t="s">
        <v>943</v>
      </c>
      <c r="DI306" t="s">
        <v>233</v>
      </c>
      <c r="DL306" t="s">
        <v>667</v>
      </c>
      <c r="DM306">
        <v>7</v>
      </c>
      <c r="DN306">
        <v>9</v>
      </c>
      <c r="DO306" t="s">
        <v>756</v>
      </c>
      <c r="DQ306" t="s">
        <v>927</v>
      </c>
      <c r="DR306">
        <v>14</v>
      </c>
      <c r="DS306">
        <v>1</v>
      </c>
      <c r="DU306">
        <v>14</v>
      </c>
      <c r="DV306">
        <v>1</v>
      </c>
      <c r="DX306">
        <v>14</v>
      </c>
      <c r="DY306">
        <v>1</v>
      </c>
      <c r="DZ306" t="s">
        <v>246</v>
      </c>
      <c r="EA306" t="s">
        <v>929</v>
      </c>
    </row>
    <row r="307" spans="1:131" x14ac:dyDescent="0.4">
      <c r="A307" s="34">
        <v>43067.305104166669</v>
      </c>
      <c r="B307" s="25">
        <v>42934.507638888892</v>
      </c>
      <c r="D307" s="34"/>
      <c r="E307" s="34" t="s">
        <v>193</v>
      </c>
      <c r="F307" s="34" t="s">
        <v>191</v>
      </c>
      <c r="G307" s="34" t="s">
        <v>100</v>
      </c>
      <c r="H307" t="s">
        <v>279</v>
      </c>
      <c r="I307" t="s">
        <v>243</v>
      </c>
      <c r="J307" t="s">
        <v>712</v>
      </c>
      <c r="K307" t="s">
        <v>729</v>
      </c>
      <c r="L307" t="s">
        <v>711</v>
      </c>
      <c r="M307" s="30">
        <v>2.0699999999999998</v>
      </c>
      <c r="N307">
        <v>7.5</v>
      </c>
      <c r="P307" s="24" t="str">
        <f>IFERROR(MID(RADataTable[[#This Row],[RATemplate]],1,LEN(RADataTable[[#This Row],[RATemplate]])-8),"RA") &amp; " " &amp; RADataTable[[#This Row],[prop_id0]] &amp; " " &amp; RADataTable[[#This Row],[last0]]</f>
        <v>RA 1749734 Sidford</v>
      </c>
      <c r="T307">
        <v>4</v>
      </c>
      <c r="U307">
        <v>4</v>
      </c>
      <c r="V307" s="34">
        <v>43032.515277777777</v>
      </c>
      <c r="W307">
        <v>1</v>
      </c>
      <c r="X307" s="15" t="str">
        <f>HYPERLINK("https://www.ejacket.nsf.gov/ej/showProposal.do?Continue=Y&amp;ID="&amp;RADataTable[[#This Row],[prop_id0]],"eJ")</f>
        <v>eJ</v>
      </c>
      <c r="Y307" s="15" t="str">
        <f>HYPERLINK("mailto:"&amp;RADataTable[[#This Row],[email]]&amp;"&amp;subject=Your NSF Proposal:  "&amp;RADataTable[[#This Row],[Div]]&amp;" "&amp;RADataTable[[#This Row],[prop_id0]], RADataTable[[#This Row],[email]])</f>
        <v>sidford@stanford.edu</v>
      </c>
      <c r="Z307" s="15" t="str">
        <f>HYPERLINK("mailto:"&amp;RADataTable[[#This Row],[allPIemail]]&amp;"&amp;subject=NSF Proposal:  "&amp;RADataTable[[#This Row],[Div]]&amp;" "&amp;RADataTable[[#This Row],[prop_id0]], "PIs@")</f>
        <v>PIs@</v>
      </c>
      <c r="AA307" t="s">
        <v>245</v>
      </c>
      <c r="AB307" t="s">
        <v>667</v>
      </c>
      <c r="AC307" s="30" t="s">
        <v>752</v>
      </c>
      <c r="AD307" t="s">
        <v>753</v>
      </c>
      <c r="AE307" t="s">
        <v>754</v>
      </c>
      <c r="AF307" s="36">
        <v>500000</v>
      </c>
      <c r="AG307" s="36">
        <v>500000</v>
      </c>
      <c r="AH307" s="24"/>
      <c r="AJ307" s="34"/>
      <c r="AK307" t="s">
        <v>923</v>
      </c>
      <c r="AL307" t="s">
        <v>232</v>
      </c>
      <c r="AM307" s="34" t="s">
        <v>925</v>
      </c>
      <c r="AN307" s="34">
        <v>43032</v>
      </c>
      <c r="AO307" s="24">
        <v>7</v>
      </c>
      <c r="AP307" t="s">
        <v>942</v>
      </c>
      <c r="AR307" s="35"/>
      <c r="AS307"/>
      <c r="AT307" s="34"/>
      <c r="AV307" s="34"/>
      <c r="AX307" s="34"/>
      <c r="AY307"/>
      <c r="BA307" s="34"/>
      <c r="BB307"/>
      <c r="BC307" t="s">
        <v>757</v>
      </c>
      <c r="BD307" s="36">
        <v>500000</v>
      </c>
      <c r="BE307" s="36">
        <v>500000</v>
      </c>
      <c r="BF307">
        <v>0</v>
      </c>
      <c r="BG307" s="34">
        <v>43009</v>
      </c>
      <c r="BH307">
        <v>60</v>
      </c>
      <c r="BI307" t="s">
        <v>283</v>
      </c>
      <c r="BJ307" t="s">
        <v>928</v>
      </c>
      <c r="BK307" t="s">
        <v>934</v>
      </c>
      <c r="BL307" t="s">
        <v>194</v>
      </c>
      <c r="BM307" s="8" t="s">
        <v>192</v>
      </c>
      <c r="BN307" t="s">
        <v>189</v>
      </c>
      <c r="BO307" t="s">
        <v>190</v>
      </c>
      <c r="BP307" s="35" t="s">
        <v>288</v>
      </c>
      <c r="BQ307"/>
      <c r="BU307" s="35"/>
      <c r="BV307" s="35"/>
      <c r="BX307"/>
      <c r="CA307" s="35"/>
      <c r="CB307" s="35"/>
      <c r="CC307"/>
      <c r="CG307" s="35"/>
      <c r="CH307" s="35"/>
      <c r="CK307"/>
      <c r="CM307" s="35"/>
      <c r="CN307" s="35"/>
      <c r="CQ307"/>
      <c r="CS307" s="35"/>
      <c r="CT307" s="35"/>
      <c r="CX307"/>
      <c r="CZ307" s="35"/>
      <c r="DD307" s="34"/>
      <c r="DG307" t="s">
        <v>755</v>
      </c>
      <c r="DH307" t="s">
        <v>943</v>
      </c>
      <c r="DI307" t="s">
        <v>233</v>
      </c>
      <c r="DL307" t="s">
        <v>667</v>
      </c>
      <c r="DM307">
        <v>7</v>
      </c>
      <c r="DN307">
        <v>9</v>
      </c>
      <c r="DO307" t="s">
        <v>756</v>
      </c>
      <c r="DQ307" t="s">
        <v>927</v>
      </c>
      <c r="DR307">
        <v>14</v>
      </c>
      <c r="DS307">
        <v>1</v>
      </c>
      <c r="DU307">
        <v>14</v>
      </c>
      <c r="DV307">
        <v>1</v>
      </c>
      <c r="DX307">
        <v>14</v>
      </c>
      <c r="DY307">
        <v>1</v>
      </c>
      <c r="DZ307" t="s">
        <v>246</v>
      </c>
      <c r="EA307" t="s">
        <v>929</v>
      </c>
    </row>
    <row r="308" spans="1:131" x14ac:dyDescent="0.4">
      <c r="A308" s="34">
        <v>43067.305104166669</v>
      </c>
      <c r="B308" s="25">
        <v>42934.507638888892</v>
      </c>
      <c r="D308" s="34"/>
      <c r="E308" s="34" t="s">
        <v>193</v>
      </c>
      <c r="F308" s="34" t="s">
        <v>191</v>
      </c>
      <c r="G308" s="34" t="s">
        <v>100</v>
      </c>
      <c r="H308" t="s">
        <v>279</v>
      </c>
      <c r="I308" t="s">
        <v>243</v>
      </c>
      <c r="J308" t="s">
        <v>712</v>
      </c>
      <c r="K308" t="s">
        <v>729</v>
      </c>
      <c r="L308" t="s">
        <v>711</v>
      </c>
      <c r="M308" s="30">
        <v>2.0699999999999998</v>
      </c>
      <c r="N308">
        <v>7.5</v>
      </c>
      <c r="P308" s="24" t="str">
        <f>IFERROR(MID(RADataTable[[#This Row],[RATemplate]],1,LEN(RADataTable[[#This Row],[RATemplate]])-8),"RA") &amp; " " &amp; RADataTable[[#This Row],[prop_id0]] &amp; " " &amp; RADataTable[[#This Row],[last0]]</f>
        <v>RA 1749734 Sidford</v>
      </c>
      <c r="T308">
        <v>4</v>
      </c>
      <c r="U308">
        <v>4</v>
      </c>
      <c r="V308" s="34">
        <v>43032.515277777777</v>
      </c>
      <c r="W308">
        <v>1</v>
      </c>
      <c r="X308" s="15" t="str">
        <f>HYPERLINK("https://www.ejacket.nsf.gov/ej/showProposal.do?Continue=Y&amp;ID="&amp;RADataTable[[#This Row],[prop_id0]],"eJ")</f>
        <v>eJ</v>
      </c>
      <c r="Y308" s="15" t="str">
        <f>HYPERLINK("mailto:"&amp;RADataTable[[#This Row],[email]]&amp;"&amp;subject=Your NSF Proposal:  "&amp;RADataTable[[#This Row],[Div]]&amp;" "&amp;RADataTable[[#This Row],[prop_id0]], RADataTable[[#This Row],[email]])</f>
        <v>sidford@stanford.edu</v>
      </c>
      <c r="Z308" s="15" t="str">
        <f>HYPERLINK("mailto:"&amp;RADataTable[[#This Row],[allPIemail]]&amp;"&amp;subject=NSF Proposal:  "&amp;RADataTable[[#This Row],[Div]]&amp;" "&amp;RADataTable[[#This Row],[prop_id0]], "PIs@")</f>
        <v>PIs@</v>
      </c>
      <c r="AA308" t="s">
        <v>245</v>
      </c>
      <c r="AB308" t="s">
        <v>667</v>
      </c>
      <c r="AC308" s="30" t="s">
        <v>752</v>
      </c>
      <c r="AD308" t="s">
        <v>753</v>
      </c>
      <c r="AE308" t="s">
        <v>754</v>
      </c>
      <c r="AF308" s="36">
        <v>500000</v>
      </c>
      <c r="AG308" s="36">
        <v>500000</v>
      </c>
      <c r="AH308" s="24"/>
      <c r="AJ308" s="34"/>
      <c r="AK308" t="s">
        <v>923</v>
      </c>
      <c r="AL308" t="s">
        <v>232</v>
      </c>
      <c r="AM308" s="34" t="s">
        <v>925</v>
      </c>
      <c r="AN308" s="34">
        <v>43032</v>
      </c>
      <c r="AO308" s="24">
        <v>7</v>
      </c>
      <c r="AP308" t="s">
        <v>942</v>
      </c>
      <c r="AR308" s="35"/>
      <c r="AS308"/>
      <c r="AT308" s="34"/>
      <c r="AV308" s="34"/>
      <c r="AX308" s="34"/>
      <c r="AY308"/>
      <c r="BA308" s="34"/>
      <c r="BB308"/>
      <c r="BC308" t="s">
        <v>757</v>
      </c>
      <c r="BD308" s="36">
        <v>500000</v>
      </c>
      <c r="BE308" s="36">
        <v>500000</v>
      </c>
      <c r="BF308">
        <v>0</v>
      </c>
      <c r="BG308" s="34">
        <v>43009</v>
      </c>
      <c r="BH308">
        <v>60</v>
      </c>
      <c r="BI308" t="s">
        <v>283</v>
      </c>
      <c r="BJ308" t="s">
        <v>928</v>
      </c>
      <c r="BK308" t="s">
        <v>934</v>
      </c>
      <c r="BL308" t="s">
        <v>194</v>
      </c>
      <c r="BM308" s="8" t="s">
        <v>192</v>
      </c>
      <c r="BN308" t="s">
        <v>189</v>
      </c>
      <c r="BO308" t="s">
        <v>190</v>
      </c>
      <c r="BP308" s="35" t="s">
        <v>288</v>
      </c>
      <c r="BQ308"/>
      <c r="BU308" s="35"/>
      <c r="BV308" s="35"/>
      <c r="BX308"/>
      <c r="CA308" s="35"/>
      <c r="CB308" s="35"/>
      <c r="CC308"/>
      <c r="CG308" s="35"/>
      <c r="CH308" s="35"/>
      <c r="CK308"/>
      <c r="CM308" s="35"/>
      <c r="CN308" s="35"/>
      <c r="CQ308"/>
      <c r="CS308" s="35"/>
      <c r="CT308" s="35"/>
      <c r="CX308"/>
      <c r="CZ308" s="35"/>
      <c r="DD308" s="34"/>
      <c r="DG308" t="s">
        <v>755</v>
      </c>
      <c r="DH308" t="s">
        <v>943</v>
      </c>
      <c r="DI308" t="s">
        <v>233</v>
      </c>
      <c r="DL308" t="s">
        <v>667</v>
      </c>
      <c r="DM308">
        <v>7</v>
      </c>
      <c r="DN308">
        <v>9</v>
      </c>
      <c r="DO308" t="s">
        <v>756</v>
      </c>
      <c r="DQ308" t="s">
        <v>927</v>
      </c>
      <c r="DR308">
        <v>14</v>
      </c>
      <c r="DS308">
        <v>1</v>
      </c>
      <c r="DU308">
        <v>14</v>
      </c>
      <c r="DV308">
        <v>1</v>
      </c>
      <c r="DX308">
        <v>14</v>
      </c>
      <c r="DY308">
        <v>1</v>
      </c>
      <c r="DZ308" t="s">
        <v>246</v>
      </c>
      <c r="EA308" t="s">
        <v>929</v>
      </c>
    </row>
    <row r="309" spans="1:131" x14ac:dyDescent="0.4">
      <c r="A309" s="34">
        <v>43067.305104166669</v>
      </c>
      <c r="B309" s="25">
        <v>42934.507638888892</v>
      </c>
      <c r="D309" s="34"/>
      <c r="E309" s="34" t="s">
        <v>193</v>
      </c>
      <c r="F309" s="34" t="s">
        <v>191</v>
      </c>
      <c r="G309" s="34" t="s">
        <v>100</v>
      </c>
      <c r="H309" t="s">
        <v>279</v>
      </c>
      <c r="I309" t="s">
        <v>243</v>
      </c>
      <c r="J309" t="s">
        <v>712</v>
      </c>
      <c r="K309" t="s">
        <v>729</v>
      </c>
      <c r="L309" t="s">
        <v>711</v>
      </c>
      <c r="M309" s="30">
        <v>2.0699999999999998</v>
      </c>
      <c r="N309">
        <v>7.5</v>
      </c>
      <c r="P309" s="24" t="str">
        <f>IFERROR(MID(RADataTable[[#This Row],[RATemplate]],1,LEN(RADataTable[[#This Row],[RATemplate]])-8),"RA") &amp; " " &amp; RADataTable[[#This Row],[prop_id0]] &amp; " " &amp; RADataTable[[#This Row],[last0]]</f>
        <v>RA 1749734 Sidford</v>
      </c>
      <c r="T309">
        <v>4</v>
      </c>
      <c r="U309">
        <v>4</v>
      </c>
      <c r="V309" s="34">
        <v>43032.515277777777</v>
      </c>
      <c r="W309">
        <v>1</v>
      </c>
      <c r="X309" s="15" t="str">
        <f>HYPERLINK("https://www.ejacket.nsf.gov/ej/showProposal.do?Continue=Y&amp;ID="&amp;RADataTable[[#This Row],[prop_id0]],"eJ")</f>
        <v>eJ</v>
      </c>
      <c r="Y309" s="15" t="str">
        <f>HYPERLINK("mailto:"&amp;RADataTable[[#This Row],[email]]&amp;"&amp;subject=Your NSF Proposal:  "&amp;RADataTable[[#This Row],[Div]]&amp;" "&amp;RADataTable[[#This Row],[prop_id0]], RADataTable[[#This Row],[email]])</f>
        <v>sidford@stanford.edu</v>
      </c>
      <c r="Z309" s="15" t="str">
        <f>HYPERLINK("mailto:"&amp;RADataTable[[#This Row],[allPIemail]]&amp;"&amp;subject=NSF Proposal:  "&amp;RADataTable[[#This Row],[Div]]&amp;" "&amp;RADataTable[[#This Row],[prop_id0]], "PIs@")</f>
        <v>PIs@</v>
      </c>
      <c r="AA309" t="s">
        <v>245</v>
      </c>
      <c r="AB309" t="s">
        <v>667</v>
      </c>
      <c r="AC309" s="30" t="s">
        <v>752</v>
      </c>
      <c r="AD309" t="s">
        <v>753</v>
      </c>
      <c r="AE309" t="s">
        <v>754</v>
      </c>
      <c r="AF309" s="36">
        <v>500000</v>
      </c>
      <c r="AG309" s="36">
        <v>500000</v>
      </c>
      <c r="AH309" s="24"/>
      <c r="AJ309" s="34"/>
      <c r="AK309" t="s">
        <v>923</v>
      </c>
      <c r="AL309" t="s">
        <v>232</v>
      </c>
      <c r="AM309" s="34" t="s">
        <v>925</v>
      </c>
      <c r="AN309" s="34">
        <v>43032</v>
      </c>
      <c r="AO309" s="24">
        <v>7</v>
      </c>
      <c r="AP309" t="s">
        <v>942</v>
      </c>
      <c r="AR309" s="35"/>
      <c r="AS309"/>
      <c r="AT309" s="34"/>
      <c r="AV309" s="34"/>
      <c r="AX309" s="34"/>
      <c r="AY309"/>
      <c r="BA309" s="34"/>
      <c r="BB309"/>
      <c r="BC309" t="s">
        <v>757</v>
      </c>
      <c r="BD309" s="36">
        <v>500000</v>
      </c>
      <c r="BE309" s="36">
        <v>500000</v>
      </c>
      <c r="BF309">
        <v>0</v>
      </c>
      <c r="BG309" s="34">
        <v>43009</v>
      </c>
      <c r="BH309">
        <v>60</v>
      </c>
      <c r="BI309" t="s">
        <v>283</v>
      </c>
      <c r="BJ309" t="s">
        <v>928</v>
      </c>
      <c r="BK309" t="s">
        <v>934</v>
      </c>
      <c r="BL309" t="s">
        <v>194</v>
      </c>
      <c r="BM309" s="8" t="s">
        <v>192</v>
      </c>
      <c r="BN309" t="s">
        <v>189</v>
      </c>
      <c r="BO309" t="s">
        <v>190</v>
      </c>
      <c r="BP309" s="35" t="s">
        <v>288</v>
      </c>
      <c r="BQ309"/>
      <c r="BU309" s="35"/>
      <c r="BV309" s="35"/>
      <c r="BX309"/>
      <c r="CA309" s="35"/>
      <c r="CB309" s="35"/>
      <c r="CC309"/>
      <c r="CG309" s="35"/>
      <c r="CH309" s="35"/>
      <c r="CK309"/>
      <c r="CM309" s="35"/>
      <c r="CN309" s="35"/>
      <c r="CQ309"/>
      <c r="CS309" s="35"/>
      <c r="CT309" s="35"/>
      <c r="CX309"/>
      <c r="CZ309" s="35"/>
      <c r="DD309" s="34"/>
      <c r="DG309" t="s">
        <v>755</v>
      </c>
      <c r="DH309" t="s">
        <v>943</v>
      </c>
      <c r="DI309" t="s">
        <v>233</v>
      </c>
      <c r="DL309" t="s">
        <v>667</v>
      </c>
      <c r="DM309">
        <v>7</v>
      </c>
      <c r="DN309">
        <v>9</v>
      </c>
      <c r="DO309" t="s">
        <v>756</v>
      </c>
      <c r="DQ309" t="s">
        <v>927</v>
      </c>
      <c r="DR309">
        <v>14</v>
      </c>
      <c r="DS309">
        <v>1</v>
      </c>
      <c r="DU309">
        <v>14</v>
      </c>
      <c r="DV309">
        <v>1</v>
      </c>
      <c r="DX309">
        <v>14</v>
      </c>
      <c r="DY309">
        <v>1</v>
      </c>
      <c r="DZ309" t="s">
        <v>246</v>
      </c>
      <c r="EA309" t="s">
        <v>929</v>
      </c>
    </row>
    <row r="310" spans="1:131" x14ac:dyDescent="0.4">
      <c r="A310" s="34">
        <v>43067.305104166669</v>
      </c>
      <c r="B310" s="25">
        <v>42934.507638888892</v>
      </c>
      <c r="D310" s="34"/>
      <c r="E310" s="34" t="s">
        <v>193</v>
      </c>
      <c r="F310" s="34" t="s">
        <v>191</v>
      </c>
      <c r="G310" s="34" t="s">
        <v>100</v>
      </c>
      <c r="H310" t="s">
        <v>279</v>
      </c>
      <c r="I310" t="s">
        <v>243</v>
      </c>
      <c r="J310" t="s">
        <v>712</v>
      </c>
      <c r="K310" t="s">
        <v>729</v>
      </c>
      <c r="L310" t="s">
        <v>711</v>
      </c>
      <c r="M310" s="30">
        <v>2.0699999999999998</v>
      </c>
      <c r="N310">
        <v>7.5</v>
      </c>
      <c r="P310" s="24" t="str">
        <f>IFERROR(MID(RADataTable[[#This Row],[RATemplate]],1,LEN(RADataTable[[#This Row],[RATemplate]])-8),"RA") &amp; " " &amp; RADataTable[[#This Row],[prop_id0]] &amp; " " &amp; RADataTable[[#This Row],[last0]]</f>
        <v>RA 1749734 Sidford</v>
      </c>
      <c r="T310">
        <v>4</v>
      </c>
      <c r="U310">
        <v>4</v>
      </c>
      <c r="V310" s="34">
        <v>43032.515277777777</v>
      </c>
      <c r="W310">
        <v>1</v>
      </c>
      <c r="X310" s="15" t="str">
        <f>HYPERLINK("https://www.ejacket.nsf.gov/ej/showProposal.do?Continue=Y&amp;ID="&amp;RADataTable[[#This Row],[prop_id0]],"eJ")</f>
        <v>eJ</v>
      </c>
      <c r="Y310" s="15" t="str">
        <f>HYPERLINK("mailto:"&amp;RADataTable[[#This Row],[email]]&amp;"&amp;subject=Your NSF Proposal:  "&amp;RADataTable[[#This Row],[Div]]&amp;" "&amp;RADataTable[[#This Row],[prop_id0]], RADataTable[[#This Row],[email]])</f>
        <v>sidford@stanford.edu</v>
      </c>
      <c r="Z310" s="15" t="str">
        <f>HYPERLINK("mailto:"&amp;RADataTable[[#This Row],[allPIemail]]&amp;"&amp;subject=NSF Proposal:  "&amp;RADataTable[[#This Row],[Div]]&amp;" "&amp;RADataTable[[#This Row],[prop_id0]], "PIs@")</f>
        <v>PIs@</v>
      </c>
      <c r="AA310" t="s">
        <v>245</v>
      </c>
      <c r="AB310" t="s">
        <v>667</v>
      </c>
      <c r="AC310" s="30" t="s">
        <v>752</v>
      </c>
      <c r="AD310" t="s">
        <v>753</v>
      </c>
      <c r="AE310" t="s">
        <v>754</v>
      </c>
      <c r="AF310" s="36">
        <v>500000</v>
      </c>
      <c r="AG310" s="36">
        <v>500000</v>
      </c>
      <c r="AH310" s="24"/>
      <c r="AJ310" s="34"/>
      <c r="AK310" t="s">
        <v>923</v>
      </c>
      <c r="AL310" t="s">
        <v>232</v>
      </c>
      <c r="AM310" s="34" t="s">
        <v>925</v>
      </c>
      <c r="AN310" s="34">
        <v>43032</v>
      </c>
      <c r="AO310" s="24">
        <v>7</v>
      </c>
      <c r="AP310" t="s">
        <v>942</v>
      </c>
      <c r="AR310" s="35"/>
      <c r="AS310"/>
      <c r="AT310" s="34"/>
      <c r="AV310" s="34"/>
      <c r="AX310" s="34"/>
      <c r="AY310"/>
      <c r="BA310" s="34"/>
      <c r="BB310"/>
      <c r="BC310" t="s">
        <v>757</v>
      </c>
      <c r="BD310" s="36">
        <v>500000</v>
      </c>
      <c r="BE310" s="36">
        <v>500000</v>
      </c>
      <c r="BF310">
        <v>0</v>
      </c>
      <c r="BG310" s="34">
        <v>43009</v>
      </c>
      <c r="BH310">
        <v>60</v>
      </c>
      <c r="BI310" t="s">
        <v>283</v>
      </c>
      <c r="BJ310" t="s">
        <v>928</v>
      </c>
      <c r="BK310" t="s">
        <v>934</v>
      </c>
      <c r="BL310" t="s">
        <v>194</v>
      </c>
      <c r="BM310" s="8" t="s">
        <v>192</v>
      </c>
      <c r="BN310" t="s">
        <v>189</v>
      </c>
      <c r="BO310" t="s">
        <v>190</v>
      </c>
      <c r="BP310" s="35" t="s">
        <v>288</v>
      </c>
      <c r="BQ310"/>
      <c r="BU310" s="35"/>
      <c r="BV310" s="35"/>
      <c r="BX310"/>
      <c r="CA310" s="35"/>
      <c r="CB310" s="35"/>
      <c r="CC310"/>
      <c r="CG310" s="35"/>
      <c r="CH310" s="35"/>
      <c r="CK310"/>
      <c r="CM310" s="35"/>
      <c r="CN310" s="35"/>
      <c r="CQ310"/>
      <c r="CS310" s="35"/>
      <c r="CT310" s="35"/>
      <c r="CX310"/>
      <c r="CZ310" s="35"/>
      <c r="DD310" s="34"/>
      <c r="DG310" t="s">
        <v>755</v>
      </c>
      <c r="DH310" t="s">
        <v>943</v>
      </c>
      <c r="DI310" t="s">
        <v>233</v>
      </c>
      <c r="DL310" t="s">
        <v>667</v>
      </c>
      <c r="DM310">
        <v>7</v>
      </c>
      <c r="DN310">
        <v>9</v>
      </c>
      <c r="DO310" t="s">
        <v>756</v>
      </c>
      <c r="DQ310" t="s">
        <v>927</v>
      </c>
      <c r="DR310">
        <v>14</v>
      </c>
      <c r="DS310">
        <v>1</v>
      </c>
      <c r="DU310">
        <v>14</v>
      </c>
      <c r="DV310">
        <v>1</v>
      </c>
      <c r="DX310">
        <v>14</v>
      </c>
      <c r="DY310">
        <v>1</v>
      </c>
      <c r="DZ310" t="s">
        <v>246</v>
      </c>
      <c r="EA310" t="s">
        <v>929</v>
      </c>
    </row>
    <row r="311" spans="1:131" x14ac:dyDescent="0.4">
      <c r="A311" s="34">
        <v>43067.305104166669</v>
      </c>
      <c r="B311" s="25">
        <v>42934.507638888892</v>
      </c>
      <c r="D311" s="34"/>
      <c r="E311" s="34" t="s">
        <v>193</v>
      </c>
      <c r="F311" s="34" t="s">
        <v>191</v>
      </c>
      <c r="G311" s="34" t="s">
        <v>100</v>
      </c>
      <c r="H311" t="s">
        <v>279</v>
      </c>
      <c r="I311" t="s">
        <v>243</v>
      </c>
      <c r="J311" t="s">
        <v>712</v>
      </c>
      <c r="K311" t="s">
        <v>729</v>
      </c>
      <c r="L311" t="s">
        <v>711</v>
      </c>
      <c r="M311" s="30">
        <v>2.0699999999999998</v>
      </c>
      <c r="N311">
        <v>7.5</v>
      </c>
      <c r="P311" s="24" t="str">
        <f>IFERROR(MID(RADataTable[[#This Row],[RATemplate]],1,LEN(RADataTable[[#This Row],[RATemplate]])-8),"RA") &amp; " " &amp; RADataTable[[#This Row],[prop_id0]] &amp; " " &amp; RADataTable[[#This Row],[last0]]</f>
        <v>RA 1749734 Sidford</v>
      </c>
      <c r="T311">
        <v>4</v>
      </c>
      <c r="U311">
        <v>4</v>
      </c>
      <c r="V311" s="34">
        <v>43032.515277777777</v>
      </c>
      <c r="W311">
        <v>1</v>
      </c>
      <c r="X311" s="15" t="str">
        <f>HYPERLINK("https://www.ejacket.nsf.gov/ej/showProposal.do?Continue=Y&amp;ID="&amp;RADataTable[[#This Row],[prop_id0]],"eJ")</f>
        <v>eJ</v>
      </c>
      <c r="Y311" s="15" t="str">
        <f>HYPERLINK("mailto:"&amp;RADataTable[[#This Row],[email]]&amp;"&amp;subject=Your NSF Proposal:  "&amp;RADataTable[[#This Row],[Div]]&amp;" "&amp;RADataTable[[#This Row],[prop_id0]], RADataTable[[#This Row],[email]])</f>
        <v>sidford@stanford.edu</v>
      </c>
      <c r="Z311" s="15" t="str">
        <f>HYPERLINK("mailto:"&amp;RADataTable[[#This Row],[allPIemail]]&amp;"&amp;subject=NSF Proposal:  "&amp;RADataTable[[#This Row],[Div]]&amp;" "&amp;RADataTable[[#This Row],[prop_id0]], "PIs@")</f>
        <v>PIs@</v>
      </c>
      <c r="AA311" t="s">
        <v>245</v>
      </c>
      <c r="AB311" t="s">
        <v>667</v>
      </c>
      <c r="AC311" s="30" t="s">
        <v>752</v>
      </c>
      <c r="AD311" t="s">
        <v>753</v>
      </c>
      <c r="AE311" t="s">
        <v>754</v>
      </c>
      <c r="AF311" s="36">
        <v>500000</v>
      </c>
      <c r="AG311" s="36">
        <v>500000</v>
      </c>
      <c r="AH311" s="24"/>
      <c r="AJ311" s="34"/>
      <c r="AK311" t="s">
        <v>923</v>
      </c>
      <c r="AL311" t="s">
        <v>232</v>
      </c>
      <c r="AM311" s="34" t="s">
        <v>925</v>
      </c>
      <c r="AN311" s="34">
        <v>43032</v>
      </c>
      <c r="AO311" s="24">
        <v>7</v>
      </c>
      <c r="AP311" t="s">
        <v>942</v>
      </c>
      <c r="AR311" s="35"/>
      <c r="AS311"/>
      <c r="AT311" s="34"/>
      <c r="AV311" s="34"/>
      <c r="AX311" s="34"/>
      <c r="AY311"/>
      <c r="BA311" s="34"/>
      <c r="BB311"/>
      <c r="BC311" t="s">
        <v>757</v>
      </c>
      <c r="BD311" s="36">
        <v>500000</v>
      </c>
      <c r="BE311" s="36">
        <v>500000</v>
      </c>
      <c r="BF311">
        <v>0</v>
      </c>
      <c r="BG311" s="34">
        <v>43009</v>
      </c>
      <c r="BH311">
        <v>60</v>
      </c>
      <c r="BI311" t="s">
        <v>283</v>
      </c>
      <c r="BJ311" t="s">
        <v>928</v>
      </c>
      <c r="BK311" t="s">
        <v>934</v>
      </c>
      <c r="BL311" t="s">
        <v>194</v>
      </c>
      <c r="BM311" s="8" t="s">
        <v>192</v>
      </c>
      <c r="BN311" t="s">
        <v>189</v>
      </c>
      <c r="BO311" t="s">
        <v>190</v>
      </c>
      <c r="BP311" s="35" t="s">
        <v>288</v>
      </c>
      <c r="BQ311"/>
      <c r="BU311" s="35"/>
      <c r="BV311" s="35"/>
      <c r="BX311"/>
      <c r="CA311" s="35"/>
      <c r="CB311" s="35"/>
      <c r="CC311"/>
      <c r="CG311" s="35"/>
      <c r="CH311" s="35"/>
      <c r="CK311"/>
      <c r="CM311" s="35"/>
      <c r="CN311" s="35"/>
      <c r="CQ311"/>
      <c r="CS311" s="35"/>
      <c r="CT311" s="35"/>
      <c r="CX311"/>
      <c r="CZ311" s="35"/>
      <c r="DD311" s="34"/>
      <c r="DG311" t="s">
        <v>755</v>
      </c>
      <c r="DH311" t="s">
        <v>943</v>
      </c>
      <c r="DI311" t="s">
        <v>233</v>
      </c>
      <c r="DL311" t="s">
        <v>667</v>
      </c>
      <c r="DM311">
        <v>7</v>
      </c>
      <c r="DN311">
        <v>9</v>
      </c>
      <c r="DO311" t="s">
        <v>756</v>
      </c>
      <c r="DQ311" t="s">
        <v>927</v>
      </c>
      <c r="DR311">
        <v>14</v>
      </c>
      <c r="DS311">
        <v>1</v>
      </c>
      <c r="DU311">
        <v>14</v>
      </c>
      <c r="DV311">
        <v>1</v>
      </c>
      <c r="DX311">
        <v>14</v>
      </c>
      <c r="DY311">
        <v>1</v>
      </c>
      <c r="DZ311" t="s">
        <v>246</v>
      </c>
      <c r="EA311" t="s">
        <v>929</v>
      </c>
    </row>
    <row r="312" spans="1:131" x14ac:dyDescent="0.4">
      <c r="A312" s="34">
        <v>43067.305104166669</v>
      </c>
      <c r="B312" s="25">
        <v>42934.507638888892</v>
      </c>
      <c r="D312" s="34"/>
      <c r="E312" s="34" t="s">
        <v>193</v>
      </c>
      <c r="F312" s="34" t="s">
        <v>191</v>
      </c>
      <c r="G312" s="34" t="s">
        <v>100</v>
      </c>
      <c r="H312" t="s">
        <v>279</v>
      </c>
      <c r="I312" t="s">
        <v>243</v>
      </c>
      <c r="J312" t="s">
        <v>712</v>
      </c>
      <c r="K312" t="s">
        <v>729</v>
      </c>
      <c r="L312" t="s">
        <v>711</v>
      </c>
      <c r="M312" s="30">
        <v>2.0699999999999998</v>
      </c>
      <c r="N312">
        <v>7.5</v>
      </c>
      <c r="P312" s="24" t="str">
        <f>IFERROR(MID(RADataTable[[#This Row],[RATemplate]],1,LEN(RADataTable[[#This Row],[RATemplate]])-8),"RA") &amp; " " &amp; RADataTable[[#This Row],[prop_id0]] &amp; " " &amp; RADataTable[[#This Row],[last0]]</f>
        <v>RA 1749734 Sidford</v>
      </c>
      <c r="T312">
        <v>4</v>
      </c>
      <c r="U312">
        <v>4</v>
      </c>
      <c r="V312" s="34">
        <v>43032.515277777777</v>
      </c>
      <c r="W312">
        <v>1</v>
      </c>
      <c r="X312" s="15" t="str">
        <f>HYPERLINK("https://www.ejacket.nsf.gov/ej/showProposal.do?Continue=Y&amp;ID="&amp;RADataTable[[#This Row],[prop_id0]],"eJ")</f>
        <v>eJ</v>
      </c>
      <c r="Y312" s="15" t="str">
        <f>HYPERLINK("mailto:"&amp;RADataTable[[#This Row],[email]]&amp;"&amp;subject=Your NSF Proposal:  "&amp;RADataTable[[#This Row],[Div]]&amp;" "&amp;RADataTable[[#This Row],[prop_id0]], RADataTable[[#This Row],[email]])</f>
        <v>sidford@stanford.edu</v>
      </c>
      <c r="Z312" s="15" t="str">
        <f>HYPERLINK("mailto:"&amp;RADataTable[[#This Row],[allPIemail]]&amp;"&amp;subject=NSF Proposal:  "&amp;RADataTable[[#This Row],[Div]]&amp;" "&amp;RADataTable[[#This Row],[prop_id0]], "PIs@")</f>
        <v>PIs@</v>
      </c>
      <c r="AA312" t="s">
        <v>245</v>
      </c>
      <c r="AB312" t="s">
        <v>667</v>
      </c>
      <c r="AC312" s="30" t="s">
        <v>752</v>
      </c>
      <c r="AD312" t="s">
        <v>753</v>
      </c>
      <c r="AE312" t="s">
        <v>754</v>
      </c>
      <c r="AF312" s="36">
        <v>500000</v>
      </c>
      <c r="AG312" s="36">
        <v>500000</v>
      </c>
      <c r="AH312" s="24"/>
      <c r="AJ312" s="34"/>
      <c r="AK312" t="s">
        <v>923</v>
      </c>
      <c r="AL312" t="s">
        <v>232</v>
      </c>
      <c r="AM312" s="34" t="s">
        <v>925</v>
      </c>
      <c r="AN312" s="34">
        <v>43032</v>
      </c>
      <c r="AO312" s="24">
        <v>7</v>
      </c>
      <c r="AP312" t="s">
        <v>942</v>
      </c>
      <c r="AR312" s="35"/>
      <c r="AS312"/>
      <c r="AT312" s="34"/>
      <c r="AV312" s="34"/>
      <c r="AX312" s="34"/>
      <c r="AY312"/>
      <c r="BA312" s="34"/>
      <c r="BB312"/>
      <c r="BC312" t="s">
        <v>757</v>
      </c>
      <c r="BD312" s="36">
        <v>500000</v>
      </c>
      <c r="BE312" s="36">
        <v>500000</v>
      </c>
      <c r="BF312">
        <v>0</v>
      </c>
      <c r="BG312" s="34">
        <v>43009</v>
      </c>
      <c r="BH312">
        <v>60</v>
      </c>
      <c r="BI312" t="s">
        <v>283</v>
      </c>
      <c r="BJ312" t="s">
        <v>928</v>
      </c>
      <c r="BK312" t="s">
        <v>934</v>
      </c>
      <c r="BL312" t="s">
        <v>194</v>
      </c>
      <c r="BM312" s="8" t="s">
        <v>192</v>
      </c>
      <c r="BN312" t="s">
        <v>189</v>
      </c>
      <c r="BO312" t="s">
        <v>190</v>
      </c>
      <c r="BP312" s="35" t="s">
        <v>288</v>
      </c>
      <c r="BQ312"/>
      <c r="BU312" s="35"/>
      <c r="BV312" s="35"/>
      <c r="BX312"/>
      <c r="CA312" s="35"/>
      <c r="CB312" s="35"/>
      <c r="CC312"/>
      <c r="CG312" s="35"/>
      <c r="CH312" s="35"/>
      <c r="CK312"/>
      <c r="CM312" s="35"/>
      <c r="CN312" s="35"/>
      <c r="CQ312"/>
      <c r="CS312" s="35"/>
      <c r="CT312" s="35"/>
      <c r="CX312"/>
      <c r="CZ312" s="35"/>
      <c r="DD312" s="34"/>
      <c r="DG312" t="s">
        <v>755</v>
      </c>
      <c r="DH312" t="s">
        <v>943</v>
      </c>
      <c r="DI312" t="s">
        <v>233</v>
      </c>
      <c r="DL312" t="s">
        <v>667</v>
      </c>
      <c r="DM312">
        <v>7</v>
      </c>
      <c r="DN312">
        <v>9</v>
      </c>
      <c r="DO312" t="s">
        <v>756</v>
      </c>
      <c r="DQ312" t="s">
        <v>927</v>
      </c>
      <c r="DR312">
        <v>14</v>
      </c>
      <c r="DS312">
        <v>1</v>
      </c>
      <c r="DU312">
        <v>14</v>
      </c>
      <c r="DV312">
        <v>1</v>
      </c>
      <c r="DX312">
        <v>14</v>
      </c>
      <c r="DY312">
        <v>1</v>
      </c>
      <c r="DZ312" t="s">
        <v>246</v>
      </c>
      <c r="EA312" t="s">
        <v>929</v>
      </c>
    </row>
    <row r="313" spans="1:131" x14ac:dyDescent="0.4">
      <c r="A313" s="34">
        <v>43067.305104166669</v>
      </c>
      <c r="B313" s="25">
        <v>42935.633333333331</v>
      </c>
      <c r="D313" s="34"/>
      <c r="E313" s="34" t="s">
        <v>193</v>
      </c>
      <c r="F313" s="34" t="s">
        <v>191</v>
      </c>
      <c r="G313" s="34" t="s">
        <v>100</v>
      </c>
      <c r="H313" t="s">
        <v>279</v>
      </c>
      <c r="I313" t="s">
        <v>243</v>
      </c>
      <c r="J313" t="s">
        <v>712</v>
      </c>
      <c r="K313" t="s">
        <v>713</v>
      </c>
      <c r="L313" t="s">
        <v>711</v>
      </c>
      <c r="M313" s="30">
        <v>2.0699999999999998</v>
      </c>
      <c r="N313">
        <v>7.5</v>
      </c>
      <c r="P313" s="24" t="str">
        <f>IFERROR(MID(RADataTable[[#This Row],[RATemplate]],1,LEN(RADataTable[[#This Row],[RATemplate]])-8),"RA") &amp; " " &amp; RADataTable[[#This Row],[prop_id0]] &amp; " " &amp; RADataTable[[#This Row],[last0]]</f>
        <v>RA 1750780 Raichel</v>
      </c>
      <c r="T313">
        <v>4</v>
      </c>
      <c r="U313">
        <v>4</v>
      </c>
      <c r="V313" s="34">
        <v>43030.181250000001</v>
      </c>
      <c r="W313">
        <v>1</v>
      </c>
      <c r="X313" s="15" t="str">
        <f>HYPERLINK("https://www.ejacket.nsf.gov/ej/showProposal.do?Continue=Y&amp;ID="&amp;RADataTable[[#This Row],[prop_id0]],"eJ")</f>
        <v>eJ</v>
      </c>
      <c r="Y313" s="15" t="str">
        <f>HYPERLINK("mailto:"&amp;RADataTable[[#This Row],[email]]&amp;"&amp;subject=Your NSF Proposal:  "&amp;RADataTable[[#This Row],[Div]]&amp;" "&amp;RADataTable[[#This Row],[prop_id0]], RADataTable[[#This Row],[email]])</f>
        <v>Benjamin.Raichel@utdallas.edu</v>
      </c>
      <c r="Z313" s="15" t="str">
        <f>HYPERLINK("mailto:"&amp;RADataTable[[#This Row],[allPIemail]]&amp;"&amp;subject=NSF Proposal:  "&amp;RADataTable[[#This Row],[Div]]&amp;" "&amp;RADataTable[[#This Row],[prop_id0]], "PIs@")</f>
        <v>PIs@</v>
      </c>
      <c r="AA313" t="s">
        <v>245</v>
      </c>
      <c r="AB313" t="s">
        <v>678</v>
      </c>
      <c r="AC313" s="30" t="s">
        <v>819</v>
      </c>
      <c r="AD313" t="s">
        <v>285</v>
      </c>
      <c r="AE313" t="s">
        <v>820</v>
      </c>
      <c r="AF313" s="36">
        <v>582785</v>
      </c>
      <c r="AG313" s="36">
        <v>582785</v>
      </c>
      <c r="AH313" s="24"/>
      <c r="AJ313" s="34"/>
      <c r="AK313" t="s">
        <v>923</v>
      </c>
      <c r="AL313" t="s">
        <v>232</v>
      </c>
      <c r="AM313" s="34" t="s">
        <v>925</v>
      </c>
      <c r="AN313" s="34">
        <v>43032</v>
      </c>
      <c r="AO313" s="24">
        <v>7</v>
      </c>
      <c r="AP313" t="s">
        <v>942</v>
      </c>
      <c r="AR313" s="35"/>
      <c r="AS313"/>
      <c r="AT313" s="34"/>
      <c r="AV313" s="34"/>
      <c r="AX313" s="34"/>
      <c r="AY313"/>
      <c r="BA313" s="34"/>
      <c r="BB313"/>
      <c r="BC313" t="s">
        <v>823</v>
      </c>
      <c r="BD313" s="36">
        <v>582785</v>
      </c>
      <c r="BE313" s="36">
        <v>582785</v>
      </c>
      <c r="BF313">
        <v>0</v>
      </c>
      <c r="BG313" s="34">
        <v>43344</v>
      </c>
      <c r="BH313">
        <v>60</v>
      </c>
      <c r="BI313" t="s">
        <v>283</v>
      </c>
      <c r="BJ313" t="s">
        <v>928</v>
      </c>
      <c r="BK313" t="s">
        <v>234</v>
      </c>
      <c r="BL313" t="s">
        <v>194</v>
      </c>
      <c r="BM313" s="8" t="s">
        <v>192</v>
      </c>
      <c r="BN313" t="s">
        <v>189</v>
      </c>
      <c r="BO313" t="s">
        <v>190</v>
      </c>
      <c r="BP313" s="35" t="s">
        <v>726</v>
      </c>
      <c r="BQ313"/>
      <c r="BU313" s="35"/>
      <c r="BV313" s="35"/>
      <c r="BX313"/>
      <c r="CA313" s="35"/>
      <c r="CB313" s="35"/>
      <c r="CC313"/>
      <c r="CG313" s="35"/>
      <c r="CH313" s="35"/>
      <c r="CK313"/>
      <c r="CM313" s="35"/>
      <c r="CN313" s="35"/>
      <c r="CQ313"/>
      <c r="CS313" s="35"/>
      <c r="CT313" s="35"/>
      <c r="CX313"/>
      <c r="CZ313" s="35"/>
      <c r="DD313" s="34"/>
      <c r="DG313" t="s">
        <v>822</v>
      </c>
      <c r="DH313" t="s">
        <v>964</v>
      </c>
      <c r="DI313" t="s">
        <v>233</v>
      </c>
      <c r="DL313" t="s">
        <v>678</v>
      </c>
      <c r="DM313">
        <v>7</v>
      </c>
      <c r="DN313">
        <v>9</v>
      </c>
      <c r="DO313" t="s">
        <v>756</v>
      </c>
      <c r="DQ313" t="s">
        <v>927</v>
      </c>
      <c r="DR313">
        <v>14</v>
      </c>
      <c r="DS313">
        <v>1</v>
      </c>
      <c r="DU313">
        <v>14</v>
      </c>
      <c r="DV313">
        <v>1</v>
      </c>
      <c r="DX313">
        <v>14</v>
      </c>
      <c r="DY313">
        <v>1</v>
      </c>
      <c r="DZ313" t="s">
        <v>246</v>
      </c>
      <c r="EA313" t="s">
        <v>929</v>
      </c>
    </row>
    <row r="314" spans="1:131" x14ac:dyDescent="0.4">
      <c r="A314" s="34">
        <v>43067.305104166669</v>
      </c>
      <c r="B314" s="25">
        <v>42935.633333333331</v>
      </c>
      <c r="D314" s="34"/>
      <c r="E314" s="34" t="s">
        <v>193</v>
      </c>
      <c r="F314" s="34" t="s">
        <v>191</v>
      </c>
      <c r="G314" s="34" t="s">
        <v>100</v>
      </c>
      <c r="H314" t="s">
        <v>279</v>
      </c>
      <c r="I314" t="s">
        <v>243</v>
      </c>
      <c r="J314" t="s">
        <v>712</v>
      </c>
      <c r="K314" t="s">
        <v>713</v>
      </c>
      <c r="L314" t="s">
        <v>711</v>
      </c>
      <c r="M314" s="30">
        <v>2.0699999999999998</v>
      </c>
      <c r="N314">
        <v>7.5</v>
      </c>
      <c r="P314" s="24" t="str">
        <f>IFERROR(MID(RADataTable[[#This Row],[RATemplate]],1,LEN(RADataTable[[#This Row],[RATemplate]])-8),"RA") &amp; " " &amp; RADataTable[[#This Row],[prop_id0]] &amp; " " &amp; RADataTable[[#This Row],[last0]]</f>
        <v>RA 1750780 Raichel</v>
      </c>
      <c r="T314">
        <v>4</v>
      </c>
      <c r="U314">
        <v>4</v>
      </c>
      <c r="V314" s="34">
        <v>43030.181250000001</v>
      </c>
      <c r="W314">
        <v>1</v>
      </c>
      <c r="X314" s="15" t="str">
        <f>HYPERLINK("https://www.ejacket.nsf.gov/ej/showProposal.do?Continue=Y&amp;ID="&amp;RADataTable[[#This Row],[prop_id0]],"eJ")</f>
        <v>eJ</v>
      </c>
      <c r="Y314" s="15" t="str">
        <f>HYPERLINK("mailto:"&amp;RADataTable[[#This Row],[email]]&amp;"&amp;subject=Your NSF Proposal:  "&amp;RADataTable[[#This Row],[Div]]&amp;" "&amp;RADataTable[[#This Row],[prop_id0]], RADataTable[[#This Row],[email]])</f>
        <v>Benjamin.Raichel@utdallas.edu</v>
      </c>
      <c r="Z314" s="15" t="str">
        <f>HYPERLINK("mailto:"&amp;RADataTable[[#This Row],[allPIemail]]&amp;"&amp;subject=NSF Proposal:  "&amp;RADataTable[[#This Row],[Div]]&amp;" "&amp;RADataTable[[#This Row],[prop_id0]], "PIs@")</f>
        <v>PIs@</v>
      </c>
      <c r="AA314" t="s">
        <v>245</v>
      </c>
      <c r="AB314" t="s">
        <v>678</v>
      </c>
      <c r="AC314" s="30" t="s">
        <v>819</v>
      </c>
      <c r="AD314" t="s">
        <v>285</v>
      </c>
      <c r="AE314" t="s">
        <v>820</v>
      </c>
      <c r="AF314" s="36">
        <v>582785</v>
      </c>
      <c r="AG314" s="36">
        <v>582785</v>
      </c>
      <c r="AH314" s="24"/>
      <c r="AJ314" s="34"/>
      <c r="AK314" t="s">
        <v>923</v>
      </c>
      <c r="AL314" t="s">
        <v>232</v>
      </c>
      <c r="AM314" s="34" t="s">
        <v>925</v>
      </c>
      <c r="AN314" s="34">
        <v>43032</v>
      </c>
      <c r="AO314" s="24">
        <v>7</v>
      </c>
      <c r="AP314" t="s">
        <v>942</v>
      </c>
      <c r="AR314" s="35"/>
      <c r="AS314"/>
      <c r="AT314" s="34"/>
      <c r="AV314" s="34"/>
      <c r="AX314" s="34"/>
      <c r="AY314"/>
      <c r="BA314" s="34"/>
      <c r="BB314"/>
      <c r="BC314" t="s">
        <v>823</v>
      </c>
      <c r="BD314" s="36">
        <v>582785</v>
      </c>
      <c r="BE314" s="36">
        <v>582785</v>
      </c>
      <c r="BF314">
        <v>0</v>
      </c>
      <c r="BG314" s="34">
        <v>43344</v>
      </c>
      <c r="BH314">
        <v>60</v>
      </c>
      <c r="BI314" t="s">
        <v>283</v>
      </c>
      <c r="BJ314" t="s">
        <v>928</v>
      </c>
      <c r="BK314" t="s">
        <v>234</v>
      </c>
      <c r="BL314" t="s">
        <v>194</v>
      </c>
      <c r="BM314" s="8" t="s">
        <v>192</v>
      </c>
      <c r="BN314" t="s">
        <v>189</v>
      </c>
      <c r="BO314" t="s">
        <v>190</v>
      </c>
      <c r="BP314" s="35" t="s">
        <v>726</v>
      </c>
      <c r="BQ314"/>
      <c r="BU314" s="35"/>
      <c r="BV314" s="35"/>
      <c r="BX314"/>
      <c r="CA314" s="35"/>
      <c r="CB314" s="35"/>
      <c r="CC314"/>
      <c r="CG314" s="35"/>
      <c r="CH314" s="35"/>
      <c r="CK314"/>
      <c r="CM314" s="35"/>
      <c r="CN314" s="35"/>
      <c r="CQ314"/>
      <c r="CS314" s="35"/>
      <c r="CT314" s="35"/>
      <c r="CX314"/>
      <c r="CZ314" s="35"/>
      <c r="DD314" s="34"/>
      <c r="DG314" t="s">
        <v>822</v>
      </c>
      <c r="DH314" t="s">
        <v>964</v>
      </c>
      <c r="DI314" t="s">
        <v>233</v>
      </c>
      <c r="DL314" t="s">
        <v>678</v>
      </c>
      <c r="DM314">
        <v>7</v>
      </c>
      <c r="DN314">
        <v>9</v>
      </c>
      <c r="DO314" t="s">
        <v>756</v>
      </c>
      <c r="DQ314" t="s">
        <v>927</v>
      </c>
      <c r="DR314">
        <v>14</v>
      </c>
      <c r="DS314">
        <v>1</v>
      </c>
      <c r="DU314">
        <v>14</v>
      </c>
      <c r="DV314">
        <v>1</v>
      </c>
      <c r="DX314">
        <v>14</v>
      </c>
      <c r="DY314">
        <v>1</v>
      </c>
      <c r="DZ314" t="s">
        <v>246</v>
      </c>
      <c r="EA314" t="s">
        <v>929</v>
      </c>
    </row>
    <row r="315" spans="1:131" x14ac:dyDescent="0.4">
      <c r="A315" s="34">
        <v>43067.305104166669</v>
      </c>
      <c r="B315" s="25">
        <v>42935.633333333331</v>
      </c>
      <c r="D315" s="34"/>
      <c r="E315" s="34" t="s">
        <v>193</v>
      </c>
      <c r="F315" s="34" t="s">
        <v>191</v>
      </c>
      <c r="G315" s="34" t="s">
        <v>100</v>
      </c>
      <c r="H315" t="s">
        <v>279</v>
      </c>
      <c r="I315" t="s">
        <v>243</v>
      </c>
      <c r="J315" t="s">
        <v>712</v>
      </c>
      <c r="K315" t="s">
        <v>713</v>
      </c>
      <c r="L315" t="s">
        <v>711</v>
      </c>
      <c r="M315" s="30">
        <v>2.0699999999999998</v>
      </c>
      <c r="N315">
        <v>7.5</v>
      </c>
      <c r="P315" s="24" t="str">
        <f>IFERROR(MID(RADataTable[[#This Row],[RATemplate]],1,LEN(RADataTable[[#This Row],[RATemplate]])-8),"RA") &amp; " " &amp; RADataTable[[#This Row],[prop_id0]] &amp; " " &amp; RADataTable[[#This Row],[last0]]</f>
        <v>RA 1750780 Raichel</v>
      </c>
      <c r="T315">
        <v>4</v>
      </c>
      <c r="U315">
        <v>4</v>
      </c>
      <c r="V315" s="34">
        <v>43030.181250000001</v>
      </c>
      <c r="W315">
        <v>1</v>
      </c>
      <c r="X315" s="15" t="str">
        <f>HYPERLINK("https://www.ejacket.nsf.gov/ej/showProposal.do?Continue=Y&amp;ID="&amp;RADataTable[[#This Row],[prop_id0]],"eJ")</f>
        <v>eJ</v>
      </c>
      <c r="Y315" s="15" t="str">
        <f>HYPERLINK("mailto:"&amp;RADataTable[[#This Row],[email]]&amp;"&amp;subject=Your NSF Proposal:  "&amp;RADataTable[[#This Row],[Div]]&amp;" "&amp;RADataTable[[#This Row],[prop_id0]], RADataTable[[#This Row],[email]])</f>
        <v>Benjamin.Raichel@utdallas.edu</v>
      </c>
      <c r="Z315" s="15" t="str">
        <f>HYPERLINK("mailto:"&amp;RADataTable[[#This Row],[allPIemail]]&amp;"&amp;subject=NSF Proposal:  "&amp;RADataTable[[#This Row],[Div]]&amp;" "&amp;RADataTable[[#This Row],[prop_id0]], "PIs@")</f>
        <v>PIs@</v>
      </c>
      <c r="AA315" t="s">
        <v>245</v>
      </c>
      <c r="AB315" t="s">
        <v>678</v>
      </c>
      <c r="AC315" s="30" t="s">
        <v>819</v>
      </c>
      <c r="AD315" t="s">
        <v>285</v>
      </c>
      <c r="AE315" t="s">
        <v>820</v>
      </c>
      <c r="AF315" s="36">
        <v>582785</v>
      </c>
      <c r="AG315" s="36">
        <v>582785</v>
      </c>
      <c r="AH315" s="24"/>
      <c r="AJ315" s="34"/>
      <c r="AK315" t="s">
        <v>923</v>
      </c>
      <c r="AL315" t="s">
        <v>232</v>
      </c>
      <c r="AM315" s="34" t="s">
        <v>925</v>
      </c>
      <c r="AN315" s="34">
        <v>43032</v>
      </c>
      <c r="AO315" s="24">
        <v>7</v>
      </c>
      <c r="AP315" t="s">
        <v>942</v>
      </c>
      <c r="AR315" s="35"/>
      <c r="AS315"/>
      <c r="AT315" s="34"/>
      <c r="AV315" s="34"/>
      <c r="AX315" s="34"/>
      <c r="AY315"/>
      <c r="BA315" s="34"/>
      <c r="BB315"/>
      <c r="BC315" t="s">
        <v>823</v>
      </c>
      <c r="BD315" s="36">
        <v>582785</v>
      </c>
      <c r="BE315" s="36">
        <v>582785</v>
      </c>
      <c r="BF315">
        <v>0</v>
      </c>
      <c r="BG315" s="34">
        <v>43344</v>
      </c>
      <c r="BH315">
        <v>60</v>
      </c>
      <c r="BI315" t="s">
        <v>283</v>
      </c>
      <c r="BJ315" t="s">
        <v>928</v>
      </c>
      <c r="BK315" t="s">
        <v>234</v>
      </c>
      <c r="BL315" t="s">
        <v>194</v>
      </c>
      <c r="BM315" s="8" t="s">
        <v>192</v>
      </c>
      <c r="BN315" t="s">
        <v>189</v>
      </c>
      <c r="BO315" t="s">
        <v>190</v>
      </c>
      <c r="BP315" s="35" t="s">
        <v>726</v>
      </c>
      <c r="BQ315"/>
      <c r="BU315" s="35"/>
      <c r="BV315" s="35"/>
      <c r="BX315"/>
      <c r="CA315" s="35"/>
      <c r="CB315" s="35"/>
      <c r="CC315"/>
      <c r="CG315" s="35"/>
      <c r="CH315" s="35"/>
      <c r="CK315"/>
      <c r="CM315" s="35"/>
      <c r="CN315" s="35"/>
      <c r="CQ315"/>
      <c r="CS315" s="35"/>
      <c r="CT315" s="35"/>
      <c r="CX315"/>
      <c r="CZ315" s="35"/>
      <c r="DD315" s="34"/>
      <c r="DG315" t="s">
        <v>822</v>
      </c>
      <c r="DH315" t="s">
        <v>964</v>
      </c>
      <c r="DI315" t="s">
        <v>233</v>
      </c>
      <c r="DL315" t="s">
        <v>678</v>
      </c>
      <c r="DM315">
        <v>7</v>
      </c>
      <c r="DN315">
        <v>9</v>
      </c>
      <c r="DO315" t="s">
        <v>756</v>
      </c>
      <c r="DQ315" t="s">
        <v>927</v>
      </c>
      <c r="DR315">
        <v>14</v>
      </c>
      <c r="DS315">
        <v>1</v>
      </c>
      <c r="DU315">
        <v>14</v>
      </c>
      <c r="DV315">
        <v>1</v>
      </c>
      <c r="DX315">
        <v>14</v>
      </c>
      <c r="DY315">
        <v>1</v>
      </c>
      <c r="DZ315" t="s">
        <v>246</v>
      </c>
      <c r="EA315" t="s">
        <v>929</v>
      </c>
    </row>
    <row r="316" spans="1:131" x14ac:dyDescent="0.4">
      <c r="A316" s="34">
        <v>43067.305104166669</v>
      </c>
      <c r="B316" s="25">
        <v>42935.633333333331</v>
      </c>
      <c r="D316" s="34"/>
      <c r="E316" s="34" t="s">
        <v>193</v>
      </c>
      <c r="F316" s="34" t="s">
        <v>191</v>
      </c>
      <c r="G316" s="34" t="s">
        <v>100</v>
      </c>
      <c r="H316" t="s">
        <v>279</v>
      </c>
      <c r="I316" t="s">
        <v>243</v>
      </c>
      <c r="J316" t="s">
        <v>712</v>
      </c>
      <c r="K316" t="s">
        <v>713</v>
      </c>
      <c r="L316" t="s">
        <v>711</v>
      </c>
      <c r="M316" s="30">
        <v>2.0699999999999998</v>
      </c>
      <c r="N316">
        <v>7.5</v>
      </c>
      <c r="P316" s="24" t="str">
        <f>IFERROR(MID(RADataTable[[#This Row],[RATemplate]],1,LEN(RADataTable[[#This Row],[RATemplate]])-8),"RA") &amp; " " &amp; RADataTable[[#This Row],[prop_id0]] &amp; " " &amp; RADataTable[[#This Row],[last0]]</f>
        <v>RA 1750780 Raichel</v>
      </c>
      <c r="T316">
        <v>4</v>
      </c>
      <c r="U316">
        <v>4</v>
      </c>
      <c r="V316" s="34">
        <v>43030.181250000001</v>
      </c>
      <c r="W316">
        <v>1</v>
      </c>
      <c r="X316" s="15" t="str">
        <f>HYPERLINK("https://www.ejacket.nsf.gov/ej/showProposal.do?Continue=Y&amp;ID="&amp;RADataTable[[#This Row],[prop_id0]],"eJ")</f>
        <v>eJ</v>
      </c>
      <c r="Y316" s="15" t="str">
        <f>HYPERLINK("mailto:"&amp;RADataTable[[#This Row],[email]]&amp;"&amp;subject=Your NSF Proposal:  "&amp;RADataTable[[#This Row],[Div]]&amp;" "&amp;RADataTable[[#This Row],[prop_id0]], RADataTable[[#This Row],[email]])</f>
        <v>Benjamin.Raichel@utdallas.edu</v>
      </c>
      <c r="Z316" s="15" t="str">
        <f>HYPERLINK("mailto:"&amp;RADataTable[[#This Row],[allPIemail]]&amp;"&amp;subject=NSF Proposal:  "&amp;RADataTable[[#This Row],[Div]]&amp;" "&amp;RADataTable[[#This Row],[prop_id0]], "PIs@")</f>
        <v>PIs@</v>
      </c>
      <c r="AA316" t="s">
        <v>245</v>
      </c>
      <c r="AB316" t="s">
        <v>678</v>
      </c>
      <c r="AC316" s="30" t="s">
        <v>819</v>
      </c>
      <c r="AD316" t="s">
        <v>285</v>
      </c>
      <c r="AE316" t="s">
        <v>820</v>
      </c>
      <c r="AF316" s="36">
        <v>582785</v>
      </c>
      <c r="AG316" s="36">
        <v>582785</v>
      </c>
      <c r="AH316" s="24"/>
      <c r="AJ316" s="34"/>
      <c r="AK316" t="s">
        <v>923</v>
      </c>
      <c r="AL316" t="s">
        <v>232</v>
      </c>
      <c r="AM316" s="34" t="s">
        <v>925</v>
      </c>
      <c r="AN316" s="34">
        <v>43032</v>
      </c>
      <c r="AO316" s="24">
        <v>7</v>
      </c>
      <c r="AP316" t="s">
        <v>942</v>
      </c>
      <c r="AR316" s="35"/>
      <c r="AS316"/>
      <c r="AT316" s="34"/>
      <c r="AV316" s="34"/>
      <c r="AX316" s="34"/>
      <c r="AY316"/>
      <c r="BA316" s="34"/>
      <c r="BB316"/>
      <c r="BC316" t="s">
        <v>823</v>
      </c>
      <c r="BD316" s="36">
        <v>582785</v>
      </c>
      <c r="BE316" s="36">
        <v>582785</v>
      </c>
      <c r="BF316">
        <v>0</v>
      </c>
      <c r="BG316" s="34">
        <v>43344</v>
      </c>
      <c r="BH316">
        <v>60</v>
      </c>
      <c r="BI316" t="s">
        <v>283</v>
      </c>
      <c r="BJ316" t="s">
        <v>928</v>
      </c>
      <c r="BK316" t="s">
        <v>234</v>
      </c>
      <c r="BL316" t="s">
        <v>194</v>
      </c>
      <c r="BM316" s="8" t="s">
        <v>192</v>
      </c>
      <c r="BN316" t="s">
        <v>189</v>
      </c>
      <c r="BO316" t="s">
        <v>190</v>
      </c>
      <c r="BP316" s="35" t="s">
        <v>726</v>
      </c>
      <c r="BQ316"/>
      <c r="BU316" s="35"/>
      <c r="BV316" s="35"/>
      <c r="BX316"/>
      <c r="CA316" s="35"/>
      <c r="CB316" s="35"/>
      <c r="CC316"/>
      <c r="CG316" s="35"/>
      <c r="CH316" s="35"/>
      <c r="CK316"/>
      <c r="CM316" s="35"/>
      <c r="CN316" s="35"/>
      <c r="CQ316"/>
      <c r="CS316" s="35"/>
      <c r="CT316" s="35"/>
      <c r="CX316"/>
      <c r="CZ316" s="35"/>
      <c r="DD316" s="34"/>
      <c r="DG316" t="s">
        <v>822</v>
      </c>
      <c r="DH316" t="s">
        <v>964</v>
      </c>
      <c r="DI316" t="s">
        <v>233</v>
      </c>
      <c r="DL316" t="s">
        <v>678</v>
      </c>
      <c r="DM316">
        <v>7</v>
      </c>
      <c r="DN316">
        <v>9</v>
      </c>
      <c r="DO316" t="s">
        <v>756</v>
      </c>
      <c r="DQ316" t="s">
        <v>927</v>
      </c>
      <c r="DR316">
        <v>14</v>
      </c>
      <c r="DS316">
        <v>1</v>
      </c>
      <c r="DU316">
        <v>14</v>
      </c>
      <c r="DV316">
        <v>1</v>
      </c>
      <c r="DX316">
        <v>14</v>
      </c>
      <c r="DY316">
        <v>1</v>
      </c>
      <c r="DZ316" t="s">
        <v>246</v>
      </c>
      <c r="EA316" t="s">
        <v>929</v>
      </c>
    </row>
    <row r="317" spans="1:131" x14ac:dyDescent="0.4">
      <c r="A317" s="34">
        <v>43067.305104166669</v>
      </c>
      <c r="B317" s="25">
        <v>42935.633333333331</v>
      </c>
      <c r="D317" s="34"/>
      <c r="E317" s="34" t="s">
        <v>193</v>
      </c>
      <c r="F317" s="34" t="s">
        <v>191</v>
      </c>
      <c r="G317" s="34" t="s">
        <v>100</v>
      </c>
      <c r="H317" t="s">
        <v>279</v>
      </c>
      <c r="I317" t="s">
        <v>243</v>
      </c>
      <c r="J317" t="s">
        <v>712</v>
      </c>
      <c r="K317" t="s">
        <v>713</v>
      </c>
      <c r="L317" t="s">
        <v>711</v>
      </c>
      <c r="M317" s="30">
        <v>2.0699999999999998</v>
      </c>
      <c r="N317">
        <v>7.5</v>
      </c>
      <c r="P317" s="24" t="str">
        <f>IFERROR(MID(RADataTable[[#This Row],[RATemplate]],1,LEN(RADataTable[[#This Row],[RATemplate]])-8),"RA") &amp; " " &amp; RADataTable[[#This Row],[prop_id0]] &amp; " " &amp; RADataTable[[#This Row],[last0]]</f>
        <v>RA 1750780 Raichel</v>
      </c>
      <c r="T317">
        <v>4</v>
      </c>
      <c r="U317">
        <v>4</v>
      </c>
      <c r="V317" s="34">
        <v>43030.181250000001</v>
      </c>
      <c r="W317">
        <v>1</v>
      </c>
      <c r="X317" s="15" t="str">
        <f>HYPERLINK("https://www.ejacket.nsf.gov/ej/showProposal.do?Continue=Y&amp;ID="&amp;RADataTable[[#This Row],[prop_id0]],"eJ")</f>
        <v>eJ</v>
      </c>
      <c r="Y317" s="15" t="str">
        <f>HYPERLINK("mailto:"&amp;RADataTable[[#This Row],[email]]&amp;"&amp;subject=Your NSF Proposal:  "&amp;RADataTable[[#This Row],[Div]]&amp;" "&amp;RADataTable[[#This Row],[prop_id0]], RADataTable[[#This Row],[email]])</f>
        <v>Benjamin.Raichel@utdallas.edu</v>
      </c>
      <c r="Z317" s="15" t="str">
        <f>HYPERLINK("mailto:"&amp;RADataTable[[#This Row],[allPIemail]]&amp;"&amp;subject=NSF Proposal:  "&amp;RADataTable[[#This Row],[Div]]&amp;" "&amp;RADataTable[[#This Row],[prop_id0]], "PIs@")</f>
        <v>PIs@</v>
      </c>
      <c r="AA317" t="s">
        <v>245</v>
      </c>
      <c r="AB317" t="s">
        <v>678</v>
      </c>
      <c r="AC317" s="30" t="s">
        <v>819</v>
      </c>
      <c r="AD317" t="s">
        <v>285</v>
      </c>
      <c r="AE317" t="s">
        <v>820</v>
      </c>
      <c r="AF317" s="36">
        <v>582785</v>
      </c>
      <c r="AG317" s="36">
        <v>582785</v>
      </c>
      <c r="AH317" s="24"/>
      <c r="AJ317" s="34"/>
      <c r="AK317" t="s">
        <v>923</v>
      </c>
      <c r="AL317" t="s">
        <v>232</v>
      </c>
      <c r="AM317" s="34" t="s">
        <v>925</v>
      </c>
      <c r="AN317" s="34">
        <v>43032</v>
      </c>
      <c r="AO317" s="24">
        <v>7</v>
      </c>
      <c r="AP317" t="s">
        <v>942</v>
      </c>
      <c r="AR317" s="35"/>
      <c r="AS317"/>
      <c r="AT317" s="34"/>
      <c r="AV317" s="34"/>
      <c r="AX317" s="34"/>
      <c r="AY317"/>
      <c r="BA317" s="34"/>
      <c r="BB317"/>
      <c r="BC317" t="s">
        <v>823</v>
      </c>
      <c r="BD317" s="36">
        <v>582785</v>
      </c>
      <c r="BE317" s="36">
        <v>582785</v>
      </c>
      <c r="BF317">
        <v>0</v>
      </c>
      <c r="BG317" s="34">
        <v>43344</v>
      </c>
      <c r="BH317">
        <v>60</v>
      </c>
      <c r="BI317" t="s">
        <v>283</v>
      </c>
      <c r="BJ317" t="s">
        <v>928</v>
      </c>
      <c r="BK317" t="s">
        <v>234</v>
      </c>
      <c r="BL317" t="s">
        <v>194</v>
      </c>
      <c r="BM317" s="8" t="s">
        <v>192</v>
      </c>
      <c r="BN317" t="s">
        <v>189</v>
      </c>
      <c r="BO317" t="s">
        <v>190</v>
      </c>
      <c r="BP317" s="35" t="s">
        <v>726</v>
      </c>
      <c r="BQ317"/>
      <c r="BU317" s="35"/>
      <c r="BV317" s="35"/>
      <c r="BX317"/>
      <c r="CA317" s="35"/>
      <c r="CB317" s="35"/>
      <c r="CC317"/>
      <c r="CG317" s="35"/>
      <c r="CH317" s="35"/>
      <c r="CK317"/>
      <c r="CM317" s="35"/>
      <c r="CN317" s="35"/>
      <c r="CQ317"/>
      <c r="CS317" s="35"/>
      <c r="CT317" s="35"/>
      <c r="CX317"/>
      <c r="CZ317" s="35"/>
      <c r="DD317" s="34"/>
      <c r="DG317" t="s">
        <v>822</v>
      </c>
      <c r="DH317" t="s">
        <v>964</v>
      </c>
      <c r="DI317" t="s">
        <v>233</v>
      </c>
      <c r="DL317" t="s">
        <v>678</v>
      </c>
      <c r="DM317">
        <v>7</v>
      </c>
      <c r="DN317">
        <v>9</v>
      </c>
      <c r="DO317" t="s">
        <v>756</v>
      </c>
      <c r="DQ317" t="s">
        <v>927</v>
      </c>
      <c r="DR317">
        <v>14</v>
      </c>
      <c r="DS317">
        <v>1</v>
      </c>
      <c r="DU317">
        <v>14</v>
      </c>
      <c r="DV317">
        <v>1</v>
      </c>
      <c r="DX317">
        <v>14</v>
      </c>
      <c r="DY317">
        <v>1</v>
      </c>
      <c r="DZ317" t="s">
        <v>246</v>
      </c>
      <c r="EA317" t="s">
        <v>929</v>
      </c>
    </row>
    <row r="318" spans="1:131" x14ac:dyDescent="0.4">
      <c r="A318" s="34">
        <v>43067.305104166669</v>
      </c>
      <c r="B318" s="25">
        <v>42935.633333333331</v>
      </c>
      <c r="D318" s="34"/>
      <c r="E318" s="34" t="s">
        <v>193</v>
      </c>
      <c r="F318" s="34" t="s">
        <v>191</v>
      </c>
      <c r="G318" s="34" t="s">
        <v>100</v>
      </c>
      <c r="H318" t="s">
        <v>279</v>
      </c>
      <c r="I318" t="s">
        <v>243</v>
      </c>
      <c r="J318" t="s">
        <v>712</v>
      </c>
      <c r="K318" t="s">
        <v>713</v>
      </c>
      <c r="L318" t="s">
        <v>711</v>
      </c>
      <c r="M318" s="30">
        <v>2.0699999999999998</v>
      </c>
      <c r="N318">
        <v>7.5</v>
      </c>
      <c r="P318" s="24" t="str">
        <f>IFERROR(MID(RADataTable[[#This Row],[RATemplate]],1,LEN(RADataTable[[#This Row],[RATemplate]])-8),"RA") &amp; " " &amp; RADataTable[[#This Row],[prop_id0]] &amp; " " &amp; RADataTable[[#This Row],[last0]]</f>
        <v>RA 1750780 Raichel</v>
      </c>
      <c r="T318">
        <v>4</v>
      </c>
      <c r="U318">
        <v>4</v>
      </c>
      <c r="V318" s="34">
        <v>43030.181250000001</v>
      </c>
      <c r="W318">
        <v>1</v>
      </c>
      <c r="X318" s="15" t="str">
        <f>HYPERLINK("https://www.ejacket.nsf.gov/ej/showProposal.do?Continue=Y&amp;ID="&amp;RADataTable[[#This Row],[prop_id0]],"eJ")</f>
        <v>eJ</v>
      </c>
      <c r="Y318" s="15" t="str">
        <f>HYPERLINK("mailto:"&amp;RADataTable[[#This Row],[email]]&amp;"&amp;subject=Your NSF Proposal:  "&amp;RADataTable[[#This Row],[Div]]&amp;" "&amp;RADataTable[[#This Row],[prop_id0]], RADataTable[[#This Row],[email]])</f>
        <v>Benjamin.Raichel@utdallas.edu</v>
      </c>
      <c r="Z318" s="15" t="str">
        <f>HYPERLINK("mailto:"&amp;RADataTable[[#This Row],[allPIemail]]&amp;"&amp;subject=NSF Proposal:  "&amp;RADataTable[[#This Row],[Div]]&amp;" "&amp;RADataTable[[#This Row],[prop_id0]], "PIs@")</f>
        <v>PIs@</v>
      </c>
      <c r="AA318" t="s">
        <v>245</v>
      </c>
      <c r="AB318" t="s">
        <v>678</v>
      </c>
      <c r="AC318" s="30" t="s">
        <v>819</v>
      </c>
      <c r="AD318" t="s">
        <v>285</v>
      </c>
      <c r="AE318" t="s">
        <v>820</v>
      </c>
      <c r="AF318" s="36">
        <v>582785</v>
      </c>
      <c r="AG318" s="36">
        <v>582785</v>
      </c>
      <c r="AH318" s="24"/>
      <c r="AJ318" s="34"/>
      <c r="AK318" t="s">
        <v>923</v>
      </c>
      <c r="AL318" t="s">
        <v>232</v>
      </c>
      <c r="AM318" s="34" t="s">
        <v>925</v>
      </c>
      <c r="AN318" s="34">
        <v>43032</v>
      </c>
      <c r="AO318" s="24">
        <v>7</v>
      </c>
      <c r="AP318" t="s">
        <v>942</v>
      </c>
      <c r="AR318" s="35"/>
      <c r="AS318"/>
      <c r="AT318" s="34"/>
      <c r="AV318" s="34"/>
      <c r="AX318" s="34"/>
      <c r="AY318"/>
      <c r="BA318" s="34"/>
      <c r="BB318"/>
      <c r="BC318" t="s">
        <v>823</v>
      </c>
      <c r="BD318" s="36">
        <v>582785</v>
      </c>
      <c r="BE318" s="36">
        <v>582785</v>
      </c>
      <c r="BF318">
        <v>0</v>
      </c>
      <c r="BG318" s="34">
        <v>43344</v>
      </c>
      <c r="BH318">
        <v>60</v>
      </c>
      <c r="BI318" t="s">
        <v>283</v>
      </c>
      <c r="BJ318" t="s">
        <v>928</v>
      </c>
      <c r="BK318" t="s">
        <v>234</v>
      </c>
      <c r="BL318" t="s">
        <v>194</v>
      </c>
      <c r="BM318" s="8" t="s">
        <v>192</v>
      </c>
      <c r="BN318" t="s">
        <v>189</v>
      </c>
      <c r="BO318" t="s">
        <v>190</v>
      </c>
      <c r="BP318" s="35" t="s">
        <v>726</v>
      </c>
      <c r="BQ318"/>
      <c r="BU318" s="35"/>
      <c r="BV318" s="35"/>
      <c r="BX318"/>
      <c r="CA318" s="35"/>
      <c r="CB318" s="35"/>
      <c r="CC318"/>
      <c r="CG318" s="35"/>
      <c r="CH318" s="35"/>
      <c r="CK318"/>
      <c r="CM318" s="35"/>
      <c r="CN318" s="35"/>
      <c r="CQ318"/>
      <c r="CS318" s="35"/>
      <c r="CT318" s="35"/>
      <c r="CX318"/>
      <c r="CZ318" s="35"/>
      <c r="DD318" s="34"/>
      <c r="DG318" t="s">
        <v>822</v>
      </c>
      <c r="DH318" t="s">
        <v>964</v>
      </c>
      <c r="DI318" t="s">
        <v>233</v>
      </c>
      <c r="DL318" t="s">
        <v>678</v>
      </c>
      <c r="DM318">
        <v>7</v>
      </c>
      <c r="DN318">
        <v>9</v>
      </c>
      <c r="DO318" t="s">
        <v>756</v>
      </c>
      <c r="DQ318" t="s">
        <v>927</v>
      </c>
      <c r="DR318">
        <v>14</v>
      </c>
      <c r="DS318">
        <v>1</v>
      </c>
      <c r="DU318">
        <v>14</v>
      </c>
      <c r="DV318">
        <v>1</v>
      </c>
      <c r="DX318">
        <v>14</v>
      </c>
      <c r="DY318">
        <v>1</v>
      </c>
      <c r="DZ318" t="s">
        <v>246</v>
      </c>
      <c r="EA318" t="s">
        <v>929</v>
      </c>
    </row>
    <row r="319" spans="1:131" x14ac:dyDescent="0.4">
      <c r="A319" s="34">
        <v>43067.305104166669</v>
      </c>
      <c r="B319" s="25">
        <v>42935.633333333331</v>
      </c>
      <c r="D319" s="34"/>
      <c r="E319" s="34" t="s">
        <v>193</v>
      </c>
      <c r="F319" s="34" t="s">
        <v>191</v>
      </c>
      <c r="G319" s="34" t="s">
        <v>100</v>
      </c>
      <c r="H319" t="s">
        <v>279</v>
      </c>
      <c r="I319" t="s">
        <v>243</v>
      </c>
      <c r="J319" t="s">
        <v>712</v>
      </c>
      <c r="K319" t="s">
        <v>713</v>
      </c>
      <c r="L319" t="s">
        <v>711</v>
      </c>
      <c r="M319" s="30">
        <v>2.0699999999999998</v>
      </c>
      <c r="N319">
        <v>7.5</v>
      </c>
      <c r="P319" s="24" t="str">
        <f>IFERROR(MID(RADataTable[[#This Row],[RATemplate]],1,LEN(RADataTable[[#This Row],[RATemplate]])-8),"RA") &amp; " " &amp; RADataTable[[#This Row],[prop_id0]] &amp; " " &amp; RADataTable[[#This Row],[last0]]</f>
        <v>RA 1750780 Raichel</v>
      </c>
      <c r="T319">
        <v>4</v>
      </c>
      <c r="U319">
        <v>4</v>
      </c>
      <c r="V319" s="34">
        <v>43030.181250000001</v>
      </c>
      <c r="W319">
        <v>1</v>
      </c>
      <c r="X319" s="15" t="str">
        <f>HYPERLINK("https://www.ejacket.nsf.gov/ej/showProposal.do?Continue=Y&amp;ID="&amp;RADataTable[[#This Row],[prop_id0]],"eJ")</f>
        <v>eJ</v>
      </c>
      <c r="Y319" s="15" t="str">
        <f>HYPERLINK("mailto:"&amp;RADataTable[[#This Row],[email]]&amp;"&amp;subject=Your NSF Proposal:  "&amp;RADataTable[[#This Row],[Div]]&amp;" "&amp;RADataTable[[#This Row],[prop_id0]], RADataTable[[#This Row],[email]])</f>
        <v>Benjamin.Raichel@utdallas.edu</v>
      </c>
      <c r="Z319" s="15" t="str">
        <f>HYPERLINK("mailto:"&amp;RADataTable[[#This Row],[allPIemail]]&amp;"&amp;subject=NSF Proposal:  "&amp;RADataTable[[#This Row],[Div]]&amp;" "&amp;RADataTable[[#This Row],[prop_id0]], "PIs@")</f>
        <v>PIs@</v>
      </c>
      <c r="AA319" t="s">
        <v>245</v>
      </c>
      <c r="AB319" t="s">
        <v>678</v>
      </c>
      <c r="AC319" s="30" t="s">
        <v>819</v>
      </c>
      <c r="AD319" t="s">
        <v>285</v>
      </c>
      <c r="AE319" t="s">
        <v>820</v>
      </c>
      <c r="AF319" s="36">
        <v>582785</v>
      </c>
      <c r="AG319" s="36">
        <v>582785</v>
      </c>
      <c r="AH319" s="24"/>
      <c r="AJ319" s="34"/>
      <c r="AK319" t="s">
        <v>923</v>
      </c>
      <c r="AL319" t="s">
        <v>232</v>
      </c>
      <c r="AM319" s="34" t="s">
        <v>925</v>
      </c>
      <c r="AN319" s="34">
        <v>43032</v>
      </c>
      <c r="AO319" s="24">
        <v>7</v>
      </c>
      <c r="AP319" t="s">
        <v>942</v>
      </c>
      <c r="AR319" s="35"/>
      <c r="AS319"/>
      <c r="AT319" s="34"/>
      <c r="AV319" s="34"/>
      <c r="AX319" s="34"/>
      <c r="AY319"/>
      <c r="BA319" s="34"/>
      <c r="BB319"/>
      <c r="BC319" t="s">
        <v>823</v>
      </c>
      <c r="BD319" s="36">
        <v>582785</v>
      </c>
      <c r="BE319" s="36">
        <v>582785</v>
      </c>
      <c r="BF319">
        <v>0</v>
      </c>
      <c r="BG319" s="34">
        <v>43344</v>
      </c>
      <c r="BH319">
        <v>60</v>
      </c>
      <c r="BI319" t="s">
        <v>283</v>
      </c>
      <c r="BJ319" t="s">
        <v>928</v>
      </c>
      <c r="BK319" t="s">
        <v>234</v>
      </c>
      <c r="BL319" t="s">
        <v>194</v>
      </c>
      <c r="BM319" s="8" t="s">
        <v>192</v>
      </c>
      <c r="BN319" t="s">
        <v>189</v>
      </c>
      <c r="BO319" t="s">
        <v>190</v>
      </c>
      <c r="BP319" s="35" t="s">
        <v>726</v>
      </c>
      <c r="BQ319"/>
      <c r="BU319" s="35"/>
      <c r="BV319" s="35"/>
      <c r="BX319"/>
      <c r="CA319" s="35"/>
      <c r="CB319" s="35"/>
      <c r="CC319"/>
      <c r="CG319" s="35"/>
      <c r="CH319" s="35"/>
      <c r="CK319"/>
      <c r="CM319" s="35"/>
      <c r="CN319" s="35"/>
      <c r="CQ319"/>
      <c r="CS319" s="35"/>
      <c r="CT319" s="35"/>
      <c r="CX319"/>
      <c r="CZ319" s="35"/>
      <c r="DD319" s="34"/>
      <c r="DG319" t="s">
        <v>822</v>
      </c>
      <c r="DH319" t="s">
        <v>964</v>
      </c>
      <c r="DI319" t="s">
        <v>233</v>
      </c>
      <c r="DL319" t="s">
        <v>678</v>
      </c>
      <c r="DM319">
        <v>7</v>
      </c>
      <c r="DN319">
        <v>9</v>
      </c>
      <c r="DO319" t="s">
        <v>756</v>
      </c>
      <c r="DQ319" t="s">
        <v>927</v>
      </c>
      <c r="DR319">
        <v>14</v>
      </c>
      <c r="DS319">
        <v>1</v>
      </c>
      <c r="DU319">
        <v>14</v>
      </c>
      <c r="DV319">
        <v>1</v>
      </c>
      <c r="DX319">
        <v>14</v>
      </c>
      <c r="DY319">
        <v>1</v>
      </c>
      <c r="DZ319" t="s">
        <v>246</v>
      </c>
      <c r="EA319" t="s">
        <v>929</v>
      </c>
    </row>
    <row r="320" spans="1:131" x14ac:dyDescent="0.4">
      <c r="A320" s="34">
        <v>43067.305104166669</v>
      </c>
      <c r="B320" s="25">
        <v>42935.633333333331</v>
      </c>
      <c r="D320" s="34"/>
      <c r="E320" s="34" t="s">
        <v>193</v>
      </c>
      <c r="F320" s="34" t="s">
        <v>191</v>
      </c>
      <c r="G320" s="34" t="s">
        <v>100</v>
      </c>
      <c r="H320" t="s">
        <v>279</v>
      </c>
      <c r="I320" t="s">
        <v>243</v>
      </c>
      <c r="J320" t="s">
        <v>712</v>
      </c>
      <c r="K320" t="s">
        <v>713</v>
      </c>
      <c r="L320" t="s">
        <v>711</v>
      </c>
      <c r="M320" s="30">
        <v>2.0699999999999998</v>
      </c>
      <c r="N320">
        <v>7.5</v>
      </c>
      <c r="P320" s="24" t="str">
        <f>IFERROR(MID(RADataTable[[#This Row],[RATemplate]],1,LEN(RADataTable[[#This Row],[RATemplate]])-8),"RA") &amp; " " &amp; RADataTable[[#This Row],[prop_id0]] &amp; " " &amp; RADataTable[[#This Row],[last0]]</f>
        <v>RA 1750780 Raichel</v>
      </c>
      <c r="T320">
        <v>4</v>
      </c>
      <c r="U320">
        <v>4</v>
      </c>
      <c r="V320" s="34">
        <v>43030.181250000001</v>
      </c>
      <c r="W320">
        <v>1</v>
      </c>
      <c r="X320" s="15" t="str">
        <f>HYPERLINK("https://www.ejacket.nsf.gov/ej/showProposal.do?Continue=Y&amp;ID="&amp;RADataTable[[#This Row],[prop_id0]],"eJ")</f>
        <v>eJ</v>
      </c>
      <c r="Y320" s="15" t="str">
        <f>HYPERLINK("mailto:"&amp;RADataTable[[#This Row],[email]]&amp;"&amp;subject=Your NSF Proposal:  "&amp;RADataTable[[#This Row],[Div]]&amp;" "&amp;RADataTable[[#This Row],[prop_id0]], RADataTable[[#This Row],[email]])</f>
        <v>Benjamin.Raichel@utdallas.edu</v>
      </c>
      <c r="Z320" s="15" t="str">
        <f>HYPERLINK("mailto:"&amp;RADataTable[[#This Row],[allPIemail]]&amp;"&amp;subject=NSF Proposal:  "&amp;RADataTable[[#This Row],[Div]]&amp;" "&amp;RADataTable[[#This Row],[prop_id0]], "PIs@")</f>
        <v>PIs@</v>
      </c>
      <c r="AA320" t="s">
        <v>245</v>
      </c>
      <c r="AB320" t="s">
        <v>678</v>
      </c>
      <c r="AC320" s="30" t="s">
        <v>819</v>
      </c>
      <c r="AD320" t="s">
        <v>285</v>
      </c>
      <c r="AE320" t="s">
        <v>820</v>
      </c>
      <c r="AF320" s="36">
        <v>582785</v>
      </c>
      <c r="AG320" s="36">
        <v>582785</v>
      </c>
      <c r="AH320" s="24"/>
      <c r="AJ320" s="34"/>
      <c r="AK320" t="s">
        <v>923</v>
      </c>
      <c r="AL320" t="s">
        <v>232</v>
      </c>
      <c r="AM320" s="34" t="s">
        <v>925</v>
      </c>
      <c r="AN320" s="34">
        <v>43032</v>
      </c>
      <c r="AO320" s="24">
        <v>7</v>
      </c>
      <c r="AP320" t="s">
        <v>942</v>
      </c>
      <c r="AR320" s="35"/>
      <c r="AS320"/>
      <c r="AT320" s="34"/>
      <c r="AV320" s="34"/>
      <c r="AX320" s="34"/>
      <c r="AY320"/>
      <c r="BA320" s="34"/>
      <c r="BB320"/>
      <c r="BC320" t="s">
        <v>823</v>
      </c>
      <c r="BD320" s="36">
        <v>582785</v>
      </c>
      <c r="BE320" s="36">
        <v>582785</v>
      </c>
      <c r="BF320">
        <v>0</v>
      </c>
      <c r="BG320" s="34">
        <v>43344</v>
      </c>
      <c r="BH320">
        <v>60</v>
      </c>
      <c r="BI320" t="s">
        <v>283</v>
      </c>
      <c r="BJ320" t="s">
        <v>928</v>
      </c>
      <c r="BK320" t="s">
        <v>234</v>
      </c>
      <c r="BL320" t="s">
        <v>194</v>
      </c>
      <c r="BM320" s="8" t="s">
        <v>192</v>
      </c>
      <c r="BN320" t="s">
        <v>189</v>
      </c>
      <c r="BO320" t="s">
        <v>190</v>
      </c>
      <c r="BP320" s="35" t="s">
        <v>726</v>
      </c>
      <c r="BQ320"/>
      <c r="BU320" s="35"/>
      <c r="BV320" s="35"/>
      <c r="BX320"/>
      <c r="CA320" s="35"/>
      <c r="CB320" s="35"/>
      <c r="CC320"/>
      <c r="CG320" s="35"/>
      <c r="CH320" s="35"/>
      <c r="CK320"/>
      <c r="CM320" s="35"/>
      <c r="CN320" s="35"/>
      <c r="CQ320"/>
      <c r="CS320" s="35"/>
      <c r="CT320" s="35"/>
      <c r="CX320"/>
      <c r="CZ320" s="35"/>
      <c r="DD320" s="34"/>
      <c r="DG320" t="s">
        <v>822</v>
      </c>
      <c r="DH320" t="s">
        <v>964</v>
      </c>
      <c r="DI320" t="s">
        <v>233</v>
      </c>
      <c r="DL320" t="s">
        <v>678</v>
      </c>
      <c r="DM320">
        <v>7</v>
      </c>
      <c r="DN320">
        <v>9</v>
      </c>
      <c r="DO320" t="s">
        <v>756</v>
      </c>
      <c r="DQ320" t="s">
        <v>927</v>
      </c>
      <c r="DR320">
        <v>14</v>
      </c>
      <c r="DS320">
        <v>1</v>
      </c>
      <c r="DU320">
        <v>14</v>
      </c>
      <c r="DV320">
        <v>1</v>
      </c>
      <c r="DX320">
        <v>14</v>
      </c>
      <c r="DY320">
        <v>1</v>
      </c>
      <c r="DZ320" t="s">
        <v>246</v>
      </c>
      <c r="EA320" t="s">
        <v>929</v>
      </c>
    </row>
    <row r="321" spans="1:131" x14ac:dyDescent="0.4">
      <c r="A321" s="34">
        <v>43067.305104166669</v>
      </c>
      <c r="B321" s="25">
        <v>42935.633333333331</v>
      </c>
      <c r="D321" s="34"/>
      <c r="E321" s="34" t="s">
        <v>193</v>
      </c>
      <c r="F321" s="34" t="s">
        <v>191</v>
      </c>
      <c r="G321" s="34" t="s">
        <v>100</v>
      </c>
      <c r="H321" t="s">
        <v>279</v>
      </c>
      <c r="I321" t="s">
        <v>243</v>
      </c>
      <c r="J321" t="s">
        <v>712</v>
      </c>
      <c r="K321" t="s">
        <v>713</v>
      </c>
      <c r="L321" t="s">
        <v>711</v>
      </c>
      <c r="M321" s="30">
        <v>2.0699999999999998</v>
      </c>
      <c r="N321">
        <v>7.5</v>
      </c>
      <c r="P321" s="24" t="str">
        <f>IFERROR(MID(RADataTable[[#This Row],[RATemplate]],1,LEN(RADataTable[[#This Row],[RATemplate]])-8),"RA") &amp; " " &amp; RADataTable[[#This Row],[prop_id0]] &amp; " " &amp; RADataTable[[#This Row],[last0]]</f>
        <v>RA 1750780 Raichel</v>
      </c>
      <c r="T321">
        <v>4</v>
      </c>
      <c r="U321">
        <v>4</v>
      </c>
      <c r="V321" s="34">
        <v>43030.181250000001</v>
      </c>
      <c r="W321">
        <v>1</v>
      </c>
      <c r="X321" s="15" t="str">
        <f>HYPERLINK("https://www.ejacket.nsf.gov/ej/showProposal.do?Continue=Y&amp;ID="&amp;RADataTable[[#This Row],[prop_id0]],"eJ")</f>
        <v>eJ</v>
      </c>
      <c r="Y321" s="15" t="str">
        <f>HYPERLINK("mailto:"&amp;RADataTable[[#This Row],[email]]&amp;"&amp;subject=Your NSF Proposal:  "&amp;RADataTable[[#This Row],[Div]]&amp;" "&amp;RADataTable[[#This Row],[prop_id0]], RADataTable[[#This Row],[email]])</f>
        <v>Benjamin.Raichel@utdallas.edu</v>
      </c>
      <c r="Z321" s="15" t="str">
        <f>HYPERLINK("mailto:"&amp;RADataTable[[#This Row],[allPIemail]]&amp;"&amp;subject=NSF Proposal:  "&amp;RADataTable[[#This Row],[Div]]&amp;" "&amp;RADataTable[[#This Row],[prop_id0]], "PIs@")</f>
        <v>PIs@</v>
      </c>
      <c r="AA321" t="s">
        <v>245</v>
      </c>
      <c r="AB321" t="s">
        <v>678</v>
      </c>
      <c r="AC321" s="30" t="s">
        <v>819</v>
      </c>
      <c r="AD321" t="s">
        <v>285</v>
      </c>
      <c r="AE321" t="s">
        <v>820</v>
      </c>
      <c r="AF321" s="36">
        <v>582785</v>
      </c>
      <c r="AG321" s="36">
        <v>582785</v>
      </c>
      <c r="AH321" s="24"/>
      <c r="AJ321" s="34"/>
      <c r="AK321" t="s">
        <v>923</v>
      </c>
      <c r="AL321" t="s">
        <v>232</v>
      </c>
      <c r="AM321" s="34" t="s">
        <v>925</v>
      </c>
      <c r="AN321" s="34">
        <v>43032</v>
      </c>
      <c r="AO321" s="24">
        <v>7</v>
      </c>
      <c r="AP321" t="s">
        <v>942</v>
      </c>
      <c r="AR321" s="35"/>
      <c r="AS321"/>
      <c r="AT321" s="34"/>
      <c r="AV321" s="34"/>
      <c r="AX321" s="34"/>
      <c r="AY321"/>
      <c r="BA321" s="34"/>
      <c r="BB321"/>
      <c r="BC321" t="s">
        <v>823</v>
      </c>
      <c r="BD321" s="36">
        <v>582785</v>
      </c>
      <c r="BE321" s="36">
        <v>582785</v>
      </c>
      <c r="BF321">
        <v>0</v>
      </c>
      <c r="BG321" s="34">
        <v>43344</v>
      </c>
      <c r="BH321">
        <v>60</v>
      </c>
      <c r="BI321" t="s">
        <v>283</v>
      </c>
      <c r="BJ321" t="s">
        <v>928</v>
      </c>
      <c r="BK321" t="s">
        <v>234</v>
      </c>
      <c r="BL321" t="s">
        <v>194</v>
      </c>
      <c r="BM321" s="8" t="s">
        <v>192</v>
      </c>
      <c r="BN321" t="s">
        <v>189</v>
      </c>
      <c r="BO321" t="s">
        <v>190</v>
      </c>
      <c r="BP321" s="35" t="s">
        <v>726</v>
      </c>
      <c r="BQ321"/>
      <c r="BU321" s="35"/>
      <c r="BV321" s="35"/>
      <c r="BX321"/>
      <c r="CA321" s="35"/>
      <c r="CB321" s="35"/>
      <c r="CC321"/>
      <c r="CG321" s="35"/>
      <c r="CH321" s="35"/>
      <c r="CK321"/>
      <c r="CM321" s="35"/>
      <c r="CN321" s="35"/>
      <c r="CQ321"/>
      <c r="CS321" s="35"/>
      <c r="CT321" s="35"/>
      <c r="CX321"/>
      <c r="CZ321" s="35"/>
      <c r="DD321" s="34"/>
      <c r="DG321" t="s">
        <v>822</v>
      </c>
      <c r="DH321" t="s">
        <v>964</v>
      </c>
      <c r="DI321" t="s">
        <v>233</v>
      </c>
      <c r="DL321" t="s">
        <v>678</v>
      </c>
      <c r="DM321">
        <v>7</v>
      </c>
      <c r="DN321">
        <v>9</v>
      </c>
      <c r="DO321" t="s">
        <v>756</v>
      </c>
      <c r="DQ321" t="s">
        <v>927</v>
      </c>
      <c r="DR321">
        <v>14</v>
      </c>
      <c r="DS321">
        <v>1</v>
      </c>
      <c r="DU321">
        <v>14</v>
      </c>
      <c r="DV321">
        <v>1</v>
      </c>
      <c r="DX321">
        <v>14</v>
      </c>
      <c r="DY321">
        <v>1</v>
      </c>
      <c r="DZ321" t="s">
        <v>246</v>
      </c>
      <c r="EA321" t="s">
        <v>929</v>
      </c>
    </row>
    <row r="322" spans="1:131" x14ac:dyDescent="0.4">
      <c r="A322" s="34">
        <v>43067.305104166669</v>
      </c>
      <c r="B322" s="25">
        <v>42935.633333333331</v>
      </c>
      <c r="D322" s="34"/>
      <c r="E322" s="34" t="s">
        <v>193</v>
      </c>
      <c r="F322" s="34" t="s">
        <v>191</v>
      </c>
      <c r="G322" s="34" t="s">
        <v>100</v>
      </c>
      <c r="H322" t="s">
        <v>279</v>
      </c>
      <c r="I322" t="s">
        <v>243</v>
      </c>
      <c r="J322" t="s">
        <v>712</v>
      </c>
      <c r="K322" t="s">
        <v>713</v>
      </c>
      <c r="L322" t="s">
        <v>711</v>
      </c>
      <c r="M322" s="30">
        <v>2.0699999999999998</v>
      </c>
      <c r="N322">
        <v>7.5</v>
      </c>
      <c r="P322" s="24" t="str">
        <f>IFERROR(MID(RADataTable[[#This Row],[RATemplate]],1,LEN(RADataTable[[#This Row],[RATemplate]])-8),"RA") &amp; " " &amp; RADataTable[[#This Row],[prop_id0]] &amp; " " &amp; RADataTable[[#This Row],[last0]]</f>
        <v>RA 1750780 Raichel</v>
      </c>
      <c r="T322">
        <v>4</v>
      </c>
      <c r="U322">
        <v>4</v>
      </c>
      <c r="V322" s="34">
        <v>43030.181250000001</v>
      </c>
      <c r="W322">
        <v>1</v>
      </c>
      <c r="X322" s="15" t="str">
        <f>HYPERLINK("https://www.ejacket.nsf.gov/ej/showProposal.do?Continue=Y&amp;ID="&amp;RADataTable[[#This Row],[prop_id0]],"eJ")</f>
        <v>eJ</v>
      </c>
      <c r="Y322" s="15" t="str">
        <f>HYPERLINK("mailto:"&amp;RADataTable[[#This Row],[email]]&amp;"&amp;subject=Your NSF Proposal:  "&amp;RADataTable[[#This Row],[Div]]&amp;" "&amp;RADataTable[[#This Row],[prop_id0]], RADataTable[[#This Row],[email]])</f>
        <v>Benjamin.Raichel@utdallas.edu</v>
      </c>
      <c r="Z322" s="15" t="str">
        <f>HYPERLINK("mailto:"&amp;RADataTable[[#This Row],[allPIemail]]&amp;"&amp;subject=NSF Proposal:  "&amp;RADataTable[[#This Row],[Div]]&amp;" "&amp;RADataTable[[#This Row],[prop_id0]], "PIs@")</f>
        <v>PIs@</v>
      </c>
      <c r="AA322" t="s">
        <v>245</v>
      </c>
      <c r="AB322" t="s">
        <v>678</v>
      </c>
      <c r="AC322" s="30" t="s">
        <v>819</v>
      </c>
      <c r="AD322" t="s">
        <v>285</v>
      </c>
      <c r="AE322" t="s">
        <v>820</v>
      </c>
      <c r="AF322" s="36">
        <v>582785</v>
      </c>
      <c r="AG322" s="36">
        <v>582785</v>
      </c>
      <c r="AH322" s="24"/>
      <c r="AJ322" s="34"/>
      <c r="AK322" t="s">
        <v>923</v>
      </c>
      <c r="AL322" t="s">
        <v>232</v>
      </c>
      <c r="AM322" s="34" t="s">
        <v>925</v>
      </c>
      <c r="AN322" s="34">
        <v>43032</v>
      </c>
      <c r="AO322" s="24">
        <v>7</v>
      </c>
      <c r="AP322" t="s">
        <v>942</v>
      </c>
      <c r="AR322" s="35"/>
      <c r="AS322"/>
      <c r="AT322" s="34"/>
      <c r="AV322" s="34"/>
      <c r="AX322" s="34"/>
      <c r="AY322"/>
      <c r="BA322" s="34"/>
      <c r="BB322"/>
      <c r="BC322" t="s">
        <v>823</v>
      </c>
      <c r="BD322" s="36">
        <v>582785</v>
      </c>
      <c r="BE322" s="36">
        <v>582785</v>
      </c>
      <c r="BF322">
        <v>0</v>
      </c>
      <c r="BG322" s="34">
        <v>43344</v>
      </c>
      <c r="BH322">
        <v>60</v>
      </c>
      <c r="BI322" t="s">
        <v>283</v>
      </c>
      <c r="BJ322" t="s">
        <v>928</v>
      </c>
      <c r="BK322" t="s">
        <v>234</v>
      </c>
      <c r="BL322" t="s">
        <v>194</v>
      </c>
      <c r="BM322" s="8" t="s">
        <v>192</v>
      </c>
      <c r="BN322" t="s">
        <v>189</v>
      </c>
      <c r="BO322" t="s">
        <v>190</v>
      </c>
      <c r="BP322" s="35" t="s">
        <v>726</v>
      </c>
      <c r="BQ322"/>
      <c r="BU322" s="35"/>
      <c r="BV322" s="35"/>
      <c r="BX322"/>
      <c r="CA322" s="35"/>
      <c r="CB322" s="35"/>
      <c r="CC322"/>
      <c r="CG322" s="35"/>
      <c r="CH322" s="35"/>
      <c r="CK322"/>
      <c r="CM322" s="35"/>
      <c r="CN322" s="35"/>
      <c r="CQ322"/>
      <c r="CS322" s="35"/>
      <c r="CT322" s="35"/>
      <c r="CX322"/>
      <c r="CZ322" s="35"/>
      <c r="DD322" s="34"/>
      <c r="DG322" t="s">
        <v>822</v>
      </c>
      <c r="DH322" t="s">
        <v>964</v>
      </c>
      <c r="DI322" t="s">
        <v>233</v>
      </c>
      <c r="DL322" t="s">
        <v>678</v>
      </c>
      <c r="DM322">
        <v>7</v>
      </c>
      <c r="DN322">
        <v>9</v>
      </c>
      <c r="DO322" t="s">
        <v>756</v>
      </c>
      <c r="DQ322" t="s">
        <v>927</v>
      </c>
      <c r="DR322">
        <v>14</v>
      </c>
      <c r="DS322">
        <v>1</v>
      </c>
      <c r="DU322">
        <v>14</v>
      </c>
      <c r="DV322">
        <v>1</v>
      </c>
      <c r="DX322">
        <v>14</v>
      </c>
      <c r="DY322">
        <v>1</v>
      </c>
      <c r="DZ322" t="s">
        <v>246</v>
      </c>
      <c r="EA322" t="s">
        <v>929</v>
      </c>
    </row>
    <row r="323" spans="1:131" x14ac:dyDescent="0.4">
      <c r="A323" s="34">
        <v>43067.305104166669</v>
      </c>
      <c r="B323" s="25">
        <v>42935.633333333331</v>
      </c>
      <c r="D323" s="34"/>
      <c r="E323" s="34" t="s">
        <v>193</v>
      </c>
      <c r="F323" s="34" t="s">
        <v>191</v>
      </c>
      <c r="G323" s="34" t="s">
        <v>100</v>
      </c>
      <c r="H323" t="s">
        <v>279</v>
      </c>
      <c r="I323" t="s">
        <v>243</v>
      </c>
      <c r="J323" t="s">
        <v>712</v>
      </c>
      <c r="K323" t="s">
        <v>713</v>
      </c>
      <c r="L323" t="s">
        <v>711</v>
      </c>
      <c r="M323" s="30">
        <v>2.0699999999999998</v>
      </c>
      <c r="N323">
        <v>7.5</v>
      </c>
      <c r="P323" s="24" t="str">
        <f>IFERROR(MID(RADataTable[[#This Row],[RATemplate]],1,LEN(RADataTable[[#This Row],[RATemplate]])-8),"RA") &amp; " " &amp; RADataTable[[#This Row],[prop_id0]] &amp; " " &amp; RADataTable[[#This Row],[last0]]</f>
        <v>RA 1750780 Raichel</v>
      </c>
      <c r="T323">
        <v>4</v>
      </c>
      <c r="U323">
        <v>4</v>
      </c>
      <c r="V323" s="34">
        <v>43030.181250000001</v>
      </c>
      <c r="W323">
        <v>1</v>
      </c>
      <c r="X323" s="15" t="str">
        <f>HYPERLINK("https://www.ejacket.nsf.gov/ej/showProposal.do?Continue=Y&amp;ID="&amp;RADataTable[[#This Row],[prop_id0]],"eJ")</f>
        <v>eJ</v>
      </c>
      <c r="Y323" s="15" t="str">
        <f>HYPERLINK("mailto:"&amp;RADataTable[[#This Row],[email]]&amp;"&amp;subject=Your NSF Proposal:  "&amp;RADataTable[[#This Row],[Div]]&amp;" "&amp;RADataTable[[#This Row],[prop_id0]], RADataTable[[#This Row],[email]])</f>
        <v>Benjamin.Raichel@utdallas.edu</v>
      </c>
      <c r="Z323" s="15" t="str">
        <f>HYPERLINK("mailto:"&amp;RADataTable[[#This Row],[allPIemail]]&amp;"&amp;subject=NSF Proposal:  "&amp;RADataTable[[#This Row],[Div]]&amp;" "&amp;RADataTable[[#This Row],[prop_id0]], "PIs@")</f>
        <v>PIs@</v>
      </c>
      <c r="AA323" t="s">
        <v>245</v>
      </c>
      <c r="AB323" t="s">
        <v>678</v>
      </c>
      <c r="AC323" s="30" t="s">
        <v>819</v>
      </c>
      <c r="AD323" t="s">
        <v>285</v>
      </c>
      <c r="AE323" t="s">
        <v>820</v>
      </c>
      <c r="AF323" s="36">
        <v>582785</v>
      </c>
      <c r="AG323" s="36">
        <v>582785</v>
      </c>
      <c r="AH323" s="24"/>
      <c r="AJ323" s="34"/>
      <c r="AK323" t="s">
        <v>923</v>
      </c>
      <c r="AL323" t="s">
        <v>232</v>
      </c>
      <c r="AM323" s="34" t="s">
        <v>925</v>
      </c>
      <c r="AN323" s="34">
        <v>43032</v>
      </c>
      <c r="AO323" s="24">
        <v>7</v>
      </c>
      <c r="AP323" t="s">
        <v>942</v>
      </c>
      <c r="AR323" s="35"/>
      <c r="AS323"/>
      <c r="AT323" s="34"/>
      <c r="AV323" s="34"/>
      <c r="AX323" s="34"/>
      <c r="AY323"/>
      <c r="BA323" s="34"/>
      <c r="BB323"/>
      <c r="BC323" t="s">
        <v>823</v>
      </c>
      <c r="BD323" s="36">
        <v>582785</v>
      </c>
      <c r="BE323" s="36">
        <v>582785</v>
      </c>
      <c r="BF323">
        <v>0</v>
      </c>
      <c r="BG323" s="34">
        <v>43344</v>
      </c>
      <c r="BH323">
        <v>60</v>
      </c>
      <c r="BI323" t="s">
        <v>283</v>
      </c>
      <c r="BJ323" t="s">
        <v>928</v>
      </c>
      <c r="BK323" t="s">
        <v>234</v>
      </c>
      <c r="BL323" t="s">
        <v>194</v>
      </c>
      <c r="BM323" s="8" t="s">
        <v>192</v>
      </c>
      <c r="BN323" t="s">
        <v>189</v>
      </c>
      <c r="BO323" t="s">
        <v>190</v>
      </c>
      <c r="BP323" s="35" t="s">
        <v>726</v>
      </c>
      <c r="BQ323"/>
      <c r="BU323" s="35"/>
      <c r="BV323" s="35"/>
      <c r="BX323"/>
      <c r="CA323" s="35"/>
      <c r="CB323" s="35"/>
      <c r="CC323"/>
      <c r="CG323" s="35"/>
      <c r="CH323" s="35"/>
      <c r="CK323"/>
      <c r="CM323" s="35"/>
      <c r="CN323" s="35"/>
      <c r="CQ323"/>
      <c r="CS323" s="35"/>
      <c r="CT323" s="35"/>
      <c r="CX323"/>
      <c r="CZ323" s="35"/>
      <c r="DD323" s="34"/>
      <c r="DG323" t="s">
        <v>822</v>
      </c>
      <c r="DH323" t="s">
        <v>964</v>
      </c>
      <c r="DI323" t="s">
        <v>233</v>
      </c>
      <c r="DL323" t="s">
        <v>678</v>
      </c>
      <c r="DM323">
        <v>7</v>
      </c>
      <c r="DN323">
        <v>9</v>
      </c>
      <c r="DO323" t="s">
        <v>756</v>
      </c>
      <c r="DQ323" t="s">
        <v>927</v>
      </c>
      <c r="DR323">
        <v>14</v>
      </c>
      <c r="DS323">
        <v>1</v>
      </c>
      <c r="DU323">
        <v>14</v>
      </c>
      <c r="DV323">
        <v>1</v>
      </c>
      <c r="DX323">
        <v>14</v>
      </c>
      <c r="DY323">
        <v>1</v>
      </c>
      <c r="DZ323" t="s">
        <v>246</v>
      </c>
      <c r="EA323" t="s">
        <v>929</v>
      </c>
    </row>
    <row r="324" spans="1:131" x14ac:dyDescent="0.4">
      <c r="A324" s="34">
        <v>43067.305104166669</v>
      </c>
      <c r="B324" s="25">
        <v>42935.633333333331</v>
      </c>
      <c r="D324" s="34"/>
      <c r="E324" s="34" t="s">
        <v>193</v>
      </c>
      <c r="F324" s="34" t="s">
        <v>191</v>
      </c>
      <c r="G324" s="34" t="s">
        <v>100</v>
      </c>
      <c r="H324" t="s">
        <v>279</v>
      </c>
      <c r="I324" t="s">
        <v>243</v>
      </c>
      <c r="J324" t="s">
        <v>712</v>
      </c>
      <c r="K324" t="s">
        <v>713</v>
      </c>
      <c r="L324" t="s">
        <v>711</v>
      </c>
      <c r="M324" s="30">
        <v>2.0699999999999998</v>
      </c>
      <c r="N324">
        <v>7.5</v>
      </c>
      <c r="P324" s="24" t="str">
        <f>IFERROR(MID(RADataTable[[#This Row],[RATemplate]],1,LEN(RADataTable[[#This Row],[RATemplate]])-8),"RA") &amp; " " &amp; RADataTable[[#This Row],[prop_id0]] &amp; " " &amp; RADataTable[[#This Row],[last0]]</f>
        <v>RA 1750780 Raichel</v>
      </c>
      <c r="T324">
        <v>4</v>
      </c>
      <c r="U324">
        <v>4</v>
      </c>
      <c r="V324" s="34">
        <v>43030.181250000001</v>
      </c>
      <c r="W324">
        <v>1</v>
      </c>
      <c r="X324" s="15" t="str">
        <f>HYPERLINK("https://www.ejacket.nsf.gov/ej/showProposal.do?Continue=Y&amp;ID="&amp;RADataTable[[#This Row],[prop_id0]],"eJ")</f>
        <v>eJ</v>
      </c>
      <c r="Y324" s="15" t="str">
        <f>HYPERLINK("mailto:"&amp;RADataTable[[#This Row],[email]]&amp;"&amp;subject=Your NSF Proposal:  "&amp;RADataTable[[#This Row],[Div]]&amp;" "&amp;RADataTable[[#This Row],[prop_id0]], RADataTable[[#This Row],[email]])</f>
        <v>Benjamin.Raichel@utdallas.edu</v>
      </c>
      <c r="Z324" s="15" t="str">
        <f>HYPERLINK("mailto:"&amp;RADataTable[[#This Row],[allPIemail]]&amp;"&amp;subject=NSF Proposal:  "&amp;RADataTable[[#This Row],[Div]]&amp;" "&amp;RADataTable[[#This Row],[prop_id0]], "PIs@")</f>
        <v>PIs@</v>
      </c>
      <c r="AA324" t="s">
        <v>245</v>
      </c>
      <c r="AB324" t="s">
        <v>678</v>
      </c>
      <c r="AC324" s="30" t="s">
        <v>819</v>
      </c>
      <c r="AD324" t="s">
        <v>285</v>
      </c>
      <c r="AE324" t="s">
        <v>820</v>
      </c>
      <c r="AF324" s="36">
        <v>582785</v>
      </c>
      <c r="AG324" s="36">
        <v>582785</v>
      </c>
      <c r="AH324" s="24"/>
      <c r="AJ324" s="34"/>
      <c r="AK324" t="s">
        <v>923</v>
      </c>
      <c r="AL324" t="s">
        <v>232</v>
      </c>
      <c r="AM324" s="34" t="s">
        <v>925</v>
      </c>
      <c r="AN324" s="34">
        <v>43032</v>
      </c>
      <c r="AO324" s="24">
        <v>7</v>
      </c>
      <c r="AP324" t="s">
        <v>942</v>
      </c>
      <c r="AR324" s="35"/>
      <c r="AS324"/>
      <c r="AT324" s="34"/>
      <c r="AV324" s="34"/>
      <c r="AX324" s="34"/>
      <c r="AY324"/>
      <c r="BA324" s="34"/>
      <c r="BB324"/>
      <c r="BC324" t="s">
        <v>823</v>
      </c>
      <c r="BD324" s="36">
        <v>582785</v>
      </c>
      <c r="BE324" s="36">
        <v>582785</v>
      </c>
      <c r="BF324">
        <v>0</v>
      </c>
      <c r="BG324" s="34">
        <v>43344</v>
      </c>
      <c r="BH324">
        <v>60</v>
      </c>
      <c r="BI324" t="s">
        <v>283</v>
      </c>
      <c r="BJ324" t="s">
        <v>928</v>
      </c>
      <c r="BK324" t="s">
        <v>234</v>
      </c>
      <c r="BL324" t="s">
        <v>194</v>
      </c>
      <c r="BM324" s="8" t="s">
        <v>192</v>
      </c>
      <c r="BN324" t="s">
        <v>189</v>
      </c>
      <c r="BO324" t="s">
        <v>190</v>
      </c>
      <c r="BP324" s="35" t="s">
        <v>726</v>
      </c>
      <c r="BQ324"/>
      <c r="BU324" s="35"/>
      <c r="BV324" s="35"/>
      <c r="BX324"/>
      <c r="CA324" s="35"/>
      <c r="CB324" s="35"/>
      <c r="CC324"/>
      <c r="CG324" s="35"/>
      <c r="CH324" s="35"/>
      <c r="CK324"/>
      <c r="CM324" s="35"/>
      <c r="CN324" s="35"/>
      <c r="CQ324"/>
      <c r="CS324" s="35"/>
      <c r="CT324" s="35"/>
      <c r="CX324"/>
      <c r="CZ324" s="35"/>
      <c r="DD324" s="34"/>
      <c r="DG324" t="s">
        <v>822</v>
      </c>
      <c r="DH324" t="s">
        <v>964</v>
      </c>
      <c r="DI324" t="s">
        <v>233</v>
      </c>
      <c r="DL324" t="s">
        <v>678</v>
      </c>
      <c r="DM324">
        <v>7</v>
      </c>
      <c r="DN324">
        <v>9</v>
      </c>
      <c r="DO324" t="s">
        <v>756</v>
      </c>
      <c r="DQ324" t="s">
        <v>927</v>
      </c>
      <c r="DR324">
        <v>14</v>
      </c>
      <c r="DS324">
        <v>1</v>
      </c>
      <c r="DU324">
        <v>14</v>
      </c>
      <c r="DV324">
        <v>1</v>
      </c>
      <c r="DX324">
        <v>14</v>
      </c>
      <c r="DY324">
        <v>1</v>
      </c>
      <c r="DZ324" t="s">
        <v>246</v>
      </c>
      <c r="EA324" t="s">
        <v>929</v>
      </c>
    </row>
    <row r="325" spans="1:131" x14ac:dyDescent="0.4">
      <c r="A325" s="34">
        <v>43067.305104166669</v>
      </c>
      <c r="B325" s="25">
        <v>42935.633333333331</v>
      </c>
      <c r="D325" s="34"/>
      <c r="E325" s="34" t="s">
        <v>193</v>
      </c>
      <c r="F325" s="34" t="s">
        <v>191</v>
      </c>
      <c r="G325" s="34" t="s">
        <v>100</v>
      </c>
      <c r="H325" t="s">
        <v>279</v>
      </c>
      <c r="I325" t="s">
        <v>243</v>
      </c>
      <c r="J325" t="s">
        <v>712</v>
      </c>
      <c r="K325" t="s">
        <v>713</v>
      </c>
      <c r="L325" t="s">
        <v>711</v>
      </c>
      <c r="M325" s="30">
        <v>2.0699999999999998</v>
      </c>
      <c r="N325">
        <v>7.5</v>
      </c>
      <c r="P325" s="24" t="str">
        <f>IFERROR(MID(RADataTable[[#This Row],[RATemplate]],1,LEN(RADataTable[[#This Row],[RATemplate]])-8),"RA") &amp; " " &amp; RADataTable[[#This Row],[prop_id0]] &amp; " " &amp; RADataTable[[#This Row],[last0]]</f>
        <v>RA 1750780 Raichel</v>
      </c>
      <c r="T325">
        <v>4</v>
      </c>
      <c r="U325">
        <v>4</v>
      </c>
      <c r="V325" s="34">
        <v>43030.181250000001</v>
      </c>
      <c r="W325">
        <v>1</v>
      </c>
      <c r="X325" s="15" t="str">
        <f>HYPERLINK("https://www.ejacket.nsf.gov/ej/showProposal.do?Continue=Y&amp;ID="&amp;RADataTable[[#This Row],[prop_id0]],"eJ")</f>
        <v>eJ</v>
      </c>
      <c r="Y325" s="15" t="str">
        <f>HYPERLINK("mailto:"&amp;RADataTable[[#This Row],[email]]&amp;"&amp;subject=Your NSF Proposal:  "&amp;RADataTable[[#This Row],[Div]]&amp;" "&amp;RADataTable[[#This Row],[prop_id0]], RADataTable[[#This Row],[email]])</f>
        <v>Benjamin.Raichel@utdallas.edu</v>
      </c>
      <c r="Z325" s="15" t="str">
        <f>HYPERLINK("mailto:"&amp;RADataTable[[#This Row],[allPIemail]]&amp;"&amp;subject=NSF Proposal:  "&amp;RADataTable[[#This Row],[Div]]&amp;" "&amp;RADataTable[[#This Row],[prop_id0]], "PIs@")</f>
        <v>PIs@</v>
      </c>
      <c r="AA325" t="s">
        <v>245</v>
      </c>
      <c r="AB325" t="s">
        <v>678</v>
      </c>
      <c r="AC325" s="30" t="s">
        <v>819</v>
      </c>
      <c r="AD325" t="s">
        <v>285</v>
      </c>
      <c r="AE325" t="s">
        <v>820</v>
      </c>
      <c r="AF325" s="36">
        <v>582785</v>
      </c>
      <c r="AG325" s="36">
        <v>582785</v>
      </c>
      <c r="AH325" s="24"/>
      <c r="AJ325" s="34"/>
      <c r="AK325" t="s">
        <v>923</v>
      </c>
      <c r="AL325" t="s">
        <v>232</v>
      </c>
      <c r="AM325" s="34" t="s">
        <v>925</v>
      </c>
      <c r="AN325" s="34">
        <v>43032</v>
      </c>
      <c r="AO325" s="24">
        <v>7</v>
      </c>
      <c r="AP325" t="s">
        <v>942</v>
      </c>
      <c r="AR325" s="35"/>
      <c r="AS325"/>
      <c r="AT325" s="34"/>
      <c r="AV325" s="34"/>
      <c r="AX325" s="34"/>
      <c r="AY325"/>
      <c r="BA325" s="34"/>
      <c r="BB325"/>
      <c r="BC325" t="s">
        <v>823</v>
      </c>
      <c r="BD325" s="36">
        <v>582785</v>
      </c>
      <c r="BE325" s="36">
        <v>582785</v>
      </c>
      <c r="BF325">
        <v>0</v>
      </c>
      <c r="BG325" s="34">
        <v>43344</v>
      </c>
      <c r="BH325">
        <v>60</v>
      </c>
      <c r="BI325" t="s">
        <v>283</v>
      </c>
      <c r="BJ325" t="s">
        <v>928</v>
      </c>
      <c r="BK325" t="s">
        <v>234</v>
      </c>
      <c r="BL325" t="s">
        <v>194</v>
      </c>
      <c r="BM325" s="8" t="s">
        <v>192</v>
      </c>
      <c r="BN325" t="s">
        <v>189</v>
      </c>
      <c r="BO325" t="s">
        <v>190</v>
      </c>
      <c r="BP325" s="35" t="s">
        <v>726</v>
      </c>
      <c r="BQ325"/>
      <c r="BU325" s="35"/>
      <c r="BV325" s="35"/>
      <c r="BX325"/>
      <c r="CA325" s="35"/>
      <c r="CB325" s="35"/>
      <c r="CC325"/>
      <c r="CG325" s="35"/>
      <c r="CH325" s="35"/>
      <c r="CK325"/>
      <c r="CM325" s="35"/>
      <c r="CN325" s="35"/>
      <c r="CQ325"/>
      <c r="CS325" s="35"/>
      <c r="CT325" s="35"/>
      <c r="CX325"/>
      <c r="CZ325" s="35"/>
      <c r="DD325" s="34"/>
      <c r="DG325" t="s">
        <v>822</v>
      </c>
      <c r="DH325" t="s">
        <v>964</v>
      </c>
      <c r="DI325" t="s">
        <v>233</v>
      </c>
      <c r="DL325" t="s">
        <v>678</v>
      </c>
      <c r="DM325">
        <v>7</v>
      </c>
      <c r="DN325">
        <v>9</v>
      </c>
      <c r="DO325" t="s">
        <v>756</v>
      </c>
      <c r="DQ325" t="s">
        <v>927</v>
      </c>
      <c r="DR325">
        <v>14</v>
      </c>
      <c r="DS325">
        <v>1</v>
      </c>
      <c r="DU325">
        <v>14</v>
      </c>
      <c r="DV325">
        <v>1</v>
      </c>
      <c r="DX325">
        <v>14</v>
      </c>
      <c r="DY325">
        <v>1</v>
      </c>
      <c r="DZ325" t="s">
        <v>246</v>
      </c>
      <c r="EA325" t="s">
        <v>929</v>
      </c>
    </row>
    <row r="326" spans="1:131" x14ac:dyDescent="0.4">
      <c r="A326" s="34">
        <v>43067.305104166669</v>
      </c>
      <c r="B326" s="25">
        <v>42935.633333333331</v>
      </c>
      <c r="D326" s="34"/>
      <c r="E326" s="34" t="s">
        <v>193</v>
      </c>
      <c r="F326" s="34" t="s">
        <v>191</v>
      </c>
      <c r="G326" s="34" t="s">
        <v>100</v>
      </c>
      <c r="H326" t="s">
        <v>279</v>
      </c>
      <c r="I326" t="s">
        <v>243</v>
      </c>
      <c r="J326" t="s">
        <v>712</v>
      </c>
      <c r="K326" t="s">
        <v>713</v>
      </c>
      <c r="L326" t="s">
        <v>711</v>
      </c>
      <c r="M326" s="30">
        <v>2.0699999999999998</v>
      </c>
      <c r="N326">
        <v>7.5</v>
      </c>
      <c r="P326" s="24" t="str">
        <f>IFERROR(MID(RADataTable[[#This Row],[RATemplate]],1,LEN(RADataTable[[#This Row],[RATemplate]])-8),"RA") &amp; " " &amp; RADataTable[[#This Row],[prop_id0]] &amp; " " &amp; RADataTable[[#This Row],[last0]]</f>
        <v>RA 1750780 Raichel</v>
      </c>
      <c r="T326">
        <v>4</v>
      </c>
      <c r="U326">
        <v>4</v>
      </c>
      <c r="V326" s="34">
        <v>43030.181250000001</v>
      </c>
      <c r="W326">
        <v>1</v>
      </c>
      <c r="X326" s="15" t="str">
        <f>HYPERLINK("https://www.ejacket.nsf.gov/ej/showProposal.do?Continue=Y&amp;ID="&amp;RADataTable[[#This Row],[prop_id0]],"eJ")</f>
        <v>eJ</v>
      </c>
      <c r="Y326" s="15" t="str">
        <f>HYPERLINK("mailto:"&amp;RADataTable[[#This Row],[email]]&amp;"&amp;subject=Your NSF Proposal:  "&amp;RADataTable[[#This Row],[Div]]&amp;" "&amp;RADataTable[[#This Row],[prop_id0]], RADataTable[[#This Row],[email]])</f>
        <v>Benjamin.Raichel@utdallas.edu</v>
      </c>
      <c r="Z326" s="15" t="str">
        <f>HYPERLINK("mailto:"&amp;RADataTable[[#This Row],[allPIemail]]&amp;"&amp;subject=NSF Proposal:  "&amp;RADataTable[[#This Row],[Div]]&amp;" "&amp;RADataTable[[#This Row],[prop_id0]], "PIs@")</f>
        <v>PIs@</v>
      </c>
      <c r="AA326" t="s">
        <v>245</v>
      </c>
      <c r="AB326" t="s">
        <v>678</v>
      </c>
      <c r="AC326" s="30" t="s">
        <v>819</v>
      </c>
      <c r="AD326" t="s">
        <v>285</v>
      </c>
      <c r="AE326" t="s">
        <v>820</v>
      </c>
      <c r="AF326" s="36">
        <v>582785</v>
      </c>
      <c r="AG326" s="36">
        <v>582785</v>
      </c>
      <c r="AH326" s="24"/>
      <c r="AJ326" s="34"/>
      <c r="AK326" t="s">
        <v>923</v>
      </c>
      <c r="AL326" t="s">
        <v>232</v>
      </c>
      <c r="AM326" s="34" t="s">
        <v>925</v>
      </c>
      <c r="AN326" s="34">
        <v>43032</v>
      </c>
      <c r="AO326" s="24">
        <v>7</v>
      </c>
      <c r="AP326" t="s">
        <v>942</v>
      </c>
      <c r="AR326" s="35"/>
      <c r="AS326"/>
      <c r="AT326" s="34"/>
      <c r="AV326" s="34"/>
      <c r="AX326" s="34"/>
      <c r="AY326"/>
      <c r="BA326" s="34"/>
      <c r="BB326"/>
      <c r="BC326" t="s">
        <v>823</v>
      </c>
      <c r="BD326" s="36">
        <v>582785</v>
      </c>
      <c r="BE326" s="36">
        <v>582785</v>
      </c>
      <c r="BF326">
        <v>0</v>
      </c>
      <c r="BG326" s="34">
        <v>43344</v>
      </c>
      <c r="BH326">
        <v>60</v>
      </c>
      <c r="BI326" t="s">
        <v>283</v>
      </c>
      <c r="BJ326" t="s">
        <v>928</v>
      </c>
      <c r="BK326" t="s">
        <v>234</v>
      </c>
      <c r="BL326" t="s">
        <v>194</v>
      </c>
      <c r="BM326" s="8" t="s">
        <v>192</v>
      </c>
      <c r="BN326" t="s">
        <v>189</v>
      </c>
      <c r="BO326" t="s">
        <v>190</v>
      </c>
      <c r="BP326" s="35" t="s">
        <v>726</v>
      </c>
      <c r="BQ326"/>
      <c r="BU326" s="35"/>
      <c r="BV326" s="35"/>
      <c r="BX326"/>
      <c r="CA326" s="35"/>
      <c r="CB326" s="35"/>
      <c r="CC326"/>
      <c r="CG326" s="35"/>
      <c r="CH326" s="35"/>
      <c r="CK326"/>
      <c r="CM326" s="35"/>
      <c r="CN326" s="35"/>
      <c r="CQ326"/>
      <c r="CS326" s="35"/>
      <c r="CT326" s="35"/>
      <c r="CX326"/>
      <c r="CZ326" s="35"/>
      <c r="DD326" s="34"/>
      <c r="DG326" t="s">
        <v>822</v>
      </c>
      <c r="DH326" t="s">
        <v>964</v>
      </c>
      <c r="DI326" t="s">
        <v>233</v>
      </c>
      <c r="DL326" t="s">
        <v>678</v>
      </c>
      <c r="DM326">
        <v>7</v>
      </c>
      <c r="DN326">
        <v>9</v>
      </c>
      <c r="DO326" t="s">
        <v>756</v>
      </c>
      <c r="DQ326" t="s">
        <v>927</v>
      </c>
      <c r="DR326">
        <v>14</v>
      </c>
      <c r="DS326">
        <v>1</v>
      </c>
      <c r="DU326">
        <v>14</v>
      </c>
      <c r="DV326">
        <v>1</v>
      </c>
      <c r="DX326">
        <v>14</v>
      </c>
      <c r="DY326">
        <v>1</v>
      </c>
      <c r="DZ326" t="s">
        <v>246</v>
      </c>
      <c r="EA326" t="s">
        <v>929</v>
      </c>
    </row>
    <row r="327" spans="1:131" x14ac:dyDescent="0.4">
      <c r="A327" s="34">
        <v>43067.305104166669</v>
      </c>
      <c r="B327" s="25">
        <v>42935.633333333331</v>
      </c>
      <c r="D327" s="34"/>
      <c r="E327" s="34" t="s">
        <v>193</v>
      </c>
      <c r="F327" s="34" t="s">
        <v>191</v>
      </c>
      <c r="G327" s="34" t="s">
        <v>100</v>
      </c>
      <c r="H327" t="s">
        <v>279</v>
      </c>
      <c r="I327" t="s">
        <v>243</v>
      </c>
      <c r="J327" t="s">
        <v>712</v>
      </c>
      <c r="K327" t="s">
        <v>713</v>
      </c>
      <c r="L327" t="s">
        <v>711</v>
      </c>
      <c r="M327" s="30">
        <v>2.0699999999999998</v>
      </c>
      <c r="N327">
        <v>7.5</v>
      </c>
      <c r="P327" s="24" t="str">
        <f>IFERROR(MID(RADataTable[[#This Row],[RATemplate]],1,LEN(RADataTable[[#This Row],[RATemplate]])-8),"RA") &amp; " " &amp; RADataTable[[#This Row],[prop_id0]] &amp; " " &amp; RADataTable[[#This Row],[last0]]</f>
        <v>RA 1750780 Raichel</v>
      </c>
      <c r="T327">
        <v>4</v>
      </c>
      <c r="U327">
        <v>4</v>
      </c>
      <c r="V327" s="34">
        <v>43030.181250000001</v>
      </c>
      <c r="W327">
        <v>1</v>
      </c>
      <c r="X327" s="15" t="str">
        <f>HYPERLINK("https://www.ejacket.nsf.gov/ej/showProposal.do?Continue=Y&amp;ID="&amp;RADataTable[[#This Row],[prop_id0]],"eJ")</f>
        <v>eJ</v>
      </c>
      <c r="Y327" s="15" t="str">
        <f>HYPERLINK("mailto:"&amp;RADataTable[[#This Row],[email]]&amp;"&amp;subject=Your NSF Proposal:  "&amp;RADataTable[[#This Row],[Div]]&amp;" "&amp;RADataTable[[#This Row],[prop_id0]], RADataTable[[#This Row],[email]])</f>
        <v>Benjamin.Raichel@utdallas.edu</v>
      </c>
      <c r="Z327" s="15" t="str">
        <f>HYPERLINK("mailto:"&amp;RADataTable[[#This Row],[allPIemail]]&amp;"&amp;subject=NSF Proposal:  "&amp;RADataTable[[#This Row],[Div]]&amp;" "&amp;RADataTable[[#This Row],[prop_id0]], "PIs@")</f>
        <v>PIs@</v>
      </c>
      <c r="AA327" t="s">
        <v>245</v>
      </c>
      <c r="AB327" t="s">
        <v>678</v>
      </c>
      <c r="AC327" s="30" t="s">
        <v>819</v>
      </c>
      <c r="AD327" t="s">
        <v>285</v>
      </c>
      <c r="AE327" t="s">
        <v>820</v>
      </c>
      <c r="AF327" s="36">
        <v>582785</v>
      </c>
      <c r="AG327" s="36">
        <v>582785</v>
      </c>
      <c r="AH327" s="24"/>
      <c r="AJ327" s="34"/>
      <c r="AK327" t="s">
        <v>923</v>
      </c>
      <c r="AL327" t="s">
        <v>232</v>
      </c>
      <c r="AM327" s="34" t="s">
        <v>925</v>
      </c>
      <c r="AN327" s="34">
        <v>43032</v>
      </c>
      <c r="AO327" s="24">
        <v>7</v>
      </c>
      <c r="AP327" t="s">
        <v>942</v>
      </c>
      <c r="AR327" s="35"/>
      <c r="AS327"/>
      <c r="AT327" s="34"/>
      <c r="AV327" s="34"/>
      <c r="AX327" s="34"/>
      <c r="AY327"/>
      <c r="BA327" s="34"/>
      <c r="BB327"/>
      <c r="BC327" t="s">
        <v>823</v>
      </c>
      <c r="BD327" s="36">
        <v>582785</v>
      </c>
      <c r="BE327" s="36">
        <v>582785</v>
      </c>
      <c r="BF327">
        <v>0</v>
      </c>
      <c r="BG327" s="34">
        <v>43344</v>
      </c>
      <c r="BH327">
        <v>60</v>
      </c>
      <c r="BI327" t="s">
        <v>283</v>
      </c>
      <c r="BJ327" t="s">
        <v>928</v>
      </c>
      <c r="BK327" t="s">
        <v>234</v>
      </c>
      <c r="BL327" t="s">
        <v>194</v>
      </c>
      <c r="BM327" s="8" t="s">
        <v>192</v>
      </c>
      <c r="BN327" t="s">
        <v>189</v>
      </c>
      <c r="BO327" t="s">
        <v>190</v>
      </c>
      <c r="BP327" s="35" t="s">
        <v>726</v>
      </c>
      <c r="BQ327"/>
      <c r="BU327" s="35"/>
      <c r="BV327" s="35"/>
      <c r="BX327"/>
      <c r="CA327" s="35"/>
      <c r="CB327" s="35"/>
      <c r="CC327"/>
      <c r="CG327" s="35"/>
      <c r="CH327" s="35"/>
      <c r="CK327"/>
      <c r="CM327" s="35"/>
      <c r="CN327" s="35"/>
      <c r="CQ327"/>
      <c r="CS327" s="35"/>
      <c r="CT327" s="35"/>
      <c r="CX327"/>
      <c r="CZ327" s="35"/>
      <c r="DD327" s="34"/>
      <c r="DG327" t="s">
        <v>822</v>
      </c>
      <c r="DH327" t="s">
        <v>964</v>
      </c>
      <c r="DI327" t="s">
        <v>233</v>
      </c>
      <c r="DL327" t="s">
        <v>678</v>
      </c>
      <c r="DM327">
        <v>7</v>
      </c>
      <c r="DN327">
        <v>9</v>
      </c>
      <c r="DO327" t="s">
        <v>756</v>
      </c>
      <c r="DQ327" t="s">
        <v>927</v>
      </c>
      <c r="DR327">
        <v>14</v>
      </c>
      <c r="DS327">
        <v>1</v>
      </c>
      <c r="DU327">
        <v>14</v>
      </c>
      <c r="DV327">
        <v>1</v>
      </c>
      <c r="DX327">
        <v>14</v>
      </c>
      <c r="DY327">
        <v>1</v>
      </c>
      <c r="DZ327" t="s">
        <v>246</v>
      </c>
      <c r="EA327" t="s">
        <v>929</v>
      </c>
    </row>
    <row r="328" spans="1:131" x14ac:dyDescent="0.4">
      <c r="A328" s="34">
        <v>43067.305104166669</v>
      </c>
      <c r="B328" s="25">
        <v>42935.633333333331</v>
      </c>
      <c r="D328" s="34"/>
      <c r="E328" s="34" t="s">
        <v>193</v>
      </c>
      <c r="F328" s="34" t="s">
        <v>191</v>
      </c>
      <c r="G328" s="34" t="s">
        <v>100</v>
      </c>
      <c r="H328" t="s">
        <v>279</v>
      </c>
      <c r="I328" t="s">
        <v>243</v>
      </c>
      <c r="J328" t="s">
        <v>712</v>
      </c>
      <c r="K328" t="s">
        <v>713</v>
      </c>
      <c r="L328" t="s">
        <v>711</v>
      </c>
      <c r="M328" s="30">
        <v>2.0699999999999998</v>
      </c>
      <c r="N328">
        <v>7.5</v>
      </c>
      <c r="P328" s="24" t="str">
        <f>IFERROR(MID(RADataTable[[#This Row],[RATemplate]],1,LEN(RADataTable[[#This Row],[RATemplate]])-8),"RA") &amp; " " &amp; RADataTable[[#This Row],[prop_id0]] &amp; " " &amp; RADataTable[[#This Row],[last0]]</f>
        <v>RA 1750780 Raichel</v>
      </c>
      <c r="T328">
        <v>4</v>
      </c>
      <c r="U328">
        <v>4</v>
      </c>
      <c r="V328" s="34">
        <v>43030.181250000001</v>
      </c>
      <c r="W328">
        <v>1</v>
      </c>
      <c r="X328" s="15" t="str">
        <f>HYPERLINK("https://www.ejacket.nsf.gov/ej/showProposal.do?Continue=Y&amp;ID="&amp;RADataTable[[#This Row],[prop_id0]],"eJ")</f>
        <v>eJ</v>
      </c>
      <c r="Y328" s="15" t="str">
        <f>HYPERLINK("mailto:"&amp;RADataTable[[#This Row],[email]]&amp;"&amp;subject=Your NSF Proposal:  "&amp;RADataTable[[#This Row],[Div]]&amp;" "&amp;RADataTable[[#This Row],[prop_id0]], RADataTable[[#This Row],[email]])</f>
        <v>Benjamin.Raichel@utdallas.edu</v>
      </c>
      <c r="Z328" s="15" t="str">
        <f>HYPERLINK("mailto:"&amp;RADataTable[[#This Row],[allPIemail]]&amp;"&amp;subject=NSF Proposal:  "&amp;RADataTable[[#This Row],[Div]]&amp;" "&amp;RADataTable[[#This Row],[prop_id0]], "PIs@")</f>
        <v>PIs@</v>
      </c>
      <c r="AA328" t="s">
        <v>245</v>
      </c>
      <c r="AB328" t="s">
        <v>678</v>
      </c>
      <c r="AC328" s="30" t="s">
        <v>819</v>
      </c>
      <c r="AD328" t="s">
        <v>285</v>
      </c>
      <c r="AE328" t="s">
        <v>820</v>
      </c>
      <c r="AF328" s="36">
        <v>582785</v>
      </c>
      <c r="AG328" s="36">
        <v>582785</v>
      </c>
      <c r="AH328" s="24"/>
      <c r="AJ328" s="34"/>
      <c r="AK328" t="s">
        <v>923</v>
      </c>
      <c r="AL328" t="s">
        <v>232</v>
      </c>
      <c r="AM328" s="34" t="s">
        <v>925</v>
      </c>
      <c r="AN328" s="34">
        <v>43032</v>
      </c>
      <c r="AO328" s="24">
        <v>7</v>
      </c>
      <c r="AP328" t="s">
        <v>942</v>
      </c>
      <c r="AR328" s="35"/>
      <c r="AS328"/>
      <c r="AT328" s="34"/>
      <c r="AV328" s="34"/>
      <c r="AX328" s="34"/>
      <c r="AY328"/>
      <c r="BA328" s="34"/>
      <c r="BB328"/>
      <c r="BC328" t="s">
        <v>823</v>
      </c>
      <c r="BD328" s="36">
        <v>582785</v>
      </c>
      <c r="BE328" s="36">
        <v>582785</v>
      </c>
      <c r="BF328">
        <v>0</v>
      </c>
      <c r="BG328" s="34">
        <v>43344</v>
      </c>
      <c r="BH328">
        <v>60</v>
      </c>
      <c r="BI328" t="s">
        <v>283</v>
      </c>
      <c r="BJ328" t="s">
        <v>928</v>
      </c>
      <c r="BK328" t="s">
        <v>234</v>
      </c>
      <c r="BL328" t="s">
        <v>194</v>
      </c>
      <c r="BM328" s="8" t="s">
        <v>192</v>
      </c>
      <c r="BN328" t="s">
        <v>189</v>
      </c>
      <c r="BO328" t="s">
        <v>190</v>
      </c>
      <c r="BP328" s="35" t="s">
        <v>726</v>
      </c>
      <c r="BQ328"/>
      <c r="BU328" s="35"/>
      <c r="BV328" s="35"/>
      <c r="BX328"/>
      <c r="CA328" s="35"/>
      <c r="CB328" s="35"/>
      <c r="CC328"/>
      <c r="CG328" s="35"/>
      <c r="CH328" s="35"/>
      <c r="CK328"/>
      <c r="CM328" s="35"/>
      <c r="CN328" s="35"/>
      <c r="CQ328"/>
      <c r="CS328" s="35"/>
      <c r="CT328" s="35"/>
      <c r="CX328"/>
      <c r="CZ328" s="35"/>
      <c r="DD328" s="34"/>
      <c r="DG328" t="s">
        <v>822</v>
      </c>
      <c r="DH328" t="s">
        <v>964</v>
      </c>
      <c r="DI328" t="s">
        <v>233</v>
      </c>
      <c r="DL328" t="s">
        <v>678</v>
      </c>
      <c r="DM328">
        <v>7</v>
      </c>
      <c r="DN328">
        <v>9</v>
      </c>
      <c r="DO328" t="s">
        <v>756</v>
      </c>
      <c r="DQ328" t="s">
        <v>927</v>
      </c>
      <c r="DR328">
        <v>14</v>
      </c>
      <c r="DS328">
        <v>1</v>
      </c>
      <c r="DU328">
        <v>14</v>
      </c>
      <c r="DV328">
        <v>1</v>
      </c>
      <c r="DX328">
        <v>14</v>
      </c>
      <c r="DY328">
        <v>1</v>
      </c>
      <c r="DZ328" t="s">
        <v>246</v>
      </c>
      <c r="EA328" t="s">
        <v>929</v>
      </c>
    </row>
    <row r="329" spans="1:131" x14ac:dyDescent="0.4">
      <c r="A329" s="34">
        <v>43067.305104166669</v>
      </c>
      <c r="B329" s="25">
        <v>42935.633333333331</v>
      </c>
      <c r="D329" s="34"/>
      <c r="E329" s="34" t="s">
        <v>193</v>
      </c>
      <c r="F329" s="34" t="s">
        <v>191</v>
      </c>
      <c r="G329" s="34" t="s">
        <v>100</v>
      </c>
      <c r="H329" t="s">
        <v>279</v>
      </c>
      <c r="I329" t="s">
        <v>243</v>
      </c>
      <c r="J329" t="s">
        <v>712</v>
      </c>
      <c r="K329" t="s">
        <v>713</v>
      </c>
      <c r="L329" t="s">
        <v>711</v>
      </c>
      <c r="M329" s="30">
        <v>2.0699999999999998</v>
      </c>
      <c r="N329">
        <v>7.5</v>
      </c>
      <c r="P329" s="24" t="str">
        <f>IFERROR(MID(RADataTable[[#This Row],[RATemplate]],1,LEN(RADataTable[[#This Row],[RATemplate]])-8),"RA") &amp; " " &amp; RADataTable[[#This Row],[prop_id0]] &amp; " " &amp; RADataTable[[#This Row],[last0]]</f>
        <v>RA 1750780 Raichel</v>
      </c>
      <c r="T329">
        <v>4</v>
      </c>
      <c r="U329">
        <v>4</v>
      </c>
      <c r="V329" s="34">
        <v>43030.181250000001</v>
      </c>
      <c r="W329">
        <v>1</v>
      </c>
      <c r="X329" s="15" t="str">
        <f>HYPERLINK("https://www.ejacket.nsf.gov/ej/showProposal.do?Continue=Y&amp;ID="&amp;RADataTable[[#This Row],[prop_id0]],"eJ")</f>
        <v>eJ</v>
      </c>
      <c r="Y329" s="15" t="str">
        <f>HYPERLINK("mailto:"&amp;RADataTable[[#This Row],[email]]&amp;"&amp;subject=Your NSF Proposal:  "&amp;RADataTable[[#This Row],[Div]]&amp;" "&amp;RADataTable[[#This Row],[prop_id0]], RADataTable[[#This Row],[email]])</f>
        <v>Benjamin.Raichel@utdallas.edu</v>
      </c>
      <c r="Z329" s="15" t="str">
        <f>HYPERLINK("mailto:"&amp;RADataTable[[#This Row],[allPIemail]]&amp;"&amp;subject=NSF Proposal:  "&amp;RADataTable[[#This Row],[Div]]&amp;" "&amp;RADataTable[[#This Row],[prop_id0]], "PIs@")</f>
        <v>PIs@</v>
      </c>
      <c r="AA329" t="s">
        <v>245</v>
      </c>
      <c r="AB329" t="s">
        <v>678</v>
      </c>
      <c r="AC329" s="30" t="s">
        <v>819</v>
      </c>
      <c r="AD329" t="s">
        <v>285</v>
      </c>
      <c r="AE329" t="s">
        <v>820</v>
      </c>
      <c r="AF329" s="36">
        <v>582785</v>
      </c>
      <c r="AG329" s="36">
        <v>582785</v>
      </c>
      <c r="AH329" s="24"/>
      <c r="AJ329" s="34"/>
      <c r="AK329" t="s">
        <v>923</v>
      </c>
      <c r="AL329" t="s">
        <v>232</v>
      </c>
      <c r="AM329" s="34" t="s">
        <v>925</v>
      </c>
      <c r="AN329" s="34">
        <v>43032</v>
      </c>
      <c r="AO329" s="24">
        <v>7</v>
      </c>
      <c r="AP329" t="s">
        <v>942</v>
      </c>
      <c r="AR329" s="35"/>
      <c r="AS329"/>
      <c r="AT329" s="34"/>
      <c r="AV329" s="34"/>
      <c r="AX329" s="34"/>
      <c r="AY329"/>
      <c r="BA329" s="34"/>
      <c r="BB329"/>
      <c r="BC329" t="s">
        <v>823</v>
      </c>
      <c r="BD329" s="36">
        <v>582785</v>
      </c>
      <c r="BE329" s="36">
        <v>582785</v>
      </c>
      <c r="BF329">
        <v>0</v>
      </c>
      <c r="BG329" s="34">
        <v>43344</v>
      </c>
      <c r="BH329">
        <v>60</v>
      </c>
      <c r="BI329" t="s">
        <v>283</v>
      </c>
      <c r="BJ329" t="s">
        <v>928</v>
      </c>
      <c r="BK329" t="s">
        <v>234</v>
      </c>
      <c r="BL329" t="s">
        <v>194</v>
      </c>
      <c r="BM329" s="8" t="s">
        <v>192</v>
      </c>
      <c r="BN329" t="s">
        <v>189</v>
      </c>
      <c r="BO329" t="s">
        <v>190</v>
      </c>
      <c r="BP329" s="35" t="s">
        <v>726</v>
      </c>
      <c r="BQ329"/>
      <c r="BU329" s="35"/>
      <c r="BV329" s="35"/>
      <c r="BX329"/>
      <c r="CA329" s="35"/>
      <c r="CB329" s="35"/>
      <c r="CC329"/>
      <c r="CG329" s="35"/>
      <c r="CH329" s="35"/>
      <c r="CK329"/>
      <c r="CM329" s="35"/>
      <c r="CN329" s="35"/>
      <c r="CQ329"/>
      <c r="CS329" s="35"/>
      <c r="CT329" s="35"/>
      <c r="CX329"/>
      <c r="CZ329" s="35"/>
      <c r="DD329" s="34"/>
      <c r="DG329" t="s">
        <v>822</v>
      </c>
      <c r="DH329" t="s">
        <v>964</v>
      </c>
      <c r="DI329" t="s">
        <v>233</v>
      </c>
      <c r="DL329" t="s">
        <v>678</v>
      </c>
      <c r="DM329">
        <v>7</v>
      </c>
      <c r="DN329">
        <v>9</v>
      </c>
      <c r="DO329" t="s">
        <v>756</v>
      </c>
      <c r="DQ329" t="s">
        <v>927</v>
      </c>
      <c r="DR329">
        <v>14</v>
      </c>
      <c r="DS329">
        <v>1</v>
      </c>
      <c r="DU329">
        <v>14</v>
      </c>
      <c r="DV329">
        <v>1</v>
      </c>
      <c r="DX329">
        <v>14</v>
      </c>
      <c r="DY329">
        <v>1</v>
      </c>
      <c r="DZ329" t="s">
        <v>246</v>
      </c>
      <c r="EA329" t="s">
        <v>929</v>
      </c>
    </row>
    <row r="330" spans="1:131" x14ac:dyDescent="0.4">
      <c r="A330" s="34">
        <v>43067.305104166669</v>
      </c>
      <c r="B330" s="25">
        <v>42935.633333333331</v>
      </c>
      <c r="D330" s="34"/>
      <c r="E330" s="34" t="s">
        <v>193</v>
      </c>
      <c r="F330" s="34" t="s">
        <v>191</v>
      </c>
      <c r="G330" s="34" t="s">
        <v>100</v>
      </c>
      <c r="H330" t="s">
        <v>279</v>
      </c>
      <c r="I330" t="s">
        <v>243</v>
      </c>
      <c r="J330" t="s">
        <v>712</v>
      </c>
      <c r="K330" t="s">
        <v>713</v>
      </c>
      <c r="L330" t="s">
        <v>711</v>
      </c>
      <c r="M330" s="30">
        <v>2.0699999999999998</v>
      </c>
      <c r="N330">
        <v>7.5</v>
      </c>
      <c r="P330" s="24" t="str">
        <f>IFERROR(MID(RADataTable[[#This Row],[RATemplate]],1,LEN(RADataTable[[#This Row],[RATemplate]])-8),"RA") &amp; " " &amp; RADataTable[[#This Row],[prop_id0]] &amp; " " &amp; RADataTable[[#This Row],[last0]]</f>
        <v>RA 1750780 Raichel</v>
      </c>
      <c r="T330">
        <v>4</v>
      </c>
      <c r="U330">
        <v>4</v>
      </c>
      <c r="V330" s="34">
        <v>43030.181250000001</v>
      </c>
      <c r="W330">
        <v>1</v>
      </c>
      <c r="X330" s="15" t="str">
        <f>HYPERLINK("https://www.ejacket.nsf.gov/ej/showProposal.do?Continue=Y&amp;ID="&amp;RADataTable[[#This Row],[prop_id0]],"eJ")</f>
        <v>eJ</v>
      </c>
      <c r="Y330" s="15" t="str">
        <f>HYPERLINK("mailto:"&amp;RADataTable[[#This Row],[email]]&amp;"&amp;subject=Your NSF Proposal:  "&amp;RADataTable[[#This Row],[Div]]&amp;" "&amp;RADataTable[[#This Row],[prop_id0]], RADataTable[[#This Row],[email]])</f>
        <v>Benjamin.Raichel@utdallas.edu</v>
      </c>
      <c r="Z330" s="15" t="str">
        <f>HYPERLINK("mailto:"&amp;RADataTable[[#This Row],[allPIemail]]&amp;"&amp;subject=NSF Proposal:  "&amp;RADataTable[[#This Row],[Div]]&amp;" "&amp;RADataTable[[#This Row],[prop_id0]], "PIs@")</f>
        <v>PIs@</v>
      </c>
      <c r="AA330" t="s">
        <v>245</v>
      </c>
      <c r="AB330" t="s">
        <v>678</v>
      </c>
      <c r="AC330" s="30" t="s">
        <v>819</v>
      </c>
      <c r="AD330" t="s">
        <v>285</v>
      </c>
      <c r="AE330" t="s">
        <v>820</v>
      </c>
      <c r="AF330" s="36">
        <v>582785</v>
      </c>
      <c r="AG330" s="36">
        <v>582785</v>
      </c>
      <c r="AH330" s="24"/>
      <c r="AJ330" s="34"/>
      <c r="AK330" t="s">
        <v>923</v>
      </c>
      <c r="AL330" t="s">
        <v>232</v>
      </c>
      <c r="AM330" s="34" t="s">
        <v>925</v>
      </c>
      <c r="AN330" s="34">
        <v>43032</v>
      </c>
      <c r="AO330" s="24">
        <v>7</v>
      </c>
      <c r="AP330" t="s">
        <v>942</v>
      </c>
      <c r="AR330" s="35"/>
      <c r="AS330"/>
      <c r="AT330" s="34"/>
      <c r="AV330" s="34"/>
      <c r="AX330" s="34"/>
      <c r="AY330"/>
      <c r="BA330" s="34"/>
      <c r="BB330"/>
      <c r="BC330" t="s">
        <v>823</v>
      </c>
      <c r="BD330" s="36">
        <v>582785</v>
      </c>
      <c r="BE330" s="36">
        <v>582785</v>
      </c>
      <c r="BF330">
        <v>0</v>
      </c>
      <c r="BG330" s="34">
        <v>43344</v>
      </c>
      <c r="BH330">
        <v>60</v>
      </c>
      <c r="BI330" t="s">
        <v>283</v>
      </c>
      <c r="BJ330" t="s">
        <v>928</v>
      </c>
      <c r="BK330" t="s">
        <v>234</v>
      </c>
      <c r="BL330" t="s">
        <v>194</v>
      </c>
      <c r="BM330" s="8" t="s">
        <v>192</v>
      </c>
      <c r="BN330" t="s">
        <v>189</v>
      </c>
      <c r="BO330" t="s">
        <v>190</v>
      </c>
      <c r="BP330" s="35" t="s">
        <v>726</v>
      </c>
      <c r="BQ330"/>
      <c r="BU330" s="35"/>
      <c r="BV330" s="35"/>
      <c r="BX330"/>
      <c r="CA330" s="35"/>
      <c r="CB330" s="35"/>
      <c r="CC330"/>
      <c r="CG330" s="35"/>
      <c r="CH330" s="35"/>
      <c r="CK330"/>
      <c r="CM330" s="35"/>
      <c r="CN330" s="35"/>
      <c r="CQ330"/>
      <c r="CS330" s="35"/>
      <c r="CT330" s="35"/>
      <c r="CX330"/>
      <c r="CZ330" s="35"/>
      <c r="DD330" s="34"/>
      <c r="DG330" t="s">
        <v>822</v>
      </c>
      <c r="DH330" t="s">
        <v>964</v>
      </c>
      <c r="DI330" t="s">
        <v>233</v>
      </c>
      <c r="DL330" t="s">
        <v>678</v>
      </c>
      <c r="DM330">
        <v>7</v>
      </c>
      <c r="DN330">
        <v>9</v>
      </c>
      <c r="DO330" t="s">
        <v>756</v>
      </c>
      <c r="DQ330" t="s">
        <v>927</v>
      </c>
      <c r="DR330">
        <v>14</v>
      </c>
      <c r="DS330">
        <v>1</v>
      </c>
      <c r="DU330">
        <v>14</v>
      </c>
      <c r="DV330">
        <v>1</v>
      </c>
      <c r="DX330">
        <v>14</v>
      </c>
      <c r="DY330">
        <v>1</v>
      </c>
      <c r="DZ330" t="s">
        <v>246</v>
      </c>
      <c r="EA330" t="s">
        <v>929</v>
      </c>
    </row>
    <row r="331" spans="1:131" x14ac:dyDescent="0.4">
      <c r="A331" s="34">
        <v>43067.305104166669</v>
      </c>
      <c r="B331" s="25">
        <v>42935.633333333331</v>
      </c>
      <c r="D331" s="34"/>
      <c r="E331" s="34" t="s">
        <v>193</v>
      </c>
      <c r="F331" s="34" t="s">
        <v>191</v>
      </c>
      <c r="G331" s="34" t="s">
        <v>100</v>
      </c>
      <c r="H331" t="s">
        <v>279</v>
      </c>
      <c r="I331" t="s">
        <v>243</v>
      </c>
      <c r="J331" t="s">
        <v>712</v>
      </c>
      <c r="K331" t="s">
        <v>713</v>
      </c>
      <c r="L331" t="s">
        <v>711</v>
      </c>
      <c r="M331" s="30">
        <v>2.0699999999999998</v>
      </c>
      <c r="N331">
        <v>7.5</v>
      </c>
      <c r="P331" s="24" t="str">
        <f>IFERROR(MID(RADataTable[[#This Row],[RATemplate]],1,LEN(RADataTable[[#This Row],[RATemplate]])-8),"RA") &amp; " " &amp; RADataTable[[#This Row],[prop_id0]] &amp; " " &amp; RADataTable[[#This Row],[last0]]</f>
        <v>RA 1750780 Raichel</v>
      </c>
      <c r="T331">
        <v>4</v>
      </c>
      <c r="U331">
        <v>4</v>
      </c>
      <c r="V331" s="34">
        <v>43030.181250000001</v>
      </c>
      <c r="W331">
        <v>1</v>
      </c>
      <c r="X331" s="15" t="str">
        <f>HYPERLINK("https://www.ejacket.nsf.gov/ej/showProposal.do?Continue=Y&amp;ID="&amp;RADataTable[[#This Row],[prop_id0]],"eJ")</f>
        <v>eJ</v>
      </c>
      <c r="Y331" s="15" t="str">
        <f>HYPERLINK("mailto:"&amp;RADataTable[[#This Row],[email]]&amp;"&amp;subject=Your NSF Proposal:  "&amp;RADataTable[[#This Row],[Div]]&amp;" "&amp;RADataTable[[#This Row],[prop_id0]], RADataTable[[#This Row],[email]])</f>
        <v>Benjamin.Raichel@utdallas.edu</v>
      </c>
      <c r="Z331" s="15" t="str">
        <f>HYPERLINK("mailto:"&amp;RADataTable[[#This Row],[allPIemail]]&amp;"&amp;subject=NSF Proposal:  "&amp;RADataTable[[#This Row],[Div]]&amp;" "&amp;RADataTable[[#This Row],[prop_id0]], "PIs@")</f>
        <v>PIs@</v>
      </c>
      <c r="AA331" t="s">
        <v>245</v>
      </c>
      <c r="AB331" t="s">
        <v>678</v>
      </c>
      <c r="AC331" s="30" t="s">
        <v>819</v>
      </c>
      <c r="AD331" t="s">
        <v>285</v>
      </c>
      <c r="AE331" t="s">
        <v>820</v>
      </c>
      <c r="AF331" s="36">
        <v>582785</v>
      </c>
      <c r="AG331" s="36">
        <v>582785</v>
      </c>
      <c r="AH331" s="24"/>
      <c r="AJ331" s="34"/>
      <c r="AK331" t="s">
        <v>923</v>
      </c>
      <c r="AL331" t="s">
        <v>232</v>
      </c>
      <c r="AM331" s="34" t="s">
        <v>925</v>
      </c>
      <c r="AN331" s="34">
        <v>43032</v>
      </c>
      <c r="AO331" s="24">
        <v>7</v>
      </c>
      <c r="AP331" t="s">
        <v>942</v>
      </c>
      <c r="AR331" s="35"/>
      <c r="AS331"/>
      <c r="AT331" s="34"/>
      <c r="AV331" s="34"/>
      <c r="AX331" s="34"/>
      <c r="AY331"/>
      <c r="BA331" s="34"/>
      <c r="BB331"/>
      <c r="BC331" t="s">
        <v>823</v>
      </c>
      <c r="BD331" s="36">
        <v>582785</v>
      </c>
      <c r="BE331" s="36">
        <v>582785</v>
      </c>
      <c r="BF331">
        <v>0</v>
      </c>
      <c r="BG331" s="34">
        <v>43344</v>
      </c>
      <c r="BH331">
        <v>60</v>
      </c>
      <c r="BI331" t="s">
        <v>283</v>
      </c>
      <c r="BJ331" t="s">
        <v>928</v>
      </c>
      <c r="BK331" t="s">
        <v>234</v>
      </c>
      <c r="BL331" t="s">
        <v>194</v>
      </c>
      <c r="BM331" s="8" t="s">
        <v>192</v>
      </c>
      <c r="BN331" t="s">
        <v>189</v>
      </c>
      <c r="BO331" t="s">
        <v>190</v>
      </c>
      <c r="BP331" s="35" t="s">
        <v>726</v>
      </c>
      <c r="BQ331"/>
      <c r="BU331" s="35"/>
      <c r="BV331" s="35"/>
      <c r="BX331"/>
      <c r="CA331" s="35"/>
      <c r="CB331" s="35"/>
      <c r="CC331"/>
      <c r="CG331" s="35"/>
      <c r="CH331" s="35"/>
      <c r="CK331"/>
      <c r="CM331" s="35"/>
      <c r="CN331" s="35"/>
      <c r="CQ331"/>
      <c r="CS331" s="35"/>
      <c r="CT331" s="35"/>
      <c r="CX331"/>
      <c r="CZ331" s="35"/>
      <c r="DD331" s="34"/>
      <c r="DG331" t="s">
        <v>822</v>
      </c>
      <c r="DH331" t="s">
        <v>964</v>
      </c>
      <c r="DI331" t="s">
        <v>233</v>
      </c>
      <c r="DL331" t="s">
        <v>678</v>
      </c>
      <c r="DM331">
        <v>7</v>
      </c>
      <c r="DN331">
        <v>9</v>
      </c>
      <c r="DO331" t="s">
        <v>756</v>
      </c>
      <c r="DQ331" t="s">
        <v>927</v>
      </c>
      <c r="DR331">
        <v>14</v>
      </c>
      <c r="DS331">
        <v>1</v>
      </c>
      <c r="DU331">
        <v>14</v>
      </c>
      <c r="DV331">
        <v>1</v>
      </c>
      <c r="DX331">
        <v>14</v>
      </c>
      <c r="DY331">
        <v>1</v>
      </c>
      <c r="DZ331" t="s">
        <v>246</v>
      </c>
      <c r="EA331" t="s">
        <v>929</v>
      </c>
    </row>
    <row r="332" spans="1:131" x14ac:dyDescent="0.4">
      <c r="A332" s="34">
        <v>43067.305104166669</v>
      </c>
      <c r="B332" s="25">
        <v>42935.633333333331</v>
      </c>
      <c r="D332" s="34"/>
      <c r="E332" s="34" t="s">
        <v>193</v>
      </c>
      <c r="F332" s="34" t="s">
        <v>191</v>
      </c>
      <c r="G332" s="34" t="s">
        <v>100</v>
      </c>
      <c r="H332" t="s">
        <v>279</v>
      </c>
      <c r="I332" t="s">
        <v>243</v>
      </c>
      <c r="J332" t="s">
        <v>712</v>
      </c>
      <c r="K332" t="s">
        <v>713</v>
      </c>
      <c r="L332" t="s">
        <v>711</v>
      </c>
      <c r="M332" s="30">
        <v>2.0699999999999998</v>
      </c>
      <c r="N332">
        <v>7.5</v>
      </c>
      <c r="P332" s="24" t="str">
        <f>IFERROR(MID(RADataTable[[#This Row],[RATemplate]],1,LEN(RADataTable[[#This Row],[RATemplate]])-8),"RA") &amp; " " &amp; RADataTable[[#This Row],[prop_id0]] &amp; " " &amp; RADataTable[[#This Row],[last0]]</f>
        <v>RA 1750780 Raichel</v>
      </c>
      <c r="T332">
        <v>4</v>
      </c>
      <c r="U332">
        <v>4</v>
      </c>
      <c r="V332" s="34">
        <v>43030.181250000001</v>
      </c>
      <c r="W332">
        <v>1</v>
      </c>
      <c r="X332" s="15" t="str">
        <f>HYPERLINK("https://www.ejacket.nsf.gov/ej/showProposal.do?Continue=Y&amp;ID="&amp;RADataTable[[#This Row],[prop_id0]],"eJ")</f>
        <v>eJ</v>
      </c>
      <c r="Y332" s="15" t="str">
        <f>HYPERLINK("mailto:"&amp;RADataTable[[#This Row],[email]]&amp;"&amp;subject=Your NSF Proposal:  "&amp;RADataTable[[#This Row],[Div]]&amp;" "&amp;RADataTable[[#This Row],[prop_id0]], RADataTable[[#This Row],[email]])</f>
        <v>Benjamin.Raichel@utdallas.edu</v>
      </c>
      <c r="Z332" s="15" t="str">
        <f>HYPERLINK("mailto:"&amp;RADataTable[[#This Row],[allPIemail]]&amp;"&amp;subject=NSF Proposal:  "&amp;RADataTable[[#This Row],[Div]]&amp;" "&amp;RADataTable[[#This Row],[prop_id0]], "PIs@")</f>
        <v>PIs@</v>
      </c>
      <c r="AA332" t="s">
        <v>245</v>
      </c>
      <c r="AB332" t="s">
        <v>678</v>
      </c>
      <c r="AC332" s="30" t="s">
        <v>819</v>
      </c>
      <c r="AD332" t="s">
        <v>285</v>
      </c>
      <c r="AE332" t="s">
        <v>820</v>
      </c>
      <c r="AF332" s="36">
        <v>582785</v>
      </c>
      <c r="AG332" s="36">
        <v>582785</v>
      </c>
      <c r="AH332" s="24"/>
      <c r="AJ332" s="34"/>
      <c r="AK332" t="s">
        <v>923</v>
      </c>
      <c r="AL332" t="s">
        <v>232</v>
      </c>
      <c r="AM332" s="34" t="s">
        <v>925</v>
      </c>
      <c r="AN332" s="34">
        <v>43032</v>
      </c>
      <c r="AO332" s="24">
        <v>7</v>
      </c>
      <c r="AP332" t="s">
        <v>942</v>
      </c>
      <c r="AR332" s="35"/>
      <c r="AS332"/>
      <c r="AT332" s="34"/>
      <c r="AV332" s="34"/>
      <c r="AX332" s="34"/>
      <c r="AY332"/>
      <c r="BA332" s="34"/>
      <c r="BB332"/>
      <c r="BC332" t="s">
        <v>823</v>
      </c>
      <c r="BD332" s="36">
        <v>582785</v>
      </c>
      <c r="BE332" s="36">
        <v>582785</v>
      </c>
      <c r="BF332">
        <v>0</v>
      </c>
      <c r="BG332" s="34">
        <v>43344</v>
      </c>
      <c r="BH332">
        <v>60</v>
      </c>
      <c r="BI332" t="s">
        <v>283</v>
      </c>
      <c r="BJ332" t="s">
        <v>928</v>
      </c>
      <c r="BK332" t="s">
        <v>234</v>
      </c>
      <c r="BL332" t="s">
        <v>194</v>
      </c>
      <c r="BM332" s="8" t="s">
        <v>192</v>
      </c>
      <c r="BN332" t="s">
        <v>189</v>
      </c>
      <c r="BO332" t="s">
        <v>190</v>
      </c>
      <c r="BP332" s="35" t="s">
        <v>726</v>
      </c>
      <c r="BQ332"/>
      <c r="BU332" s="35"/>
      <c r="BV332" s="35"/>
      <c r="BX332"/>
      <c r="CA332" s="35"/>
      <c r="CB332" s="35"/>
      <c r="CC332"/>
      <c r="CG332" s="35"/>
      <c r="CH332" s="35"/>
      <c r="CK332"/>
      <c r="CM332" s="35"/>
      <c r="CN332" s="35"/>
      <c r="CQ332"/>
      <c r="CS332" s="35"/>
      <c r="CT332" s="35"/>
      <c r="CX332"/>
      <c r="CZ332" s="35"/>
      <c r="DD332" s="34"/>
      <c r="DG332" t="s">
        <v>822</v>
      </c>
      <c r="DH332" t="s">
        <v>964</v>
      </c>
      <c r="DI332" t="s">
        <v>233</v>
      </c>
      <c r="DL332" t="s">
        <v>678</v>
      </c>
      <c r="DM332">
        <v>7</v>
      </c>
      <c r="DN332">
        <v>9</v>
      </c>
      <c r="DO332" t="s">
        <v>756</v>
      </c>
      <c r="DQ332" t="s">
        <v>927</v>
      </c>
      <c r="DR332">
        <v>14</v>
      </c>
      <c r="DS332">
        <v>1</v>
      </c>
      <c r="DU332">
        <v>14</v>
      </c>
      <c r="DV332">
        <v>1</v>
      </c>
      <c r="DX332">
        <v>14</v>
      </c>
      <c r="DY332">
        <v>1</v>
      </c>
      <c r="DZ332" t="s">
        <v>246</v>
      </c>
      <c r="EA332" t="s">
        <v>929</v>
      </c>
    </row>
    <row r="333" spans="1:131" x14ac:dyDescent="0.4">
      <c r="A333" s="34">
        <v>43067.305104166669</v>
      </c>
      <c r="B333" s="25">
        <v>42935.633333333331</v>
      </c>
      <c r="D333" s="34"/>
      <c r="E333" s="34" t="s">
        <v>193</v>
      </c>
      <c r="F333" s="34" t="s">
        <v>191</v>
      </c>
      <c r="G333" s="34" t="s">
        <v>100</v>
      </c>
      <c r="H333" t="s">
        <v>279</v>
      </c>
      <c r="I333" t="s">
        <v>243</v>
      </c>
      <c r="J333" t="s">
        <v>712</v>
      </c>
      <c r="K333" t="s">
        <v>713</v>
      </c>
      <c r="L333" t="s">
        <v>711</v>
      </c>
      <c r="M333" s="30">
        <v>2.0699999999999998</v>
      </c>
      <c r="N333">
        <v>7.5</v>
      </c>
      <c r="P333" s="24" t="str">
        <f>IFERROR(MID(RADataTable[[#This Row],[RATemplate]],1,LEN(RADataTable[[#This Row],[RATemplate]])-8),"RA") &amp; " " &amp; RADataTable[[#This Row],[prop_id0]] &amp; " " &amp; RADataTable[[#This Row],[last0]]</f>
        <v>RA 1750780 Raichel</v>
      </c>
      <c r="T333">
        <v>4</v>
      </c>
      <c r="U333">
        <v>4</v>
      </c>
      <c r="V333" s="34">
        <v>43030.181250000001</v>
      </c>
      <c r="W333">
        <v>1</v>
      </c>
      <c r="X333" s="15" t="str">
        <f>HYPERLINK("https://www.ejacket.nsf.gov/ej/showProposal.do?Continue=Y&amp;ID="&amp;RADataTable[[#This Row],[prop_id0]],"eJ")</f>
        <v>eJ</v>
      </c>
      <c r="Y333" s="15" t="str">
        <f>HYPERLINK("mailto:"&amp;RADataTable[[#This Row],[email]]&amp;"&amp;subject=Your NSF Proposal:  "&amp;RADataTable[[#This Row],[Div]]&amp;" "&amp;RADataTable[[#This Row],[prop_id0]], RADataTable[[#This Row],[email]])</f>
        <v>Benjamin.Raichel@utdallas.edu</v>
      </c>
      <c r="Z333" s="15" t="str">
        <f>HYPERLINK("mailto:"&amp;RADataTable[[#This Row],[allPIemail]]&amp;"&amp;subject=NSF Proposal:  "&amp;RADataTable[[#This Row],[Div]]&amp;" "&amp;RADataTable[[#This Row],[prop_id0]], "PIs@")</f>
        <v>PIs@</v>
      </c>
      <c r="AA333" t="s">
        <v>245</v>
      </c>
      <c r="AB333" t="s">
        <v>678</v>
      </c>
      <c r="AC333" s="30" t="s">
        <v>819</v>
      </c>
      <c r="AD333" t="s">
        <v>285</v>
      </c>
      <c r="AE333" t="s">
        <v>820</v>
      </c>
      <c r="AF333" s="36">
        <v>582785</v>
      </c>
      <c r="AG333" s="36">
        <v>582785</v>
      </c>
      <c r="AH333" s="24"/>
      <c r="AJ333" s="34"/>
      <c r="AK333" t="s">
        <v>923</v>
      </c>
      <c r="AL333" t="s">
        <v>232</v>
      </c>
      <c r="AM333" s="34" t="s">
        <v>925</v>
      </c>
      <c r="AN333" s="34">
        <v>43032</v>
      </c>
      <c r="AO333" s="24">
        <v>7</v>
      </c>
      <c r="AP333" t="s">
        <v>942</v>
      </c>
      <c r="AR333" s="35"/>
      <c r="AS333"/>
      <c r="AT333" s="34"/>
      <c r="AV333" s="34"/>
      <c r="AX333" s="34"/>
      <c r="AY333"/>
      <c r="BA333" s="34"/>
      <c r="BB333"/>
      <c r="BC333" t="s">
        <v>823</v>
      </c>
      <c r="BD333" s="36">
        <v>582785</v>
      </c>
      <c r="BE333" s="36">
        <v>582785</v>
      </c>
      <c r="BF333">
        <v>0</v>
      </c>
      <c r="BG333" s="34">
        <v>43344</v>
      </c>
      <c r="BH333">
        <v>60</v>
      </c>
      <c r="BI333" t="s">
        <v>283</v>
      </c>
      <c r="BJ333" t="s">
        <v>928</v>
      </c>
      <c r="BK333" t="s">
        <v>234</v>
      </c>
      <c r="BL333" t="s">
        <v>194</v>
      </c>
      <c r="BM333" s="8" t="s">
        <v>192</v>
      </c>
      <c r="BN333" t="s">
        <v>189</v>
      </c>
      <c r="BO333" t="s">
        <v>190</v>
      </c>
      <c r="BP333" s="35" t="s">
        <v>726</v>
      </c>
      <c r="BQ333"/>
      <c r="BU333" s="35"/>
      <c r="BV333" s="35"/>
      <c r="BX333"/>
      <c r="CA333" s="35"/>
      <c r="CB333" s="35"/>
      <c r="CC333"/>
      <c r="CG333" s="35"/>
      <c r="CH333" s="35"/>
      <c r="CK333"/>
      <c r="CM333" s="35"/>
      <c r="CN333" s="35"/>
      <c r="CQ333"/>
      <c r="CS333" s="35"/>
      <c r="CT333" s="35"/>
      <c r="CX333"/>
      <c r="CZ333" s="35"/>
      <c r="DD333" s="34"/>
      <c r="DG333" t="s">
        <v>822</v>
      </c>
      <c r="DH333" t="s">
        <v>964</v>
      </c>
      <c r="DI333" t="s">
        <v>233</v>
      </c>
      <c r="DL333" t="s">
        <v>678</v>
      </c>
      <c r="DM333">
        <v>7</v>
      </c>
      <c r="DN333">
        <v>9</v>
      </c>
      <c r="DO333" t="s">
        <v>756</v>
      </c>
      <c r="DQ333" t="s">
        <v>927</v>
      </c>
      <c r="DR333">
        <v>14</v>
      </c>
      <c r="DS333">
        <v>1</v>
      </c>
      <c r="DU333">
        <v>14</v>
      </c>
      <c r="DV333">
        <v>1</v>
      </c>
      <c r="DX333">
        <v>14</v>
      </c>
      <c r="DY333">
        <v>1</v>
      </c>
      <c r="DZ333" t="s">
        <v>246</v>
      </c>
      <c r="EA333" t="s">
        <v>929</v>
      </c>
    </row>
    <row r="334" spans="1:131" x14ac:dyDescent="0.4">
      <c r="A334" s="34">
        <v>43067.305104166669</v>
      </c>
      <c r="B334" s="25">
        <v>42935.633333333331</v>
      </c>
      <c r="D334" s="34"/>
      <c r="E334" s="34" t="s">
        <v>193</v>
      </c>
      <c r="F334" s="34" t="s">
        <v>191</v>
      </c>
      <c r="G334" s="34" t="s">
        <v>100</v>
      </c>
      <c r="H334" t="s">
        <v>279</v>
      </c>
      <c r="I334" t="s">
        <v>243</v>
      </c>
      <c r="J334" t="s">
        <v>712</v>
      </c>
      <c r="K334" t="s">
        <v>713</v>
      </c>
      <c r="L334" t="s">
        <v>711</v>
      </c>
      <c r="M334" s="30">
        <v>2.0699999999999998</v>
      </c>
      <c r="N334">
        <v>7.5</v>
      </c>
      <c r="P334" s="24" t="str">
        <f>IFERROR(MID(RADataTable[[#This Row],[RATemplate]],1,LEN(RADataTable[[#This Row],[RATemplate]])-8),"RA") &amp; " " &amp; RADataTable[[#This Row],[prop_id0]] &amp; " " &amp; RADataTable[[#This Row],[last0]]</f>
        <v>RA 1750780 Raichel</v>
      </c>
      <c r="T334">
        <v>4</v>
      </c>
      <c r="U334">
        <v>4</v>
      </c>
      <c r="V334" s="34">
        <v>43030.181250000001</v>
      </c>
      <c r="W334">
        <v>1</v>
      </c>
      <c r="X334" s="15" t="str">
        <f>HYPERLINK("https://www.ejacket.nsf.gov/ej/showProposal.do?Continue=Y&amp;ID="&amp;RADataTable[[#This Row],[prop_id0]],"eJ")</f>
        <v>eJ</v>
      </c>
      <c r="Y334" s="15" t="str">
        <f>HYPERLINK("mailto:"&amp;RADataTable[[#This Row],[email]]&amp;"&amp;subject=Your NSF Proposal:  "&amp;RADataTable[[#This Row],[Div]]&amp;" "&amp;RADataTable[[#This Row],[prop_id0]], RADataTable[[#This Row],[email]])</f>
        <v>Benjamin.Raichel@utdallas.edu</v>
      </c>
      <c r="Z334" s="15" t="str">
        <f>HYPERLINK("mailto:"&amp;RADataTable[[#This Row],[allPIemail]]&amp;"&amp;subject=NSF Proposal:  "&amp;RADataTable[[#This Row],[Div]]&amp;" "&amp;RADataTable[[#This Row],[prop_id0]], "PIs@")</f>
        <v>PIs@</v>
      </c>
      <c r="AA334" t="s">
        <v>245</v>
      </c>
      <c r="AB334" t="s">
        <v>678</v>
      </c>
      <c r="AC334" s="30" t="s">
        <v>819</v>
      </c>
      <c r="AD334" t="s">
        <v>285</v>
      </c>
      <c r="AE334" t="s">
        <v>820</v>
      </c>
      <c r="AF334" s="36">
        <v>582785</v>
      </c>
      <c r="AG334" s="36">
        <v>582785</v>
      </c>
      <c r="AH334" s="24"/>
      <c r="AJ334" s="34"/>
      <c r="AK334" t="s">
        <v>923</v>
      </c>
      <c r="AL334" t="s">
        <v>232</v>
      </c>
      <c r="AM334" s="34" t="s">
        <v>925</v>
      </c>
      <c r="AN334" s="34">
        <v>43032</v>
      </c>
      <c r="AO334" s="24">
        <v>7</v>
      </c>
      <c r="AP334" t="s">
        <v>942</v>
      </c>
      <c r="AR334" s="35"/>
      <c r="AS334"/>
      <c r="AT334" s="34"/>
      <c r="AV334" s="34"/>
      <c r="AX334" s="34"/>
      <c r="AY334"/>
      <c r="BA334" s="34"/>
      <c r="BB334"/>
      <c r="BC334" t="s">
        <v>823</v>
      </c>
      <c r="BD334" s="36">
        <v>582785</v>
      </c>
      <c r="BE334" s="36">
        <v>582785</v>
      </c>
      <c r="BF334">
        <v>0</v>
      </c>
      <c r="BG334" s="34">
        <v>43344</v>
      </c>
      <c r="BH334">
        <v>60</v>
      </c>
      <c r="BI334" t="s">
        <v>283</v>
      </c>
      <c r="BJ334" t="s">
        <v>928</v>
      </c>
      <c r="BK334" t="s">
        <v>234</v>
      </c>
      <c r="BL334" t="s">
        <v>194</v>
      </c>
      <c r="BM334" s="8" t="s">
        <v>192</v>
      </c>
      <c r="BN334" t="s">
        <v>189</v>
      </c>
      <c r="BO334" t="s">
        <v>190</v>
      </c>
      <c r="BP334" s="35" t="s">
        <v>726</v>
      </c>
      <c r="BQ334"/>
      <c r="BU334" s="35"/>
      <c r="BV334" s="35"/>
      <c r="BX334"/>
      <c r="CA334" s="35"/>
      <c r="CB334" s="35"/>
      <c r="CC334"/>
      <c r="CG334" s="35"/>
      <c r="CH334" s="35"/>
      <c r="CK334"/>
      <c r="CM334" s="35"/>
      <c r="CN334" s="35"/>
      <c r="CQ334"/>
      <c r="CS334" s="35"/>
      <c r="CT334" s="35"/>
      <c r="CX334"/>
      <c r="CZ334" s="35"/>
      <c r="DD334" s="34"/>
      <c r="DG334" t="s">
        <v>822</v>
      </c>
      <c r="DH334" t="s">
        <v>964</v>
      </c>
      <c r="DI334" t="s">
        <v>233</v>
      </c>
      <c r="DL334" t="s">
        <v>678</v>
      </c>
      <c r="DM334">
        <v>7</v>
      </c>
      <c r="DN334">
        <v>9</v>
      </c>
      <c r="DO334" t="s">
        <v>756</v>
      </c>
      <c r="DQ334" t="s">
        <v>927</v>
      </c>
      <c r="DR334">
        <v>14</v>
      </c>
      <c r="DS334">
        <v>1</v>
      </c>
      <c r="DU334">
        <v>14</v>
      </c>
      <c r="DV334">
        <v>1</v>
      </c>
      <c r="DX334">
        <v>14</v>
      </c>
      <c r="DY334">
        <v>1</v>
      </c>
      <c r="DZ334" t="s">
        <v>246</v>
      </c>
      <c r="EA334" t="s">
        <v>929</v>
      </c>
    </row>
    <row r="335" spans="1:131" x14ac:dyDescent="0.4">
      <c r="A335" s="34">
        <v>43067.305104166669</v>
      </c>
      <c r="B335" s="25">
        <v>42935.633333333331</v>
      </c>
      <c r="D335" s="34"/>
      <c r="E335" s="34" t="s">
        <v>193</v>
      </c>
      <c r="F335" s="34" t="s">
        <v>191</v>
      </c>
      <c r="G335" s="34" t="s">
        <v>100</v>
      </c>
      <c r="H335" t="s">
        <v>279</v>
      </c>
      <c r="I335" t="s">
        <v>243</v>
      </c>
      <c r="J335" t="s">
        <v>712</v>
      </c>
      <c r="K335" t="s">
        <v>713</v>
      </c>
      <c r="L335" t="s">
        <v>711</v>
      </c>
      <c r="M335" s="30">
        <v>2.0699999999999998</v>
      </c>
      <c r="N335">
        <v>7.5</v>
      </c>
      <c r="P335" s="24" t="str">
        <f>IFERROR(MID(RADataTable[[#This Row],[RATemplate]],1,LEN(RADataTable[[#This Row],[RATemplate]])-8),"RA") &amp; " " &amp; RADataTable[[#This Row],[prop_id0]] &amp; " " &amp; RADataTable[[#This Row],[last0]]</f>
        <v>RA 1750780 Raichel</v>
      </c>
      <c r="T335">
        <v>4</v>
      </c>
      <c r="U335">
        <v>4</v>
      </c>
      <c r="V335" s="34">
        <v>43030.181250000001</v>
      </c>
      <c r="W335">
        <v>1</v>
      </c>
      <c r="X335" s="15" t="str">
        <f>HYPERLINK("https://www.ejacket.nsf.gov/ej/showProposal.do?Continue=Y&amp;ID="&amp;RADataTable[[#This Row],[prop_id0]],"eJ")</f>
        <v>eJ</v>
      </c>
      <c r="Y335" s="15" t="str">
        <f>HYPERLINK("mailto:"&amp;RADataTable[[#This Row],[email]]&amp;"&amp;subject=Your NSF Proposal:  "&amp;RADataTable[[#This Row],[Div]]&amp;" "&amp;RADataTable[[#This Row],[prop_id0]], RADataTable[[#This Row],[email]])</f>
        <v>Benjamin.Raichel@utdallas.edu</v>
      </c>
      <c r="Z335" s="15" t="str">
        <f>HYPERLINK("mailto:"&amp;RADataTable[[#This Row],[allPIemail]]&amp;"&amp;subject=NSF Proposal:  "&amp;RADataTable[[#This Row],[Div]]&amp;" "&amp;RADataTable[[#This Row],[prop_id0]], "PIs@")</f>
        <v>PIs@</v>
      </c>
      <c r="AA335" t="s">
        <v>245</v>
      </c>
      <c r="AB335" t="s">
        <v>678</v>
      </c>
      <c r="AC335" s="30" t="s">
        <v>819</v>
      </c>
      <c r="AD335" t="s">
        <v>285</v>
      </c>
      <c r="AE335" t="s">
        <v>820</v>
      </c>
      <c r="AF335" s="36">
        <v>582785</v>
      </c>
      <c r="AG335" s="36">
        <v>582785</v>
      </c>
      <c r="AH335" s="24"/>
      <c r="AJ335" s="34"/>
      <c r="AK335" t="s">
        <v>923</v>
      </c>
      <c r="AL335" t="s">
        <v>232</v>
      </c>
      <c r="AM335" s="34" t="s">
        <v>925</v>
      </c>
      <c r="AN335" s="34">
        <v>43032</v>
      </c>
      <c r="AO335" s="24">
        <v>7</v>
      </c>
      <c r="AP335" t="s">
        <v>942</v>
      </c>
      <c r="AR335" s="35"/>
      <c r="AS335"/>
      <c r="AT335" s="34"/>
      <c r="AV335" s="34"/>
      <c r="AX335" s="34"/>
      <c r="AY335"/>
      <c r="BA335" s="34"/>
      <c r="BB335"/>
      <c r="BC335" t="s">
        <v>823</v>
      </c>
      <c r="BD335" s="36">
        <v>582785</v>
      </c>
      <c r="BE335" s="36">
        <v>582785</v>
      </c>
      <c r="BF335">
        <v>0</v>
      </c>
      <c r="BG335" s="34">
        <v>43344</v>
      </c>
      <c r="BH335">
        <v>60</v>
      </c>
      <c r="BI335" t="s">
        <v>283</v>
      </c>
      <c r="BJ335" t="s">
        <v>928</v>
      </c>
      <c r="BK335" t="s">
        <v>234</v>
      </c>
      <c r="BL335" t="s">
        <v>194</v>
      </c>
      <c r="BM335" s="8" t="s">
        <v>192</v>
      </c>
      <c r="BN335" t="s">
        <v>189</v>
      </c>
      <c r="BO335" t="s">
        <v>190</v>
      </c>
      <c r="BP335" s="35" t="s">
        <v>726</v>
      </c>
      <c r="BQ335"/>
      <c r="BU335" s="35"/>
      <c r="BV335" s="35"/>
      <c r="BX335"/>
      <c r="CA335" s="35"/>
      <c r="CB335" s="35"/>
      <c r="CC335"/>
      <c r="CG335" s="35"/>
      <c r="CH335" s="35"/>
      <c r="CK335"/>
      <c r="CM335" s="35"/>
      <c r="CN335" s="35"/>
      <c r="CQ335"/>
      <c r="CS335" s="35"/>
      <c r="CT335" s="35"/>
      <c r="CX335"/>
      <c r="CZ335" s="35"/>
      <c r="DD335" s="34"/>
      <c r="DG335" t="s">
        <v>822</v>
      </c>
      <c r="DH335" t="s">
        <v>964</v>
      </c>
      <c r="DI335" t="s">
        <v>233</v>
      </c>
      <c r="DL335" t="s">
        <v>678</v>
      </c>
      <c r="DM335">
        <v>7</v>
      </c>
      <c r="DN335">
        <v>9</v>
      </c>
      <c r="DO335" t="s">
        <v>756</v>
      </c>
      <c r="DQ335" t="s">
        <v>927</v>
      </c>
      <c r="DR335">
        <v>14</v>
      </c>
      <c r="DS335">
        <v>1</v>
      </c>
      <c r="DU335">
        <v>14</v>
      </c>
      <c r="DV335">
        <v>1</v>
      </c>
      <c r="DX335">
        <v>14</v>
      </c>
      <c r="DY335">
        <v>1</v>
      </c>
      <c r="DZ335" t="s">
        <v>246</v>
      </c>
      <c r="EA335" t="s">
        <v>929</v>
      </c>
    </row>
    <row r="336" spans="1:131" x14ac:dyDescent="0.4">
      <c r="A336" s="34">
        <v>43067.305104166669</v>
      </c>
      <c r="B336" s="25">
        <v>42935.633333333331</v>
      </c>
      <c r="D336" s="34"/>
      <c r="E336" s="34" t="s">
        <v>193</v>
      </c>
      <c r="F336" s="34" t="s">
        <v>191</v>
      </c>
      <c r="G336" s="34" t="s">
        <v>100</v>
      </c>
      <c r="H336" t="s">
        <v>279</v>
      </c>
      <c r="I336" t="s">
        <v>243</v>
      </c>
      <c r="J336" t="s">
        <v>712</v>
      </c>
      <c r="K336" t="s">
        <v>713</v>
      </c>
      <c r="L336" t="s">
        <v>711</v>
      </c>
      <c r="M336" s="30">
        <v>2.0699999999999998</v>
      </c>
      <c r="N336">
        <v>7.5</v>
      </c>
      <c r="P336" s="24" t="str">
        <f>IFERROR(MID(RADataTable[[#This Row],[RATemplate]],1,LEN(RADataTable[[#This Row],[RATemplate]])-8),"RA") &amp; " " &amp; RADataTable[[#This Row],[prop_id0]] &amp; " " &amp; RADataTable[[#This Row],[last0]]</f>
        <v>RA 1750780 Raichel</v>
      </c>
      <c r="T336">
        <v>4</v>
      </c>
      <c r="U336">
        <v>4</v>
      </c>
      <c r="V336" s="34">
        <v>43030.181250000001</v>
      </c>
      <c r="W336">
        <v>1</v>
      </c>
      <c r="X336" s="15" t="str">
        <f>HYPERLINK("https://www.ejacket.nsf.gov/ej/showProposal.do?Continue=Y&amp;ID="&amp;RADataTable[[#This Row],[prop_id0]],"eJ")</f>
        <v>eJ</v>
      </c>
      <c r="Y336" s="15" t="str">
        <f>HYPERLINK("mailto:"&amp;RADataTable[[#This Row],[email]]&amp;"&amp;subject=Your NSF Proposal:  "&amp;RADataTable[[#This Row],[Div]]&amp;" "&amp;RADataTable[[#This Row],[prop_id0]], RADataTable[[#This Row],[email]])</f>
        <v>Benjamin.Raichel@utdallas.edu</v>
      </c>
      <c r="Z336" s="15" t="str">
        <f>HYPERLINK("mailto:"&amp;RADataTable[[#This Row],[allPIemail]]&amp;"&amp;subject=NSF Proposal:  "&amp;RADataTable[[#This Row],[Div]]&amp;" "&amp;RADataTable[[#This Row],[prop_id0]], "PIs@")</f>
        <v>PIs@</v>
      </c>
      <c r="AA336" t="s">
        <v>245</v>
      </c>
      <c r="AB336" t="s">
        <v>678</v>
      </c>
      <c r="AC336" s="30" t="s">
        <v>819</v>
      </c>
      <c r="AD336" t="s">
        <v>285</v>
      </c>
      <c r="AE336" t="s">
        <v>820</v>
      </c>
      <c r="AF336" s="36">
        <v>582785</v>
      </c>
      <c r="AG336" s="36">
        <v>582785</v>
      </c>
      <c r="AH336" s="24"/>
      <c r="AJ336" s="34"/>
      <c r="AK336" t="s">
        <v>923</v>
      </c>
      <c r="AL336" t="s">
        <v>232</v>
      </c>
      <c r="AM336" s="34" t="s">
        <v>925</v>
      </c>
      <c r="AN336" s="34">
        <v>43032</v>
      </c>
      <c r="AO336" s="24">
        <v>7</v>
      </c>
      <c r="AP336" t="s">
        <v>942</v>
      </c>
      <c r="AR336" s="35"/>
      <c r="AS336"/>
      <c r="AT336" s="34"/>
      <c r="AV336" s="34"/>
      <c r="AX336" s="34"/>
      <c r="AY336"/>
      <c r="BA336" s="34"/>
      <c r="BB336"/>
      <c r="BC336" t="s">
        <v>823</v>
      </c>
      <c r="BD336" s="36">
        <v>582785</v>
      </c>
      <c r="BE336" s="36">
        <v>582785</v>
      </c>
      <c r="BF336">
        <v>0</v>
      </c>
      <c r="BG336" s="34">
        <v>43344</v>
      </c>
      <c r="BH336">
        <v>60</v>
      </c>
      <c r="BI336" t="s">
        <v>283</v>
      </c>
      <c r="BJ336" t="s">
        <v>928</v>
      </c>
      <c r="BK336" t="s">
        <v>234</v>
      </c>
      <c r="BL336" t="s">
        <v>194</v>
      </c>
      <c r="BM336" s="8" t="s">
        <v>192</v>
      </c>
      <c r="BN336" t="s">
        <v>189</v>
      </c>
      <c r="BO336" t="s">
        <v>190</v>
      </c>
      <c r="BP336" s="35" t="s">
        <v>726</v>
      </c>
      <c r="BQ336"/>
      <c r="BU336" s="35"/>
      <c r="BV336" s="35"/>
      <c r="BX336"/>
      <c r="CA336" s="35"/>
      <c r="CB336" s="35"/>
      <c r="CC336"/>
      <c r="CG336" s="35"/>
      <c r="CH336" s="35"/>
      <c r="CK336"/>
      <c r="CM336" s="35"/>
      <c r="CN336" s="35"/>
      <c r="CQ336"/>
      <c r="CS336" s="35"/>
      <c r="CT336" s="35"/>
      <c r="CX336"/>
      <c r="CZ336" s="35"/>
      <c r="DD336" s="34"/>
      <c r="DG336" t="s">
        <v>822</v>
      </c>
      <c r="DH336" t="s">
        <v>964</v>
      </c>
      <c r="DI336" t="s">
        <v>233</v>
      </c>
      <c r="DL336" t="s">
        <v>678</v>
      </c>
      <c r="DM336">
        <v>7</v>
      </c>
      <c r="DN336">
        <v>9</v>
      </c>
      <c r="DO336" t="s">
        <v>756</v>
      </c>
      <c r="DQ336" t="s">
        <v>927</v>
      </c>
      <c r="DR336">
        <v>14</v>
      </c>
      <c r="DS336">
        <v>1</v>
      </c>
      <c r="DU336">
        <v>14</v>
      </c>
      <c r="DV336">
        <v>1</v>
      </c>
      <c r="DX336">
        <v>14</v>
      </c>
      <c r="DY336">
        <v>1</v>
      </c>
      <c r="DZ336" t="s">
        <v>246</v>
      </c>
      <c r="EA336" t="s">
        <v>929</v>
      </c>
    </row>
    <row r="337" spans="1:131" x14ac:dyDescent="0.4">
      <c r="A337" s="34">
        <v>43067.305104166669</v>
      </c>
      <c r="B337" s="25">
        <v>42935.633333333331</v>
      </c>
      <c r="D337" s="34"/>
      <c r="E337" s="34" t="s">
        <v>193</v>
      </c>
      <c r="F337" s="34" t="s">
        <v>191</v>
      </c>
      <c r="G337" s="34" t="s">
        <v>100</v>
      </c>
      <c r="H337" t="s">
        <v>279</v>
      </c>
      <c r="I337" t="s">
        <v>243</v>
      </c>
      <c r="J337" t="s">
        <v>712</v>
      </c>
      <c r="K337" t="s">
        <v>713</v>
      </c>
      <c r="L337" t="s">
        <v>711</v>
      </c>
      <c r="M337" s="30">
        <v>2.0699999999999998</v>
      </c>
      <c r="N337">
        <v>7.5</v>
      </c>
      <c r="P337" s="24" t="str">
        <f>IFERROR(MID(RADataTable[[#This Row],[RATemplate]],1,LEN(RADataTable[[#This Row],[RATemplate]])-8),"RA") &amp; " " &amp; RADataTable[[#This Row],[prop_id0]] &amp; " " &amp; RADataTable[[#This Row],[last0]]</f>
        <v>RA 1750780 Raichel</v>
      </c>
      <c r="T337">
        <v>4</v>
      </c>
      <c r="U337">
        <v>4</v>
      </c>
      <c r="V337" s="34">
        <v>43030.181250000001</v>
      </c>
      <c r="W337">
        <v>1</v>
      </c>
      <c r="X337" s="15" t="str">
        <f>HYPERLINK("https://www.ejacket.nsf.gov/ej/showProposal.do?Continue=Y&amp;ID="&amp;RADataTable[[#This Row],[prop_id0]],"eJ")</f>
        <v>eJ</v>
      </c>
      <c r="Y337" s="15" t="str">
        <f>HYPERLINK("mailto:"&amp;RADataTable[[#This Row],[email]]&amp;"&amp;subject=Your NSF Proposal:  "&amp;RADataTable[[#This Row],[Div]]&amp;" "&amp;RADataTable[[#This Row],[prop_id0]], RADataTable[[#This Row],[email]])</f>
        <v>Benjamin.Raichel@utdallas.edu</v>
      </c>
      <c r="Z337" s="15" t="str">
        <f>HYPERLINK("mailto:"&amp;RADataTable[[#This Row],[allPIemail]]&amp;"&amp;subject=NSF Proposal:  "&amp;RADataTable[[#This Row],[Div]]&amp;" "&amp;RADataTable[[#This Row],[prop_id0]], "PIs@")</f>
        <v>PIs@</v>
      </c>
      <c r="AA337" t="s">
        <v>245</v>
      </c>
      <c r="AB337" t="s">
        <v>678</v>
      </c>
      <c r="AC337" s="30" t="s">
        <v>819</v>
      </c>
      <c r="AD337" t="s">
        <v>285</v>
      </c>
      <c r="AE337" t="s">
        <v>820</v>
      </c>
      <c r="AF337" s="36">
        <v>582785</v>
      </c>
      <c r="AG337" s="36">
        <v>582785</v>
      </c>
      <c r="AH337" s="24"/>
      <c r="AJ337" s="34"/>
      <c r="AK337" t="s">
        <v>923</v>
      </c>
      <c r="AL337" t="s">
        <v>232</v>
      </c>
      <c r="AM337" s="34" t="s">
        <v>925</v>
      </c>
      <c r="AN337" s="34">
        <v>43032</v>
      </c>
      <c r="AO337" s="24">
        <v>7</v>
      </c>
      <c r="AP337" t="s">
        <v>942</v>
      </c>
      <c r="AR337" s="35"/>
      <c r="AS337"/>
      <c r="AT337" s="34"/>
      <c r="AV337" s="34"/>
      <c r="AX337" s="34"/>
      <c r="AY337"/>
      <c r="BA337" s="34"/>
      <c r="BB337"/>
      <c r="BC337" t="s">
        <v>823</v>
      </c>
      <c r="BD337" s="36">
        <v>582785</v>
      </c>
      <c r="BE337" s="36">
        <v>582785</v>
      </c>
      <c r="BF337">
        <v>0</v>
      </c>
      <c r="BG337" s="34">
        <v>43344</v>
      </c>
      <c r="BH337">
        <v>60</v>
      </c>
      <c r="BI337" t="s">
        <v>283</v>
      </c>
      <c r="BJ337" t="s">
        <v>928</v>
      </c>
      <c r="BK337" t="s">
        <v>234</v>
      </c>
      <c r="BL337" t="s">
        <v>194</v>
      </c>
      <c r="BM337" s="8" t="s">
        <v>192</v>
      </c>
      <c r="BN337" t="s">
        <v>189</v>
      </c>
      <c r="BO337" t="s">
        <v>190</v>
      </c>
      <c r="BP337" s="35" t="s">
        <v>726</v>
      </c>
      <c r="BQ337"/>
      <c r="BU337" s="35"/>
      <c r="BV337" s="35"/>
      <c r="BX337"/>
      <c r="CA337" s="35"/>
      <c r="CB337" s="35"/>
      <c r="CC337"/>
      <c r="CG337" s="35"/>
      <c r="CH337" s="35"/>
      <c r="CK337"/>
      <c r="CM337" s="35"/>
      <c r="CN337" s="35"/>
      <c r="CQ337"/>
      <c r="CS337" s="35"/>
      <c r="CT337" s="35"/>
      <c r="CX337"/>
      <c r="CZ337" s="35"/>
      <c r="DD337" s="34"/>
      <c r="DG337" t="s">
        <v>822</v>
      </c>
      <c r="DH337" t="s">
        <v>964</v>
      </c>
      <c r="DI337" t="s">
        <v>233</v>
      </c>
      <c r="DL337" t="s">
        <v>678</v>
      </c>
      <c r="DM337">
        <v>7</v>
      </c>
      <c r="DN337">
        <v>9</v>
      </c>
      <c r="DO337" t="s">
        <v>756</v>
      </c>
      <c r="DQ337" t="s">
        <v>927</v>
      </c>
      <c r="DR337">
        <v>14</v>
      </c>
      <c r="DS337">
        <v>1</v>
      </c>
      <c r="DU337">
        <v>14</v>
      </c>
      <c r="DV337">
        <v>1</v>
      </c>
      <c r="DX337">
        <v>14</v>
      </c>
      <c r="DY337">
        <v>1</v>
      </c>
      <c r="DZ337" t="s">
        <v>246</v>
      </c>
      <c r="EA337" t="s">
        <v>929</v>
      </c>
    </row>
    <row r="338" spans="1:131" x14ac:dyDescent="0.4">
      <c r="A338" s="34">
        <v>43067.305104166669</v>
      </c>
      <c r="B338" s="25">
        <v>42935.633333333331</v>
      </c>
      <c r="D338" s="34"/>
      <c r="E338" s="34" t="s">
        <v>193</v>
      </c>
      <c r="F338" s="34" t="s">
        <v>191</v>
      </c>
      <c r="G338" s="34" t="s">
        <v>100</v>
      </c>
      <c r="H338" t="s">
        <v>279</v>
      </c>
      <c r="I338" t="s">
        <v>243</v>
      </c>
      <c r="J338" t="s">
        <v>712</v>
      </c>
      <c r="K338" t="s">
        <v>713</v>
      </c>
      <c r="L338" t="s">
        <v>711</v>
      </c>
      <c r="M338" s="30">
        <v>2.0699999999999998</v>
      </c>
      <c r="N338">
        <v>7.5</v>
      </c>
      <c r="P338" s="24" t="str">
        <f>IFERROR(MID(RADataTable[[#This Row],[RATemplate]],1,LEN(RADataTable[[#This Row],[RATemplate]])-8),"RA") &amp; " " &amp; RADataTable[[#This Row],[prop_id0]] &amp; " " &amp; RADataTable[[#This Row],[last0]]</f>
        <v>RA 1750780 Raichel</v>
      </c>
      <c r="T338">
        <v>4</v>
      </c>
      <c r="U338">
        <v>4</v>
      </c>
      <c r="V338" s="34">
        <v>43030.181250000001</v>
      </c>
      <c r="W338">
        <v>1</v>
      </c>
      <c r="X338" s="15" t="str">
        <f>HYPERLINK("https://www.ejacket.nsf.gov/ej/showProposal.do?Continue=Y&amp;ID="&amp;RADataTable[[#This Row],[prop_id0]],"eJ")</f>
        <v>eJ</v>
      </c>
      <c r="Y338" s="15" t="str">
        <f>HYPERLINK("mailto:"&amp;RADataTable[[#This Row],[email]]&amp;"&amp;subject=Your NSF Proposal:  "&amp;RADataTable[[#This Row],[Div]]&amp;" "&amp;RADataTable[[#This Row],[prop_id0]], RADataTable[[#This Row],[email]])</f>
        <v>Benjamin.Raichel@utdallas.edu</v>
      </c>
      <c r="Z338" s="15" t="str">
        <f>HYPERLINK("mailto:"&amp;RADataTable[[#This Row],[allPIemail]]&amp;"&amp;subject=NSF Proposal:  "&amp;RADataTable[[#This Row],[Div]]&amp;" "&amp;RADataTable[[#This Row],[prop_id0]], "PIs@")</f>
        <v>PIs@</v>
      </c>
      <c r="AA338" t="s">
        <v>245</v>
      </c>
      <c r="AB338" t="s">
        <v>678</v>
      </c>
      <c r="AC338" s="30" t="s">
        <v>819</v>
      </c>
      <c r="AD338" t="s">
        <v>285</v>
      </c>
      <c r="AE338" t="s">
        <v>820</v>
      </c>
      <c r="AF338" s="36">
        <v>582785</v>
      </c>
      <c r="AG338" s="36">
        <v>582785</v>
      </c>
      <c r="AH338" s="24"/>
      <c r="AJ338" s="34"/>
      <c r="AK338" t="s">
        <v>923</v>
      </c>
      <c r="AL338" t="s">
        <v>232</v>
      </c>
      <c r="AM338" s="34" t="s">
        <v>925</v>
      </c>
      <c r="AN338" s="34">
        <v>43032</v>
      </c>
      <c r="AO338" s="24">
        <v>7</v>
      </c>
      <c r="AP338" t="s">
        <v>942</v>
      </c>
      <c r="AR338" s="35"/>
      <c r="AS338"/>
      <c r="AT338" s="34"/>
      <c r="AV338" s="34"/>
      <c r="AX338" s="34"/>
      <c r="AY338"/>
      <c r="BA338" s="34"/>
      <c r="BB338"/>
      <c r="BC338" t="s">
        <v>823</v>
      </c>
      <c r="BD338" s="36">
        <v>582785</v>
      </c>
      <c r="BE338" s="36">
        <v>582785</v>
      </c>
      <c r="BF338">
        <v>0</v>
      </c>
      <c r="BG338" s="34">
        <v>43344</v>
      </c>
      <c r="BH338">
        <v>60</v>
      </c>
      <c r="BI338" t="s">
        <v>283</v>
      </c>
      <c r="BJ338" t="s">
        <v>928</v>
      </c>
      <c r="BK338" t="s">
        <v>234</v>
      </c>
      <c r="BL338" t="s">
        <v>194</v>
      </c>
      <c r="BM338" s="8" t="s">
        <v>192</v>
      </c>
      <c r="BN338" t="s">
        <v>189</v>
      </c>
      <c r="BO338" t="s">
        <v>190</v>
      </c>
      <c r="BP338" s="35" t="s">
        <v>726</v>
      </c>
      <c r="BQ338"/>
      <c r="BU338" s="35"/>
      <c r="BV338" s="35"/>
      <c r="BX338"/>
      <c r="CA338" s="35"/>
      <c r="CB338" s="35"/>
      <c r="CC338"/>
      <c r="CG338" s="35"/>
      <c r="CH338" s="35"/>
      <c r="CK338"/>
      <c r="CM338" s="35"/>
      <c r="CN338" s="35"/>
      <c r="CQ338"/>
      <c r="CS338" s="35"/>
      <c r="CT338" s="35"/>
      <c r="CX338"/>
      <c r="CZ338" s="35"/>
      <c r="DD338" s="34"/>
      <c r="DG338" t="s">
        <v>822</v>
      </c>
      <c r="DH338" t="s">
        <v>964</v>
      </c>
      <c r="DI338" t="s">
        <v>233</v>
      </c>
      <c r="DL338" t="s">
        <v>678</v>
      </c>
      <c r="DM338">
        <v>7</v>
      </c>
      <c r="DN338">
        <v>9</v>
      </c>
      <c r="DO338" t="s">
        <v>756</v>
      </c>
      <c r="DQ338" t="s">
        <v>927</v>
      </c>
      <c r="DR338">
        <v>14</v>
      </c>
      <c r="DS338">
        <v>1</v>
      </c>
      <c r="DU338">
        <v>14</v>
      </c>
      <c r="DV338">
        <v>1</v>
      </c>
      <c r="DX338">
        <v>14</v>
      </c>
      <c r="DY338">
        <v>1</v>
      </c>
      <c r="DZ338" t="s">
        <v>246</v>
      </c>
      <c r="EA338" t="s">
        <v>929</v>
      </c>
    </row>
    <row r="339" spans="1:131" x14ac:dyDescent="0.4">
      <c r="A339" s="34">
        <v>43067.305104166669</v>
      </c>
      <c r="B339" s="25">
        <v>42935.633333333331</v>
      </c>
      <c r="D339" s="34"/>
      <c r="E339" s="34" t="s">
        <v>193</v>
      </c>
      <c r="F339" s="34" t="s">
        <v>191</v>
      </c>
      <c r="G339" s="34" t="s">
        <v>100</v>
      </c>
      <c r="H339" t="s">
        <v>279</v>
      </c>
      <c r="I339" t="s">
        <v>243</v>
      </c>
      <c r="J339" t="s">
        <v>712</v>
      </c>
      <c r="K339" t="s">
        <v>713</v>
      </c>
      <c r="L339" t="s">
        <v>711</v>
      </c>
      <c r="M339" s="30">
        <v>2.0699999999999998</v>
      </c>
      <c r="N339">
        <v>7.5</v>
      </c>
      <c r="P339" s="24" t="str">
        <f>IFERROR(MID(RADataTable[[#This Row],[RATemplate]],1,LEN(RADataTable[[#This Row],[RATemplate]])-8),"RA") &amp; " " &amp; RADataTable[[#This Row],[prop_id0]] &amp; " " &amp; RADataTable[[#This Row],[last0]]</f>
        <v>RA 1750780 Raichel</v>
      </c>
      <c r="T339">
        <v>4</v>
      </c>
      <c r="U339">
        <v>4</v>
      </c>
      <c r="V339" s="34">
        <v>43030.181250000001</v>
      </c>
      <c r="W339">
        <v>1</v>
      </c>
      <c r="X339" s="15" t="str">
        <f>HYPERLINK("https://www.ejacket.nsf.gov/ej/showProposal.do?Continue=Y&amp;ID="&amp;RADataTable[[#This Row],[prop_id0]],"eJ")</f>
        <v>eJ</v>
      </c>
      <c r="Y339" s="15" t="str">
        <f>HYPERLINK("mailto:"&amp;RADataTable[[#This Row],[email]]&amp;"&amp;subject=Your NSF Proposal:  "&amp;RADataTable[[#This Row],[Div]]&amp;" "&amp;RADataTable[[#This Row],[prop_id0]], RADataTable[[#This Row],[email]])</f>
        <v>Benjamin.Raichel@utdallas.edu</v>
      </c>
      <c r="Z339" s="15" t="str">
        <f>HYPERLINK("mailto:"&amp;RADataTable[[#This Row],[allPIemail]]&amp;"&amp;subject=NSF Proposal:  "&amp;RADataTable[[#This Row],[Div]]&amp;" "&amp;RADataTable[[#This Row],[prop_id0]], "PIs@")</f>
        <v>PIs@</v>
      </c>
      <c r="AA339" t="s">
        <v>245</v>
      </c>
      <c r="AB339" t="s">
        <v>678</v>
      </c>
      <c r="AC339" s="30" t="s">
        <v>819</v>
      </c>
      <c r="AD339" t="s">
        <v>285</v>
      </c>
      <c r="AE339" t="s">
        <v>820</v>
      </c>
      <c r="AF339" s="36">
        <v>582785</v>
      </c>
      <c r="AG339" s="36">
        <v>582785</v>
      </c>
      <c r="AH339" s="24"/>
      <c r="AJ339" s="34"/>
      <c r="AK339" t="s">
        <v>923</v>
      </c>
      <c r="AL339" t="s">
        <v>232</v>
      </c>
      <c r="AM339" s="34" t="s">
        <v>925</v>
      </c>
      <c r="AN339" s="34">
        <v>43032</v>
      </c>
      <c r="AO339" s="24">
        <v>7</v>
      </c>
      <c r="AP339" t="s">
        <v>942</v>
      </c>
      <c r="AR339" s="35"/>
      <c r="AS339"/>
      <c r="AT339" s="34"/>
      <c r="AV339" s="34"/>
      <c r="AX339" s="34"/>
      <c r="AY339"/>
      <c r="BA339" s="34"/>
      <c r="BB339"/>
      <c r="BC339" t="s">
        <v>823</v>
      </c>
      <c r="BD339" s="36">
        <v>582785</v>
      </c>
      <c r="BE339" s="36">
        <v>582785</v>
      </c>
      <c r="BF339">
        <v>0</v>
      </c>
      <c r="BG339" s="34">
        <v>43344</v>
      </c>
      <c r="BH339">
        <v>60</v>
      </c>
      <c r="BI339" t="s">
        <v>283</v>
      </c>
      <c r="BJ339" t="s">
        <v>928</v>
      </c>
      <c r="BK339" t="s">
        <v>234</v>
      </c>
      <c r="BL339" t="s">
        <v>194</v>
      </c>
      <c r="BM339" s="8" t="s">
        <v>192</v>
      </c>
      <c r="BN339" t="s">
        <v>189</v>
      </c>
      <c r="BO339" t="s">
        <v>190</v>
      </c>
      <c r="BP339" s="35" t="s">
        <v>726</v>
      </c>
      <c r="BQ339"/>
      <c r="BU339" s="35"/>
      <c r="BV339" s="35"/>
      <c r="BX339"/>
      <c r="CA339" s="35"/>
      <c r="CB339" s="35"/>
      <c r="CC339"/>
      <c r="CG339" s="35"/>
      <c r="CH339" s="35"/>
      <c r="CK339"/>
      <c r="CM339" s="35"/>
      <c r="CN339" s="35"/>
      <c r="CQ339"/>
      <c r="CS339" s="35"/>
      <c r="CT339" s="35"/>
      <c r="CX339"/>
      <c r="CZ339" s="35"/>
      <c r="DD339" s="34"/>
      <c r="DG339" t="s">
        <v>822</v>
      </c>
      <c r="DH339" t="s">
        <v>964</v>
      </c>
      <c r="DI339" t="s">
        <v>233</v>
      </c>
      <c r="DL339" t="s">
        <v>678</v>
      </c>
      <c r="DM339">
        <v>7</v>
      </c>
      <c r="DN339">
        <v>9</v>
      </c>
      <c r="DO339" t="s">
        <v>756</v>
      </c>
      <c r="DQ339" t="s">
        <v>927</v>
      </c>
      <c r="DR339">
        <v>14</v>
      </c>
      <c r="DS339">
        <v>1</v>
      </c>
      <c r="DU339">
        <v>14</v>
      </c>
      <c r="DV339">
        <v>1</v>
      </c>
      <c r="DX339">
        <v>14</v>
      </c>
      <c r="DY339">
        <v>1</v>
      </c>
      <c r="DZ339" t="s">
        <v>246</v>
      </c>
      <c r="EA339" t="s">
        <v>929</v>
      </c>
    </row>
    <row r="340" spans="1:131" x14ac:dyDescent="0.4">
      <c r="A340" s="34">
        <v>43067.305104166669</v>
      </c>
      <c r="B340" s="25">
        <v>42935.633333333331</v>
      </c>
      <c r="D340" s="34"/>
      <c r="E340" s="34" t="s">
        <v>193</v>
      </c>
      <c r="F340" s="34" t="s">
        <v>191</v>
      </c>
      <c r="G340" s="34" t="s">
        <v>100</v>
      </c>
      <c r="H340" t="s">
        <v>279</v>
      </c>
      <c r="I340" t="s">
        <v>243</v>
      </c>
      <c r="J340" t="s">
        <v>712</v>
      </c>
      <c r="K340" t="s">
        <v>713</v>
      </c>
      <c r="L340" t="s">
        <v>711</v>
      </c>
      <c r="M340" s="30">
        <v>2.0699999999999998</v>
      </c>
      <c r="N340">
        <v>7.5</v>
      </c>
      <c r="P340" s="24" t="str">
        <f>IFERROR(MID(RADataTable[[#This Row],[RATemplate]],1,LEN(RADataTable[[#This Row],[RATemplate]])-8),"RA") &amp; " " &amp; RADataTable[[#This Row],[prop_id0]] &amp; " " &amp; RADataTable[[#This Row],[last0]]</f>
        <v>RA 1750780 Raichel</v>
      </c>
      <c r="T340">
        <v>4</v>
      </c>
      <c r="U340">
        <v>4</v>
      </c>
      <c r="V340" s="34">
        <v>43030.181250000001</v>
      </c>
      <c r="W340">
        <v>1</v>
      </c>
      <c r="X340" s="15" t="str">
        <f>HYPERLINK("https://www.ejacket.nsf.gov/ej/showProposal.do?Continue=Y&amp;ID="&amp;RADataTable[[#This Row],[prop_id0]],"eJ")</f>
        <v>eJ</v>
      </c>
      <c r="Y340" s="15" t="str">
        <f>HYPERLINK("mailto:"&amp;RADataTable[[#This Row],[email]]&amp;"&amp;subject=Your NSF Proposal:  "&amp;RADataTable[[#This Row],[Div]]&amp;" "&amp;RADataTable[[#This Row],[prop_id0]], RADataTable[[#This Row],[email]])</f>
        <v>Benjamin.Raichel@utdallas.edu</v>
      </c>
      <c r="Z340" s="15" t="str">
        <f>HYPERLINK("mailto:"&amp;RADataTable[[#This Row],[allPIemail]]&amp;"&amp;subject=NSF Proposal:  "&amp;RADataTable[[#This Row],[Div]]&amp;" "&amp;RADataTable[[#This Row],[prop_id0]], "PIs@")</f>
        <v>PIs@</v>
      </c>
      <c r="AA340" t="s">
        <v>245</v>
      </c>
      <c r="AB340" t="s">
        <v>678</v>
      </c>
      <c r="AC340" s="30" t="s">
        <v>819</v>
      </c>
      <c r="AD340" t="s">
        <v>285</v>
      </c>
      <c r="AE340" t="s">
        <v>820</v>
      </c>
      <c r="AF340" s="36">
        <v>582785</v>
      </c>
      <c r="AG340" s="36">
        <v>582785</v>
      </c>
      <c r="AH340" s="24"/>
      <c r="AJ340" s="34"/>
      <c r="AK340" t="s">
        <v>923</v>
      </c>
      <c r="AL340" t="s">
        <v>232</v>
      </c>
      <c r="AM340" s="34" t="s">
        <v>925</v>
      </c>
      <c r="AN340" s="34">
        <v>43032</v>
      </c>
      <c r="AO340" s="24">
        <v>7</v>
      </c>
      <c r="AP340" t="s">
        <v>942</v>
      </c>
      <c r="AR340" s="35"/>
      <c r="AS340"/>
      <c r="AT340" s="34"/>
      <c r="AV340" s="34"/>
      <c r="AX340" s="34"/>
      <c r="AY340"/>
      <c r="BA340" s="34"/>
      <c r="BB340"/>
      <c r="BC340" t="s">
        <v>823</v>
      </c>
      <c r="BD340" s="36">
        <v>582785</v>
      </c>
      <c r="BE340" s="36">
        <v>582785</v>
      </c>
      <c r="BF340">
        <v>0</v>
      </c>
      <c r="BG340" s="34">
        <v>43344</v>
      </c>
      <c r="BH340">
        <v>60</v>
      </c>
      <c r="BI340" t="s">
        <v>283</v>
      </c>
      <c r="BJ340" t="s">
        <v>928</v>
      </c>
      <c r="BK340" t="s">
        <v>234</v>
      </c>
      <c r="BL340" t="s">
        <v>194</v>
      </c>
      <c r="BM340" s="8" t="s">
        <v>192</v>
      </c>
      <c r="BN340" t="s">
        <v>189</v>
      </c>
      <c r="BO340" t="s">
        <v>190</v>
      </c>
      <c r="BP340" s="35" t="s">
        <v>726</v>
      </c>
      <c r="BQ340"/>
      <c r="BU340" s="35"/>
      <c r="BV340" s="35"/>
      <c r="BX340"/>
      <c r="CA340" s="35"/>
      <c r="CB340" s="35"/>
      <c r="CC340"/>
      <c r="CG340" s="35"/>
      <c r="CH340" s="35"/>
      <c r="CK340"/>
      <c r="CM340" s="35"/>
      <c r="CN340" s="35"/>
      <c r="CQ340"/>
      <c r="CS340" s="35"/>
      <c r="CT340" s="35"/>
      <c r="CX340"/>
      <c r="CZ340" s="35"/>
      <c r="DD340" s="34"/>
      <c r="DG340" t="s">
        <v>822</v>
      </c>
      <c r="DH340" t="s">
        <v>964</v>
      </c>
      <c r="DI340" t="s">
        <v>233</v>
      </c>
      <c r="DL340" t="s">
        <v>678</v>
      </c>
      <c r="DM340">
        <v>7</v>
      </c>
      <c r="DN340">
        <v>9</v>
      </c>
      <c r="DO340" t="s">
        <v>756</v>
      </c>
      <c r="DQ340" t="s">
        <v>927</v>
      </c>
      <c r="DR340">
        <v>14</v>
      </c>
      <c r="DS340">
        <v>1</v>
      </c>
      <c r="DU340">
        <v>14</v>
      </c>
      <c r="DV340">
        <v>1</v>
      </c>
      <c r="DX340">
        <v>14</v>
      </c>
      <c r="DY340">
        <v>1</v>
      </c>
      <c r="DZ340" t="s">
        <v>246</v>
      </c>
      <c r="EA340" t="s">
        <v>929</v>
      </c>
    </row>
    <row r="341" spans="1:131" x14ac:dyDescent="0.4">
      <c r="A341" s="34">
        <v>43067.305104166669</v>
      </c>
      <c r="B341" s="25">
        <v>42935.633333333331</v>
      </c>
      <c r="D341" s="34"/>
      <c r="E341" s="34" t="s">
        <v>193</v>
      </c>
      <c r="F341" s="34" t="s">
        <v>191</v>
      </c>
      <c r="G341" s="34" t="s">
        <v>100</v>
      </c>
      <c r="H341" t="s">
        <v>279</v>
      </c>
      <c r="I341" t="s">
        <v>243</v>
      </c>
      <c r="J341" t="s">
        <v>712</v>
      </c>
      <c r="K341" t="s">
        <v>713</v>
      </c>
      <c r="L341" t="s">
        <v>711</v>
      </c>
      <c r="M341" s="30">
        <v>2.0699999999999998</v>
      </c>
      <c r="N341">
        <v>7.5</v>
      </c>
      <c r="P341" s="24" t="str">
        <f>IFERROR(MID(RADataTable[[#This Row],[RATemplate]],1,LEN(RADataTable[[#This Row],[RATemplate]])-8),"RA") &amp; " " &amp; RADataTable[[#This Row],[prop_id0]] &amp; " " &amp; RADataTable[[#This Row],[last0]]</f>
        <v>RA 1750780 Raichel</v>
      </c>
      <c r="T341">
        <v>4</v>
      </c>
      <c r="U341">
        <v>4</v>
      </c>
      <c r="V341" s="34">
        <v>43030.181250000001</v>
      </c>
      <c r="W341">
        <v>1</v>
      </c>
      <c r="X341" s="15" t="str">
        <f>HYPERLINK("https://www.ejacket.nsf.gov/ej/showProposal.do?Continue=Y&amp;ID="&amp;RADataTable[[#This Row],[prop_id0]],"eJ")</f>
        <v>eJ</v>
      </c>
      <c r="Y341" s="15" t="str">
        <f>HYPERLINK("mailto:"&amp;RADataTable[[#This Row],[email]]&amp;"&amp;subject=Your NSF Proposal:  "&amp;RADataTable[[#This Row],[Div]]&amp;" "&amp;RADataTable[[#This Row],[prop_id0]], RADataTable[[#This Row],[email]])</f>
        <v>Benjamin.Raichel@utdallas.edu</v>
      </c>
      <c r="Z341" s="15" t="str">
        <f>HYPERLINK("mailto:"&amp;RADataTable[[#This Row],[allPIemail]]&amp;"&amp;subject=NSF Proposal:  "&amp;RADataTable[[#This Row],[Div]]&amp;" "&amp;RADataTable[[#This Row],[prop_id0]], "PIs@")</f>
        <v>PIs@</v>
      </c>
      <c r="AA341" t="s">
        <v>245</v>
      </c>
      <c r="AB341" t="s">
        <v>678</v>
      </c>
      <c r="AC341" s="30" t="s">
        <v>819</v>
      </c>
      <c r="AD341" t="s">
        <v>285</v>
      </c>
      <c r="AE341" t="s">
        <v>820</v>
      </c>
      <c r="AF341" s="36">
        <v>582785</v>
      </c>
      <c r="AG341" s="36">
        <v>582785</v>
      </c>
      <c r="AH341" s="24"/>
      <c r="AJ341" s="34"/>
      <c r="AK341" t="s">
        <v>923</v>
      </c>
      <c r="AL341" t="s">
        <v>232</v>
      </c>
      <c r="AM341" s="34" t="s">
        <v>925</v>
      </c>
      <c r="AN341" s="34">
        <v>43032</v>
      </c>
      <c r="AO341" s="24">
        <v>7</v>
      </c>
      <c r="AP341" t="s">
        <v>942</v>
      </c>
      <c r="AR341" s="35"/>
      <c r="AS341"/>
      <c r="AT341" s="34"/>
      <c r="AV341" s="34"/>
      <c r="AX341" s="34"/>
      <c r="AY341"/>
      <c r="BA341" s="34"/>
      <c r="BB341"/>
      <c r="BC341" t="s">
        <v>823</v>
      </c>
      <c r="BD341" s="36">
        <v>582785</v>
      </c>
      <c r="BE341" s="36">
        <v>582785</v>
      </c>
      <c r="BF341">
        <v>0</v>
      </c>
      <c r="BG341" s="34">
        <v>43344</v>
      </c>
      <c r="BH341">
        <v>60</v>
      </c>
      <c r="BI341" t="s">
        <v>283</v>
      </c>
      <c r="BJ341" t="s">
        <v>928</v>
      </c>
      <c r="BK341" t="s">
        <v>234</v>
      </c>
      <c r="BL341" t="s">
        <v>194</v>
      </c>
      <c r="BM341" s="8" t="s">
        <v>192</v>
      </c>
      <c r="BN341" t="s">
        <v>189</v>
      </c>
      <c r="BO341" t="s">
        <v>190</v>
      </c>
      <c r="BP341" s="35" t="s">
        <v>726</v>
      </c>
      <c r="BQ341"/>
      <c r="BU341" s="35"/>
      <c r="BV341" s="35"/>
      <c r="BX341"/>
      <c r="CA341" s="35"/>
      <c r="CB341" s="35"/>
      <c r="CC341"/>
      <c r="CG341" s="35"/>
      <c r="CH341" s="35"/>
      <c r="CK341"/>
      <c r="CM341" s="35"/>
      <c r="CN341" s="35"/>
      <c r="CQ341"/>
      <c r="CS341" s="35"/>
      <c r="CT341" s="35"/>
      <c r="CX341"/>
      <c r="CZ341" s="35"/>
      <c r="DD341" s="34"/>
      <c r="DG341" t="s">
        <v>822</v>
      </c>
      <c r="DH341" t="s">
        <v>964</v>
      </c>
      <c r="DI341" t="s">
        <v>233</v>
      </c>
      <c r="DL341" t="s">
        <v>678</v>
      </c>
      <c r="DM341">
        <v>7</v>
      </c>
      <c r="DN341">
        <v>9</v>
      </c>
      <c r="DO341" t="s">
        <v>756</v>
      </c>
      <c r="DQ341" t="s">
        <v>927</v>
      </c>
      <c r="DR341">
        <v>14</v>
      </c>
      <c r="DS341">
        <v>1</v>
      </c>
      <c r="DU341">
        <v>14</v>
      </c>
      <c r="DV341">
        <v>1</v>
      </c>
      <c r="DX341">
        <v>14</v>
      </c>
      <c r="DY341">
        <v>1</v>
      </c>
      <c r="DZ341" t="s">
        <v>246</v>
      </c>
      <c r="EA341" t="s">
        <v>929</v>
      </c>
    </row>
    <row r="342" spans="1:131" x14ac:dyDescent="0.4">
      <c r="A342" s="34">
        <v>43067.305104166669</v>
      </c>
      <c r="B342" s="25">
        <v>42935.633333333331</v>
      </c>
      <c r="D342" s="34"/>
      <c r="E342" s="34" t="s">
        <v>193</v>
      </c>
      <c r="F342" s="34" t="s">
        <v>191</v>
      </c>
      <c r="G342" s="34" t="s">
        <v>100</v>
      </c>
      <c r="H342" t="s">
        <v>279</v>
      </c>
      <c r="I342" t="s">
        <v>243</v>
      </c>
      <c r="J342" t="s">
        <v>712</v>
      </c>
      <c r="K342" t="s">
        <v>713</v>
      </c>
      <c r="L342" t="s">
        <v>711</v>
      </c>
      <c r="M342" s="30">
        <v>2.0699999999999998</v>
      </c>
      <c r="N342">
        <v>7.5</v>
      </c>
      <c r="P342" s="24" t="str">
        <f>IFERROR(MID(RADataTable[[#This Row],[RATemplate]],1,LEN(RADataTable[[#This Row],[RATemplate]])-8),"RA") &amp; " " &amp; RADataTable[[#This Row],[prop_id0]] &amp; " " &amp; RADataTable[[#This Row],[last0]]</f>
        <v>RA 1750780 Raichel</v>
      </c>
      <c r="T342">
        <v>4</v>
      </c>
      <c r="U342">
        <v>4</v>
      </c>
      <c r="V342" s="34">
        <v>43030.181250000001</v>
      </c>
      <c r="W342">
        <v>1</v>
      </c>
      <c r="X342" s="15" t="str">
        <f>HYPERLINK("https://www.ejacket.nsf.gov/ej/showProposal.do?Continue=Y&amp;ID="&amp;RADataTable[[#This Row],[prop_id0]],"eJ")</f>
        <v>eJ</v>
      </c>
      <c r="Y342" s="15" t="str">
        <f>HYPERLINK("mailto:"&amp;RADataTable[[#This Row],[email]]&amp;"&amp;subject=Your NSF Proposal:  "&amp;RADataTable[[#This Row],[Div]]&amp;" "&amp;RADataTable[[#This Row],[prop_id0]], RADataTable[[#This Row],[email]])</f>
        <v>Benjamin.Raichel@utdallas.edu</v>
      </c>
      <c r="Z342" s="15" t="str">
        <f>HYPERLINK("mailto:"&amp;RADataTable[[#This Row],[allPIemail]]&amp;"&amp;subject=NSF Proposal:  "&amp;RADataTable[[#This Row],[Div]]&amp;" "&amp;RADataTable[[#This Row],[prop_id0]], "PIs@")</f>
        <v>PIs@</v>
      </c>
      <c r="AA342" t="s">
        <v>245</v>
      </c>
      <c r="AB342" t="s">
        <v>678</v>
      </c>
      <c r="AC342" s="30" t="s">
        <v>819</v>
      </c>
      <c r="AD342" t="s">
        <v>285</v>
      </c>
      <c r="AE342" t="s">
        <v>820</v>
      </c>
      <c r="AF342" s="36">
        <v>582785</v>
      </c>
      <c r="AG342" s="36">
        <v>582785</v>
      </c>
      <c r="AH342" s="24"/>
      <c r="AJ342" s="34"/>
      <c r="AK342" t="s">
        <v>923</v>
      </c>
      <c r="AL342" t="s">
        <v>232</v>
      </c>
      <c r="AM342" s="34" t="s">
        <v>925</v>
      </c>
      <c r="AN342" s="34">
        <v>43032</v>
      </c>
      <c r="AO342" s="24">
        <v>7</v>
      </c>
      <c r="AP342" t="s">
        <v>942</v>
      </c>
      <c r="AR342" s="35"/>
      <c r="AS342"/>
      <c r="AT342" s="34"/>
      <c r="AV342" s="34"/>
      <c r="AX342" s="34"/>
      <c r="AY342"/>
      <c r="BA342" s="34"/>
      <c r="BB342"/>
      <c r="BC342" t="s">
        <v>823</v>
      </c>
      <c r="BD342" s="36">
        <v>582785</v>
      </c>
      <c r="BE342" s="36">
        <v>582785</v>
      </c>
      <c r="BF342">
        <v>0</v>
      </c>
      <c r="BG342" s="34">
        <v>43344</v>
      </c>
      <c r="BH342">
        <v>60</v>
      </c>
      <c r="BI342" t="s">
        <v>283</v>
      </c>
      <c r="BJ342" t="s">
        <v>928</v>
      </c>
      <c r="BK342" t="s">
        <v>234</v>
      </c>
      <c r="BL342" t="s">
        <v>194</v>
      </c>
      <c r="BM342" s="8" t="s">
        <v>192</v>
      </c>
      <c r="BN342" t="s">
        <v>189</v>
      </c>
      <c r="BO342" t="s">
        <v>190</v>
      </c>
      <c r="BP342" s="35" t="s">
        <v>726</v>
      </c>
      <c r="BQ342"/>
      <c r="BU342" s="35"/>
      <c r="BV342" s="35"/>
      <c r="BX342"/>
      <c r="CA342" s="35"/>
      <c r="CB342" s="35"/>
      <c r="CC342"/>
      <c r="CG342" s="35"/>
      <c r="CH342" s="35"/>
      <c r="CK342"/>
      <c r="CM342" s="35"/>
      <c r="CN342" s="35"/>
      <c r="CQ342"/>
      <c r="CS342" s="35"/>
      <c r="CT342" s="35"/>
      <c r="CX342"/>
      <c r="CZ342" s="35"/>
      <c r="DD342" s="34"/>
      <c r="DG342" t="s">
        <v>822</v>
      </c>
      <c r="DH342" t="s">
        <v>964</v>
      </c>
      <c r="DI342" t="s">
        <v>233</v>
      </c>
      <c r="DL342" t="s">
        <v>678</v>
      </c>
      <c r="DM342">
        <v>7</v>
      </c>
      <c r="DN342">
        <v>9</v>
      </c>
      <c r="DO342" t="s">
        <v>756</v>
      </c>
      <c r="DQ342" t="s">
        <v>927</v>
      </c>
      <c r="DR342">
        <v>14</v>
      </c>
      <c r="DS342">
        <v>1</v>
      </c>
      <c r="DU342">
        <v>14</v>
      </c>
      <c r="DV342">
        <v>1</v>
      </c>
      <c r="DX342">
        <v>14</v>
      </c>
      <c r="DY342">
        <v>1</v>
      </c>
      <c r="DZ342" t="s">
        <v>246</v>
      </c>
      <c r="EA342" t="s">
        <v>929</v>
      </c>
    </row>
    <row r="343" spans="1:131" x14ac:dyDescent="0.4">
      <c r="A343" s="34">
        <v>43067.305104166669</v>
      </c>
      <c r="B343" s="25">
        <v>42935.633333333331</v>
      </c>
      <c r="D343" s="34"/>
      <c r="E343" s="34" t="s">
        <v>193</v>
      </c>
      <c r="F343" s="34" t="s">
        <v>191</v>
      </c>
      <c r="G343" s="34" t="s">
        <v>100</v>
      </c>
      <c r="H343" t="s">
        <v>279</v>
      </c>
      <c r="I343" t="s">
        <v>243</v>
      </c>
      <c r="J343" t="s">
        <v>712</v>
      </c>
      <c r="K343" t="s">
        <v>713</v>
      </c>
      <c r="L343" t="s">
        <v>711</v>
      </c>
      <c r="M343" s="30">
        <v>2.0699999999999998</v>
      </c>
      <c r="N343">
        <v>7.5</v>
      </c>
      <c r="P343" s="24" t="str">
        <f>IFERROR(MID(RADataTable[[#This Row],[RATemplate]],1,LEN(RADataTable[[#This Row],[RATemplate]])-8),"RA") &amp; " " &amp; RADataTable[[#This Row],[prop_id0]] &amp; " " &amp; RADataTable[[#This Row],[last0]]</f>
        <v>RA 1750780 Raichel</v>
      </c>
      <c r="T343">
        <v>4</v>
      </c>
      <c r="U343">
        <v>4</v>
      </c>
      <c r="V343" s="34">
        <v>43030.181250000001</v>
      </c>
      <c r="W343">
        <v>1</v>
      </c>
      <c r="X343" s="15" t="str">
        <f>HYPERLINK("https://www.ejacket.nsf.gov/ej/showProposal.do?Continue=Y&amp;ID="&amp;RADataTable[[#This Row],[prop_id0]],"eJ")</f>
        <v>eJ</v>
      </c>
      <c r="Y343" s="15" t="str">
        <f>HYPERLINK("mailto:"&amp;RADataTable[[#This Row],[email]]&amp;"&amp;subject=Your NSF Proposal:  "&amp;RADataTable[[#This Row],[Div]]&amp;" "&amp;RADataTable[[#This Row],[prop_id0]], RADataTable[[#This Row],[email]])</f>
        <v>Benjamin.Raichel@utdallas.edu</v>
      </c>
      <c r="Z343" s="15" t="str">
        <f>HYPERLINK("mailto:"&amp;RADataTable[[#This Row],[allPIemail]]&amp;"&amp;subject=NSF Proposal:  "&amp;RADataTable[[#This Row],[Div]]&amp;" "&amp;RADataTable[[#This Row],[prop_id0]], "PIs@")</f>
        <v>PIs@</v>
      </c>
      <c r="AA343" t="s">
        <v>245</v>
      </c>
      <c r="AB343" t="s">
        <v>678</v>
      </c>
      <c r="AC343" s="30" t="s">
        <v>819</v>
      </c>
      <c r="AD343" t="s">
        <v>285</v>
      </c>
      <c r="AE343" t="s">
        <v>820</v>
      </c>
      <c r="AF343" s="36">
        <v>582785</v>
      </c>
      <c r="AG343" s="36">
        <v>582785</v>
      </c>
      <c r="AH343" s="24"/>
      <c r="AJ343" s="34"/>
      <c r="AK343" t="s">
        <v>923</v>
      </c>
      <c r="AL343" t="s">
        <v>232</v>
      </c>
      <c r="AM343" s="34" t="s">
        <v>925</v>
      </c>
      <c r="AN343" s="34">
        <v>43032</v>
      </c>
      <c r="AO343" s="24">
        <v>7</v>
      </c>
      <c r="AP343" t="s">
        <v>942</v>
      </c>
      <c r="AR343" s="35"/>
      <c r="AS343"/>
      <c r="AT343" s="34"/>
      <c r="AV343" s="34"/>
      <c r="AX343" s="34"/>
      <c r="AY343"/>
      <c r="BA343" s="34"/>
      <c r="BB343"/>
      <c r="BC343" t="s">
        <v>823</v>
      </c>
      <c r="BD343" s="36">
        <v>582785</v>
      </c>
      <c r="BE343" s="36">
        <v>582785</v>
      </c>
      <c r="BF343">
        <v>0</v>
      </c>
      <c r="BG343" s="34">
        <v>43344</v>
      </c>
      <c r="BH343">
        <v>60</v>
      </c>
      <c r="BI343" t="s">
        <v>283</v>
      </c>
      <c r="BJ343" t="s">
        <v>928</v>
      </c>
      <c r="BK343" t="s">
        <v>234</v>
      </c>
      <c r="BL343" t="s">
        <v>194</v>
      </c>
      <c r="BM343" s="8" t="s">
        <v>192</v>
      </c>
      <c r="BN343" t="s">
        <v>189</v>
      </c>
      <c r="BO343" t="s">
        <v>190</v>
      </c>
      <c r="BP343" s="35" t="s">
        <v>726</v>
      </c>
      <c r="BQ343"/>
      <c r="BU343" s="35"/>
      <c r="BV343" s="35"/>
      <c r="BX343"/>
      <c r="CA343" s="35"/>
      <c r="CB343" s="35"/>
      <c r="CC343"/>
      <c r="CG343" s="35"/>
      <c r="CH343" s="35"/>
      <c r="CK343"/>
      <c r="CM343" s="35"/>
      <c r="CN343" s="35"/>
      <c r="CQ343"/>
      <c r="CS343" s="35"/>
      <c r="CT343" s="35"/>
      <c r="CX343"/>
      <c r="CZ343" s="35"/>
      <c r="DD343" s="34"/>
      <c r="DG343" t="s">
        <v>822</v>
      </c>
      <c r="DH343" t="s">
        <v>964</v>
      </c>
      <c r="DI343" t="s">
        <v>233</v>
      </c>
      <c r="DL343" t="s">
        <v>678</v>
      </c>
      <c r="DM343">
        <v>7</v>
      </c>
      <c r="DN343">
        <v>9</v>
      </c>
      <c r="DO343" t="s">
        <v>756</v>
      </c>
      <c r="DQ343" t="s">
        <v>927</v>
      </c>
      <c r="DR343">
        <v>14</v>
      </c>
      <c r="DS343">
        <v>1</v>
      </c>
      <c r="DU343">
        <v>14</v>
      </c>
      <c r="DV343">
        <v>1</v>
      </c>
      <c r="DX343">
        <v>14</v>
      </c>
      <c r="DY343">
        <v>1</v>
      </c>
      <c r="DZ343" t="s">
        <v>246</v>
      </c>
      <c r="EA343" t="s">
        <v>929</v>
      </c>
    </row>
    <row r="344" spans="1:131" x14ac:dyDescent="0.4">
      <c r="A344" s="34">
        <v>43067.305104166669</v>
      </c>
      <c r="B344" s="25">
        <v>42935.723611111112</v>
      </c>
      <c r="D344" s="34"/>
      <c r="E344" s="34" t="s">
        <v>193</v>
      </c>
      <c r="F344" s="34" t="s">
        <v>191</v>
      </c>
      <c r="G344" s="34" t="s">
        <v>100</v>
      </c>
      <c r="H344" t="s">
        <v>279</v>
      </c>
      <c r="I344" t="s">
        <v>243</v>
      </c>
      <c r="J344" t="s">
        <v>712</v>
      </c>
      <c r="K344" t="s">
        <v>758</v>
      </c>
      <c r="L344" t="s">
        <v>711</v>
      </c>
      <c r="M344" s="30">
        <v>2.09</v>
      </c>
      <c r="N344">
        <v>6.5</v>
      </c>
      <c r="P344" s="24" t="str">
        <f>IFERROR(MID(RADataTable[[#This Row],[RATemplate]],1,LEN(RADataTable[[#This Row],[RATemplate]])-8),"RA") &amp; " " &amp; RADataTable[[#This Row],[prop_id0]] &amp; " " &amp; RADataTable[[#This Row],[last0]]</f>
        <v>RA 1751254 Fasy</v>
      </c>
      <c r="T344">
        <v>4</v>
      </c>
      <c r="U344">
        <v>4</v>
      </c>
      <c r="V344" s="34">
        <v>43031.43472222222</v>
      </c>
      <c r="W344">
        <v>1</v>
      </c>
      <c r="X344" s="15" t="str">
        <f>HYPERLINK("https://www.ejacket.nsf.gov/ej/showProposal.do?Continue=Y&amp;ID="&amp;RADataTable[[#This Row],[prop_id0]],"eJ")</f>
        <v>eJ</v>
      </c>
      <c r="Y344" s="15" t="str">
        <f>HYPERLINK("mailto:"&amp;RADataTable[[#This Row],[email]]&amp;"&amp;subject=Your NSF Proposal:  "&amp;RADataTable[[#This Row],[Div]]&amp;" "&amp;RADataTable[[#This Row],[prop_id0]], RADataTable[[#This Row],[email]])</f>
        <v>brittany@cs.montana.edu</v>
      </c>
      <c r="Z344" s="15" t="str">
        <f>HYPERLINK("mailto:"&amp;RADataTable[[#This Row],[allPIemail]]&amp;"&amp;subject=NSF Proposal:  "&amp;RADataTable[[#This Row],[Div]]&amp;" "&amp;RADataTable[[#This Row],[prop_id0]], "PIs@")</f>
        <v>PIs@</v>
      </c>
      <c r="AA344" t="s">
        <v>245</v>
      </c>
      <c r="AB344" t="s">
        <v>682</v>
      </c>
      <c r="AC344" s="30" t="s">
        <v>842</v>
      </c>
      <c r="AD344" t="s">
        <v>843</v>
      </c>
      <c r="AE344" t="s">
        <v>844</v>
      </c>
      <c r="AF344" s="36">
        <v>552355</v>
      </c>
      <c r="AG344" s="36">
        <v>552355</v>
      </c>
      <c r="AH344" s="24"/>
      <c r="AJ344" s="34"/>
      <c r="AK344" t="s">
        <v>923</v>
      </c>
      <c r="AL344" t="s">
        <v>232</v>
      </c>
      <c r="AM344" s="34" t="s">
        <v>925</v>
      </c>
      <c r="AN344" s="34">
        <v>43032</v>
      </c>
      <c r="AO344" s="24">
        <v>9</v>
      </c>
      <c r="AP344" t="s">
        <v>940</v>
      </c>
      <c r="AR344" s="35"/>
      <c r="AS344"/>
      <c r="AT344" s="34"/>
      <c r="AV344" s="34"/>
      <c r="AX344" s="34"/>
      <c r="AY344"/>
      <c r="BA344" s="34"/>
      <c r="BB344"/>
      <c r="BC344" t="s">
        <v>847</v>
      </c>
      <c r="BD344" s="36">
        <v>552355</v>
      </c>
      <c r="BE344" s="36">
        <v>552355</v>
      </c>
      <c r="BF344">
        <v>0</v>
      </c>
      <c r="BG344" s="34">
        <v>43344</v>
      </c>
      <c r="BH344">
        <v>60</v>
      </c>
      <c r="BI344" t="s">
        <v>283</v>
      </c>
      <c r="BJ344" t="s">
        <v>928</v>
      </c>
      <c r="BK344" t="s">
        <v>945</v>
      </c>
      <c r="BL344" t="s">
        <v>194</v>
      </c>
      <c r="BM344" s="8" t="s">
        <v>192</v>
      </c>
      <c r="BN344" t="s">
        <v>189</v>
      </c>
      <c r="BO344" t="s">
        <v>190</v>
      </c>
      <c r="BP344" s="35" t="s">
        <v>846</v>
      </c>
      <c r="BQ344"/>
      <c r="BU344" s="35"/>
      <c r="BV344" s="35"/>
      <c r="BX344"/>
      <c r="CA344" s="35"/>
      <c r="CB344" s="35"/>
      <c r="CC344"/>
      <c r="CG344" s="35"/>
      <c r="CH344" s="35"/>
      <c r="CK344"/>
      <c r="CM344" s="35"/>
      <c r="CN344" s="35"/>
      <c r="CQ344"/>
      <c r="CS344" s="35"/>
      <c r="CT344" s="35"/>
      <c r="CX344"/>
      <c r="CZ344" s="35"/>
      <c r="DD344" s="34"/>
      <c r="DG344" t="s">
        <v>845</v>
      </c>
      <c r="DH344" t="s">
        <v>970</v>
      </c>
      <c r="DI344" t="s">
        <v>233</v>
      </c>
      <c r="DL344" t="s">
        <v>682</v>
      </c>
      <c r="DM344">
        <v>5</v>
      </c>
      <c r="DN344">
        <v>7</v>
      </c>
      <c r="DO344" t="s">
        <v>750</v>
      </c>
      <c r="DQ344" t="s">
        <v>927</v>
      </c>
      <c r="DR344">
        <v>14</v>
      </c>
      <c r="DS344">
        <v>0</v>
      </c>
      <c r="DU344">
        <v>14</v>
      </c>
      <c r="DV344">
        <v>0</v>
      </c>
      <c r="DX344">
        <v>14</v>
      </c>
      <c r="DY344">
        <v>0</v>
      </c>
      <c r="DZ344" t="s">
        <v>246</v>
      </c>
      <c r="EA344" t="s">
        <v>929</v>
      </c>
    </row>
    <row r="345" spans="1:131" x14ac:dyDescent="0.4">
      <c r="A345" s="34">
        <v>43067.305104166669</v>
      </c>
      <c r="B345" s="25">
        <v>42935.723611111112</v>
      </c>
      <c r="D345" s="34"/>
      <c r="E345" s="34" t="s">
        <v>193</v>
      </c>
      <c r="F345" s="34" t="s">
        <v>191</v>
      </c>
      <c r="G345" s="34" t="s">
        <v>100</v>
      </c>
      <c r="H345" t="s">
        <v>279</v>
      </c>
      <c r="I345" t="s">
        <v>243</v>
      </c>
      <c r="J345" t="s">
        <v>712</v>
      </c>
      <c r="K345" t="s">
        <v>758</v>
      </c>
      <c r="L345" t="s">
        <v>711</v>
      </c>
      <c r="M345" s="30">
        <v>2.09</v>
      </c>
      <c r="N345">
        <v>6.5</v>
      </c>
      <c r="P345" s="24" t="str">
        <f>IFERROR(MID(RADataTable[[#This Row],[RATemplate]],1,LEN(RADataTable[[#This Row],[RATemplate]])-8),"RA") &amp; " " &amp; RADataTable[[#This Row],[prop_id0]] &amp; " " &amp; RADataTable[[#This Row],[last0]]</f>
        <v>RA 1751254 Fasy</v>
      </c>
      <c r="T345">
        <v>4</v>
      </c>
      <c r="U345">
        <v>4</v>
      </c>
      <c r="V345" s="34">
        <v>43031.43472222222</v>
      </c>
      <c r="W345">
        <v>1</v>
      </c>
      <c r="X345" s="15" t="str">
        <f>HYPERLINK("https://www.ejacket.nsf.gov/ej/showProposal.do?Continue=Y&amp;ID="&amp;RADataTable[[#This Row],[prop_id0]],"eJ")</f>
        <v>eJ</v>
      </c>
      <c r="Y345" s="15" t="str">
        <f>HYPERLINK("mailto:"&amp;RADataTable[[#This Row],[email]]&amp;"&amp;subject=Your NSF Proposal:  "&amp;RADataTable[[#This Row],[Div]]&amp;" "&amp;RADataTable[[#This Row],[prop_id0]], RADataTable[[#This Row],[email]])</f>
        <v>brittany@cs.montana.edu</v>
      </c>
      <c r="Z345" s="15" t="str">
        <f>HYPERLINK("mailto:"&amp;RADataTable[[#This Row],[allPIemail]]&amp;"&amp;subject=NSF Proposal:  "&amp;RADataTable[[#This Row],[Div]]&amp;" "&amp;RADataTable[[#This Row],[prop_id0]], "PIs@")</f>
        <v>PIs@</v>
      </c>
      <c r="AA345" t="s">
        <v>245</v>
      </c>
      <c r="AB345" t="s">
        <v>682</v>
      </c>
      <c r="AC345" s="30" t="s">
        <v>842</v>
      </c>
      <c r="AD345" t="s">
        <v>843</v>
      </c>
      <c r="AE345" t="s">
        <v>844</v>
      </c>
      <c r="AF345" s="36">
        <v>552355</v>
      </c>
      <c r="AG345" s="36">
        <v>552355</v>
      </c>
      <c r="AH345" s="24"/>
      <c r="AJ345" s="34"/>
      <c r="AK345" t="s">
        <v>923</v>
      </c>
      <c r="AL345" t="s">
        <v>232</v>
      </c>
      <c r="AM345" s="34" t="s">
        <v>925</v>
      </c>
      <c r="AN345" s="34">
        <v>43032</v>
      </c>
      <c r="AO345" s="24">
        <v>9</v>
      </c>
      <c r="AP345" t="s">
        <v>940</v>
      </c>
      <c r="AR345" s="35"/>
      <c r="AS345"/>
      <c r="AT345" s="34"/>
      <c r="AV345" s="34"/>
      <c r="AX345" s="34"/>
      <c r="AY345"/>
      <c r="BA345" s="34"/>
      <c r="BB345"/>
      <c r="BC345" t="s">
        <v>847</v>
      </c>
      <c r="BD345" s="36">
        <v>552355</v>
      </c>
      <c r="BE345" s="36">
        <v>552355</v>
      </c>
      <c r="BF345">
        <v>0</v>
      </c>
      <c r="BG345" s="34">
        <v>43344</v>
      </c>
      <c r="BH345">
        <v>60</v>
      </c>
      <c r="BI345" t="s">
        <v>283</v>
      </c>
      <c r="BJ345" t="s">
        <v>928</v>
      </c>
      <c r="BK345" t="s">
        <v>945</v>
      </c>
      <c r="BL345" t="s">
        <v>194</v>
      </c>
      <c r="BM345" s="8" t="s">
        <v>192</v>
      </c>
      <c r="BN345" t="s">
        <v>189</v>
      </c>
      <c r="BO345" t="s">
        <v>190</v>
      </c>
      <c r="BP345" s="35" t="s">
        <v>846</v>
      </c>
      <c r="BQ345"/>
      <c r="BU345" s="35"/>
      <c r="BV345" s="35"/>
      <c r="BX345"/>
      <c r="CA345" s="35"/>
      <c r="CB345" s="35"/>
      <c r="CC345"/>
      <c r="CG345" s="35"/>
      <c r="CH345" s="35"/>
      <c r="CK345"/>
      <c r="CM345" s="35"/>
      <c r="CN345" s="35"/>
      <c r="CQ345"/>
      <c r="CS345" s="35"/>
      <c r="CT345" s="35"/>
      <c r="CX345"/>
      <c r="CZ345" s="35"/>
      <c r="DD345" s="34"/>
      <c r="DG345" t="s">
        <v>845</v>
      </c>
      <c r="DH345" t="s">
        <v>970</v>
      </c>
      <c r="DI345" t="s">
        <v>233</v>
      </c>
      <c r="DL345" t="s">
        <v>682</v>
      </c>
      <c r="DM345">
        <v>5</v>
      </c>
      <c r="DN345">
        <v>7</v>
      </c>
      <c r="DO345" t="s">
        <v>750</v>
      </c>
      <c r="DQ345" t="s">
        <v>927</v>
      </c>
      <c r="DR345">
        <v>14</v>
      </c>
      <c r="DS345">
        <v>0</v>
      </c>
      <c r="DU345">
        <v>14</v>
      </c>
      <c r="DV345">
        <v>0</v>
      </c>
      <c r="DX345">
        <v>14</v>
      </c>
      <c r="DY345">
        <v>0</v>
      </c>
      <c r="DZ345" t="s">
        <v>246</v>
      </c>
      <c r="EA345" t="s">
        <v>929</v>
      </c>
    </row>
    <row r="346" spans="1:131" x14ac:dyDescent="0.4">
      <c r="A346" s="34">
        <v>43067.305104166669</v>
      </c>
      <c r="B346" s="25">
        <v>42935.723611111112</v>
      </c>
      <c r="D346" s="34"/>
      <c r="E346" s="34" t="s">
        <v>193</v>
      </c>
      <c r="F346" s="34" t="s">
        <v>191</v>
      </c>
      <c r="G346" s="34" t="s">
        <v>100</v>
      </c>
      <c r="H346" t="s">
        <v>279</v>
      </c>
      <c r="I346" t="s">
        <v>243</v>
      </c>
      <c r="J346" t="s">
        <v>712</v>
      </c>
      <c r="K346" t="s">
        <v>758</v>
      </c>
      <c r="L346" t="s">
        <v>711</v>
      </c>
      <c r="M346" s="30">
        <v>2.09</v>
      </c>
      <c r="N346">
        <v>6.5</v>
      </c>
      <c r="P346" s="24" t="str">
        <f>IFERROR(MID(RADataTable[[#This Row],[RATemplate]],1,LEN(RADataTable[[#This Row],[RATemplate]])-8),"RA") &amp; " " &amp; RADataTable[[#This Row],[prop_id0]] &amp; " " &amp; RADataTable[[#This Row],[last0]]</f>
        <v>RA 1751254 Fasy</v>
      </c>
      <c r="T346">
        <v>4</v>
      </c>
      <c r="U346">
        <v>4</v>
      </c>
      <c r="V346" s="34">
        <v>43031.43472222222</v>
      </c>
      <c r="W346">
        <v>1</v>
      </c>
      <c r="X346" s="15" t="str">
        <f>HYPERLINK("https://www.ejacket.nsf.gov/ej/showProposal.do?Continue=Y&amp;ID="&amp;RADataTable[[#This Row],[prop_id0]],"eJ")</f>
        <v>eJ</v>
      </c>
      <c r="Y346" s="15" t="str">
        <f>HYPERLINK("mailto:"&amp;RADataTable[[#This Row],[email]]&amp;"&amp;subject=Your NSF Proposal:  "&amp;RADataTable[[#This Row],[Div]]&amp;" "&amp;RADataTable[[#This Row],[prop_id0]], RADataTable[[#This Row],[email]])</f>
        <v>brittany@cs.montana.edu</v>
      </c>
      <c r="Z346" s="15" t="str">
        <f>HYPERLINK("mailto:"&amp;RADataTable[[#This Row],[allPIemail]]&amp;"&amp;subject=NSF Proposal:  "&amp;RADataTable[[#This Row],[Div]]&amp;" "&amp;RADataTable[[#This Row],[prop_id0]], "PIs@")</f>
        <v>PIs@</v>
      </c>
      <c r="AA346" t="s">
        <v>245</v>
      </c>
      <c r="AB346" t="s">
        <v>682</v>
      </c>
      <c r="AC346" s="30" t="s">
        <v>842</v>
      </c>
      <c r="AD346" t="s">
        <v>843</v>
      </c>
      <c r="AE346" t="s">
        <v>844</v>
      </c>
      <c r="AF346" s="36">
        <v>552355</v>
      </c>
      <c r="AG346" s="36">
        <v>552355</v>
      </c>
      <c r="AH346" s="24"/>
      <c r="AJ346" s="34"/>
      <c r="AK346" t="s">
        <v>923</v>
      </c>
      <c r="AL346" t="s">
        <v>232</v>
      </c>
      <c r="AM346" s="34" t="s">
        <v>925</v>
      </c>
      <c r="AN346" s="34">
        <v>43032</v>
      </c>
      <c r="AO346" s="24">
        <v>9</v>
      </c>
      <c r="AP346" t="s">
        <v>940</v>
      </c>
      <c r="AR346" s="35"/>
      <c r="AS346"/>
      <c r="AT346" s="34"/>
      <c r="AV346" s="34"/>
      <c r="AX346" s="34"/>
      <c r="AY346"/>
      <c r="BA346" s="34"/>
      <c r="BB346"/>
      <c r="BC346" t="s">
        <v>847</v>
      </c>
      <c r="BD346" s="36">
        <v>552355</v>
      </c>
      <c r="BE346" s="36">
        <v>552355</v>
      </c>
      <c r="BF346">
        <v>0</v>
      </c>
      <c r="BG346" s="34">
        <v>43344</v>
      </c>
      <c r="BH346">
        <v>60</v>
      </c>
      <c r="BI346" t="s">
        <v>283</v>
      </c>
      <c r="BJ346" t="s">
        <v>928</v>
      </c>
      <c r="BK346" t="s">
        <v>945</v>
      </c>
      <c r="BL346" t="s">
        <v>194</v>
      </c>
      <c r="BM346" s="8" t="s">
        <v>192</v>
      </c>
      <c r="BN346" t="s">
        <v>189</v>
      </c>
      <c r="BO346" t="s">
        <v>190</v>
      </c>
      <c r="BP346" s="35" t="s">
        <v>846</v>
      </c>
      <c r="BQ346"/>
      <c r="BU346" s="35"/>
      <c r="BV346" s="35"/>
      <c r="BX346"/>
      <c r="CA346" s="35"/>
      <c r="CB346" s="35"/>
      <c r="CC346"/>
      <c r="CG346" s="35"/>
      <c r="CH346" s="35"/>
      <c r="CK346"/>
      <c r="CM346" s="35"/>
      <c r="CN346" s="35"/>
      <c r="CQ346"/>
      <c r="CS346" s="35"/>
      <c r="CT346" s="35"/>
      <c r="CX346"/>
      <c r="CZ346" s="35"/>
      <c r="DD346" s="34"/>
      <c r="DG346" t="s">
        <v>845</v>
      </c>
      <c r="DH346" t="s">
        <v>970</v>
      </c>
      <c r="DI346" t="s">
        <v>233</v>
      </c>
      <c r="DL346" t="s">
        <v>682</v>
      </c>
      <c r="DM346">
        <v>5</v>
      </c>
      <c r="DN346">
        <v>7</v>
      </c>
      <c r="DO346" t="s">
        <v>750</v>
      </c>
      <c r="DQ346" t="s">
        <v>927</v>
      </c>
      <c r="DR346">
        <v>14</v>
      </c>
      <c r="DS346">
        <v>0</v>
      </c>
      <c r="DU346">
        <v>14</v>
      </c>
      <c r="DV346">
        <v>0</v>
      </c>
      <c r="DX346">
        <v>14</v>
      </c>
      <c r="DY346">
        <v>0</v>
      </c>
      <c r="DZ346" t="s">
        <v>246</v>
      </c>
      <c r="EA346" t="s">
        <v>929</v>
      </c>
    </row>
    <row r="347" spans="1:131" x14ac:dyDescent="0.4">
      <c r="A347" s="34">
        <v>43067.305104166669</v>
      </c>
      <c r="B347" s="25">
        <v>42935.723611111112</v>
      </c>
      <c r="D347" s="34"/>
      <c r="E347" s="34" t="s">
        <v>193</v>
      </c>
      <c r="F347" s="34" t="s">
        <v>191</v>
      </c>
      <c r="G347" s="34" t="s">
        <v>100</v>
      </c>
      <c r="H347" t="s">
        <v>279</v>
      </c>
      <c r="I347" t="s">
        <v>243</v>
      </c>
      <c r="J347" t="s">
        <v>712</v>
      </c>
      <c r="K347" t="s">
        <v>758</v>
      </c>
      <c r="L347" t="s">
        <v>711</v>
      </c>
      <c r="M347" s="30">
        <v>2.09</v>
      </c>
      <c r="N347">
        <v>6.5</v>
      </c>
      <c r="P347" s="24" t="str">
        <f>IFERROR(MID(RADataTable[[#This Row],[RATemplate]],1,LEN(RADataTable[[#This Row],[RATemplate]])-8),"RA") &amp; " " &amp; RADataTable[[#This Row],[prop_id0]] &amp; " " &amp; RADataTable[[#This Row],[last0]]</f>
        <v>RA 1751254 Fasy</v>
      </c>
      <c r="T347">
        <v>4</v>
      </c>
      <c r="U347">
        <v>4</v>
      </c>
      <c r="V347" s="34">
        <v>43031.43472222222</v>
      </c>
      <c r="W347">
        <v>1</v>
      </c>
      <c r="X347" s="15" t="str">
        <f>HYPERLINK("https://www.ejacket.nsf.gov/ej/showProposal.do?Continue=Y&amp;ID="&amp;RADataTable[[#This Row],[prop_id0]],"eJ")</f>
        <v>eJ</v>
      </c>
      <c r="Y347" s="15" t="str">
        <f>HYPERLINK("mailto:"&amp;RADataTable[[#This Row],[email]]&amp;"&amp;subject=Your NSF Proposal:  "&amp;RADataTable[[#This Row],[Div]]&amp;" "&amp;RADataTable[[#This Row],[prop_id0]], RADataTable[[#This Row],[email]])</f>
        <v>brittany@cs.montana.edu</v>
      </c>
      <c r="Z347" s="15" t="str">
        <f>HYPERLINK("mailto:"&amp;RADataTable[[#This Row],[allPIemail]]&amp;"&amp;subject=NSF Proposal:  "&amp;RADataTable[[#This Row],[Div]]&amp;" "&amp;RADataTable[[#This Row],[prop_id0]], "PIs@")</f>
        <v>PIs@</v>
      </c>
      <c r="AA347" t="s">
        <v>245</v>
      </c>
      <c r="AB347" t="s">
        <v>682</v>
      </c>
      <c r="AC347" s="30" t="s">
        <v>842</v>
      </c>
      <c r="AD347" t="s">
        <v>843</v>
      </c>
      <c r="AE347" t="s">
        <v>844</v>
      </c>
      <c r="AF347" s="36">
        <v>552355</v>
      </c>
      <c r="AG347" s="36">
        <v>552355</v>
      </c>
      <c r="AH347" s="24"/>
      <c r="AJ347" s="34"/>
      <c r="AK347" t="s">
        <v>923</v>
      </c>
      <c r="AL347" t="s">
        <v>232</v>
      </c>
      <c r="AM347" s="34" t="s">
        <v>925</v>
      </c>
      <c r="AN347" s="34">
        <v>43032</v>
      </c>
      <c r="AO347" s="24">
        <v>9</v>
      </c>
      <c r="AP347" t="s">
        <v>940</v>
      </c>
      <c r="AR347" s="35"/>
      <c r="AS347"/>
      <c r="AT347" s="34"/>
      <c r="AV347" s="34"/>
      <c r="AX347" s="34"/>
      <c r="AY347"/>
      <c r="BA347" s="34"/>
      <c r="BB347"/>
      <c r="BC347" t="s">
        <v>847</v>
      </c>
      <c r="BD347" s="36">
        <v>552355</v>
      </c>
      <c r="BE347" s="36">
        <v>552355</v>
      </c>
      <c r="BF347">
        <v>0</v>
      </c>
      <c r="BG347" s="34">
        <v>43344</v>
      </c>
      <c r="BH347">
        <v>60</v>
      </c>
      <c r="BI347" t="s">
        <v>283</v>
      </c>
      <c r="BJ347" t="s">
        <v>928</v>
      </c>
      <c r="BK347" t="s">
        <v>945</v>
      </c>
      <c r="BL347" t="s">
        <v>194</v>
      </c>
      <c r="BM347" s="8" t="s">
        <v>192</v>
      </c>
      <c r="BN347" t="s">
        <v>189</v>
      </c>
      <c r="BO347" t="s">
        <v>190</v>
      </c>
      <c r="BP347" s="35" t="s">
        <v>846</v>
      </c>
      <c r="BQ347"/>
      <c r="BU347" s="35"/>
      <c r="BV347" s="35"/>
      <c r="BX347"/>
      <c r="CA347" s="35"/>
      <c r="CB347" s="35"/>
      <c r="CC347"/>
      <c r="CG347" s="35"/>
      <c r="CH347" s="35"/>
      <c r="CK347"/>
      <c r="CM347" s="35"/>
      <c r="CN347" s="35"/>
      <c r="CQ347"/>
      <c r="CS347" s="35"/>
      <c r="CT347" s="35"/>
      <c r="CX347"/>
      <c r="CZ347" s="35"/>
      <c r="DD347" s="34"/>
      <c r="DG347" t="s">
        <v>845</v>
      </c>
      <c r="DH347" t="s">
        <v>970</v>
      </c>
      <c r="DI347" t="s">
        <v>233</v>
      </c>
      <c r="DL347" t="s">
        <v>682</v>
      </c>
      <c r="DM347">
        <v>5</v>
      </c>
      <c r="DN347">
        <v>7</v>
      </c>
      <c r="DO347" t="s">
        <v>750</v>
      </c>
      <c r="DQ347" t="s">
        <v>927</v>
      </c>
      <c r="DR347">
        <v>14</v>
      </c>
      <c r="DS347">
        <v>0</v>
      </c>
      <c r="DU347">
        <v>14</v>
      </c>
      <c r="DV347">
        <v>0</v>
      </c>
      <c r="DX347">
        <v>14</v>
      </c>
      <c r="DY347">
        <v>0</v>
      </c>
      <c r="DZ347" t="s">
        <v>246</v>
      </c>
      <c r="EA347" t="s">
        <v>929</v>
      </c>
    </row>
    <row r="348" spans="1:131" x14ac:dyDescent="0.4">
      <c r="A348" s="34">
        <v>43067.305104166669</v>
      </c>
      <c r="B348" s="25">
        <v>42935.723611111112</v>
      </c>
      <c r="D348" s="34"/>
      <c r="E348" s="34" t="s">
        <v>193</v>
      </c>
      <c r="F348" s="34" t="s">
        <v>191</v>
      </c>
      <c r="G348" s="34" t="s">
        <v>100</v>
      </c>
      <c r="H348" t="s">
        <v>279</v>
      </c>
      <c r="I348" t="s">
        <v>243</v>
      </c>
      <c r="J348" t="s">
        <v>712</v>
      </c>
      <c r="K348" t="s">
        <v>758</v>
      </c>
      <c r="L348" t="s">
        <v>711</v>
      </c>
      <c r="M348" s="30">
        <v>2.09</v>
      </c>
      <c r="N348">
        <v>6.5</v>
      </c>
      <c r="P348" s="24" t="str">
        <f>IFERROR(MID(RADataTable[[#This Row],[RATemplate]],1,LEN(RADataTable[[#This Row],[RATemplate]])-8),"RA") &amp; " " &amp; RADataTable[[#This Row],[prop_id0]] &amp; " " &amp; RADataTable[[#This Row],[last0]]</f>
        <v>RA 1751254 Fasy</v>
      </c>
      <c r="T348">
        <v>4</v>
      </c>
      <c r="U348">
        <v>4</v>
      </c>
      <c r="V348" s="34">
        <v>43031.43472222222</v>
      </c>
      <c r="W348">
        <v>1</v>
      </c>
      <c r="X348" s="15" t="str">
        <f>HYPERLINK("https://www.ejacket.nsf.gov/ej/showProposal.do?Continue=Y&amp;ID="&amp;RADataTable[[#This Row],[prop_id0]],"eJ")</f>
        <v>eJ</v>
      </c>
      <c r="Y348" s="15" t="str">
        <f>HYPERLINK("mailto:"&amp;RADataTable[[#This Row],[email]]&amp;"&amp;subject=Your NSF Proposal:  "&amp;RADataTable[[#This Row],[Div]]&amp;" "&amp;RADataTable[[#This Row],[prop_id0]], RADataTable[[#This Row],[email]])</f>
        <v>brittany@cs.montana.edu</v>
      </c>
      <c r="Z348" s="15" t="str">
        <f>HYPERLINK("mailto:"&amp;RADataTable[[#This Row],[allPIemail]]&amp;"&amp;subject=NSF Proposal:  "&amp;RADataTable[[#This Row],[Div]]&amp;" "&amp;RADataTable[[#This Row],[prop_id0]], "PIs@")</f>
        <v>PIs@</v>
      </c>
      <c r="AA348" t="s">
        <v>245</v>
      </c>
      <c r="AB348" t="s">
        <v>682</v>
      </c>
      <c r="AC348" s="30" t="s">
        <v>842</v>
      </c>
      <c r="AD348" t="s">
        <v>843</v>
      </c>
      <c r="AE348" t="s">
        <v>844</v>
      </c>
      <c r="AF348" s="36">
        <v>552355</v>
      </c>
      <c r="AG348" s="36">
        <v>552355</v>
      </c>
      <c r="AH348" s="24"/>
      <c r="AJ348" s="34"/>
      <c r="AK348" t="s">
        <v>923</v>
      </c>
      <c r="AL348" t="s">
        <v>232</v>
      </c>
      <c r="AM348" s="34" t="s">
        <v>925</v>
      </c>
      <c r="AN348" s="34">
        <v>43032</v>
      </c>
      <c r="AO348" s="24">
        <v>9</v>
      </c>
      <c r="AP348" t="s">
        <v>940</v>
      </c>
      <c r="AR348" s="35"/>
      <c r="AS348"/>
      <c r="AT348" s="34"/>
      <c r="AV348" s="34"/>
      <c r="AX348" s="34"/>
      <c r="AY348"/>
      <c r="BA348" s="34"/>
      <c r="BB348"/>
      <c r="BC348" t="s">
        <v>847</v>
      </c>
      <c r="BD348" s="36">
        <v>552355</v>
      </c>
      <c r="BE348" s="36">
        <v>552355</v>
      </c>
      <c r="BF348">
        <v>0</v>
      </c>
      <c r="BG348" s="34">
        <v>43344</v>
      </c>
      <c r="BH348">
        <v>60</v>
      </c>
      <c r="BI348" t="s">
        <v>283</v>
      </c>
      <c r="BJ348" t="s">
        <v>928</v>
      </c>
      <c r="BK348" t="s">
        <v>945</v>
      </c>
      <c r="BL348" t="s">
        <v>194</v>
      </c>
      <c r="BM348" s="8" t="s">
        <v>192</v>
      </c>
      <c r="BN348" t="s">
        <v>189</v>
      </c>
      <c r="BO348" t="s">
        <v>190</v>
      </c>
      <c r="BP348" s="35" t="s">
        <v>846</v>
      </c>
      <c r="BQ348"/>
      <c r="BU348" s="35"/>
      <c r="BV348" s="35"/>
      <c r="BX348"/>
      <c r="CA348" s="35"/>
      <c r="CB348" s="35"/>
      <c r="CC348"/>
      <c r="CG348" s="35"/>
      <c r="CH348" s="35"/>
      <c r="CK348"/>
      <c r="CM348" s="35"/>
      <c r="CN348" s="35"/>
      <c r="CQ348"/>
      <c r="CS348" s="35"/>
      <c r="CT348" s="35"/>
      <c r="CX348"/>
      <c r="CZ348" s="35"/>
      <c r="DD348" s="34"/>
      <c r="DG348" t="s">
        <v>845</v>
      </c>
      <c r="DH348" t="s">
        <v>970</v>
      </c>
      <c r="DI348" t="s">
        <v>233</v>
      </c>
      <c r="DL348" t="s">
        <v>682</v>
      </c>
      <c r="DM348">
        <v>5</v>
      </c>
      <c r="DN348">
        <v>7</v>
      </c>
      <c r="DO348" t="s">
        <v>750</v>
      </c>
      <c r="DQ348" t="s">
        <v>927</v>
      </c>
      <c r="DR348">
        <v>14</v>
      </c>
      <c r="DS348">
        <v>0</v>
      </c>
      <c r="DU348">
        <v>14</v>
      </c>
      <c r="DV348">
        <v>0</v>
      </c>
      <c r="DX348">
        <v>14</v>
      </c>
      <c r="DY348">
        <v>0</v>
      </c>
      <c r="DZ348" t="s">
        <v>246</v>
      </c>
      <c r="EA348" t="s">
        <v>929</v>
      </c>
    </row>
    <row r="349" spans="1:131" x14ac:dyDescent="0.4">
      <c r="A349" s="34">
        <v>43067.305104166669</v>
      </c>
      <c r="B349" s="25">
        <v>42935.723611111112</v>
      </c>
      <c r="D349" s="34"/>
      <c r="E349" s="34" t="s">
        <v>193</v>
      </c>
      <c r="F349" s="34" t="s">
        <v>191</v>
      </c>
      <c r="G349" s="34" t="s">
        <v>100</v>
      </c>
      <c r="H349" t="s">
        <v>279</v>
      </c>
      <c r="I349" t="s">
        <v>243</v>
      </c>
      <c r="J349" t="s">
        <v>712</v>
      </c>
      <c r="K349" t="s">
        <v>758</v>
      </c>
      <c r="L349" t="s">
        <v>711</v>
      </c>
      <c r="M349" s="30">
        <v>2.09</v>
      </c>
      <c r="N349">
        <v>6.5</v>
      </c>
      <c r="P349" s="24" t="str">
        <f>IFERROR(MID(RADataTable[[#This Row],[RATemplate]],1,LEN(RADataTable[[#This Row],[RATemplate]])-8),"RA") &amp; " " &amp; RADataTable[[#This Row],[prop_id0]] &amp; " " &amp; RADataTable[[#This Row],[last0]]</f>
        <v>RA 1751254 Fasy</v>
      </c>
      <c r="T349">
        <v>4</v>
      </c>
      <c r="U349">
        <v>4</v>
      </c>
      <c r="V349" s="34">
        <v>43031.43472222222</v>
      </c>
      <c r="W349">
        <v>1</v>
      </c>
      <c r="X349" s="15" t="str">
        <f>HYPERLINK("https://www.ejacket.nsf.gov/ej/showProposal.do?Continue=Y&amp;ID="&amp;RADataTable[[#This Row],[prop_id0]],"eJ")</f>
        <v>eJ</v>
      </c>
      <c r="Y349" s="15" t="str">
        <f>HYPERLINK("mailto:"&amp;RADataTable[[#This Row],[email]]&amp;"&amp;subject=Your NSF Proposal:  "&amp;RADataTable[[#This Row],[Div]]&amp;" "&amp;RADataTable[[#This Row],[prop_id0]], RADataTable[[#This Row],[email]])</f>
        <v>brittany@cs.montana.edu</v>
      </c>
      <c r="Z349" s="15" t="str">
        <f>HYPERLINK("mailto:"&amp;RADataTable[[#This Row],[allPIemail]]&amp;"&amp;subject=NSF Proposal:  "&amp;RADataTable[[#This Row],[Div]]&amp;" "&amp;RADataTable[[#This Row],[prop_id0]], "PIs@")</f>
        <v>PIs@</v>
      </c>
      <c r="AA349" t="s">
        <v>245</v>
      </c>
      <c r="AB349" t="s">
        <v>682</v>
      </c>
      <c r="AC349" s="30" t="s">
        <v>842</v>
      </c>
      <c r="AD349" t="s">
        <v>843</v>
      </c>
      <c r="AE349" t="s">
        <v>844</v>
      </c>
      <c r="AF349" s="36">
        <v>552355</v>
      </c>
      <c r="AG349" s="36">
        <v>552355</v>
      </c>
      <c r="AH349" s="24"/>
      <c r="AJ349" s="34"/>
      <c r="AK349" t="s">
        <v>923</v>
      </c>
      <c r="AL349" t="s">
        <v>232</v>
      </c>
      <c r="AM349" s="34" t="s">
        <v>925</v>
      </c>
      <c r="AN349" s="34">
        <v>43032</v>
      </c>
      <c r="AO349" s="24">
        <v>9</v>
      </c>
      <c r="AP349" t="s">
        <v>940</v>
      </c>
      <c r="AR349" s="35"/>
      <c r="AS349"/>
      <c r="AT349" s="34"/>
      <c r="AV349" s="34"/>
      <c r="AX349" s="34"/>
      <c r="AY349"/>
      <c r="BA349" s="34"/>
      <c r="BB349"/>
      <c r="BC349" t="s">
        <v>847</v>
      </c>
      <c r="BD349" s="36">
        <v>552355</v>
      </c>
      <c r="BE349" s="36">
        <v>552355</v>
      </c>
      <c r="BF349">
        <v>0</v>
      </c>
      <c r="BG349" s="34">
        <v>43344</v>
      </c>
      <c r="BH349">
        <v>60</v>
      </c>
      <c r="BI349" t="s">
        <v>283</v>
      </c>
      <c r="BJ349" t="s">
        <v>928</v>
      </c>
      <c r="BK349" t="s">
        <v>945</v>
      </c>
      <c r="BL349" t="s">
        <v>194</v>
      </c>
      <c r="BM349" s="8" t="s">
        <v>192</v>
      </c>
      <c r="BN349" t="s">
        <v>189</v>
      </c>
      <c r="BO349" t="s">
        <v>190</v>
      </c>
      <c r="BP349" s="35" t="s">
        <v>846</v>
      </c>
      <c r="BQ349"/>
      <c r="BU349" s="35"/>
      <c r="BV349" s="35"/>
      <c r="BX349"/>
      <c r="CA349" s="35"/>
      <c r="CB349" s="35"/>
      <c r="CC349"/>
      <c r="CG349" s="35"/>
      <c r="CH349" s="35"/>
      <c r="CK349"/>
      <c r="CM349" s="35"/>
      <c r="CN349" s="35"/>
      <c r="CQ349"/>
      <c r="CS349" s="35"/>
      <c r="CT349" s="35"/>
      <c r="CX349"/>
      <c r="CZ349" s="35"/>
      <c r="DD349" s="34"/>
      <c r="DG349" t="s">
        <v>845</v>
      </c>
      <c r="DH349" t="s">
        <v>970</v>
      </c>
      <c r="DI349" t="s">
        <v>233</v>
      </c>
      <c r="DL349" t="s">
        <v>682</v>
      </c>
      <c r="DM349">
        <v>5</v>
      </c>
      <c r="DN349">
        <v>7</v>
      </c>
      <c r="DO349" t="s">
        <v>750</v>
      </c>
      <c r="DQ349" t="s">
        <v>927</v>
      </c>
      <c r="DR349">
        <v>14</v>
      </c>
      <c r="DS349">
        <v>0</v>
      </c>
      <c r="DU349">
        <v>14</v>
      </c>
      <c r="DV349">
        <v>0</v>
      </c>
      <c r="DX349">
        <v>14</v>
      </c>
      <c r="DY349">
        <v>0</v>
      </c>
      <c r="DZ349" t="s">
        <v>246</v>
      </c>
      <c r="EA349" t="s">
        <v>929</v>
      </c>
    </row>
    <row r="350" spans="1:131" x14ac:dyDescent="0.4">
      <c r="A350" s="34">
        <v>43067.305104166669</v>
      </c>
      <c r="B350" s="25">
        <v>42935.723611111112</v>
      </c>
      <c r="D350" s="34"/>
      <c r="E350" s="34" t="s">
        <v>193</v>
      </c>
      <c r="F350" s="34" t="s">
        <v>191</v>
      </c>
      <c r="G350" s="34" t="s">
        <v>100</v>
      </c>
      <c r="H350" t="s">
        <v>279</v>
      </c>
      <c r="I350" t="s">
        <v>243</v>
      </c>
      <c r="J350" t="s">
        <v>712</v>
      </c>
      <c r="K350" t="s">
        <v>758</v>
      </c>
      <c r="L350" t="s">
        <v>711</v>
      </c>
      <c r="M350" s="30">
        <v>2.09</v>
      </c>
      <c r="N350">
        <v>6.5</v>
      </c>
      <c r="P350" s="24" t="str">
        <f>IFERROR(MID(RADataTable[[#This Row],[RATemplate]],1,LEN(RADataTable[[#This Row],[RATemplate]])-8),"RA") &amp; " " &amp; RADataTable[[#This Row],[prop_id0]] &amp; " " &amp; RADataTable[[#This Row],[last0]]</f>
        <v>RA 1751254 Fasy</v>
      </c>
      <c r="T350">
        <v>4</v>
      </c>
      <c r="U350">
        <v>4</v>
      </c>
      <c r="V350" s="34">
        <v>43031.43472222222</v>
      </c>
      <c r="W350">
        <v>1</v>
      </c>
      <c r="X350" s="15" t="str">
        <f>HYPERLINK("https://www.ejacket.nsf.gov/ej/showProposal.do?Continue=Y&amp;ID="&amp;RADataTable[[#This Row],[prop_id0]],"eJ")</f>
        <v>eJ</v>
      </c>
      <c r="Y350" s="15" t="str">
        <f>HYPERLINK("mailto:"&amp;RADataTable[[#This Row],[email]]&amp;"&amp;subject=Your NSF Proposal:  "&amp;RADataTable[[#This Row],[Div]]&amp;" "&amp;RADataTable[[#This Row],[prop_id0]], RADataTable[[#This Row],[email]])</f>
        <v>brittany@cs.montana.edu</v>
      </c>
      <c r="Z350" s="15" t="str">
        <f>HYPERLINK("mailto:"&amp;RADataTable[[#This Row],[allPIemail]]&amp;"&amp;subject=NSF Proposal:  "&amp;RADataTable[[#This Row],[Div]]&amp;" "&amp;RADataTable[[#This Row],[prop_id0]], "PIs@")</f>
        <v>PIs@</v>
      </c>
      <c r="AA350" t="s">
        <v>245</v>
      </c>
      <c r="AB350" t="s">
        <v>682</v>
      </c>
      <c r="AC350" s="30" t="s">
        <v>842</v>
      </c>
      <c r="AD350" t="s">
        <v>843</v>
      </c>
      <c r="AE350" t="s">
        <v>844</v>
      </c>
      <c r="AF350" s="36">
        <v>552355</v>
      </c>
      <c r="AG350" s="36">
        <v>552355</v>
      </c>
      <c r="AH350" s="24"/>
      <c r="AJ350" s="34"/>
      <c r="AK350" t="s">
        <v>923</v>
      </c>
      <c r="AL350" t="s">
        <v>232</v>
      </c>
      <c r="AM350" s="34" t="s">
        <v>925</v>
      </c>
      <c r="AN350" s="34">
        <v>43032</v>
      </c>
      <c r="AO350" s="24">
        <v>9</v>
      </c>
      <c r="AP350" t="s">
        <v>940</v>
      </c>
      <c r="AR350" s="35"/>
      <c r="AS350"/>
      <c r="AT350" s="34"/>
      <c r="AV350" s="34"/>
      <c r="AX350" s="34"/>
      <c r="AY350"/>
      <c r="BA350" s="34"/>
      <c r="BB350"/>
      <c r="BC350" t="s">
        <v>847</v>
      </c>
      <c r="BD350" s="36">
        <v>552355</v>
      </c>
      <c r="BE350" s="36">
        <v>552355</v>
      </c>
      <c r="BF350">
        <v>0</v>
      </c>
      <c r="BG350" s="34">
        <v>43344</v>
      </c>
      <c r="BH350">
        <v>60</v>
      </c>
      <c r="BI350" t="s">
        <v>283</v>
      </c>
      <c r="BJ350" t="s">
        <v>928</v>
      </c>
      <c r="BK350" t="s">
        <v>945</v>
      </c>
      <c r="BL350" t="s">
        <v>194</v>
      </c>
      <c r="BM350" s="8" t="s">
        <v>192</v>
      </c>
      <c r="BN350" t="s">
        <v>189</v>
      </c>
      <c r="BO350" t="s">
        <v>190</v>
      </c>
      <c r="BP350" s="35" t="s">
        <v>846</v>
      </c>
      <c r="BQ350"/>
      <c r="BU350" s="35"/>
      <c r="BV350" s="35"/>
      <c r="BX350"/>
      <c r="CA350" s="35"/>
      <c r="CB350" s="35"/>
      <c r="CC350"/>
      <c r="CG350" s="35"/>
      <c r="CH350" s="35"/>
      <c r="CK350"/>
      <c r="CM350" s="35"/>
      <c r="CN350" s="35"/>
      <c r="CQ350"/>
      <c r="CS350" s="35"/>
      <c r="CT350" s="35"/>
      <c r="CX350"/>
      <c r="CZ350" s="35"/>
      <c r="DD350" s="34"/>
      <c r="DG350" t="s">
        <v>845</v>
      </c>
      <c r="DH350" t="s">
        <v>970</v>
      </c>
      <c r="DI350" t="s">
        <v>233</v>
      </c>
      <c r="DL350" t="s">
        <v>682</v>
      </c>
      <c r="DM350">
        <v>5</v>
      </c>
      <c r="DN350">
        <v>7</v>
      </c>
      <c r="DO350" t="s">
        <v>750</v>
      </c>
      <c r="DQ350" t="s">
        <v>927</v>
      </c>
      <c r="DR350">
        <v>14</v>
      </c>
      <c r="DS350">
        <v>0</v>
      </c>
      <c r="DU350">
        <v>14</v>
      </c>
      <c r="DV350">
        <v>0</v>
      </c>
      <c r="DX350">
        <v>14</v>
      </c>
      <c r="DY350">
        <v>0</v>
      </c>
      <c r="DZ350" t="s">
        <v>246</v>
      </c>
      <c r="EA350" t="s">
        <v>929</v>
      </c>
    </row>
    <row r="351" spans="1:131" x14ac:dyDescent="0.4">
      <c r="A351" s="34">
        <v>43067.305104166669</v>
      </c>
      <c r="B351" s="25">
        <v>42935.723611111112</v>
      </c>
      <c r="D351" s="34"/>
      <c r="E351" s="34" t="s">
        <v>193</v>
      </c>
      <c r="F351" s="34" t="s">
        <v>191</v>
      </c>
      <c r="G351" s="34" t="s">
        <v>100</v>
      </c>
      <c r="H351" t="s">
        <v>279</v>
      </c>
      <c r="I351" t="s">
        <v>243</v>
      </c>
      <c r="J351" t="s">
        <v>712</v>
      </c>
      <c r="K351" t="s">
        <v>758</v>
      </c>
      <c r="L351" t="s">
        <v>711</v>
      </c>
      <c r="M351" s="30">
        <v>2.09</v>
      </c>
      <c r="N351">
        <v>6.5</v>
      </c>
      <c r="P351" s="24" t="str">
        <f>IFERROR(MID(RADataTable[[#This Row],[RATemplate]],1,LEN(RADataTable[[#This Row],[RATemplate]])-8),"RA") &amp; " " &amp; RADataTable[[#This Row],[prop_id0]] &amp; " " &amp; RADataTable[[#This Row],[last0]]</f>
        <v>RA 1751254 Fasy</v>
      </c>
      <c r="T351">
        <v>4</v>
      </c>
      <c r="U351">
        <v>4</v>
      </c>
      <c r="V351" s="34">
        <v>43031.43472222222</v>
      </c>
      <c r="W351">
        <v>1</v>
      </c>
      <c r="X351" s="15" t="str">
        <f>HYPERLINK("https://www.ejacket.nsf.gov/ej/showProposal.do?Continue=Y&amp;ID="&amp;RADataTable[[#This Row],[prop_id0]],"eJ")</f>
        <v>eJ</v>
      </c>
      <c r="Y351" s="15" t="str">
        <f>HYPERLINK("mailto:"&amp;RADataTable[[#This Row],[email]]&amp;"&amp;subject=Your NSF Proposal:  "&amp;RADataTable[[#This Row],[Div]]&amp;" "&amp;RADataTable[[#This Row],[prop_id0]], RADataTable[[#This Row],[email]])</f>
        <v>brittany@cs.montana.edu</v>
      </c>
      <c r="Z351" s="15" t="str">
        <f>HYPERLINK("mailto:"&amp;RADataTable[[#This Row],[allPIemail]]&amp;"&amp;subject=NSF Proposal:  "&amp;RADataTable[[#This Row],[Div]]&amp;" "&amp;RADataTable[[#This Row],[prop_id0]], "PIs@")</f>
        <v>PIs@</v>
      </c>
      <c r="AA351" t="s">
        <v>245</v>
      </c>
      <c r="AB351" t="s">
        <v>682</v>
      </c>
      <c r="AC351" s="30" t="s">
        <v>842</v>
      </c>
      <c r="AD351" t="s">
        <v>843</v>
      </c>
      <c r="AE351" t="s">
        <v>844</v>
      </c>
      <c r="AF351" s="36">
        <v>552355</v>
      </c>
      <c r="AG351" s="36">
        <v>552355</v>
      </c>
      <c r="AH351" s="24"/>
      <c r="AJ351" s="34"/>
      <c r="AK351" t="s">
        <v>923</v>
      </c>
      <c r="AL351" t="s">
        <v>232</v>
      </c>
      <c r="AM351" s="34" t="s">
        <v>925</v>
      </c>
      <c r="AN351" s="34">
        <v>43032</v>
      </c>
      <c r="AO351" s="24">
        <v>9</v>
      </c>
      <c r="AP351" t="s">
        <v>940</v>
      </c>
      <c r="AR351" s="35"/>
      <c r="AS351"/>
      <c r="AT351" s="34"/>
      <c r="AV351" s="34"/>
      <c r="AX351" s="34"/>
      <c r="AY351"/>
      <c r="BA351" s="34"/>
      <c r="BB351"/>
      <c r="BC351" t="s">
        <v>847</v>
      </c>
      <c r="BD351" s="36">
        <v>552355</v>
      </c>
      <c r="BE351" s="36">
        <v>552355</v>
      </c>
      <c r="BF351">
        <v>0</v>
      </c>
      <c r="BG351" s="34">
        <v>43344</v>
      </c>
      <c r="BH351">
        <v>60</v>
      </c>
      <c r="BI351" t="s">
        <v>283</v>
      </c>
      <c r="BJ351" t="s">
        <v>928</v>
      </c>
      <c r="BK351" t="s">
        <v>945</v>
      </c>
      <c r="BL351" t="s">
        <v>194</v>
      </c>
      <c r="BM351" s="8" t="s">
        <v>192</v>
      </c>
      <c r="BN351" t="s">
        <v>189</v>
      </c>
      <c r="BO351" t="s">
        <v>190</v>
      </c>
      <c r="BP351" s="35" t="s">
        <v>846</v>
      </c>
      <c r="BQ351"/>
      <c r="BU351" s="35"/>
      <c r="BV351" s="35"/>
      <c r="BX351"/>
      <c r="CA351" s="35"/>
      <c r="CB351" s="35"/>
      <c r="CC351"/>
      <c r="CG351" s="35"/>
      <c r="CH351" s="35"/>
      <c r="CK351"/>
      <c r="CM351" s="35"/>
      <c r="CN351" s="35"/>
      <c r="CQ351"/>
      <c r="CS351" s="35"/>
      <c r="CT351" s="35"/>
      <c r="CX351"/>
      <c r="CZ351" s="35"/>
      <c r="DD351" s="34"/>
      <c r="DG351" t="s">
        <v>845</v>
      </c>
      <c r="DH351" t="s">
        <v>970</v>
      </c>
      <c r="DI351" t="s">
        <v>233</v>
      </c>
      <c r="DL351" t="s">
        <v>682</v>
      </c>
      <c r="DM351">
        <v>5</v>
      </c>
      <c r="DN351">
        <v>7</v>
      </c>
      <c r="DO351" t="s">
        <v>750</v>
      </c>
      <c r="DQ351" t="s">
        <v>927</v>
      </c>
      <c r="DR351">
        <v>14</v>
      </c>
      <c r="DS351">
        <v>0</v>
      </c>
      <c r="DU351">
        <v>14</v>
      </c>
      <c r="DV351">
        <v>0</v>
      </c>
      <c r="DX351">
        <v>14</v>
      </c>
      <c r="DY351">
        <v>0</v>
      </c>
      <c r="DZ351" t="s">
        <v>246</v>
      </c>
      <c r="EA351" t="s">
        <v>929</v>
      </c>
    </row>
    <row r="352" spans="1:131" x14ac:dyDescent="0.4">
      <c r="A352" s="34">
        <v>43067.305104166669</v>
      </c>
      <c r="B352" s="25">
        <v>42935.723611111112</v>
      </c>
      <c r="D352" s="34"/>
      <c r="E352" s="34" t="s">
        <v>193</v>
      </c>
      <c r="F352" s="34" t="s">
        <v>191</v>
      </c>
      <c r="G352" s="34" t="s">
        <v>100</v>
      </c>
      <c r="H352" t="s">
        <v>279</v>
      </c>
      <c r="I352" t="s">
        <v>243</v>
      </c>
      <c r="J352" t="s">
        <v>712</v>
      </c>
      <c r="K352" t="s">
        <v>758</v>
      </c>
      <c r="L352" t="s">
        <v>711</v>
      </c>
      <c r="M352" s="30">
        <v>2.09</v>
      </c>
      <c r="N352">
        <v>6.5</v>
      </c>
      <c r="P352" s="24" t="str">
        <f>IFERROR(MID(RADataTable[[#This Row],[RATemplate]],1,LEN(RADataTable[[#This Row],[RATemplate]])-8),"RA") &amp; " " &amp; RADataTable[[#This Row],[prop_id0]] &amp; " " &amp; RADataTable[[#This Row],[last0]]</f>
        <v>RA 1751254 Fasy</v>
      </c>
      <c r="T352">
        <v>4</v>
      </c>
      <c r="U352">
        <v>4</v>
      </c>
      <c r="V352" s="34">
        <v>43031.43472222222</v>
      </c>
      <c r="W352">
        <v>1</v>
      </c>
      <c r="X352" s="15" t="str">
        <f>HYPERLINK("https://www.ejacket.nsf.gov/ej/showProposal.do?Continue=Y&amp;ID="&amp;RADataTable[[#This Row],[prop_id0]],"eJ")</f>
        <v>eJ</v>
      </c>
      <c r="Y352" s="15" t="str">
        <f>HYPERLINK("mailto:"&amp;RADataTable[[#This Row],[email]]&amp;"&amp;subject=Your NSF Proposal:  "&amp;RADataTable[[#This Row],[Div]]&amp;" "&amp;RADataTable[[#This Row],[prop_id0]], RADataTable[[#This Row],[email]])</f>
        <v>brittany@cs.montana.edu</v>
      </c>
      <c r="Z352" s="15" t="str">
        <f>HYPERLINK("mailto:"&amp;RADataTable[[#This Row],[allPIemail]]&amp;"&amp;subject=NSF Proposal:  "&amp;RADataTable[[#This Row],[Div]]&amp;" "&amp;RADataTable[[#This Row],[prop_id0]], "PIs@")</f>
        <v>PIs@</v>
      </c>
      <c r="AA352" t="s">
        <v>245</v>
      </c>
      <c r="AB352" t="s">
        <v>682</v>
      </c>
      <c r="AC352" s="30" t="s">
        <v>842</v>
      </c>
      <c r="AD352" t="s">
        <v>843</v>
      </c>
      <c r="AE352" t="s">
        <v>844</v>
      </c>
      <c r="AF352" s="36">
        <v>552355</v>
      </c>
      <c r="AG352" s="36">
        <v>552355</v>
      </c>
      <c r="AH352" s="24"/>
      <c r="AJ352" s="34"/>
      <c r="AK352" t="s">
        <v>923</v>
      </c>
      <c r="AL352" t="s">
        <v>232</v>
      </c>
      <c r="AM352" s="34" t="s">
        <v>925</v>
      </c>
      <c r="AN352" s="34">
        <v>43032</v>
      </c>
      <c r="AO352" s="24">
        <v>9</v>
      </c>
      <c r="AP352" t="s">
        <v>940</v>
      </c>
      <c r="AR352" s="35"/>
      <c r="AS352"/>
      <c r="AT352" s="34"/>
      <c r="AV352" s="34"/>
      <c r="AX352" s="34"/>
      <c r="AY352"/>
      <c r="BA352" s="34"/>
      <c r="BB352"/>
      <c r="BC352" t="s">
        <v>847</v>
      </c>
      <c r="BD352" s="36">
        <v>552355</v>
      </c>
      <c r="BE352" s="36">
        <v>552355</v>
      </c>
      <c r="BF352">
        <v>0</v>
      </c>
      <c r="BG352" s="34">
        <v>43344</v>
      </c>
      <c r="BH352">
        <v>60</v>
      </c>
      <c r="BI352" t="s">
        <v>283</v>
      </c>
      <c r="BJ352" t="s">
        <v>928</v>
      </c>
      <c r="BK352" t="s">
        <v>945</v>
      </c>
      <c r="BL352" t="s">
        <v>194</v>
      </c>
      <c r="BM352" s="8" t="s">
        <v>192</v>
      </c>
      <c r="BN352" t="s">
        <v>189</v>
      </c>
      <c r="BO352" t="s">
        <v>190</v>
      </c>
      <c r="BP352" s="35" t="s">
        <v>846</v>
      </c>
      <c r="BQ352"/>
      <c r="BU352" s="35"/>
      <c r="BV352" s="35"/>
      <c r="BX352"/>
      <c r="CA352" s="35"/>
      <c r="CB352" s="35"/>
      <c r="CC352"/>
      <c r="CG352" s="35"/>
      <c r="CH352" s="35"/>
      <c r="CK352"/>
      <c r="CM352" s="35"/>
      <c r="CN352" s="35"/>
      <c r="CQ352"/>
      <c r="CS352" s="35"/>
      <c r="CT352" s="35"/>
      <c r="CX352"/>
      <c r="CZ352" s="35"/>
      <c r="DD352" s="34"/>
      <c r="DG352" t="s">
        <v>845</v>
      </c>
      <c r="DH352" t="s">
        <v>970</v>
      </c>
      <c r="DI352" t="s">
        <v>233</v>
      </c>
      <c r="DL352" t="s">
        <v>682</v>
      </c>
      <c r="DM352">
        <v>5</v>
      </c>
      <c r="DN352">
        <v>7</v>
      </c>
      <c r="DO352" t="s">
        <v>750</v>
      </c>
      <c r="DQ352" t="s">
        <v>927</v>
      </c>
      <c r="DR352">
        <v>14</v>
      </c>
      <c r="DS352">
        <v>0</v>
      </c>
      <c r="DU352">
        <v>14</v>
      </c>
      <c r="DV352">
        <v>0</v>
      </c>
      <c r="DX352">
        <v>14</v>
      </c>
      <c r="DY352">
        <v>0</v>
      </c>
      <c r="DZ352" t="s">
        <v>246</v>
      </c>
      <c r="EA352" t="s">
        <v>929</v>
      </c>
    </row>
    <row r="353" spans="1:131" x14ac:dyDescent="0.4">
      <c r="A353" s="34">
        <v>43067.305104166669</v>
      </c>
      <c r="B353" s="25">
        <v>42935.723611111112</v>
      </c>
      <c r="D353" s="34"/>
      <c r="E353" s="34" t="s">
        <v>193</v>
      </c>
      <c r="F353" s="34" t="s">
        <v>191</v>
      </c>
      <c r="G353" s="34" t="s">
        <v>100</v>
      </c>
      <c r="H353" t="s">
        <v>279</v>
      </c>
      <c r="I353" t="s">
        <v>243</v>
      </c>
      <c r="J353" t="s">
        <v>712</v>
      </c>
      <c r="K353" t="s">
        <v>758</v>
      </c>
      <c r="L353" t="s">
        <v>711</v>
      </c>
      <c r="M353" s="30">
        <v>2.09</v>
      </c>
      <c r="N353">
        <v>6.5</v>
      </c>
      <c r="P353" s="24" t="str">
        <f>IFERROR(MID(RADataTable[[#This Row],[RATemplate]],1,LEN(RADataTable[[#This Row],[RATemplate]])-8),"RA") &amp; " " &amp; RADataTable[[#This Row],[prop_id0]] &amp; " " &amp; RADataTable[[#This Row],[last0]]</f>
        <v>RA 1751254 Fasy</v>
      </c>
      <c r="T353">
        <v>4</v>
      </c>
      <c r="U353">
        <v>4</v>
      </c>
      <c r="V353" s="34">
        <v>43031.43472222222</v>
      </c>
      <c r="W353">
        <v>1</v>
      </c>
      <c r="X353" s="15" t="str">
        <f>HYPERLINK("https://www.ejacket.nsf.gov/ej/showProposal.do?Continue=Y&amp;ID="&amp;RADataTable[[#This Row],[prop_id0]],"eJ")</f>
        <v>eJ</v>
      </c>
      <c r="Y353" s="15" t="str">
        <f>HYPERLINK("mailto:"&amp;RADataTable[[#This Row],[email]]&amp;"&amp;subject=Your NSF Proposal:  "&amp;RADataTable[[#This Row],[Div]]&amp;" "&amp;RADataTable[[#This Row],[prop_id0]], RADataTable[[#This Row],[email]])</f>
        <v>brittany@cs.montana.edu</v>
      </c>
      <c r="Z353" s="15" t="str">
        <f>HYPERLINK("mailto:"&amp;RADataTable[[#This Row],[allPIemail]]&amp;"&amp;subject=NSF Proposal:  "&amp;RADataTable[[#This Row],[Div]]&amp;" "&amp;RADataTable[[#This Row],[prop_id0]], "PIs@")</f>
        <v>PIs@</v>
      </c>
      <c r="AA353" t="s">
        <v>245</v>
      </c>
      <c r="AB353" t="s">
        <v>682</v>
      </c>
      <c r="AC353" s="30" t="s">
        <v>842</v>
      </c>
      <c r="AD353" t="s">
        <v>843</v>
      </c>
      <c r="AE353" t="s">
        <v>844</v>
      </c>
      <c r="AF353" s="36">
        <v>552355</v>
      </c>
      <c r="AG353" s="36">
        <v>552355</v>
      </c>
      <c r="AH353" s="24"/>
      <c r="AJ353" s="34"/>
      <c r="AK353" t="s">
        <v>923</v>
      </c>
      <c r="AL353" t="s">
        <v>232</v>
      </c>
      <c r="AM353" s="34" t="s">
        <v>925</v>
      </c>
      <c r="AN353" s="34">
        <v>43032</v>
      </c>
      <c r="AO353" s="24">
        <v>9</v>
      </c>
      <c r="AP353" t="s">
        <v>940</v>
      </c>
      <c r="AR353" s="35"/>
      <c r="AS353"/>
      <c r="AT353" s="34"/>
      <c r="AV353" s="34"/>
      <c r="AX353" s="34"/>
      <c r="AY353"/>
      <c r="BA353" s="34"/>
      <c r="BB353"/>
      <c r="BC353" t="s">
        <v>847</v>
      </c>
      <c r="BD353" s="36">
        <v>552355</v>
      </c>
      <c r="BE353" s="36">
        <v>552355</v>
      </c>
      <c r="BF353">
        <v>0</v>
      </c>
      <c r="BG353" s="34">
        <v>43344</v>
      </c>
      <c r="BH353">
        <v>60</v>
      </c>
      <c r="BI353" t="s">
        <v>283</v>
      </c>
      <c r="BJ353" t="s">
        <v>928</v>
      </c>
      <c r="BK353" t="s">
        <v>945</v>
      </c>
      <c r="BL353" t="s">
        <v>194</v>
      </c>
      <c r="BM353" s="8" t="s">
        <v>192</v>
      </c>
      <c r="BN353" t="s">
        <v>189</v>
      </c>
      <c r="BO353" t="s">
        <v>190</v>
      </c>
      <c r="BP353" s="35" t="s">
        <v>846</v>
      </c>
      <c r="BQ353"/>
      <c r="BU353" s="35"/>
      <c r="BV353" s="35"/>
      <c r="BX353"/>
      <c r="CA353" s="35"/>
      <c r="CB353" s="35"/>
      <c r="CC353"/>
      <c r="CG353" s="35"/>
      <c r="CH353" s="35"/>
      <c r="CK353"/>
      <c r="CM353" s="35"/>
      <c r="CN353" s="35"/>
      <c r="CQ353"/>
      <c r="CS353" s="35"/>
      <c r="CT353" s="35"/>
      <c r="CX353"/>
      <c r="CZ353" s="35"/>
      <c r="DD353" s="34"/>
      <c r="DG353" t="s">
        <v>845</v>
      </c>
      <c r="DH353" t="s">
        <v>970</v>
      </c>
      <c r="DI353" t="s">
        <v>233</v>
      </c>
      <c r="DL353" t="s">
        <v>682</v>
      </c>
      <c r="DM353">
        <v>5</v>
      </c>
      <c r="DN353">
        <v>7</v>
      </c>
      <c r="DO353" t="s">
        <v>750</v>
      </c>
      <c r="DQ353" t="s">
        <v>927</v>
      </c>
      <c r="DR353">
        <v>14</v>
      </c>
      <c r="DS353">
        <v>0</v>
      </c>
      <c r="DU353">
        <v>14</v>
      </c>
      <c r="DV353">
        <v>0</v>
      </c>
      <c r="DX353">
        <v>14</v>
      </c>
      <c r="DY353">
        <v>0</v>
      </c>
      <c r="DZ353" t="s">
        <v>246</v>
      </c>
      <c r="EA353" t="s">
        <v>929</v>
      </c>
    </row>
    <row r="354" spans="1:131" x14ac:dyDescent="0.4">
      <c r="A354" s="34">
        <v>43067.305104166669</v>
      </c>
      <c r="B354" s="25">
        <v>42935.723611111112</v>
      </c>
      <c r="D354" s="34"/>
      <c r="E354" s="34" t="s">
        <v>193</v>
      </c>
      <c r="F354" s="34" t="s">
        <v>191</v>
      </c>
      <c r="G354" s="34" t="s">
        <v>100</v>
      </c>
      <c r="H354" t="s">
        <v>279</v>
      </c>
      <c r="I354" t="s">
        <v>243</v>
      </c>
      <c r="J354" t="s">
        <v>712</v>
      </c>
      <c r="K354" t="s">
        <v>758</v>
      </c>
      <c r="L354" t="s">
        <v>711</v>
      </c>
      <c r="M354" s="30">
        <v>2.09</v>
      </c>
      <c r="N354">
        <v>6.5</v>
      </c>
      <c r="P354" s="24" t="str">
        <f>IFERROR(MID(RADataTable[[#This Row],[RATemplate]],1,LEN(RADataTable[[#This Row],[RATemplate]])-8),"RA") &amp; " " &amp; RADataTable[[#This Row],[prop_id0]] &amp; " " &amp; RADataTable[[#This Row],[last0]]</f>
        <v>RA 1751254 Fasy</v>
      </c>
      <c r="T354">
        <v>4</v>
      </c>
      <c r="U354">
        <v>4</v>
      </c>
      <c r="V354" s="34">
        <v>43031.43472222222</v>
      </c>
      <c r="W354">
        <v>1</v>
      </c>
      <c r="X354" s="15" t="str">
        <f>HYPERLINK("https://www.ejacket.nsf.gov/ej/showProposal.do?Continue=Y&amp;ID="&amp;RADataTable[[#This Row],[prop_id0]],"eJ")</f>
        <v>eJ</v>
      </c>
      <c r="Y354" s="15" t="str">
        <f>HYPERLINK("mailto:"&amp;RADataTable[[#This Row],[email]]&amp;"&amp;subject=Your NSF Proposal:  "&amp;RADataTable[[#This Row],[Div]]&amp;" "&amp;RADataTable[[#This Row],[prop_id0]], RADataTable[[#This Row],[email]])</f>
        <v>brittany@cs.montana.edu</v>
      </c>
      <c r="Z354" s="15" t="str">
        <f>HYPERLINK("mailto:"&amp;RADataTable[[#This Row],[allPIemail]]&amp;"&amp;subject=NSF Proposal:  "&amp;RADataTable[[#This Row],[Div]]&amp;" "&amp;RADataTable[[#This Row],[prop_id0]], "PIs@")</f>
        <v>PIs@</v>
      </c>
      <c r="AA354" t="s">
        <v>245</v>
      </c>
      <c r="AB354" t="s">
        <v>682</v>
      </c>
      <c r="AC354" s="30" t="s">
        <v>842</v>
      </c>
      <c r="AD354" t="s">
        <v>843</v>
      </c>
      <c r="AE354" t="s">
        <v>844</v>
      </c>
      <c r="AF354" s="36">
        <v>552355</v>
      </c>
      <c r="AG354" s="36">
        <v>552355</v>
      </c>
      <c r="AH354" s="24"/>
      <c r="AJ354" s="34"/>
      <c r="AK354" t="s">
        <v>923</v>
      </c>
      <c r="AL354" t="s">
        <v>232</v>
      </c>
      <c r="AM354" s="34" t="s">
        <v>925</v>
      </c>
      <c r="AN354" s="34">
        <v>43032</v>
      </c>
      <c r="AO354" s="24">
        <v>9</v>
      </c>
      <c r="AP354" t="s">
        <v>940</v>
      </c>
      <c r="AR354" s="35"/>
      <c r="AS354"/>
      <c r="AT354" s="34"/>
      <c r="AV354" s="34"/>
      <c r="AX354" s="34"/>
      <c r="AY354"/>
      <c r="BA354" s="34"/>
      <c r="BB354"/>
      <c r="BC354" t="s">
        <v>847</v>
      </c>
      <c r="BD354" s="36">
        <v>552355</v>
      </c>
      <c r="BE354" s="36">
        <v>552355</v>
      </c>
      <c r="BF354">
        <v>0</v>
      </c>
      <c r="BG354" s="34">
        <v>43344</v>
      </c>
      <c r="BH354">
        <v>60</v>
      </c>
      <c r="BI354" t="s">
        <v>283</v>
      </c>
      <c r="BJ354" t="s">
        <v>928</v>
      </c>
      <c r="BK354" t="s">
        <v>945</v>
      </c>
      <c r="BL354" t="s">
        <v>194</v>
      </c>
      <c r="BM354" s="8" t="s">
        <v>192</v>
      </c>
      <c r="BN354" t="s">
        <v>189</v>
      </c>
      <c r="BO354" t="s">
        <v>190</v>
      </c>
      <c r="BP354" s="35" t="s">
        <v>846</v>
      </c>
      <c r="BQ354"/>
      <c r="BU354" s="35"/>
      <c r="BV354" s="35"/>
      <c r="BX354"/>
      <c r="CA354" s="35"/>
      <c r="CB354" s="35"/>
      <c r="CC354"/>
      <c r="CG354" s="35"/>
      <c r="CH354" s="35"/>
      <c r="CK354"/>
      <c r="CM354" s="35"/>
      <c r="CN354" s="35"/>
      <c r="CQ354"/>
      <c r="CS354" s="35"/>
      <c r="CT354" s="35"/>
      <c r="CX354"/>
      <c r="CZ354" s="35"/>
      <c r="DD354" s="34"/>
      <c r="DG354" t="s">
        <v>845</v>
      </c>
      <c r="DH354" t="s">
        <v>970</v>
      </c>
      <c r="DI354" t="s">
        <v>233</v>
      </c>
      <c r="DL354" t="s">
        <v>682</v>
      </c>
      <c r="DM354">
        <v>5</v>
      </c>
      <c r="DN354">
        <v>7</v>
      </c>
      <c r="DO354" t="s">
        <v>750</v>
      </c>
      <c r="DQ354" t="s">
        <v>927</v>
      </c>
      <c r="DR354">
        <v>14</v>
      </c>
      <c r="DS354">
        <v>0</v>
      </c>
      <c r="DU354">
        <v>14</v>
      </c>
      <c r="DV354">
        <v>0</v>
      </c>
      <c r="DX354">
        <v>14</v>
      </c>
      <c r="DY354">
        <v>0</v>
      </c>
      <c r="DZ354" t="s">
        <v>246</v>
      </c>
      <c r="EA354" t="s">
        <v>929</v>
      </c>
    </row>
    <row r="355" spans="1:131" x14ac:dyDescent="0.4">
      <c r="A355" s="34">
        <v>43067.305104166669</v>
      </c>
      <c r="B355" s="25">
        <v>42935.723611111112</v>
      </c>
      <c r="D355" s="34"/>
      <c r="E355" s="34" t="s">
        <v>193</v>
      </c>
      <c r="F355" s="34" t="s">
        <v>191</v>
      </c>
      <c r="G355" s="34" t="s">
        <v>100</v>
      </c>
      <c r="H355" t="s">
        <v>279</v>
      </c>
      <c r="I355" t="s">
        <v>243</v>
      </c>
      <c r="J355" t="s">
        <v>712</v>
      </c>
      <c r="K355" t="s">
        <v>758</v>
      </c>
      <c r="L355" t="s">
        <v>711</v>
      </c>
      <c r="M355" s="30">
        <v>2.09</v>
      </c>
      <c r="N355">
        <v>6.5</v>
      </c>
      <c r="P355" s="24" t="str">
        <f>IFERROR(MID(RADataTable[[#This Row],[RATemplate]],1,LEN(RADataTable[[#This Row],[RATemplate]])-8),"RA") &amp; " " &amp; RADataTable[[#This Row],[prop_id0]] &amp; " " &amp; RADataTable[[#This Row],[last0]]</f>
        <v>RA 1751254 Fasy</v>
      </c>
      <c r="T355">
        <v>4</v>
      </c>
      <c r="U355">
        <v>4</v>
      </c>
      <c r="V355" s="34">
        <v>43031.43472222222</v>
      </c>
      <c r="W355">
        <v>1</v>
      </c>
      <c r="X355" s="15" t="str">
        <f>HYPERLINK("https://www.ejacket.nsf.gov/ej/showProposal.do?Continue=Y&amp;ID="&amp;RADataTable[[#This Row],[prop_id0]],"eJ")</f>
        <v>eJ</v>
      </c>
      <c r="Y355" s="15" t="str">
        <f>HYPERLINK("mailto:"&amp;RADataTable[[#This Row],[email]]&amp;"&amp;subject=Your NSF Proposal:  "&amp;RADataTable[[#This Row],[Div]]&amp;" "&amp;RADataTable[[#This Row],[prop_id0]], RADataTable[[#This Row],[email]])</f>
        <v>brittany@cs.montana.edu</v>
      </c>
      <c r="Z355" s="15" t="str">
        <f>HYPERLINK("mailto:"&amp;RADataTable[[#This Row],[allPIemail]]&amp;"&amp;subject=NSF Proposal:  "&amp;RADataTable[[#This Row],[Div]]&amp;" "&amp;RADataTable[[#This Row],[prop_id0]], "PIs@")</f>
        <v>PIs@</v>
      </c>
      <c r="AA355" t="s">
        <v>245</v>
      </c>
      <c r="AB355" t="s">
        <v>682</v>
      </c>
      <c r="AC355" s="30" t="s">
        <v>842</v>
      </c>
      <c r="AD355" t="s">
        <v>843</v>
      </c>
      <c r="AE355" t="s">
        <v>844</v>
      </c>
      <c r="AF355" s="36">
        <v>552355</v>
      </c>
      <c r="AG355" s="36">
        <v>552355</v>
      </c>
      <c r="AH355" s="24"/>
      <c r="AJ355" s="34"/>
      <c r="AK355" t="s">
        <v>923</v>
      </c>
      <c r="AL355" t="s">
        <v>232</v>
      </c>
      <c r="AM355" s="34" t="s">
        <v>925</v>
      </c>
      <c r="AN355" s="34">
        <v>43032</v>
      </c>
      <c r="AO355" s="24">
        <v>9</v>
      </c>
      <c r="AP355" t="s">
        <v>940</v>
      </c>
      <c r="AR355" s="35"/>
      <c r="AS355"/>
      <c r="AT355" s="34"/>
      <c r="AV355" s="34"/>
      <c r="AX355" s="34"/>
      <c r="AY355"/>
      <c r="BA355" s="34"/>
      <c r="BB355"/>
      <c r="BC355" t="s">
        <v>847</v>
      </c>
      <c r="BD355" s="36">
        <v>552355</v>
      </c>
      <c r="BE355" s="36">
        <v>552355</v>
      </c>
      <c r="BF355">
        <v>0</v>
      </c>
      <c r="BG355" s="34">
        <v>43344</v>
      </c>
      <c r="BH355">
        <v>60</v>
      </c>
      <c r="BI355" t="s">
        <v>283</v>
      </c>
      <c r="BJ355" t="s">
        <v>928</v>
      </c>
      <c r="BK355" t="s">
        <v>945</v>
      </c>
      <c r="BL355" t="s">
        <v>194</v>
      </c>
      <c r="BM355" s="8" t="s">
        <v>192</v>
      </c>
      <c r="BN355" t="s">
        <v>189</v>
      </c>
      <c r="BO355" t="s">
        <v>190</v>
      </c>
      <c r="BP355" s="35" t="s">
        <v>846</v>
      </c>
      <c r="BQ355"/>
      <c r="BU355" s="35"/>
      <c r="BV355" s="35"/>
      <c r="BX355"/>
      <c r="CA355" s="35"/>
      <c r="CB355" s="35"/>
      <c r="CC355"/>
      <c r="CG355" s="35"/>
      <c r="CH355" s="35"/>
      <c r="CK355"/>
      <c r="CM355" s="35"/>
      <c r="CN355" s="35"/>
      <c r="CQ355"/>
      <c r="CS355" s="35"/>
      <c r="CT355" s="35"/>
      <c r="CX355"/>
      <c r="CZ355" s="35"/>
      <c r="DD355" s="34"/>
      <c r="DG355" t="s">
        <v>845</v>
      </c>
      <c r="DH355" t="s">
        <v>970</v>
      </c>
      <c r="DI355" t="s">
        <v>233</v>
      </c>
      <c r="DL355" t="s">
        <v>682</v>
      </c>
      <c r="DM355">
        <v>5</v>
      </c>
      <c r="DN355">
        <v>7</v>
      </c>
      <c r="DO355" t="s">
        <v>750</v>
      </c>
      <c r="DQ355" t="s">
        <v>927</v>
      </c>
      <c r="DR355">
        <v>14</v>
      </c>
      <c r="DS355">
        <v>0</v>
      </c>
      <c r="DU355">
        <v>14</v>
      </c>
      <c r="DV355">
        <v>0</v>
      </c>
      <c r="DX355">
        <v>14</v>
      </c>
      <c r="DY355">
        <v>0</v>
      </c>
      <c r="DZ355" t="s">
        <v>246</v>
      </c>
      <c r="EA355" t="s">
        <v>929</v>
      </c>
    </row>
    <row r="356" spans="1:131" x14ac:dyDescent="0.4">
      <c r="A356" s="34">
        <v>43067.305104166669</v>
      </c>
      <c r="B356" s="25">
        <v>42935.723611111112</v>
      </c>
      <c r="D356" s="34"/>
      <c r="E356" s="34" t="s">
        <v>193</v>
      </c>
      <c r="F356" s="34" t="s">
        <v>191</v>
      </c>
      <c r="G356" s="34" t="s">
        <v>100</v>
      </c>
      <c r="H356" t="s">
        <v>279</v>
      </c>
      <c r="I356" t="s">
        <v>243</v>
      </c>
      <c r="J356" t="s">
        <v>712</v>
      </c>
      <c r="K356" t="s">
        <v>758</v>
      </c>
      <c r="L356" t="s">
        <v>711</v>
      </c>
      <c r="M356" s="30">
        <v>2.09</v>
      </c>
      <c r="N356">
        <v>6.5</v>
      </c>
      <c r="P356" s="24" t="str">
        <f>IFERROR(MID(RADataTable[[#This Row],[RATemplate]],1,LEN(RADataTable[[#This Row],[RATemplate]])-8),"RA") &amp; " " &amp; RADataTable[[#This Row],[prop_id0]] &amp; " " &amp; RADataTable[[#This Row],[last0]]</f>
        <v>RA 1751254 Fasy</v>
      </c>
      <c r="T356">
        <v>4</v>
      </c>
      <c r="U356">
        <v>4</v>
      </c>
      <c r="V356" s="34">
        <v>43031.43472222222</v>
      </c>
      <c r="W356">
        <v>1</v>
      </c>
      <c r="X356" s="15" t="str">
        <f>HYPERLINK("https://www.ejacket.nsf.gov/ej/showProposal.do?Continue=Y&amp;ID="&amp;RADataTable[[#This Row],[prop_id0]],"eJ")</f>
        <v>eJ</v>
      </c>
      <c r="Y356" s="15" t="str">
        <f>HYPERLINK("mailto:"&amp;RADataTable[[#This Row],[email]]&amp;"&amp;subject=Your NSF Proposal:  "&amp;RADataTable[[#This Row],[Div]]&amp;" "&amp;RADataTable[[#This Row],[prop_id0]], RADataTable[[#This Row],[email]])</f>
        <v>brittany@cs.montana.edu</v>
      </c>
      <c r="Z356" s="15" t="str">
        <f>HYPERLINK("mailto:"&amp;RADataTable[[#This Row],[allPIemail]]&amp;"&amp;subject=NSF Proposal:  "&amp;RADataTable[[#This Row],[Div]]&amp;" "&amp;RADataTable[[#This Row],[prop_id0]], "PIs@")</f>
        <v>PIs@</v>
      </c>
      <c r="AA356" t="s">
        <v>245</v>
      </c>
      <c r="AB356" t="s">
        <v>682</v>
      </c>
      <c r="AC356" s="30" t="s">
        <v>842</v>
      </c>
      <c r="AD356" t="s">
        <v>843</v>
      </c>
      <c r="AE356" t="s">
        <v>844</v>
      </c>
      <c r="AF356" s="36">
        <v>552355</v>
      </c>
      <c r="AG356" s="36">
        <v>552355</v>
      </c>
      <c r="AH356" s="24"/>
      <c r="AJ356" s="34"/>
      <c r="AK356" t="s">
        <v>923</v>
      </c>
      <c r="AL356" t="s">
        <v>232</v>
      </c>
      <c r="AM356" s="34" t="s">
        <v>925</v>
      </c>
      <c r="AN356" s="34">
        <v>43032</v>
      </c>
      <c r="AO356" s="24">
        <v>9</v>
      </c>
      <c r="AP356" t="s">
        <v>940</v>
      </c>
      <c r="AR356" s="35"/>
      <c r="AS356"/>
      <c r="AT356" s="34"/>
      <c r="AV356" s="34"/>
      <c r="AX356" s="34"/>
      <c r="AY356"/>
      <c r="BA356" s="34"/>
      <c r="BB356"/>
      <c r="BC356" t="s">
        <v>847</v>
      </c>
      <c r="BD356" s="36">
        <v>552355</v>
      </c>
      <c r="BE356" s="36">
        <v>552355</v>
      </c>
      <c r="BF356">
        <v>0</v>
      </c>
      <c r="BG356" s="34">
        <v>43344</v>
      </c>
      <c r="BH356">
        <v>60</v>
      </c>
      <c r="BI356" t="s">
        <v>283</v>
      </c>
      <c r="BJ356" t="s">
        <v>928</v>
      </c>
      <c r="BK356" t="s">
        <v>945</v>
      </c>
      <c r="BL356" t="s">
        <v>194</v>
      </c>
      <c r="BM356" s="8" t="s">
        <v>192</v>
      </c>
      <c r="BN356" t="s">
        <v>189</v>
      </c>
      <c r="BO356" t="s">
        <v>190</v>
      </c>
      <c r="BP356" s="35" t="s">
        <v>846</v>
      </c>
      <c r="BQ356"/>
      <c r="BU356" s="35"/>
      <c r="BV356" s="35"/>
      <c r="BX356"/>
      <c r="CA356" s="35"/>
      <c r="CB356" s="35"/>
      <c r="CC356"/>
      <c r="CG356" s="35"/>
      <c r="CH356" s="35"/>
      <c r="CK356"/>
      <c r="CM356" s="35"/>
      <c r="CN356" s="35"/>
      <c r="CQ356"/>
      <c r="CS356" s="35"/>
      <c r="CT356" s="35"/>
      <c r="CX356"/>
      <c r="CZ356" s="35"/>
      <c r="DD356" s="34"/>
      <c r="DG356" t="s">
        <v>845</v>
      </c>
      <c r="DH356" t="s">
        <v>970</v>
      </c>
      <c r="DI356" t="s">
        <v>233</v>
      </c>
      <c r="DL356" t="s">
        <v>682</v>
      </c>
      <c r="DM356">
        <v>5</v>
      </c>
      <c r="DN356">
        <v>7</v>
      </c>
      <c r="DO356" t="s">
        <v>750</v>
      </c>
      <c r="DQ356" t="s">
        <v>927</v>
      </c>
      <c r="DR356">
        <v>14</v>
      </c>
      <c r="DS356">
        <v>0</v>
      </c>
      <c r="DU356">
        <v>14</v>
      </c>
      <c r="DV356">
        <v>0</v>
      </c>
      <c r="DX356">
        <v>14</v>
      </c>
      <c r="DY356">
        <v>0</v>
      </c>
      <c r="DZ356" t="s">
        <v>246</v>
      </c>
      <c r="EA356" t="s">
        <v>929</v>
      </c>
    </row>
    <row r="357" spans="1:131" x14ac:dyDescent="0.4">
      <c r="A357" s="34">
        <v>43067.305104166669</v>
      </c>
      <c r="B357" s="25">
        <v>42935.723611111112</v>
      </c>
      <c r="D357" s="34"/>
      <c r="E357" s="34" t="s">
        <v>193</v>
      </c>
      <c r="F357" s="34" t="s">
        <v>191</v>
      </c>
      <c r="G357" s="34" t="s">
        <v>100</v>
      </c>
      <c r="H357" t="s">
        <v>279</v>
      </c>
      <c r="I357" t="s">
        <v>243</v>
      </c>
      <c r="J357" t="s">
        <v>712</v>
      </c>
      <c r="K357" t="s">
        <v>758</v>
      </c>
      <c r="L357" t="s">
        <v>711</v>
      </c>
      <c r="M357" s="30">
        <v>2.09</v>
      </c>
      <c r="N357">
        <v>6.5</v>
      </c>
      <c r="P357" s="24" t="str">
        <f>IFERROR(MID(RADataTable[[#This Row],[RATemplate]],1,LEN(RADataTable[[#This Row],[RATemplate]])-8),"RA") &amp; " " &amp; RADataTable[[#This Row],[prop_id0]] &amp; " " &amp; RADataTable[[#This Row],[last0]]</f>
        <v>RA 1751254 Fasy</v>
      </c>
      <c r="T357">
        <v>4</v>
      </c>
      <c r="U357">
        <v>4</v>
      </c>
      <c r="V357" s="34">
        <v>43031.43472222222</v>
      </c>
      <c r="W357">
        <v>1</v>
      </c>
      <c r="X357" s="15" t="str">
        <f>HYPERLINK("https://www.ejacket.nsf.gov/ej/showProposal.do?Continue=Y&amp;ID="&amp;RADataTable[[#This Row],[prop_id0]],"eJ")</f>
        <v>eJ</v>
      </c>
      <c r="Y357" s="15" t="str">
        <f>HYPERLINK("mailto:"&amp;RADataTable[[#This Row],[email]]&amp;"&amp;subject=Your NSF Proposal:  "&amp;RADataTable[[#This Row],[Div]]&amp;" "&amp;RADataTable[[#This Row],[prop_id0]], RADataTable[[#This Row],[email]])</f>
        <v>brittany@cs.montana.edu</v>
      </c>
      <c r="Z357" s="15" t="str">
        <f>HYPERLINK("mailto:"&amp;RADataTable[[#This Row],[allPIemail]]&amp;"&amp;subject=NSF Proposal:  "&amp;RADataTable[[#This Row],[Div]]&amp;" "&amp;RADataTable[[#This Row],[prop_id0]], "PIs@")</f>
        <v>PIs@</v>
      </c>
      <c r="AA357" t="s">
        <v>245</v>
      </c>
      <c r="AB357" t="s">
        <v>682</v>
      </c>
      <c r="AC357" s="30" t="s">
        <v>842</v>
      </c>
      <c r="AD357" t="s">
        <v>843</v>
      </c>
      <c r="AE357" t="s">
        <v>844</v>
      </c>
      <c r="AF357" s="36">
        <v>552355</v>
      </c>
      <c r="AG357" s="36">
        <v>552355</v>
      </c>
      <c r="AH357" s="24"/>
      <c r="AJ357" s="34"/>
      <c r="AK357" t="s">
        <v>923</v>
      </c>
      <c r="AL357" t="s">
        <v>232</v>
      </c>
      <c r="AM357" s="34" t="s">
        <v>925</v>
      </c>
      <c r="AN357" s="34">
        <v>43032</v>
      </c>
      <c r="AO357" s="24">
        <v>9</v>
      </c>
      <c r="AP357" t="s">
        <v>940</v>
      </c>
      <c r="AR357" s="35"/>
      <c r="AS357"/>
      <c r="AT357" s="34"/>
      <c r="AV357" s="34"/>
      <c r="AX357" s="34"/>
      <c r="AY357"/>
      <c r="BA357" s="34"/>
      <c r="BB357"/>
      <c r="BC357" t="s">
        <v>847</v>
      </c>
      <c r="BD357" s="36">
        <v>552355</v>
      </c>
      <c r="BE357" s="36">
        <v>552355</v>
      </c>
      <c r="BF357">
        <v>0</v>
      </c>
      <c r="BG357" s="34">
        <v>43344</v>
      </c>
      <c r="BH357">
        <v>60</v>
      </c>
      <c r="BI357" t="s">
        <v>283</v>
      </c>
      <c r="BJ357" t="s">
        <v>928</v>
      </c>
      <c r="BK357" t="s">
        <v>945</v>
      </c>
      <c r="BL357" t="s">
        <v>194</v>
      </c>
      <c r="BM357" s="8" t="s">
        <v>192</v>
      </c>
      <c r="BN357" t="s">
        <v>189</v>
      </c>
      <c r="BO357" t="s">
        <v>190</v>
      </c>
      <c r="BP357" s="35" t="s">
        <v>846</v>
      </c>
      <c r="BQ357"/>
      <c r="BU357" s="35"/>
      <c r="BV357" s="35"/>
      <c r="BX357"/>
      <c r="CA357" s="35"/>
      <c r="CB357" s="35"/>
      <c r="CC357"/>
      <c r="CG357" s="35"/>
      <c r="CH357" s="35"/>
      <c r="CK357"/>
      <c r="CM357" s="35"/>
      <c r="CN357" s="35"/>
      <c r="CQ357"/>
      <c r="CS357" s="35"/>
      <c r="CT357" s="35"/>
      <c r="CX357"/>
      <c r="CZ357" s="35"/>
      <c r="DD357" s="34"/>
      <c r="DG357" t="s">
        <v>845</v>
      </c>
      <c r="DH357" t="s">
        <v>970</v>
      </c>
      <c r="DI357" t="s">
        <v>233</v>
      </c>
      <c r="DL357" t="s">
        <v>682</v>
      </c>
      <c r="DM357">
        <v>5</v>
      </c>
      <c r="DN357">
        <v>7</v>
      </c>
      <c r="DO357" t="s">
        <v>750</v>
      </c>
      <c r="DQ357" t="s">
        <v>927</v>
      </c>
      <c r="DR357">
        <v>14</v>
      </c>
      <c r="DS357">
        <v>0</v>
      </c>
      <c r="DU357">
        <v>14</v>
      </c>
      <c r="DV357">
        <v>0</v>
      </c>
      <c r="DX357">
        <v>14</v>
      </c>
      <c r="DY357">
        <v>0</v>
      </c>
      <c r="DZ357" t="s">
        <v>246</v>
      </c>
      <c r="EA357" t="s">
        <v>929</v>
      </c>
    </row>
    <row r="358" spans="1:131" x14ac:dyDescent="0.4">
      <c r="A358" s="34">
        <v>43067.305104166669</v>
      </c>
      <c r="B358" s="25">
        <v>42935.723611111112</v>
      </c>
      <c r="D358" s="34"/>
      <c r="E358" s="34" t="s">
        <v>193</v>
      </c>
      <c r="F358" s="34" t="s">
        <v>191</v>
      </c>
      <c r="G358" s="34" t="s">
        <v>100</v>
      </c>
      <c r="H358" t="s">
        <v>279</v>
      </c>
      <c r="I358" t="s">
        <v>243</v>
      </c>
      <c r="J358" t="s">
        <v>712</v>
      </c>
      <c r="K358" t="s">
        <v>758</v>
      </c>
      <c r="L358" t="s">
        <v>711</v>
      </c>
      <c r="M358" s="30">
        <v>2.09</v>
      </c>
      <c r="N358">
        <v>6.5</v>
      </c>
      <c r="P358" s="24" t="str">
        <f>IFERROR(MID(RADataTable[[#This Row],[RATemplate]],1,LEN(RADataTable[[#This Row],[RATemplate]])-8),"RA") &amp; " " &amp; RADataTable[[#This Row],[prop_id0]] &amp; " " &amp; RADataTable[[#This Row],[last0]]</f>
        <v>RA 1751254 Fasy</v>
      </c>
      <c r="T358">
        <v>4</v>
      </c>
      <c r="U358">
        <v>4</v>
      </c>
      <c r="V358" s="34">
        <v>43031.43472222222</v>
      </c>
      <c r="W358">
        <v>1</v>
      </c>
      <c r="X358" s="15" t="str">
        <f>HYPERLINK("https://www.ejacket.nsf.gov/ej/showProposal.do?Continue=Y&amp;ID="&amp;RADataTable[[#This Row],[prop_id0]],"eJ")</f>
        <v>eJ</v>
      </c>
      <c r="Y358" s="15" t="str">
        <f>HYPERLINK("mailto:"&amp;RADataTable[[#This Row],[email]]&amp;"&amp;subject=Your NSF Proposal:  "&amp;RADataTable[[#This Row],[Div]]&amp;" "&amp;RADataTable[[#This Row],[prop_id0]], RADataTable[[#This Row],[email]])</f>
        <v>brittany@cs.montana.edu</v>
      </c>
      <c r="Z358" s="15" t="str">
        <f>HYPERLINK("mailto:"&amp;RADataTable[[#This Row],[allPIemail]]&amp;"&amp;subject=NSF Proposal:  "&amp;RADataTable[[#This Row],[Div]]&amp;" "&amp;RADataTable[[#This Row],[prop_id0]], "PIs@")</f>
        <v>PIs@</v>
      </c>
      <c r="AA358" t="s">
        <v>245</v>
      </c>
      <c r="AB358" t="s">
        <v>682</v>
      </c>
      <c r="AC358" s="30" t="s">
        <v>842</v>
      </c>
      <c r="AD358" t="s">
        <v>843</v>
      </c>
      <c r="AE358" t="s">
        <v>844</v>
      </c>
      <c r="AF358" s="36">
        <v>552355</v>
      </c>
      <c r="AG358" s="36">
        <v>552355</v>
      </c>
      <c r="AH358" s="24"/>
      <c r="AJ358" s="34"/>
      <c r="AK358" t="s">
        <v>923</v>
      </c>
      <c r="AL358" t="s">
        <v>232</v>
      </c>
      <c r="AM358" s="34" t="s">
        <v>925</v>
      </c>
      <c r="AN358" s="34">
        <v>43032</v>
      </c>
      <c r="AO358" s="24">
        <v>9</v>
      </c>
      <c r="AP358" t="s">
        <v>940</v>
      </c>
      <c r="AR358" s="35"/>
      <c r="AS358"/>
      <c r="AT358" s="34"/>
      <c r="AV358" s="34"/>
      <c r="AX358" s="34"/>
      <c r="AY358"/>
      <c r="BA358" s="34"/>
      <c r="BB358"/>
      <c r="BC358" t="s">
        <v>847</v>
      </c>
      <c r="BD358" s="36">
        <v>552355</v>
      </c>
      <c r="BE358" s="36">
        <v>552355</v>
      </c>
      <c r="BF358">
        <v>0</v>
      </c>
      <c r="BG358" s="34">
        <v>43344</v>
      </c>
      <c r="BH358">
        <v>60</v>
      </c>
      <c r="BI358" t="s">
        <v>283</v>
      </c>
      <c r="BJ358" t="s">
        <v>928</v>
      </c>
      <c r="BK358" t="s">
        <v>945</v>
      </c>
      <c r="BL358" t="s">
        <v>194</v>
      </c>
      <c r="BM358" s="8" t="s">
        <v>192</v>
      </c>
      <c r="BN358" t="s">
        <v>189</v>
      </c>
      <c r="BO358" t="s">
        <v>190</v>
      </c>
      <c r="BP358" s="35" t="s">
        <v>846</v>
      </c>
      <c r="BQ358"/>
      <c r="BU358" s="35"/>
      <c r="BV358" s="35"/>
      <c r="BX358"/>
      <c r="CA358" s="35"/>
      <c r="CB358" s="35"/>
      <c r="CC358"/>
      <c r="CG358" s="35"/>
      <c r="CH358" s="35"/>
      <c r="CK358"/>
      <c r="CM358" s="35"/>
      <c r="CN358" s="35"/>
      <c r="CQ358"/>
      <c r="CS358" s="35"/>
      <c r="CT358" s="35"/>
      <c r="CX358"/>
      <c r="CZ358" s="35"/>
      <c r="DD358" s="34"/>
      <c r="DG358" t="s">
        <v>845</v>
      </c>
      <c r="DH358" t="s">
        <v>970</v>
      </c>
      <c r="DI358" t="s">
        <v>233</v>
      </c>
      <c r="DL358" t="s">
        <v>682</v>
      </c>
      <c r="DM358">
        <v>5</v>
      </c>
      <c r="DN358">
        <v>7</v>
      </c>
      <c r="DO358" t="s">
        <v>750</v>
      </c>
      <c r="DQ358" t="s">
        <v>927</v>
      </c>
      <c r="DR358">
        <v>14</v>
      </c>
      <c r="DS358">
        <v>0</v>
      </c>
      <c r="DU358">
        <v>14</v>
      </c>
      <c r="DV358">
        <v>0</v>
      </c>
      <c r="DX358">
        <v>14</v>
      </c>
      <c r="DY358">
        <v>0</v>
      </c>
      <c r="DZ358" t="s">
        <v>246</v>
      </c>
      <c r="EA358" t="s">
        <v>929</v>
      </c>
    </row>
    <row r="359" spans="1:131" x14ac:dyDescent="0.4">
      <c r="A359" s="34">
        <v>43067.305104166669</v>
      </c>
      <c r="B359" s="25">
        <v>42935.723611111112</v>
      </c>
      <c r="D359" s="34"/>
      <c r="E359" s="34" t="s">
        <v>193</v>
      </c>
      <c r="F359" s="34" t="s">
        <v>191</v>
      </c>
      <c r="G359" s="34" t="s">
        <v>100</v>
      </c>
      <c r="H359" t="s">
        <v>279</v>
      </c>
      <c r="I359" t="s">
        <v>243</v>
      </c>
      <c r="J359" t="s">
        <v>712</v>
      </c>
      <c r="K359" t="s">
        <v>758</v>
      </c>
      <c r="L359" t="s">
        <v>711</v>
      </c>
      <c r="M359" s="30">
        <v>2.09</v>
      </c>
      <c r="N359">
        <v>6.5</v>
      </c>
      <c r="P359" s="24" t="str">
        <f>IFERROR(MID(RADataTable[[#This Row],[RATemplate]],1,LEN(RADataTable[[#This Row],[RATemplate]])-8),"RA") &amp; " " &amp; RADataTable[[#This Row],[prop_id0]] &amp; " " &amp; RADataTable[[#This Row],[last0]]</f>
        <v>RA 1751254 Fasy</v>
      </c>
      <c r="T359">
        <v>4</v>
      </c>
      <c r="U359">
        <v>4</v>
      </c>
      <c r="V359" s="34">
        <v>43031.43472222222</v>
      </c>
      <c r="W359">
        <v>1</v>
      </c>
      <c r="X359" s="15" t="str">
        <f>HYPERLINK("https://www.ejacket.nsf.gov/ej/showProposal.do?Continue=Y&amp;ID="&amp;RADataTable[[#This Row],[prop_id0]],"eJ")</f>
        <v>eJ</v>
      </c>
      <c r="Y359" s="15" t="str">
        <f>HYPERLINK("mailto:"&amp;RADataTable[[#This Row],[email]]&amp;"&amp;subject=Your NSF Proposal:  "&amp;RADataTable[[#This Row],[Div]]&amp;" "&amp;RADataTable[[#This Row],[prop_id0]], RADataTable[[#This Row],[email]])</f>
        <v>brittany@cs.montana.edu</v>
      </c>
      <c r="Z359" s="15" t="str">
        <f>HYPERLINK("mailto:"&amp;RADataTable[[#This Row],[allPIemail]]&amp;"&amp;subject=NSF Proposal:  "&amp;RADataTable[[#This Row],[Div]]&amp;" "&amp;RADataTable[[#This Row],[prop_id0]], "PIs@")</f>
        <v>PIs@</v>
      </c>
      <c r="AA359" t="s">
        <v>245</v>
      </c>
      <c r="AB359" t="s">
        <v>682</v>
      </c>
      <c r="AC359" s="30" t="s">
        <v>842</v>
      </c>
      <c r="AD359" t="s">
        <v>843</v>
      </c>
      <c r="AE359" t="s">
        <v>844</v>
      </c>
      <c r="AF359" s="36">
        <v>552355</v>
      </c>
      <c r="AG359" s="36">
        <v>552355</v>
      </c>
      <c r="AH359" s="24"/>
      <c r="AJ359" s="34"/>
      <c r="AK359" t="s">
        <v>923</v>
      </c>
      <c r="AL359" t="s">
        <v>232</v>
      </c>
      <c r="AM359" s="34" t="s">
        <v>925</v>
      </c>
      <c r="AN359" s="34">
        <v>43032</v>
      </c>
      <c r="AO359" s="24">
        <v>9</v>
      </c>
      <c r="AP359" t="s">
        <v>940</v>
      </c>
      <c r="AR359" s="35"/>
      <c r="AS359"/>
      <c r="AT359" s="34"/>
      <c r="AV359" s="34"/>
      <c r="AX359" s="34"/>
      <c r="AY359"/>
      <c r="BA359" s="34"/>
      <c r="BB359"/>
      <c r="BC359" t="s">
        <v>847</v>
      </c>
      <c r="BD359" s="36">
        <v>552355</v>
      </c>
      <c r="BE359" s="36">
        <v>552355</v>
      </c>
      <c r="BF359">
        <v>0</v>
      </c>
      <c r="BG359" s="34">
        <v>43344</v>
      </c>
      <c r="BH359">
        <v>60</v>
      </c>
      <c r="BI359" t="s">
        <v>283</v>
      </c>
      <c r="BJ359" t="s">
        <v>928</v>
      </c>
      <c r="BK359" t="s">
        <v>945</v>
      </c>
      <c r="BL359" t="s">
        <v>194</v>
      </c>
      <c r="BM359" s="8" t="s">
        <v>192</v>
      </c>
      <c r="BN359" t="s">
        <v>189</v>
      </c>
      <c r="BO359" t="s">
        <v>190</v>
      </c>
      <c r="BP359" s="35" t="s">
        <v>846</v>
      </c>
      <c r="BQ359"/>
      <c r="BU359" s="35"/>
      <c r="BV359" s="35"/>
      <c r="BX359"/>
      <c r="CA359" s="35"/>
      <c r="CB359" s="35"/>
      <c r="CC359"/>
      <c r="CG359" s="35"/>
      <c r="CH359" s="35"/>
      <c r="CK359"/>
      <c r="CM359" s="35"/>
      <c r="CN359" s="35"/>
      <c r="CQ359"/>
      <c r="CS359" s="35"/>
      <c r="CT359" s="35"/>
      <c r="CX359"/>
      <c r="CZ359" s="35"/>
      <c r="DD359" s="34"/>
      <c r="DG359" t="s">
        <v>845</v>
      </c>
      <c r="DH359" t="s">
        <v>970</v>
      </c>
      <c r="DI359" t="s">
        <v>233</v>
      </c>
      <c r="DL359" t="s">
        <v>682</v>
      </c>
      <c r="DM359">
        <v>5</v>
      </c>
      <c r="DN359">
        <v>7</v>
      </c>
      <c r="DO359" t="s">
        <v>750</v>
      </c>
      <c r="DQ359" t="s">
        <v>927</v>
      </c>
      <c r="DR359">
        <v>14</v>
      </c>
      <c r="DS359">
        <v>0</v>
      </c>
      <c r="DU359">
        <v>14</v>
      </c>
      <c r="DV359">
        <v>0</v>
      </c>
      <c r="DX359">
        <v>14</v>
      </c>
      <c r="DY359">
        <v>0</v>
      </c>
      <c r="DZ359" t="s">
        <v>246</v>
      </c>
      <c r="EA359" t="s">
        <v>929</v>
      </c>
    </row>
    <row r="360" spans="1:131" x14ac:dyDescent="0.4">
      <c r="A360" s="34">
        <v>43067.305104166669</v>
      </c>
      <c r="B360" s="25">
        <v>42935.723611111112</v>
      </c>
      <c r="D360" s="34"/>
      <c r="E360" s="34" t="s">
        <v>193</v>
      </c>
      <c r="F360" s="34" t="s">
        <v>191</v>
      </c>
      <c r="G360" s="34" t="s">
        <v>100</v>
      </c>
      <c r="H360" t="s">
        <v>279</v>
      </c>
      <c r="I360" t="s">
        <v>243</v>
      </c>
      <c r="J360" t="s">
        <v>712</v>
      </c>
      <c r="K360" t="s">
        <v>758</v>
      </c>
      <c r="L360" t="s">
        <v>711</v>
      </c>
      <c r="M360" s="30">
        <v>2.09</v>
      </c>
      <c r="N360">
        <v>6.5</v>
      </c>
      <c r="P360" s="24" t="str">
        <f>IFERROR(MID(RADataTable[[#This Row],[RATemplate]],1,LEN(RADataTable[[#This Row],[RATemplate]])-8),"RA") &amp; " " &amp; RADataTable[[#This Row],[prop_id0]] &amp; " " &amp; RADataTable[[#This Row],[last0]]</f>
        <v>RA 1751254 Fasy</v>
      </c>
      <c r="T360">
        <v>4</v>
      </c>
      <c r="U360">
        <v>4</v>
      </c>
      <c r="V360" s="34">
        <v>43031.43472222222</v>
      </c>
      <c r="W360">
        <v>1</v>
      </c>
      <c r="X360" s="15" t="str">
        <f>HYPERLINK("https://www.ejacket.nsf.gov/ej/showProposal.do?Continue=Y&amp;ID="&amp;RADataTable[[#This Row],[prop_id0]],"eJ")</f>
        <v>eJ</v>
      </c>
      <c r="Y360" s="15" t="str">
        <f>HYPERLINK("mailto:"&amp;RADataTable[[#This Row],[email]]&amp;"&amp;subject=Your NSF Proposal:  "&amp;RADataTable[[#This Row],[Div]]&amp;" "&amp;RADataTable[[#This Row],[prop_id0]], RADataTable[[#This Row],[email]])</f>
        <v>brittany@cs.montana.edu</v>
      </c>
      <c r="Z360" s="15" t="str">
        <f>HYPERLINK("mailto:"&amp;RADataTable[[#This Row],[allPIemail]]&amp;"&amp;subject=NSF Proposal:  "&amp;RADataTable[[#This Row],[Div]]&amp;" "&amp;RADataTable[[#This Row],[prop_id0]], "PIs@")</f>
        <v>PIs@</v>
      </c>
      <c r="AA360" t="s">
        <v>245</v>
      </c>
      <c r="AB360" t="s">
        <v>682</v>
      </c>
      <c r="AC360" s="30" t="s">
        <v>842</v>
      </c>
      <c r="AD360" t="s">
        <v>843</v>
      </c>
      <c r="AE360" t="s">
        <v>844</v>
      </c>
      <c r="AF360" s="36">
        <v>552355</v>
      </c>
      <c r="AG360" s="36">
        <v>552355</v>
      </c>
      <c r="AH360" s="24"/>
      <c r="AJ360" s="34"/>
      <c r="AK360" t="s">
        <v>923</v>
      </c>
      <c r="AL360" t="s">
        <v>232</v>
      </c>
      <c r="AM360" s="34" t="s">
        <v>925</v>
      </c>
      <c r="AN360" s="34">
        <v>43032</v>
      </c>
      <c r="AO360" s="24">
        <v>9</v>
      </c>
      <c r="AP360" t="s">
        <v>940</v>
      </c>
      <c r="AR360" s="35"/>
      <c r="AS360"/>
      <c r="AT360" s="34"/>
      <c r="AV360" s="34"/>
      <c r="AX360" s="34"/>
      <c r="AY360"/>
      <c r="BA360" s="34"/>
      <c r="BB360"/>
      <c r="BC360" t="s">
        <v>847</v>
      </c>
      <c r="BD360" s="36">
        <v>552355</v>
      </c>
      <c r="BE360" s="36">
        <v>552355</v>
      </c>
      <c r="BF360">
        <v>0</v>
      </c>
      <c r="BG360" s="34">
        <v>43344</v>
      </c>
      <c r="BH360">
        <v>60</v>
      </c>
      <c r="BI360" t="s">
        <v>283</v>
      </c>
      <c r="BJ360" t="s">
        <v>928</v>
      </c>
      <c r="BK360" t="s">
        <v>945</v>
      </c>
      <c r="BL360" t="s">
        <v>194</v>
      </c>
      <c r="BM360" s="8" t="s">
        <v>192</v>
      </c>
      <c r="BN360" t="s">
        <v>189</v>
      </c>
      <c r="BO360" t="s">
        <v>190</v>
      </c>
      <c r="BP360" s="35" t="s">
        <v>846</v>
      </c>
      <c r="BQ360"/>
      <c r="BU360" s="35"/>
      <c r="BV360" s="35"/>
      <c r="BX360"/>
      <c r="CA360" s="35"/>
      <c r="CB360" s="35"/>
      <c r="CC360"/>
      <c r="CG360" s="35"/>
      <c r="CH360" s="35"/>
      <c r="CK360"/>
      <c r="CM360" s="35"/>
      <c r="CN360" s="35"/>
      <c r="CQ360"/>
      <c r="CS360" s="35"/>
      <c r="CT360" s="35"/>
      <c r="CX360"/>
      <c r="CZ360" s="35"/>
      <c r="DD360" s="34"/>
      <c r="DG360" t="s">
        <v>845</v>
      </c>
      <c r="DH360" t="s">
        <v>970</v>
      </c>
      <c r="DI360" t="s">
        <v>233</v>
      </c>
      <c r="DL360" t="s">
        <v>682</v>
      </c>
      <c r="DM360">
        <v>5</v>
      </c>
      <c r="DN360">
        <v>7</v>
      </c>
      <c r="DO360" t="s">
        <v>750</v>
      </c>
      <c r="DQ360" t="s">
        <v>927</v>
      </c>
      <c r="DR360">
        <v>14</v>
      </c>
      <c r="DS360">
        <v>0</v>
      </c>
      <c r="DU360">
        <v>14</v>
      </c>
      <c r="DV360">
        <v>0</v>
      </c>
      <c r="DX360">
        <v>14</v>
      </c>
      <c r="DY360">
        <v>0</v>
      </c>
      <c r="DZ360" t="s">
        <v>246</v>
      </c>
      <c r="EA360" t="s">
        <v>929</v>
      </c>
    </row>
    <row r="361" spans="1:131" x14ac:dyDescent="0.4">
      <c r="A361" s="34">
        <v>43067.305104166669</v>
      </c>
      <c r="B361" s="25">
        <v>42935.723611111112</v>
      </c>
      <c r="D361" s="34"/>
      <c r="E361" s="34" t="s">
        <v>193</v>
      </c>
      <c r="F361" s="34" t="s">
        <v>191</v>
      </c>
      <c r="G361" s="34" t="s">
        <v>100</v>
      </c>
      <c r="H361" t="s">
        <v>279</v>
      </c>
      <c r="I361" t="s">
        <v>243</v>
      </c>
      <c r="J361" t="s">
        <v>712</v>
      </c>
      <c r="K361" t="s">
        <v>758</v>
      </c>
      <c r="L361" t="s">
        <v>711</v>
      </c>
      <c r="M361" s="30">
        <v>2.09</v>
      </c>
      <c r="N361">
        <v>6.5</v>
      </c>
      <c r="P361" s="24" t="str">
        <f>IFERROR(MID(RADataTable[[#This Row],[RATemplate]],1,LEN(RADataTable[[#This Row],[RATemplate]])-8),"RA") &amp; " " &amp; RADataTable[[#This Row],[prop_id0]] &amp; " " &amp; RADataTable[[#This Row],[last0]]</f>
        <v>RA 1751254 Fasy</v>
      </c>
      <c r="T361">
        <v>4</v>
      </c>
      <c r="U361">
        <v>4</v>
      </c>
      <c r="V361" s="34">
        <v>43031.43472222222</v>
      </c>
      <c r="W361">
        <v>1</v>
      </c>
      <c r="X361" s="15" t="str">
        <f>HYPERLINK("https://www.ejacket.nsf.gov/ej/showProposal.do?Continue=Y&amp;ID="&amp;RADataTable[[#This Row],[prop_id0]],"eJ")</f>
        <v>eJ</v>
      </c>
      <c r="Y361" s="15" t="str">
        <f>HYPERLINK("mailto:"&amp;RADataTable[[#This Row],[email]]&amp;"&amp;subject=Your NSF Proposal:  "&amp;RADataTable[[#This Row],[Div]]&amp;" "&amp;RADataTable[[#This Row],[prop_id0]], RADataTable[[#This Row],[email]])</f>
        <v>brittany@cs.montana.edu</v>
      </c>
      <c r="Z361" s="15" t="str">
        <f>HYPERLINK("mailto:"&amp;RADataTable[[#This Row],[allPIemail]]&amp;"&amp;subject=NSF Proposal:  "&amp;RADataTable[[#This Row],[Div]]&amp;" "&amp;RADataTable[[#This Row],[prop_id0]], "PIs@")</f>
        <v>PIs@</v>
      </c>
      <c r="AA361" t="s">
        <v>245</v>
      </c>
      <c r="AB361" t="s">
        <v>682</v>
      </c>
      <c r="AC361" s="30" t="s">
        <v>842</v>
      </c>
      <c r="AD361" t="s">
        <v>843</v>
      </c>
      <c r="AE361" t="s">
        <v>844</v>
      </c>
      <c r="AF361" s="36">
        <v>552355</v>
      </c>
      <c r="AG361" s="36">
        <v>552355</v>
      </c>
      <c r="AH361" s="24"/>
      <c r="AJ361" s="34"/>
      <c r="AK361" t="s">
        <v>923</v>
      </c>
      <c r="AL361" t="s">
        <v>232</v>
      </c>
      <c r="AM361" s="34" t="s">
        <v>925</v>
      </c>
      <c r="AN361" s="34">
        <v>43032</v>
      </c>
      <c r="AO361" s="24">
        <v>9</v>
      </c>
      <c r="AP361" t="s">
        <v>940</v>
      </c>
      <c r="AR361" s="35"/>
      <c r="AS361"/>
      <c r="AT361" s="34"/>
      <c r="AV361" s="34"/>
      <c r="AX361" s="34"/>
      <c r="AY361"/>
      <c r="BA361" s="34"/>
      <c r="BB361"/>
      <c r="BC361" t="s">
        <v>847</v>
      </c>
      <c r="BD361" s="36">
        <v>552355</v>
      </c>
      <c r="BE361" s="36">
        <v>552355</v>
      </c>
      <c r="BF361">
        <v>0</v>
      </c>
      <c r="BG361" s="34">
        <v>43344</v>
      </c>
      <c r="BH361">
        <v>60</v>
      </c>
      <c r="BI361" t="s">
        <v>283</v>
      </c>
      <c r="BJ361" t="s">
        <v>928</v>
      </c>
      <c r="BK361" t="s">
        <v>945</v>
      </c>
      <c r="BL361" t="s">
        <v>194</v>
      </c>
      <c r="BM361" s="8" t="s">
        <v>192</v>
      </c>
      <c r="BN361" t="s">
        <v>189</v>
      </c>
      <c r="BO361" t="s">
        <v>190</v>
      </c>
      <c r="BP361" s="35" t="s">
        <v>846</v>
      </c>
      <c r="BQ361"/>
      <c r="BU361" s="35"/>
      <c r="BV361" s="35"/>
      <c r="BX361"/>
      <c r="CA361" s="35"/>
      <c r="CB361" s="35"/>
      <c r="CC361"/>
      <c r="CG361" s="35"/>
      <c r="CH361" s="35"/>
      <c r="CK361"/>
      <c r="CM361" s="35"/>
      <c r="CN361" s="35"/>
      <c r="CQ361"/>
      <c r="CS361" s="35"/>
      <c r="CT361" s="35"/>
      <c r="CX361"/>
      <c r="CZ361" s="35"/>
      <c r="DD361" s="34"/>
      <c r="DG361" t="s">
        <v>845</v>
      </c>
      <c r="DH361" t="s">
        <v>970</v>
      </c>
      <c r="DI361" t="s">
        <v>233</v>
      </c>
      <c r="DL361" t="s">
        <v>682</v>
      </c>
      <c r="DM361">
        <v>5</v>
      </c>
      <c r="DN361">
        <v>7</v>
      </c>
      <c r="DO361" t="s">
        <v>750</v>
      </c>
      <c r="DQ361" t="s">
        <v>927</v>
      </c>
      <c r="DR361">
        <v>14</v>
      </c>
      <c r="DS361">
        <v>0</v>
      </c>
      <c r="DU361">
        <v>14</v>
      </c>
      <c r="DV361">
        <v>0</v>
      </c>
      <c r="DX361">
        <v>14</v>
      </c>
      <c r="DY361">
        <v>0</v>
      </c>
      <c r="DZ361" t="s">
        <v>246</v>
      </c>
      <c r="EA361" t="s">
        <v>929</v>
      </c>
    </row>
    <row r="362" spans="1:131" x14ac:dyDescent="0.4">
      <c r="A362" s="34">
        <v>43067.305104166669</v>
      </c>
      <c r="B362" s="25">
        <v>42935.723611111112</v>
      </c>
      <c r="D362" s="34"/>
      <c r="E362" s="34" t="s">
        <v>193</v>
      </c>
      <c r="F362" s="34" t="s">
        <v>191</v>
      </c>
      <c r="G362" s="34" t="s">
        <v>100</v>
      </c>
      <c r="H362" t="s">
        <v>279</v>
      </c>
      <c r="I362" t="s">
        <v>243</v>
      </c>
      <c r="J362" t="s">
        <v>712</v>
      </c>
      <c r="K362" t="s">
        <v>758</v>
      </c>
      <c r="L362" t="s">
        <v>711</v>
      </c>
      <c r="M362" s="30">
        <v>2.09</v>
      </c>
      <c r="N362">
        <v>6.5</v>
      </c>
      <c r="P362" s="24" t="str">
        <f>IFERROR(MID(RADataTable[[#This Row],[RATemplate]],1,LEN(RADataTable[[#This Row],[RATemplate]])-8),"RA") &amp; " " &amp; RADataTable[[#This Row],[prop_id0]] &amp; " " &amp; RADataTable[[#This Row],[last0]]</f>
        <v>RA 1751254 Fasy</v>
      </c>
      <c r="T362">
        <v>4</v>
      </c>
      <c r="U362">
        <v>4</v>
      </c>
      <c r="V362" s="34">
        <v>43031.43472222222</v>
      </c>
      <c r="W362">
        <v>1</v>
      </c>
      <c r="X362" s="15" t="str">
        <f>HYPERLINK("https://www.ejacket.nsf.gov/ej/showProposal.do?Continue=Y&amp;ID="&amp;RADataTable[[#This Row],[prop_id0]],"eJ")</f>
        <v>eJ</v>
      </c>
      <c r="Y362" s="15" t="str">
        <f>HYPERLINK("mailto:"&amp;RADataTable[[#This Row],[email]]&amp;"&amp;subject=Your NSF Proposal:  "&amp;RADataTable[[#This Row],[Div]]&amp;" "&amp;RADataTable[[#This Row],[prop_id0]], RADataTable[[#This Row],[email]])</f>
        <v>brittany@cs.montana.edu</v>
      </c>
      <c r="Z362" s="15" t="str">
        <f>HYPERLINK("mailto:"&amp;RADataTable[[#This Row],[allPIemail]]&amp;"&amp;subject=NSF Proposal:  "&amp;RADataTable[[#This Row],[Div]]&amp;" "&amp;RADataTable[[#This Row],[prop_id0]], "PIs@")</f>
        <v>PIs@</v>
      </c>
      <c r="AA362" t="s">
        <v>245</v>
      </c>
      <c r="AB362" t="s">
        <v>682</v>
      </c>
      <c r="AC362" s="30" t="s">
        <v>842</v>
      </c>
      <c r="AD362" t="s">
        <v>843</v>
      </c>
      <c r="AE362" t="s">
        <v>844</v>
      </c>
      <c r="AF362" s="36">
        <v>552355</v>
      </c>
      <c r="AG362" s="36">
        <v>552355</v>
      </c>
      <c r="AH362" s="24"/>
      <c r="AJ362" s="34"/>
      <c r="AK362" t="s">
        <v>923</v>
      </c>
      <c r="AL362" t="s">
        <v>232</v>
      </c>
      <c r="AM362" s="34" t="s">
        <v>925</v>
      </c>
      <c r="AN362" s="34">
        <v>43032</v>
      </c>
      <c r="AO362" s="24">
        <v>9</v>
      </c>
      <c r="AP362" t="s">
        <v>940</v>
      </c>
      <c r="AR362" s="35"/>
      <c r="AS362"/>
      <c r="AT362" s="34"/>
      <c r="AV362" s="34"/>
      <c r="AX362" s="34"/>
      <c r="AY362"/>
      <c r="BA362" s="34"/>
      <c r="BB362"/>
      <c r="BC362" t="s">
        <v>847</v>
      </c>
      <c r="BD362" s="36">
        <v>552355</v>
      </c>
      <c r="BE362" s="36">
        <v>552355</v>
      </c>
      <c r="BF362">
        <v>0</v>
      </c>
      <c r="BG362" s="34">
        <v>43344</v>
      </c>
      <c r="BH362">
        <v>60</v>
      </c>
      <c r="BI362" t="s">
        <v>283</v>
      </c>
      <c r="BJ362" t="s">
        <v>928</v>
      </c>
      <c r="BK362" t="s">
        <v>945</v>
      </c>
      <c r="BL362" t="s">
        <v>194</v>
      </c>
      <c r="BM362" s="8" t="s">
        <v>192</v>
      </c>
      <c r="BN362" t="s">
        <v>189</v>
      </c>
      <c r="BO362" t="s">
        <v>190</v>
      </c>
      <c r="BP362" s="35" t="s">
        <v>846</v>
      </c>
      <c r="BQ362"/>
      <c r="BU362" s="35"/>
      <c r="BV362" s="35"/>
      <c r="BX362"/>
      <c r="CA362" s="35"/>
      <c r="CB362" s="35"/>
      <c r="CC362"/>
      <c r="CG362" s="35"/>
      <c r="CH362" s="35"/>
      <c r="CK362"/>
      <c r="CM362" s="35"/>
      <c r="CN362" s="35"/>
      <c r="CQ362"/>
      <c r="CS362" s="35"/>
      <c r="CT362" s="35"/>
      <c r="CX362"/>
      <c r="CZ362" s="35"/>
      <c r="DD362" s="34"/>
      <c r="DG362" t="s">
        <v>845</v>
      </c>
      <c r="DH362" t="s">
        <v>970</v>
      </c>
      <c r="DI362" t="s">
        <v>233</v>
      </c>
      <c r="DL362" t="s">
        <v>682</v>
      </c>
      <c r="DM362">
        <v>5</v>
      </c>
      <c r="DN362">
        <v>7</v>
      </c>
      <c r="DO362" t="s">
        <v>750</v>
      </c>
      <c r="DQ362" t="s">
        <v>927</v>
      </c>
      <c r="DR362">
        <v>14</v>
      </c>
      <c r="DS362">
        <v>0</v>
      </c>
      <c r="DU362">
        <v>14</v>
      </c>
      <c r="DV362">
        <v>0</v>
      </c>
      <c r="DX362">
        <v>14</v>
      </c>
      <c r="DY362">
        <v>0</v>
      </c>
      <c r="DZ362" t="s">
        <v>246</v>
      </c>
      <c r="EA362" t="s">
        <v>929</v>
      </c>
    </row>
    <row r="363" spans="1:131" x14ac:dyDescent="0.4">
      <c r="A363" s="34">
        <v>43067.305104166669</v>
      </c>
      <c r="B363" s="25">
        <v>42935.723611111112</v>
      </c>
      <c r="D363" s="34"/>
      <c r="E363" s="34" t="s">
        <v>193</v>
      </c>
      <c r="F363" s="34" t="s">
        <v>191</v>
      </c>
      <c r="G363" s="34" t="s">
        <v>100</v>
      </c>
      <c r="H363" t="s">
        <v>279</v>
      </c>
      <c r="I363" t="s">
        <v>243</v>
      </c>
      <c r="J363" t="s">
        <v>712</v>
      </c>
      <c r="K363" t="s">
        <v>758</v>
      </c>
      <c r="L363" t="s">
        <v>711</v>
      </c>
      <c r="M363" s="30">
        <v>2.09</v>
      </c>
      <c r="N363">
        <v>6.5</v>
      </c>
      <c r="P363" s="24" t="str">
        <f>IFERROR(MID(RADataTable[[#This Row],[RATemplate]],1,LEN(RADataTable[[#This Row],[RATemplate]])-8),"RA") &amp; " " &amp; RADataTable[[#This Row],[prop_id0]] &amp; " " &amp; RADataTable[[#This Row],[last0]]</f>
        <v>RA 1751254 Fasy</v>
      </c>
      <c r="T363">
        <v>4</v>
      </c>
      <c r="U363">
        <v>4</v>
      </c>
      <c r="V363" s="34">
        <v>43031.43472222222</v>
      </c>
      <c r="W363">
        <v>1</v>
      </c>
      <c r="X363" s="15" t="str">
        <f>HYPERLINK("https://www.ejacket.nsf.gov/ej/showProposal.do?Continue=Y&amp;ID="&amp;RADataTable[[#This Row],[prop_id0]],"eJ")</f>
        <v>eJ</v>
      </c>
      <c r="Y363" s="15" t="str">
        <f>HYPERLINK("mailto:"&amp;RADataTable[[#This Row],[email]]&amp;"&amp;subject=Your NSF Proposal:  "&amp;RADataTable[[#This Row],[Div]]&amp;" "&amp;RADataTable[[#This Row],[prop_id0]], RADataTable[[#This Row],[email]])</f>
        <v>brittany@cs.montana.edu</v>
      </c>
      <c r="Z363" s="15" t="str">
        <f>HYPERLINK("mailto:"&amp;RADataTable[[#This Row],[allPIemail]]&amp;"&amp;subject=NSF Proposal:  "&amp;RADataTable[[#This Row],[Div]]&amp;" "&amp;RADataTable[[#This Row],[prop_id0]], "PIs@")</f>
        <v>PIs@</v>
      </c>
      <c r="AA363" t="s">
        <v>245</v>
      </c>
      <c r="AB363" t="s">
        <v>682</v>
      </c>
      <c r="AC363" s="30" t="s">
        <v>842</v>
      </c>
      <c r="AD363" t="s">
        <v>843</v>
      </c>
      <c r="AE363" t="s">
        <v>844</v>
      </c>
      <c r="AF363" s="36">
        <v>552355</v>
      </c>
      <c r="AG363" s="36">
        <v>552355</v>
      </c>
      <c r="AH363" s="24"/>
      <c r="AJ363" s="34"/>
      <c r="AK363" t="s">
        <v>923</v>
      </c>
      <c r="AL363" t="s">
        <v>232</v>
      </c>
      <c r="AM363" s="34" t="s">
        <v>925</v>
      </c>
      <c r="AN363" s="34">
        <v>43032</v>
      </c>
      <c r="AO363" s="24">
        <v>9</v>
      </c>
      <c r="AP363" t="s">
        <v>940</v>
      </c>
      <c r="AR363" s="35"/>
      <c r="AS363"/>
      <c r="AT363" s="34"/>
      <c r="AV363" s="34"/>
      <c r="AX363" s="34"/>
      <c r="AY363"/>
      <c r="BA363" s="34"/>
      <c r="BB363"/>
      <c r="BC363" t="s">
        <v>847</v>
      </c>
      <c r="BD363" s="36">
        <v>552355</v>
      </c>
      <c r="BE363" s="36">
        <v>552355</v>
      </c>
      <c r="BF363">
        <v>0</v>
      </c>
      <c r="BG363" s="34">
        <v>43344</v>
      </c>
      <c r="BH363">
        <v>60</v>
      </c>
      <c r="BI363" t="s">
        <v>283</v>
      </c>
      <c r="BJ363" t="s">
        <v>928</v>
      </c>
      <c r="BK363" t="s">
        <v>945</v>
      </c>
      <c r="BL363" t="s">
        <v>194</v>
      </c>
      <c r="BM363" s="8" t="s">
        <v>192</v>
      </c>
      <c r="BN363" t="s">
        <v>189</v>
      </c>
      <c r="BO363" t="s">
        <v>190</v>
      </c>
      <c r="BP363" s="35" t="s">
        <v>846</v>
      </c>
      <c r="BQ363"/>
      <c r="BU363" s="35"/>
      <c r="BV363" s="35"/>
      <c r="BX363"/>
      <c r="CA363" s="35"/>
      <c r="CB363" s="35"/>
      <c r="CC363"/>
      <c r="CG363" s="35"/>
      <c r="CH363" s="35"/>
      <c r="CK363"/>
      <c r="CM363" s="35"/>
      <c r="CN363" s="35"/>
      <c r="CQ363"/>
      <c r="CS363" s="35"/>
      <c r="CT363" s="35"/>
      <c r="CX363"/>
      <c r="CZ363" s="35"/>
      <c r="DD363" s="34"/>
      <c r="DG363" t="s">
        <v>845</v>
      </c>
      <c r="DH363" t="s">
        <v>970</v>
      </c>
      <c r="DI363" t="s">
        <v>233</v>
      </c>
      <c r="DL363" t="s">
        <v>682</v>
      </c>
      <c r="DM363">
        <v>5</v>
      </c>
      <c r="DN363">
        <v>7</v>
      </c>
      <c r="DO363" t="s">
        <v>750</v>
      </c>
      <c r="DQ363" t="s">
        <v>927</v>
      </c>
      <c r="DR363">
        <v>14</v>
      </c>
      <c r="DS363">
        <v>0</v>
      </c>
      <c r="DU363">
        <v>14</v>
      </c>
      <c r="DV363">
        <v>0</v>
      </c>
      <c r="DX363">
        <v>14</v>
      </c>
      <c r="DY363">
        <v>0</v>
      </c>
      <c r="DZ363" t="s">
        <v>246</v>
      </c>
      <c r="EA363" t="s">
        <v>929</v>
      </c>
    </row>
    <row r="364" spans="1:131" x14ac:dyDescent="0.4">
      <c r="A364" s="34">
        <v>43067.305104166669</v>
      </c>
      <c r="B364" s="25">
        <v>42935.723611111112</v>
      </c>
      <c r="D364" s="34"/>
      <c r="E364" s="34" t="s">
        <v>193</v>
      </c>
      <c r="F364" s="34" t="s">
        <v>191</v>
      </c>
      <c r="G364" s="34" t="s">
        <v>100</v>
      </c>
      <c r="H364" t="s">
        <v>279</v>
      </c>
      <c r="I364" t="s">
        <v>243</v>
      </c>
      <c r="J364" t="s">
        <v>712</v>
      </c>
      <c r="K364" t="s">
        <v>758</v>
      </c>
      <c r="L364" t="s">
        <v>711</v>
      </c>
      <c r="M364" s="30">
        <v>2.09</v>
      </c>
      <c r="N364">
        <v>6.5</v>
      </c>
      <c r="P364" s="24" t="str">
        <f>IFERROR(MID(RADataTable[[#This Row],[RATemplate]],1,LEN(RADataTable[[#This Row],[RATemplate]])-8),"RA") &amp; " " &amp; RADataTable[[#This Row],[prop_id0]] &amp; " " &amp; RADataTable[[#This Row],[last0]]</f>
        <v>RA 1751254 Fasy</v>
      </c>
      <c r="T364">
        <v>4</v>
      </c>
      <c r="U364">
        <v>4</v>
      </c>
      <c r="V364" s="34">
        <v>43031.43472222222</v>
      </c>
      <c r="W364">
        <v>1</v>
      </c>
      <c r="X364" s="15" t="str">
        <f>HYPERLINK("https://www.ejacket.nsf.gov/ej/showProposal.do?Continue=Y&amp;ID="&amp;RADataTable[[#This Row],[prop_id0]],"eJ")</f>
        <v>eJ</v>
      </c>
      <c r="Y364" s="15" t="str">
        <f>HYPERLINK("mailto:"&amp;RADataTable[[#This Row],[email]]&amp;"&amp;subject=Your NSF Proposal:  "&amp;RADataTable[[#This Row],[Div]]&amp;" "&amp;RADataTable[[#This Row],[prop_id0]], RADataTable[[#This Row],[email]])</f>
        <v>brittany@cs.montana.edu</v>
      </c>
      <c r="Z364" s="15" t="str">
        <f>HYPERLINK("mailto:"&amp;RADataTable[[#This Row],[allPIemail]]&amp;"&amp;subject=NSF Proposal:  "&amp;RADataTable[[#This Row],[Div]]&amp;" "&amp;RADataTable[[#This Row],[prop_id0]], "PIs@")</f>
        <v>PIs@</v>
      </c>
      <c r="AA364" t="s">
        <v>245</v>
      </c>
      <c r="AB364" t="s">
        <v>682</v>
      </c>
      <c r="AC364" s="30" t="s">
        <v>842</v>
      </c>
      <c r="AD364" t="s">
        <v>843</v>
      </c>
      <c r="AE364" t="s">
        <v>844</v>
      </c>
      <c r="AF364" s="36">
        <v>552355</v>
      </c>
      <c r="AG364" s="36">
        <v>552355</v>
      </c>
      <c r="AH364" s="24"/>
      <c r="AJ364" s="34"/>
      <c r="AK364" t="s">
        <v>923</v>
      </c>
      <c r="AL364" t="s">
        <v>232</v>
      </c>
      <c r="AM364" s="34" t="s">
        <v>925</v>
      </c>
      <c r="AN364" s="34">
        <v>43032</v>
      </c>
      <c r="AO364" s="24">
        <v>9</v>
      </c>
      <c r="AP364" t="s">
        <v>940</v>
      </c>
      <c r="AR364" s="35"/>
      <c r="AS364"/>
      <c r="AT364" s="34"/>
      <c r="AV364" s="34"/>
      <c r="AX364" s="34"/>
      <c r="AY364"/>
      <c r="BA364" s="34"/>
      <c r="BB364"/>
      <c r="BC364" t="s">
        <v>847</v>
      </c>
      <c r="BD364" s="36">
        <v>552355</v>
      </c>
      <c r="BE364" s="36">
        <v>552355</v>
      </c>
      <c r="BF364">
        <v>0</v>
      </c>
      <c r="BG364" s="34">
        <v>43344</v>
      </c>
      <c r="BH364">
        <v>60</v>
      </c>
      <c r="BI364" t="s">
        <v>283</v>
      </c>
      <c r="BJ364" t="s">
        <v>928</v>
      </c>
      <c r="BK364" t="s">
        <v>945</v>
      </c>
      <c r="BL364" t="s">
        <v>194</v>
      </c>
      <c r="BM364" s="8" t="s">
        <v>192</v>
      </c>
      <c r="BN364" t="s">
        <v>189</v>
      </c>
      <c r="BO364" t="s">
        <v>190</v>
      </c>
      <c r="BP364" s="35" t="s">
        <v>846</v>
      </c>
      <c r="BQ364"/>
      <c r="BU364" s="35"/>
      <c r="BV364" s="35"/>
      <c r="BX364"/>
      <c r="CA364" s="35"/>
      <c r="CB364" s="35"/>
      <c r="CC364"/>
      <c r="CG364" s="35"/>
      <c r="CH364" s="35"/>
      <c r="CK364"/>
      <c r="CM364" s="35"/>
      <c r="CN364" s="35"/>
      <c r="CQ364"/>
      <c r="CS364" s="35"/>
      <c r="CT364" s="35"/>
      <c r="CX364"/>
      <c r="CZ364" s="35"/>
      <c r="DD364" s="34"/>
      <c r="DG364" t="s">
        <v>845</v>
      </c>
      <c r="DH364" t="s">
        <v>970</v>
      </c>
      <c r="DI364" t="s">
        <v>233</v>
      </c>
      <c r="DL364" t="s">
        <v>682</v>
      </c>
      <c r="DM364">
        <v>5</v>
      </c>
      <c r="DN364">
        <v>7</v>
      </c>
      <c r="DO364" t="s">
        <v>750</v>
      </c>
      <c r="DQ364" t="s">
        <v>927</v>
      </c>
      <c r="DR364">
        <v>14</v>
      </c>
      <c r="DS364">
        <v>0</v>
      </c>
      <c r="DU364">
        <v>14</v>
      </c>
      <c r="DV364">
        <v>0</v>
      </c>
      <c r="DX364">
        <v>14</v>
      </c>
      <c r="DY364">
        <v>0</v>
      </c>
      <c r="DZ364" t="s">
        <v>246</v>
      </c>
      <c r="EA364" t="s">
        <v>929</v>
      </c>
    </row>
    <row r="365" spans="1:131" x14ac:dyDescent="0.4">
      <c r="A365" s="34">
        <v>43067.305104166669</v>
      </c>
      <c r="B365" s="25">
        <v>42935.723611111112</v>
      </c>
      <c r="D365" s="34"/>
      <c r="E365" s="34" t="s">
        <v>193</v>
      </c>
      <c r="F365" s="34" t="s">
        <v>191</v>
      </c>
      <c r="G365" s="34" t="s">
        <v>100</v>
      </c>
      <c r="H365" t="s">
        <v>279</v>
      </c>
      <c r="I365" t="s">
        <v>243</v>
      </c>
      <c r="J365" t="s">
        <v>712</v>
      </c>
      <c r="K365" t="s">
        <v>758</v>
      </c>
      <c r="L365" t="s">
        <v>711</v>
      </c>
      <c r="M365" s="30">
        <v>2.09</v>
      </c>
      <c r="N365">
        <v>6.5</v>
      </c>
      <c r="P365" s="24" t="str">
        <f>IFERROR(MID(RADataTable[[#This Row],[RATemplate]],1,LEN(RADataTable[[#This Row],[RATemplate]])-8),"RA") &amp; " " &amp; RADataTable[[#This Row],[prop_id0]] &amp; " " &amp; RADataTable[[#This Row],[last0]]</f>
        <v>RA 1751254 Fasy</v>
      </c>
      <c r="T365">
        <v>4</v>
      </c>
      <c r="U365">
        <v>4</v>
      </c>
      <c r="V365" s="34">
        <v>43031.43472222222</v>
      </c>
      <c r="W365">
        <v>1</v>
      </c>
      <c r="X365" s="15" t="str">
        <f>HYPERLINK("https://www.ejacket.nsf.gov/ej/showProposal.do?Continue=Y&amp;ID="&amp;RADataTable[[#This Row],[prop_id0]],"eJ")</f>
        <v>eJ</v>
      </c>
      <c r="Y365" s="15" t="str">
        <f>HYPERLINK("mailto:"&amp;RADataTable[[#This Row],[email]]&amp;"&amp;subject=Your NSF Proposal:  "&amp;RADataTable[[#This Row],[Div]]&amp;" "&amp;RADataTable[[#This Row],[prop_id0]], RADataTable[[#This Row],[email]])</f>
        <v>brittany@cs.montana.edu</v>
      </c>
      <c r="Z365" s="15" t="str">
        <f>HYPERLINK("mailto:"&amp;RADataTable[[#This Row],[allPIemail]]&amp;"&amp;subject=NSF Proposal:  "&amp;RADataTable[[#This Row],[Div]]&amp;" "&amp;RADataTable[[#This Row],[prop_id0]], "PIs@")</f>
        <v>PIs@</v>
      </c>
      <c r="AA365" t="s">
        <v>245</v>
      </c>
      <c r="AB365" t="s">
        <v>682</v>
      </c>
      <c r="AC365" s="30" t="s">
        <v>842</v>
      </c>
      <c r="AD365" t="s">
        <v>843</v>
      </c>
      <c r="AE365" t="s">
        <v>844</v>
      </c>
      <c r="AF365" s="36">
        <v>552355</v>
      </c>
      <c r="AG365" s="36">
        <v>552355</v>
      </c>
      <c r="AH365" s="24"/>
      <c r="AJ365" s="34"/>
      <c r="AK365" t="s">
        <v>923</v>
      </c>
      <c r="AL365" t="s">
        <v>232</v>
      </c>
      <c r="AM365" s="34" t="s">
        <v>925</v>
      </c>
      <c r="AN365" s="34">
        <v>43032</v>
      </c>
      <c r="AO365" s="24">
        <v>9</v>
      </c>
      <c r="AP365" t="s">
        <v>940</v>
      </c>
      <c r="AR365" s="35"/>
      <c r="AS365"/>
      <c r="AT365" s="34"/>
      <c r="AV365" s="34"/>
      <c r="AX365" s="34"/>
      <c r="AY365"/>
      <c r="BA365" s="34"/>
      <c r="BB365"/>
      <c r="BC365" t="s">
        <v>847</v>
      </c>
      <c r="BD365" s="36">
        <v>552355</v>
      </c>
      <c r="BE365" s="36">
        <v>552355</v>
      </c>
      <c r="BF365">
        <v>0</v>
      </c>
      <c r="BG365" s="34">
        <v>43344</v>
      </c>
      <c r="BH365">
        <v>60</v>
      </c>
      <c r="BI365" t="s">
        <v>283</v>
      </c>
      <c r="BJ365" t="s">
        <v>928</v>
      </c>
      <c r="BK365" t="s">
        <v>945</v>
      </c>
      <c r="BL365" t="s">
        <v>194</v>
      </c>
      <c r="BM365" s="8" t="s">
        <v>192</v>
      </c>
      <c r="BN365" t="s">
        <v>189</v>
      </c>
      <c r="BO365" t="s">
        <v>190</v>
      </c>
      <c r="BP365" s="35" t="s">
        <v>846</v>
      </c>
      <c r="BQ365"/>
      <c r="BU365" s="35"/>
      <c r="BV365" s="35"/>
      <c r="BX365"/>
      <c r="CA365" s="35"/>
      <c r="CB365" s="35"/>
      <c r="CC365"/>
      <c r="CG365" s="35"/>
      <c r="CH365" s="35"/>
      <c r="CK365"/>
      <c r="CM365" s="35"/>
      <c r="CN365" s="35"/>
      <c r="CQ365"/>
      <c r="CS365" s="35"/>
      <c r="CT365" s="35"/>
      <c r="CX365"/>
      <c r="CZ365" s="35"/>
      <c r="DD365" s="34"/>
      <c r="DG365" t="s">
        <v>845</v>
      </c>
      <c r="DH365" t="s">
        <v>970</v>
      </c>
      <c r="DI365" t="s">
        <v>233</v>
      </c>
      <c r="DL365" t="s">
        <v>682</v>
      </c>
      <c r="DM365">
        <v>5</v>
      </c>
      <c r="DN365">
        <v>7</v>
      </c>
      <c r="DO365" t="s">
        <v>750</v>
      </c>
      <c r="DQ365" t="s">
        <v>927</v>
      </c>
      <c r="DR365">
        <v>14</v>
      </c>
      <c r="DS365">
        <v>0</v>
      </c>
      <c r="DU365">
        <v>14</v>
      </c>
      <c r="DV365">
        <v>0</v>
      </c>
      <c r="DX365">
        <v>14</v>
      </c>
      <c r="DY365">
        <v>0</v>
      </c>
      <c r="DZ365" t="s">
        <v>246</v>
      </c>
      <c r="EA365" t="s">
        <v>929</v>
      </c>
    </row>
    <row r="366" spans="1:131" x14ac:dyDescent="0.4">
      <c r="A366" s="34">
        <v>43067.305104166669</v>
      </c>
      <c r="B366" s="25">
        <v>42935.723611111112</v>
      </c>
      <c r="D366" s="34"/>
      <c r="E366" s="34" t="s">
        <v>193</v>
      </c>
      <c r="F366" s="34" t="s">
        <v>191</v>
      </c>
      <c r="G366" s="34" t="s">
        <v>100</v>
      </c>
      <c r="H366" t="s">
        <v>279</v>
      </c>
      <c r="I366" t="s">
        <v>243</v>
      </c>
      <c r="J366" t="s">
        <v>712</v>
      </c>
      <c r="K366" t="s">
        <v>758</v>
      </c>
      <c r="L366" t="s">
        <v>711</v>
      </c>
      <c r="M366" s="30">
        <v>2.09</v>
      </c>
      <c r="N366">
        <v>6.5</v>
      </c>
      <c r="P366" s="24" t="str">
        <f>IFERROR(MID(RADataTable[[#This Row],[RATemplate]],1,LEN(RADataTable[[#This Row],[RATemplate]])-8),"RA") &amp; " " &amp; RADataTable[[#This Row],[prop_id0]] &amp; " " &amp; RADataTable[[#This Row],[last0]]</f>
        <v>RA 1751254 Fasy</v>
      </c>
      <c r="T366">
        <v>4</v>
      </c>
      <c r="U366">
        <v>4</v>
      </c>
      <c r="V366" s="34">
        <v>43031.43472222222</v>
      </c>
      <c r="W366">
        <v>1</v>
      </c>
      <c r="X366" s="15" t="str">
        <f>HYPERLINK("https://www.ejacket.nsf.gov/ej/showProposal.do?Continue=Y&amp;ID="&amp;RADataTable[[#This Row],[prop_id0]],"eJ")</f>
        <v>eJ</v>
      </c>
      <c r="Y366" s="15" t="str">
        <f>HYPERLINK("mailto:"&amp;RADataTable[[#This Row],[email]]&amp;"&amp;subject=Your NSF Proposal:  "&amp;RADataTable[[#This Row],[Div]]&amp;" "&amp;RADataTable[[#This Row],[prop_id0]], RADataTable[[#This Row],[email]])</f>
        <v>brittany@cs.montana.edu</v>
      </c>
      <c r="Z366" s="15" t="str">
        <f>HYPERLINK("mailto:"&amp;RADataTable[[#This Row],[allPIemail]]&amp;"&amp;subject=NSF Proposal:  "&amp;RADataTable[[#This Row],[Div]]&amp;" "&amp;RADataTable[[#This Row],[prop_id0]], "PIs@")</f>
        <v>PIs@</v>
      </c>
      <c r="AA366" t="s">
        <v>245</v>
      </c>
      <c r="AB366" t="s">
        <v>682</v>
      </c>
      <c r="AC366" s="30" t="s">
        <v>842</v>
      </c>
      <c r="AD366" t="s">
        <v>843</v>
      </c>
      <c r="AE366" t="s">
        <v>844</v>
      </c>
      <c r="AF366" s="36">
        <v>552355</v>
      </c>
      <c r="AG366" s="36">
        <v>552355</v>
      </c>
      <c r="AH366" s="24"/>
      <c r="AJ366" s="34"/>
      <c r="AK366" t="s">
        <v>923</v>
      </c>
      <c r="AL366" t="s">
        <v>232</v>
      </c>
      <c r="AM366" s="34" t="s">
        <v>925</v>
      </c>
      <c r="AN366" s="34">
        <v>43032</v>
      </c>
      <c r="AO366" s="24">
        <v>9</v>
      </c>
      <c r="AP366" t="s">
        <v>940</v>
      </c>
      <c r="AR366" s="35"/>
      <c r="AS366"/>
      <c r="AT366" s="34"/>
      <c r="AV366" s="34"/>
      <c r="AX366" s="34"/>
      <c r="AY366"/>
      <c r="BA366" s="34"/>
      <c r="BB366"/>
      <c r="BC366" t="s">
        <v>847</v>
      </c>
      <c r="BD366" s="36">
        <v>552355</v>
      </c>
      <c r="BE366" s="36">
        <v>552355</v>
      </c>
      <c r="BF366">
        <v>0</v>
      </c>
      <c r="BG366" s="34">
        <v>43344</v>
      </c>
      <c r="BH366">
        <v>60</v>
      </c>
      <c r="BI366" t="s">
        <v>283</v>
      </c>
      <c r="BJ366" t="s">
        <v>928</v>
      </c>
      <c r="BK366" t="s">
        <v>945</v>
      </c>
      <c r="BL366" t="s">
        <v>194</v>
      </c>
      <c r="BM366" s="8" t="s">
        <v>192</v>
      </c>
      <c r="BN366" t="s">
        <v>189</v>
      </c>
      <c r="BO366" t="s">
        <v>190</v>
      </c>
      <c r="BP366" s="35" t="s">
        <v>846</v>
      </c>
      <c r="BQ366"/>
      <c r="BU366" s="35"/>
      <c r="BV366" s="35"/>
      <c r="BX366"/>
      <c r="CA366" s="35"/>
      <c r="CB366" s="35"/>
      <c r="CC366"/>
      <c r="CG366" s="35"/>
      <c r="CH366" s="35"/>
      <c r="CK366"/>
      <c r="CM366" s="35"/>
      <c r="CN366" s="35"/>
      <c r="CQ366"/>
      <c r="CS366" s="35"/>
      <c r="CT366" s="35"/>
      <c r="CX366"/>
      <c r="CZ366" s="35"/>
      <c r="DD366" s="34"/>
      <c r="DG366" t="s">
        <v>845</v>
      </c>
      <c r="DH366" t="s">
        <v>970</v>
      </c>
      <c r="DI366" t="s">
        <v>233</v>
      </c>
      <c r="DL366" t="s">
        <v>682</v>
      </c>
      <c r="DM366">
        <v>5</v>
      </c>
      <c r="DN366">
        <v>7</v>
      </c>
      <c r="DO366" t="s">
        <v>750</v>
      </c>
      <c r="DQ366" t="s">
        <v>927</v>
      </c>
      <c r="DR366">
        <v>14</v>
      </c>
      <c r="DS366">
        <v>0</v>
      </c>
      <c r="DU366">
        <v>14</v>
      </c>
      <c r="DV366">
        <v>0</v>
      </c>
      <c r="DX366">
        <v>14</v>
      </c>
      <c r="DY366">
        <v>0</v>
      </c>
      <c r="DZ366" t="s">
        <v>246</v>
      </c>
      <c r="EA366" t="s">
        <v>929</v>
      </c>
    </row>
    <row r="367" spans="1:131" x14ac:dyDescent="0.4">
      <c r="A367" s="34">
        <v>43067.305104166669</v>
      </c>
      <c r="B367" s="25">
        <v>42935.723611111112</v>
      </c>
      <c r="D367" s="34"/>
      <c r="E367" s="34" t="s">
        <v>193</v>
      </c>
      <c r="F367" s="34" t="s">
        <v>191</v>
      </c>
      <c r="G367" s="34" t="s">
        <v>100</v>
      </c>
      <c r="H367" t="s">
        <v>279</v>
      </c>
      <c r="I367" t="s">
        <v>243</v>
      </c>
      <c r="J367" t="s">
        <v>712</v>
      </c>
      <c r="K367" t="s">
        <v>758</v>
      </c>
      <c r="L367" t="s">
        <v>711</v>
      </c>
      <c r="M367" s="30">
        <v>2.09</v>
      </c>
      <c r="N367">
        <v>6.5</v>
      </c>
      <c r="P367" s="24" t="str">
        <f>IFERROR(MID(RADataTable[[#This Row],[RATemplate]],1,LEN(RADataTable[[#This Row],[RATemplate]])-8),"RA") &amp; " " &amp; RADataTable[[#This Row],[prop_id0]] &amp; " " &amp; RADataTable[[#This Row],[last0]]</f>
        <v>RA 1751254 Fasy</v>
      </c>
      <c r="T367">
        <v>4</v>
      </c>
      <c r="U367">
        <v>4</v>
      </c>
      <c r="V367" s="34">
        <v>43031.43472222222</v>
      </c>
      <c r="W367">
        <v>1</v>
      </c>
      <c r="X367" s="15" t="str">
        <f>HYPERLINK("https://www.ejacket.nsf.gov/ej/showProposal.do?Continue=Y&amp;ID="&amp;RADataTable[[#This Row],[prop_id0]],"eJ")</f>
        <v>eJ</v>
      </c>
      <c r="Y367" s="15" t="str">
        <f>HYPERLINK("mailto:"&amp;RADataTable[[#This Row],[email]]&amp;"&amp;subject=Your NSF Proposal:  "&amp;RADataTable[[#This Row],[Div]]&amp;" "&amp;RADataTable[[#This Row],[prop_id0]], RADataTable[[#This Row],[email]])</f>
        <v>brittany@cs.montana.edu</v>
      </c>
      <c r="Z367" s="15" t="str">
        <f>HYPERLINK("mailto:"&amp;RADataTable[[#This Row],[allPIemail]]&amp;"&amp;subject=NSF Proposal:  "&amp;RADataTable[[#This Row],[Div]]&amp;" "&amp;RADataTable[[#This Row],[prop_id0]], "PIs@")</f>
        <v>PIs@</v>
      </c>
      <c r="AA367" t="s">
        <v>245</v>
      </c>
      <c r="AB367" t="s">
        <v>682</v>
      </c>
      <c r="AC367" s="30" t="s">
        <v>842</v>
      </c>
      <c r="AD367" t="s">
        <v>843</v>
      </c>
      <c r="AE367" t="s">
        <v>844</v>
      </c>
      <c r="AF367" s="36">
        <v>552355</v>
      </c>
      <c r="AG367" s="36">
        <v>552355</v>
      </c>
      <c r="AH367" s="24"/>
      <c r="AJ367" s="34"/>
      <c r="AK367" t="s">
        <v>923</v>
      </c>
      <c r="AL367" t="s">
        <v>232</v>
      </c>
      <c r="AM367" s="34" t="s">
        <v>925</v>
      </c>
      <c r="AN367" s="34">
        <v>43032</v>
      </c>
      <c r="AO367" s="24">
        <v>9</v>
      </c>
      <c r="AP367" t="s">
        <v>940</v>
      </c>
      <c r="AR367" s="35"/>
      <c r="AS367"/>
      <c r="AT367" s="34"/>
      <c r="AV367" s="34"/>
      <c r="AX367" s="34"/>
      <c r="AY367"/>
      <c r="BA367" s="34"/>
      <c r="BB367"/>
      <c r="BC367" t="s">
        <v>847</v>
      </c>
      <c r="BD367" s="36">
        <v>552355</v>
      </c>
      <c r="BE367" s="36">
        <v>552355</v>
      </c>
      <c r="BF367">
        <v>0</v>
      </c>
      <c r="BG367" s="34">
        <v>43344</v>
      </c>
      <c r="BH367">
        <v>60</v>
      </c>
      <c r="BI367" t="s">
        <v>283</v>
      </c>
      <c r="BJ367" t="s">
        <v>928</v>
      </c>
      <c r="BK367" t="s">
        <v>945</v>
      </c>
      <c r="BL367" t="s">
        <v>194</v>
      </c>
      <c r="BM367" s="8" t="s">
        <v>192</v>
      </c>
      <c r="BN367" t="s">
        <v>189</v>
      </c>
      <c r="BO367" t="s">
        <v>190</v>
      </c>
      <c r="BP367" s="35" t="s">
        <v>846</v>
      </c>
      <c r="BQ367"/>
      <c r="BU367" s="35"/>
      <c r="BV367" s="35"/>
      <c r="BX367"/>
      <c r="CA367" s="35"/>
      <c r="CB367" s="35"/>
      <c r="CC367"/>
      <c r="CG367" s="35"/>
      <c r="CH367" s="35"/>
      <c r="CK367"/>
      <c r="CM367" s="35"/>
      <c r="CN367" s="35"/>
      <c r="CQ367"/>
      <c r="CS367" s="35"/>
      <c r="CT367" s="35"/>
      <c r="CX367"/>
      <c r="CZ367" s="35"/>
      <c r="DD367" s="34"/>
      <c r="DG367" t="s">
        <v>845</v>
      </c>
      <c r="DH367" t="s">
        <v>970</v>
      </c>
      <c r="DI367" t="s">
        <v>233</v>
      </c>
      <c r="DL367" t="s">
        <v>682</v>
      </c>
      <c r="DM367">
        <v>5</v>
      </c>
      <c r="DN367">
        <v>7</v>
      </c>
      <c r="DO367" t="s">
        <v>750</v>
      </c>
      <c r="DQ367" t="s">
        <v>927</v>
      </c>
      <c r="DR367">
        <v>14</v>
      </c>
      <c r="DS367">
        <v>0</v>
      </c>
      <c r="DU367">
        <v>14</v>
      </c>
      <c r="DV367">
        <v>0</v>
      </c>
      <c r="DX367">
        <v>14</v>
      </c>
      <c r="DY367">
        <v>0</v>
      </c>
      <c r="DZ367" t="s">
        <v>246</v>
      </c>
      <c r="EA367" t="s">
        <v>929</v>
      </c>
    </row>
    <row r="368" spans="1:131" x14ac:dyDescent="0.4">
      <c r="A368" s="34">
        <v>43067.305104166669</v>
      </c>
      <c r="B368" s="25">
        <v>42935.723611111112</v>
      </c>
      <c r="D368" s="34"/>
      <c r="E368" s="34" t="s">
        <v>193</v>
      </c>
      <c r="F368" s="34" t="s">
        <v>191</v>
      </c>
      <c r="G368" s="34" t="s">
        <v>100</v>
      </c>
      <c r="H368" t="s">
        <v>279</v>
      </c>
      <c r="I368" t="s">
        <v>243</v>
      </c>
      <c r="J368" t="s">
        <v>712</v>
      </c>
      <c r="K368" t="s">
        <v>758</v>
      </c>
      <c r="L368" t="s">
        <v>711</v>
      </c>
      <c r="M368" s="30">
        <v>2.09</v>
      </c>
      <c r="N368">
        <v>6.5</v>
      </c>
      <c r="P368" s="24" t="str">
        <f>IFERROR(MID(RADataTable[[#This Row],[RATemplate]],1,LEN(RADataTable[[#This Row],[RATemplate]])-8),"RA") &amp; " " &amp; RADataTable[[#This Row],[prop_id0]] &amp; " " &amp; RADataTable[[#This Row],[last0]]</f>
        <v>RA 1751254 Fasy</v>
      </c>
      <c r="T368">
        <v>4</v>
      </c>
      <c r="U368">
        <v>4</v>
      </c>
      <c r="V368" s="34">
        <v>43031.43472222222</v>
      </c>
      <c r="W368">
        <v>1</v>
      </c>
      <c r="X368" s="15" t="str">
        <f>HYPERLINK("https://www.ejacket.nsf.gov/ej/showProposal.do?Continue=Y&amp;ID="&amp;RADataTable[[#This Row],[prop_id0]],"eJ")</f>
        <v>eJ</v>
      </c>
      <c r="Y368" s="15" t="str">
        <f>HYPERLINK("mailto:"&amp;RADataTable[[#This Row],[email]]&amp;"&amp;subject=Your NSF Proposal:  "&amp;RADataTable[[#This Row],[Div]]&amp;" "&amp;RADataTable[[#This Row],[prop_id0]], RADataTable[[#This Row],[email]])</f>
        <v>brittany@cs.montana.edu</v>
      </c>
      <c r="Z368" s="15" t="str">
        <f>HYPERLINK("mailto:"&amp;RADataTable[[#This Row],[allPIemail]]&amp;"&amp;subject=NSF Proposal:  "&amp;RADataTable[[#This Row],[Div]]&amp;" "&amp;RADataTable[[#This Row],[prop_id0]], "PIs@")</f>
        <v>PIs@</v>
      </c>
      <c r="AA368" t="s">
        <v>245</v>
      </c>
      <c r="AB368" t="s">
        <v>682</v>
      </c>
      <c r="AC368" s="30" t="s">
        <v>842</v>
      </c>
      <c r="AD368" t="s">
        <v>843</v>
      </c>
      <c r="AE368" t="s">
        <v>844</v>
      </c>
      <c r="AF368" s="36">
        <v>552355</v>
      </c>
      <c r="AG368" s="36">
        <v>552355</v>
      </c>
      <c r="AH368" s="24"/>
      <c r="AJ368" s="34"/>
      <c r="AK368" t="s">
        <v>923</v>
      </c>
      <c r="AL368" t="s">
        <v>232</v>
      </c>
      <c r="AM368" s="34" t="s">
        <v>925</v>
      </c>
      <c r="AN368" s="34">
        <v>43032</v>
      </c>
      <c r="AO368" s="24">
        <v>9</v>
      </c>
      <c r="AP368" t="s">
        <v>940</v>
      </c>
      <c r="AR368" s="35"/>
      <c r="AS368"/>
      <c r="AT368" s="34"/>
      <c r="AV368" s="34"/>
      <c r="AX368" s="34"/>
      <c r="AY368"/>
      <c r="BA368" s="34"/>
      <c r="BB368"/>
      <c r="BC368" t="s">
        <v>847</v>
      </c>
      <c r="BD368" s="36">
        <v>552355</v>
      </c>
      <c r="BE368" s="36">
        <v>552355</v>
      </c>
      <c r="BF368">
        <v>0</v>
      </c>
      <c r="BG368" s="34">
        <v>43344</v>
      </c>
      <c r="BH368">
        <v>60</v>
      </c>
      <c r="BI368" t="s">
        <v>283</v>
      </c>
      <c r="BJ368" t="s">
        <v>928</v>
      </c>
      <c r="BK368" t="s">
        <v>945</v>
      </c>
      <c r="BL368" t="s">
        <v>194</v>
      </c>
      <c r="BM368" s="8" t="s">
        <v>192</v>
      </c>
      <c r="BN368" t="s">
        <v>189</v>
      </c>
      <c r="BO368" t="s">
        <v>190</v>
      </c>
      <c r="BP368" s="35" t="s">
        <v>846</v>
      </c>
      <c r="BQ368"/>
      <c r="BU368" s="35"/>
      <c r="BV368" s="35"/>
      <c r="BX368"/>
      <c r="CA368" s="35"/>
      <c r="CB368" s="35"/>
      <c r="CC368"/>
      <c r="CG368" s="35"/>
      <c r="CH368" s="35"/>
      <c r="CK368"/>
      <c r="CM368" s="35"/>
      <c r="CN368" s="35"/>
      <c r="CQ368"/>
      <c r="CS368" s="35"/>
      <c r="CT368" s="35"/>
      <c r="CX368"/>
      <c r="CZ368" s="35"/>
      <c r="DD368" s="34"/>
      <c r="DG368" t="s">
        <v>845</v>
      </c>
      <c r="DH368" t="s">
        <v>970</v>
      </c>
      <c r="DI368" t="s">
        <v>233</v>
      </c>
      <c r="DL368" t="s">
        <v>682</v>
      </c>
      <c r="DM368">
        <v>5</v>
      </c>
      <c r="DN368">
        <v>7</v>
      </c>
      <c r="DO368" t="s">
        <v>750</v>
      </c>
      <c r="DQ368" t="s">
        <v>927</v>
      </c>
      <c r="DR368">
        <v>14</v>
      </c>
      <c r="DS368">
        <v>0</v>
      </c>
      <c r="DU368">
        <v>14</v>
      </c>
      <c r="DV368">
        <v>0</v>
      </c>
      <c r="DX368">
        <v>14</v>
      </c>
      <c r="DY368">
        <v>0</v>
      </c>
      <c r="DZ368" t="s">
        <v>246</v>
      </c>
      <c r="EA368" t="s">
        <v>929</v>
      </c>
    </row>
    <row r="369" spans="1:131" x14ac:dyDescent="0.4">
      <c r="A369" s="34">
        <v>43067.305104166669</v>
      </c>
      <c r="B369" s="25">
        <v>42935.723611111112</v>
      </c>
      <c r="D369" s="34"/>
      <c r="E369" s="34" t="s">
        <v>193</v>
      </c>
      <c r="F369" s="34" t="s">
        <v>191</v>
      </c>
      <c r="G369" s="34" t="s">
        <v>100</v>
      </c>
      <c r="H369" t="s">
        <v>279</v>
      </c>
      <c r="I369" t="s">
        <v>243</v>
      </c>
      <c r="J369" t="s">
        <v>712</v>
      </c>
      <c r="K369" t="s">
        <v>758</v>
      </c>
      <c r="L369" t="s">
        <v>711</v>
      </c>
      <c r="M369" s="30">
        <v>2.09</v>
      </c>
      <c r="N369">
        <v>6.5</v>
      </c>
      <c r="P369" s="24" t="str">
        <f>IFERROR(MID(RADataTable[[#This Row],[RATemplate]],1,LEN(RADataTable[[#This Row],[RATemplate]])-8),"RA") &amp; " " &amp; RADataTable[[#This Row],[prop_id0]] &amp; " " &amp; RADataTable[[#This Row],[last0]]</f>
        <v>RA 1751254 Fasy</v>
      </c>
      <c r="T369">
        <v>4</v>
      </c>
      <c r="U369">
        <v>4</v>
      </c>
      <c r="V369" s="34">
        <v>43031.43472222222</v>
      </c>
      <c r="W369">
        <v>1</v>
      </c>
      <c r="X369" s="15" t="str">
        <f>HYPERLINK("https://www.ejacket.nsf.gov/ej/showProposal.do?Continue=Y&amp;ID="&amp;RADataTable[[#This Row],[prop_id0]],"eJ")</f>
        <v>eJ</v>
      </c>
      <c r="Y369" s="15" t="str">
        <f>HYPERLINK("mailto:"&amp;RADataTable[[#This Row],[email]]&amp;"&amp;subject=Your NSF Proposal:  "&amp;RADataTable[[#This Row],[Div]]&amp;" "&amp;RADataTable[[#This Row],[prop_id0]], RADataTable[[#This Row],[email]])</f>
        <v>brittany@cs.montana.edu</v>
      </c>
      <c r="Z369" s="15" t="str">
        <f>HYPERLINK("mailto:"&amp;RADataTable[[#This Row],[allPIemail]]&amp;"&amp;subject=NSF Proposal:  "&amp;RADataTable[[#This Row],[Div]]&amp;" "&amp;RADataTable[[#This Row],[prop_id0]], "PIs@")</f>
        <v>PIs@</v>
      </c>
      <c r="AA369" t="s">
        <v>245</v>
      </c>
      <c r="AB369" t="s">
        <v>682</v>
      </c>
      <c r="AC369" s="30" t="s">
        <v>842</v>
      </c>
      <c r="AD369" t="s">
        <v>843</v>
      </c>
      <c r="AE369" t="s">
        <v>844</v>
      </c>
      <c r="AF369" s="36">
        <v>552355</v>
      </c>
      <c r="AG369" s="36">
        <v>552355</v>
      </c>
      <c r="AH369" s="24"/>
      <c r="AJ369" s="34"/>
      <c r="AK369" t="s">
        <v>923</v>
      </c>
      <c r="AL369" t="s">
        <v>232</v>
      </c>
      <c r="AM369" s="34" t="s">
        <v>925</v>
      </c>
      <c r="AN369" s="34">
        <v>43032</v>
      </c>
      <c r="AO369" s="24">
        <v>9</v>
      </c>
      <c r="AP369" t="s">
        <v>940</v>
      </c>
      <c r="AR369" s="35"/>
      <c r="AS369"/>
      <c r="AT369" s="34"/>
      <c r="AV369" s="34"/>
      <c r="AX369" s="34"/>
      <c r="AY369"/>
      <c r="BA369" s="34"/>
      <c r="BB369"/>
      <c r="BC369" t="s">
        <v>847</v>
      </c>
      <c r="BD369" s="36">
        <v>552355</v>
      </c>
      <c r="BE369" s="36">
        <v>552355</v>
      </c>
      <c r="BF369">
        <v>0</v>
      </c>
      <c r="BG369" s="34">
        <v>43344</v>
      </c>
      <c r="BH369">
        <v>60</v>
      </c>
      <c r="BI369" t="s">
        <v>283</v>
      </c>
      <c r="BJ369" t="s">
        <v>928</v>
      </c>
      <c r="BK369" t="s">
        <v>945</v>
      </c>
      <c r="BL369" t="s">
        <v>194</v>
      </c>
      <c r="BM369" s="8" t="s">
        <v>192</v>
      </c>
      <c r="BN369" t="s">
        <v>189</v>
      </c>
      <c r="BO369" t="s">
        <v>190</v>
      </c>
      <c r="BP369" s="35" t="s">
        <v>846</v>
      </c>
      <c r="BQ369"/>
      <c r="BU369" s="35"/>
      <c r="BV369" s="35"/>
      <c r="BX369"/>
      <c r="CA369" s="35"/>
      <c r="CB369" s="35"/>
      <c r="CC369"/>
      <c r="CG369" s="35"/>
      <c r="CH369" s="35"/>
      <c r="CK369"/>
      <c r="CM369" s="35"/>
      <c r="CN369" s="35"/>
      <c r="CQ369"/>
      <c r="CS369" s="35"/>
      <c r="CT369" s="35"/>
      <c r="CX369"/>
      <c r="CZ369" s="35"/>
      <c r="DD369" s="34"/>
      <c r="DG369" t="s">
        <v>845</v>
      </c>
      <c r="DH369" t="s">
        <v>970</v>
      </c>
      <c r="DI369" t="s">
        <v>233</v>
      </c>
      <c r="DL369" t="s">
        <v>682</v>
      </c>
      <c r="DM369">
        <v>5</v>
      </c>
      <c r="DN369">
        <v>7</v>
      </c>
      <c r="DO369" t="s">
        <v>750</v>
      </c>
      <c r="DQ369" t="s">
        <v>927</v>
      </c>
      <c r="DR369">
        <v>14</v>
      </c>
      <c r="DS369">
        <v>0</v>
      </c>
      <c r="DU369">
        <v>14</v>
      </c>
      <c r="DV369">
        <v>0</v>
      </c>
      <c r="DX369">
        <v>14</v>
      </c>
      <c r="DY369">
        <v>0</v>
      </c>
      <c r="DZ369" t="s">
        <v>246</v>
      </c>
      <c r="EA369" t="s">
        <v>929</v>
      </c>
    </row>
    <row r="370" spans="1:131" x14ac:dyDescent="0.4">
      <c r="A370" s="34">
        <v>43067.305104166669</v>
      </c>
      <c r="B370" s="25">
        <v>42935.723611111112</v>
      </c>
      <c r="D370" s="34"/>
      <c r="E370" s="34" t="s">
        <v>193</v>
      </c>
      <c r="F370" s="34" t="s">
        <v>191</v>
      </c>
      <c r="G370" s="34" t="s">
        <v>100</v>
      </c>
      <c r="H370" t="s">
        <v>279</v>
      </c>
      <c r="I370" t="s">
        <v>243</v>
      </c>
      <c r="J370" t="s">
        <v>712</v>
      </c>
      <c r="K370" t="s">
        <v>758</v>
      </c>
      <c r="L370" t="s">
        <v>711</v>
      </c>
      <c r="M370" s="30">
        <v>2.09</v>
      </c>
      <c r="N370">
        <v>6.5</v>
      </c>
      <c r="P370" s="24" t="str">
        <f>IFERROR(MID(RADataTable[[#This Row],[RATemplate]],1,LEN(RADataTable[[#This Row],[RATemplate]])-8),"RA") &amp; " " &amp; RADataTable[[#This Row],[prop_id0]] &amp; " " &amp; RADataTable[[#This Row],[last0]]</f>
        <v>RA 1751254 Fasy</v>
      </c>
      <c r="T370">
        <v>4</v>
      </c>
      <c r="U370">
        <v>4</v>
      </c>
      <c r="V370" s="34">
        <v>43031.43472222222</v>
      </c>
      <c r="W370">
        <v>1</v>
      </c>
      <c r="X370" s="15" t="str">
        <f>HYPERLINK("https://www.ejacket.nsf.gov/ej/showProposal.do?Continue=Y&amp;ID="&amp;RADataTable[[#This Row],[prop_id0]],"eJ")</f>
        <v>eJ</v>
      </c>
      <c r="Y370" s="15" t="str">
        <f>HYPERLINK("mailto:"&amp;RADataTable[[#This Row],[email]]&amp;"&amp;subject=Your NSF Proposal:  "&amp;RADataTable[[#This Row],[Div]]&amp;" "&amp;RADataTable[[#This Row],[prop_id0]], RADataTable[[#This Row],[email]])</f>
        <v>brittany@cs.montana.edu</v>
      </c>
      <c r="Z370" s="15" t="str">
        <f>HYPERLINK("mailto:"&amp;RADataTable[[#This Row],[allPIemail]]&amp;"&amp;subject=NSF Proposal:  "&amp;RADataTable[[#This Row],[Div]]&amp;" "&amp;RADataTable[[#This Row],[prop_id0]], "PIs@")</f>
        <v>PIs@</v>
      </c>
      <c r="AA370" t="s">
        <v>245</v>
      </c>
      <c r="AB370" t="s">
        <v>682</v>
      </c>
      <c r="AC370" s="30" t="s">
        <v>842</v>
      </c>
      <c r="AD370" t="s">
        <v>843</v>
      </c>
      <c r="AE370" t="s">
        <v>844</v>
      </c>
      <c r="AF370" s="36">
        <v>552355</v>
      </c>
      <c r="AG370" s="36">
        <v>552355</v>
      </c>
      <c r="AH370" s="24"/>
      <c r="AJ370" s="34"/>
      <c r="AK370" t="s">
        <v>923</v>
      </c>
      <c r="AL370" t="s">
        <v>232</v>
      </c>
      <c r="AM370" s="34" t="s">
        <v>925</v>
      </c>
      <c r="AN370" s="34">
        <v>43032</v>
      </c>
      <c r="AO370" s="24">
        <v>9</v>
      </c>
      <c r="AP370" t="s">
        <v>940</v>
      </c>
      <c r="AR370" s="35"/>
      <c r="AS370"/>
      <c r="AT370" s="34"/>
      <c r="AV370" s="34"/>
      <c r="AX370" s="34"/>
      <c r="AY370"/>
      <c r="BA370" s="34"/>
      <c r="BB370"/>
      <c r="BC370" t="s">
        <v>847</v>
      </c>
      <c r="BD370" s="36">
        <v>552355</v>
      </c>
      <c r="BE370" s="36">
        <v>552355</v>
      </c>
      <c r="BF370">
        <v>0</v>
      </c>
      <c r="BG370" s="34">
        <v>43344</v>
      </c>
      <c r="BH370">
        <v>60</v>
      </c>
      <c r="BI370" t="s">
        <v>283</v>
      </c>
      <c r="BJ370" t="s">
        <v>928</v>
      </c>
      <c r="BK370" t="s">
        <v>945</v>
      </c>
      <c r="BL370" t="s">
        <v>194</v>
      </c>
      <c r="BM370" s="8" t="s">
        <v>192</v>
      </c>
      <c r="BN370" t="s">
        <v>189</v>
      </c>
      <c r="BO370" t="s">
        <v>190</v>
      </c>
      <c r="BP370" s="35" t="s">
        <v>846</v>
      </c>
      <c r="BQ370"/>
      <c r="BU370" s="35"/>
      <c r="BV370" s="35"/>
      <c r="BX370"/>
      <c r="CA370" s="35"/>
      <c r="CB370" s="35"/>
      <c r="CC370"/>
      <c r="CG370" s="35"/>
      <c r="CH370" s="35"/>
      <c r="CK370"/>
      <c r="CM370" s="35"/>
      <c r="CN370" s="35"/>
      <c r="CQ370"/>
      <c r="CS370" s="35"/>
      <c r="CT370" s="35"/>
      <c r="CX370"/>
      <c r="CZ370" s="35"/>
      <c r="DD370" s="34"/>
      <c r="DG370" t="s">
        <v>845</v>
      </c>
      <c r="DH370" t="s">
        <v>970</v>
      </c>
      <c r="DI370" t="s">
        <v>233</v>
      </c>
      <c r="DL370" t="s">
        <v>682</v>
      </c>
      <c r="DM370">
        <v>5</v>
      </c>
      <c r="DN370">
        <v>7</v>
      </c>
      <c r="DO370" t="s">
        <v>750</v>
      </c>
      <c r="DQ370" t="s">
        <v>927</v>
      </c>
      <c r="DR370">
        <v>14</v>
      </c>
      <c r="DS370">
        <v>0</v>
      </c>
      <c r="DU370">
        <v>14</v>
      </c>
      <c r="DV370">
        <v>0</v>
      </c>
      <c r="DX370">
        <v>14</v>
      </c>
      <c r="DY370">
        <v>0</v>
      </c>
      <c r="DZ370" t="s">
        <v>246</v>
      </c>
      <c r="EA370" t="s">
        <v>929</v>
      </c>
    </row>
    <row r="371" spans="1:131" x14ac:dyDescent="0.4">
      <c r="A371" s="34">
        <v>43067.305104166669</v>
      </c>
      <c r="B371" s="25">
        <v>42935.723611111112</v>
      </c>
      <c r="D371" s="34"/>
      <c r="E371" s="34" t="s">
        <v>193</v>
      </c>
      <c r="F371" s="34" t="s">
        <v>191</v>
      </c>
      <c r="G371" s="34" t="s">
        <v>100</v>
      </c>
      <c r="H371" t="s">
        <v>279</v>
      </c>
      <c r="I371" t="s">
        <v>243</v>
      </c>
      <c r="J371" t="s">
        <v>712</v>
      </c>
      <c r="K371" t="s">
        <v>758</v>
      </c>
      <c r="L371" t="s">
        <v>711</v>
      </c>
      <c r="M371" s="30">
        <v>2.09</v>
      </c>
      <c r="N371">
        <v>6.5</v>
      </c>
      <c r="P371" s="24" t="str">
        <f>IFERROR(MID(RADataTable[[#This Row],[RATemplate]],1,LEN(RADataTable[[#This Row],[RATemplate]])-8),"RA") &amp; " " &amp; RADataTable[[#This Row],[prop_id0]] &amp; " " &amp; RADataTable[[#This Row],[last0]]</f>
        <v>RA 1751254 Fasy</v>
      </c>
      <c r="T371">
        <v>4</v>
      </c>
      <c r="U371">
        <v>4</v>
      </c>
      <c r="V371" s="34">
        <v>43031.43472222222</v>
      </c>
      <c r="W371">
        <v>1</v>
      </c>
      <c r="X371" s="15" t="str">
        <f>HYPERLINK("https://www.ejacket.nsf.gov/ej/showProposal.do?Continue=Y&amp;ID="&amp;RADataTable[[#This Row],[prop_id0]],"eJ")</f>
        <v>eJ</v>
      </c>
      <c r="Y371" s="15" t="str">
        <f>HYPERLINK("mailto:"&amp;RADataTable[[#This Row],[email]]&amp;"&amp;subject=Your NSF Proposal:  "&amp;RADataTable[[#This Row],[Div]]&amp;" "&amp;RADataTable[[#This Row],[prop_id0]], RADataTable[[#This Row],[email]])</f>
        <v>brittany@cs.montana.edu</v>
      </c>
      <c r="Z371" s="15" t="str">
        <f>HYPERLINK("mailto:"&amp;RADataTable[[#This Row],[allPIemail]]&amp;"&amp;subject=NSF Proposal:  "&amp;RADataTable[[#This Row],[Div]]&amp;" "&amp;RADataTable[[#This Row],[prop_id0]], "PIs@")</f>
        <v>PIs@</v>
      </c>
      <c r="AA371" t="s">
        <v>245</v>
      </c>
      <c r="AB371" t="s">
        <v>682</v>
      </c>
      <c r="AC371" s="30" t="s">
        <v>842</v>
      </c>
      <c r="AD371" t="s">
        <v>843</v>
      </c>
      <c r="AE371" t="s">
        <v>844</v>
      </c>
      <c r="AF371" s="36">
        <v>552355</v>
      </c>
      <c r="AG371" s="36">
        <v>552355</v>
      </c>
      <c r="AH371" s="24"/>
      <c r="AJ371" s="34"/>
      <c r="AK371" t="s">
        <v>923</v>
      </c>
      <c r="AL371" t="s">
        <v>232</v>
      </c>
      <c r="AM371" s="34" t="s">
        <v>925</v>
      </c>
      <c r="AN371" s="34">
        <v>43032</v>
      </c>
      <c r="AO371" s="24">
        <v>9</v>
      </c>
      <c r="AP371" t="s">
        <v>940</v>
      </c>
      <c r="AR371" s="35"/>
      <c r="AS371"/>
      <c r="AT371" s="34"/>
      <c r="AV371" s="34"/>
      <c r="AX371" s="34"/>
      <c r="AY371"/>
      <c r="BA371" s="34"/>
      <c r="BB371"/>
      <c r="BC371" t="s">
        <v>847</v>
      </c>
      <c r="BD371" s="36">
        <v>552355</v>
      </c>
      <c r="BE371" s="36">
        <v>552355</v>
      </c>
      <c r="BF371">
        <v>0</v>
      </c>
      <c r="BG371" s="34">
        <v>43344</v>
      </c>
      <c r="BH371">
        <v>60</v>
      </c>
      <c r="BI371" t="s">
        <v>283</v>
      </c>
      <c r="BJ371" t="s">
        <v>928</v>
      </c>
      <c r="BK371" t="s">
        <v>945</v>
      </c>
      <c r="BL371" t="s">
        <v>194</v>
      </c>
      <c r="BM371" s="8" t="s">
        <v>192</v>
      </c>
      <c r="BN371" t="s">
        <v>189</v>
      </c>
      <c r="BO371" t="s">
        <v>190</v>
      </c>
      <c r="BP371" s="35" t="s">
        <v>846</v>
      </c>
      <c r="BQ371"/>
      <c r="BU371" s="35"/>
      <c r="BV371" s="35"/>
      <c r="BX371"/>
      <c r="CA371" s="35"/>
      <c r="CB371" s="35"/>
      <c r="CC371"/>
      <c r="CG371" s="35"/>
      <c r="CH371" s="35"/>
      <c r="CK371"/>
      <c r="CM371" s="35"/>
      <c r="CN371" s="35"/>
      <c r="CQ371"/>
      <c r="CS371" s="35"/>
      <c r="CT371" s="35"/>
      <c r="CX371"/>
      <c r="CZ371" s="35"/>
      <c r="DD371" s="34"/>
      <c r="DG371" t="s">
        <v>845</v>
      </c>
      <c r="DH371" t="s">
        <v>970</v>
      </c>
      <c r="DI371" t="s">
        <v>233</v>
      </c>
      <c r="DL371" t="s">
        <v>682</v>
      </c>
      <c r="DM371">
        <v>5</v>
      </c>
      <c r="DN371">
        <v>7</v>
      </c>
      <c r="DO371" t="s">
        <v>750</v>
      </c>
      <c r="DQ371" t="s">
        <v>927</v>
      </c>
      <c r="DR371">
        <v>14</v>
      </c>
      <c r="DS371">
        <v>0</v>
      </c>
      <c r="DU371">
        <v>14</v>
      </c>
      <c r="DV371">
        <v>0</v>
      </c>
      <c r="DX371">
        <v>14</v>
      </c>
      <c r="DY371">
        <v>0</v>
      </c>
      <c r="DZ371" t="s">
        <v>246</v>
      </c>
      <c r="EA371" t="s">
        <v>929</v>
      </c>
    </row>
    <row r="372" spans="1:131" x14ac:dyDescent="0.4">
      <c r="A372" s="34">
        <v>43067.305104166669</v>
      </c>
      <c r="B372" s="25">
        <v>42935.723611111112</v>
      </c>
      <c r="D372" s="34"/>
      <c r="E372" s="34" t="s">
        <v>193</v>
      </c>
      <c r="F372" s="34" t="s">
        <v>191</v>
      </c>
      <c r="G372" s="34" t="s">
        <v>100</v>
      </c>
      <c r="H372" t="s">
        <v>279</v>
      </c>
      <c r="I372" t="s">
        <v>243</v>
      </c>
      <c r="J372" t="s">
        <v>712</v>
      </c>
      <c r="K372" t="s">
        <v>758</v>
      </c>
      <c r="L372" t="s">
        <v>711</v>
      </c>
      <c r="M372" s="30">
        <v>2.09</v>
      </c>
      <c r="N372">
        <v>6.5</v>
      </c>
      <c r="P372" s="24" t="str">
        <f>IFERROR(MID(RADataTable[[#This Row],[RATemplate]],1,LEN(RADataTable[[#This Row],[RATemplate]])-8),"RA") &amp; " " &amp; RADataTable[[#This Row],[prop_id0]] &amp; " " &amp; RADataTable[[#This Row],[last0]]</f>
        <v>RA 1751254 Fasy</v>
      </c>
      <c r="T372">
        <v>4</v>
      </c>
      <c r="U372">
        <v>4</v>
      </c>
      <c r="V372" s="34">
        <v>43031.43472222222</v>
      </c>
      <c r="W372">
        <v>1</v>
      </c>
      <c r="X372" s="15" t="str">
        <f>HYPERLINK("https://www.ejacket.nsf.gov/ej/showProposal.do?Continue=Y&amp;ID="&amp;RADataTable[[#This Row],[prop_id0]],"eJ")</f>
        <v>eJ</v>
      </c>
      <c r="Y372" s="15" t="str">
        <f>HYPERLINK("mailto:"&amp;RADataTable[[#This Row],[email]]&amp;"&amp;subject=Your NSF Proposal:  "&amp;RADataTable[[#This Row],[Div]]&amp;" "&amp;RADataTable[[#This Row],[prop_id0]], RADataTable[[#This Row],[email]])</f>
        <v>brittany@cs.montana.edu</v>
      </c>
      <c r="Z372" s="15" t="str">
        <f>HYPERLINK("mailto:"&amp;RADataTable[[#This Row],[allPIemail]]&amp;"&amp;subject=NSF Proposal:  "&amp;RADataTable[[#This Row],[Div]]&amp;" "&amp;RADataTable[[#This Row],[prop_id0]], "PIs@")</f>
        <v>PIs@</v>
      </c>
      <c r="AA372" t="s">
        <v>245</v>
      </c>
      <c r="AB372" t="s">
        <v>682</v>
      </c>
      <c r="AC372" s="30" t="s">
        <v>842</v>
      </c>
      <c r="AD372" t="s">
        <v>843</v>
      </c>
      <c r="AE372" t="s">
        <v>844</v>
      </c>
      <c r="AF372" s="36">
        <v>552355</v>
      </c>
      <c r="AG372" s="36">
        <v>552355</v>
      </c>
      <c r="AH372" s="24"/>
      <c r="AJ372" s="34"/>
      <c r="AK372" t="s">
        <v>923</v>
      </c>
      <c r="AL372" t="s">
        <v>232</v>
      </c>
      <c r="AM372" s="34" t="s">
        <v>925</v>
      </c>
      <c r="AN372" s="34">
        <v>43032</v>
      </c>
      <c r="AO372" s="24">
        <v>9</v>
      </c>
      <c r="AP372" t="s">
        <v>940</v>
      </c>
      <c r="AR372" s="35"/>
      <c r="AS372"/>
      <c r="AT372" s="34"/>
      <c r="AV372" s="34"/>
      <c r="AX372" s="34"/>
      <c r="AY372"/>
      <c r="BA372" s="34"/>
      <c r="BB372"/>
      <c r="BC372" t="s">
        <v>847</v>
      </c>
      <c r="BD372" s="36">
        <v>552355</v>
      </c>
      <c r="BE372" s="36">
        <v>552355</v>
      </c>
      <c r="BF372">
        <v>0</v>
      </c>
      <c r="BG372" s="34">
        <v>43344</v>
      </c>
      <c r="BH372">
        <v>60</v>
      </c>
      <c r="BI372" t="s">
        <v>283</v>
      </c>
      <c r="BJ372" t="s">
        <v>928</v>
      </c>
      <c r="BK372" t="s">
        <v>945</v>
      </c>
      <c r="BL372" t="s">
        <v>194</v>
      </c>
      <c r="BM372" s="8" t="s">
        <v>192</v>
      </c>
      <c r="BN372" t="s">
        <v>189</v>
      </c>
      <c r="BO372" t="s">
        <v>190</v>
      </c>
      <c r="BP372" s="35" t="s">
        <v>846</v>
      </c>
      <c r="BQ372"/>
      <c r="BU372" s="35"/>
      <c r="BV372" s="35"/>
      <c r="BX372"/>
      <c r="CA372" s="35"/>
      <c r="CB372" s="35"/>
      <c r="CC372"/>
      <c r="CG372" s="35"/>
      <c r="CH372" s="35"/>
      <c r="CK372"/>
      <c r="CM372" s="35"/>
      <c r="CN372" s="35"/>
      <c r="CQ372"/>
      <c r="CS372" s="35"/>
      <c r="CT372" s="35"/>
      <c r="CX372"/>
      <c r="CZ372" s="35"/>
      <c r="DD372" s="34"/>
      <c r="DG372" t="s">
        <v>845</v>
      </c>
      <c r="DH372" t="s">
        <v>970</v>
      </c>
      <c r="DI372" t="s">
        <v>233</v>
      </c>
      <c r="DL372" t="s">
        <v>682</v>
      </c>
      <c r="DM372">
        <v>5</v>
      </c>
      <c r="DN372">
        <v>7</v>
      </c>
      <c r="DO372" t="s">
        <v>750</v>
      </c>
      <c r="DQ372" t="s">
        <v>927</v>
      </c>
      <c r="DR372">
        <v>14</v>
      </c>
      <c r="DS372">
        <v>0</v>
      </c>
      <c r="DU372">
        <v>14</v>
      </c>
      <c r="DV372">
        <v>0</v>
      </c>
      <c r="DX372">
        <v>14</v>
      </c>
      <c r="DY372">
        <v>0</v>
      </c>
      <c r="DZ372" t="s">
        <v>246</v>
      </c>
      <c r="EA372" t="s">
        <v>929</v>
      </c>
    </row>
    <row r="373" spans="1:131" x14ac:dyDescent="0.4">
      <c r="A373" s="34">
        <v>43067.305104166669</v>
      </c>
      <c r="B373" s="25">
        <v>42935.723611111112</v>
      </c>
      <c r="D373" s="34"/>
      <c r="E373" s="34" t="s">
        <v>193</v>
      </c>
      <c r="F373" s="34" t="s">
        <v>191</v>
      </c>
      <c r="G373" s="34" t="s">
        <v>100</v>
      </c>
      <c r="H373" t="s">
        <v>279</v>
      </c>
      <c r="I373" t="s">
        <v>243</v>
      </c>
      <c r="J373" t="s">
        <v>712</v>
      </c>
      <c r="K373" t="s">
        <v>758</v>
      </c>
      <c r="L373" t="s">
        <v>711</v>
      </c>
      <c r="M373" s="30">
        <v>2.09</v>
      </c>
      <c r="N373">
        <v>6.5</v>
      </c>
      <c r="P373" s="24" t="str">
        <f>IFERROR(MID(RADataTable[[#This Row],[RATemplate]],1,LEN(RADataTable[[#This Row],[RATemplate]])-8),"RA") &amp; " " &amp; RADataTable[[#This Row],[prop_id0]] &amp; " " &amp; RADataTable[[#This Row],[last0]]</f>
        <v>RA 1751254 Fasy</v>
      </c>
      <c r="T373">
        <v>4</v>
      </c>
      <c r="U373">
        <v>4</v>
      </c>
      <c r="V373" s="34">
        <v>43031.43472222222</v>
      </c>
      <c r="W373">
        <v>1</v>
      </c>
      <c r="X373" s="15" t="str">
        <f>HYPERLINK("https://www.ejacket.nsf.gov/ej/showProposal.do?Continue=Y&amp;ID="&amp;RADataTable[[#This Row],[prop_id0]],"eJ")</f>
        <v>eJ</v>
      </c>
      <c r="Y373" s="15" t="str">
        <f>HYPERLINK("mailto:"&amp;RADataTable[[#This Row],[email]]&amp;"&amp;subject=Your NSF Proposal:  "&amp;RADataTable[[#This Row],[Div]]&amp;" "&amp;RADataTable[[#This Row],[prop_id0]], RADataTable[[#This Row],[email]])</f>
        <v>brittany@cs.montana.edu</v>
      </c>
      <c r="Z373" s="15" t="str">
        <f>HYPERLINK("mailto:"&amp;RADataTable[[#This Row],[allPIemail]]&amp;"&amp;subject=NSF Proposal:  "&amp;RADataTable[[#This Row],[Div]]&amp;" "&amp;RADataTable[[#This Row],[prop_id0]], "PIs@")</f>
        <v>PIs@</v>
      </c>
      <c r="AA373" t="s">
        <v>245</v>
      </c>
      <c r="AB373" t="s">
        <v>682</v>
      </c>
      <c r="AC373" s="30" t="s">
        <v>842</v>
      </c>
      <c r="AD373" t="s">
        <v>843</v>
      </c>
      <c r="AE373" t="s">
        <v>844</v>
      </c>
      <c r="AF373" s="36">
        <v>552355</v>
      </c>
      <c r="AG373" s="36">
        <v>552355</v>
      </c>
      <c r="AH373" s="24"/>
      <c r="AJ373" s="34"/>
      <c r="AK373" t="s">
        <v>923</v>
      </c>
      <c r="AL373" t="s">
        <v>232</v>
      </c>
      <c r="AM373" s="34" t="s">
        <v>925</v>
      </c>
      <c r="AN373" s="34">
        <v>43032</v>
      </c>
      <c r="AO373" s="24">
        <v>9</v>
      </c>
      <c r="AP373" t="s">
        <v>940</v>
      </c>
      <c r="AR373" s="35"/>
      <c r="AS373"/>
      <c r="AT373" s="34"/>
      <c r="AV373" s="34"/>
      <c r="AX373" s="34"/>
      <c r="AY373"/>
      <c r="BA373" s="34"/>
      <c r="BB373"/>
      <c r="BC373" t="s">
        <v>847</v>
      </c>
      <c r="BD373" s="36">
        <v>552355</v>
      </c>
      <c r="BE373" s="36">
        <v>552355</v>
      </c>
      <c r="BF373">
        <v>0</v>
      </c>
      <c r="BG373" s="34">
        <v>43344</v>
      </c>
      <c r="BH373">
        <v>60</v>
      </c>
      <c r="BI373" t="s">
        <v>283</v>
      </c>
      <c r="BJ373" t="s">
        <v>928</v>
      </c>
      <c r="BK373" t="s">
        <v>945</v>
      </c>
      <c r="BL373" t="s">
        <v>194</v>
      </c>
      <c r="BM373" s="8" t="s">
        <v>192</v>
      </c>
      <c r="BN373" t="s">
        <v>189</v>
      </c>
      <c r="BO373" t="s">
        <v>190</v>
      </c>
      <c r="BP373" s="35" t="s">
        <v>846</v>
      </c>
      <c r="BQ373"/>
      <c r="BU373" s="35"/>
      <c r="BV373" s="35"/>
      <c r="BX373"/>
      <c r="CA373" s="35"/>
      <c r="CB373" s="35"/>
      <c r="CC373"/>
      <c r="CG373" s="35"/>
      <c r="CH373" s="35"/>
      <c r="CK373"/>
      <c r="CM373" s="35"/>
      <c r="CN373" s="35"/>
      <c r="CQ373"/>
      <c r="CS373" s="35"/>
      <c r="CT373" s="35"/>
      <c r="CX373"/>
      <c r="CZ373" s="35"/>
      <c r="DD373" s="34"/>
      <c r="DG373" t="s">
        <v>845</v>
      </c>
      <c r="DH373" t="s">
        <v>970</v>
      </c>
      <c r="DI373" t="s">
        <v>233</v>
      </c>
      <c r="DL373" t="s">
        <v>682</v>
      </c>
      <c r="DM373">
        <v>5</v>
      </c>
      <c r="DN373">
        <v>7</v>
      </c>
      <c r="DO373" t="s">
        <v>750</v>
      </c>
      <c r="DQ373" t="s">
        <v>927</v>
      </c>
      <c r="DR373">
        <v>14</v>
      </c>
      <c r="DS373">
        <v>0</v>
      </c>
      <c r="DU373">
        <v>14</v>
      </c>
      <c r="DV373">
        <v>0</v>
      </c>
      <c r="DX373">
        <v>14</v>
      </c>
      <c r="DY373">
        <v>0</v>
      </c>
      <c r="DZ373" t="s">
        <v>246</v>
      </c>
      <c r="EA373" t="s">
        <v>929</v>
      </c>
    </row>
    <row r="374" spans="1:131" x14ac:dyDescent="0.4">
      <c r="A374" s="34">
        <v>43067.305104166669</v>
      </c>
      <c r="B374" s="25">
        <v>42935.723611111112</v>
      </c>
      <c r="D374" s="34"/>
      <c r="E374" s="34" t="s">
        <v>193</v>
      </c>
      <c r="F374" s="34" t="s">
        <v>191</v>
      </c>
      <c r="G374" s="34" t="s">
        <v>100</v>
      </c>
      <c r="H374" t="s">
        <v>279</v>
      </c>
      <c r="I374" t="s">
        <v>243</v>
      </c>
      <c r="J374" t="s">
        <v>712</v>
      </c>
      <c r="K374" t="s">
        <v>758</v>
      </c>
      <c r="L374" t="s">
        <v>711</v>
      </c>
      <c r="M374" s="30">
        <v>2.09</v>
      </c>
      <c r="N374">
        <v>6.5</v>
      </c>
      <c r="P374" s="24" t="str">
        <f>IFERROR(MID(RADataTable[[#This Row],[RATemplate]],1,LEN(RADataTable[[#This Row],[RATemplate]])-8),"RA") &amp; " " &amp; RADataTable[[#This Row],[prop_id0]] &amp; " " &amp; RADataTable[[#This Row],[last0]]</f>
        <v>RA 1751254 Fasy</v>
      </c>
      <c r="T374">
        <v>4</v>
      </c>
      <c r="U374">
        <v>4</v>
      </c>
      <c r="V374" s="34">
        <v>43031.43472222222</v>
      </c>
      <c r="W374">
        <v>1</v>
      </c>
      <c r="X374" s="15" t="str">
        <f>HYPERLINK("https://www.ejacket.nsf.gov/ej/showProposal.do?Continue=Y&amp;ID="&amp;RADataTable[[#This Row],[prop_id0]],"eJ")</f>
        <v>eJ</v>
      </c>
      <c r="Y374" s="15" t="str">
        <f>HYPERLINK("mailto:"&amp;RADataTable[[#This Row],[email]]&amp;"&amp;subject=Your NSF Proposal:  "&amp;RADataTable[[#This Row],[Div]]&amp;" "&amp;RADataTable[[#This Row],[prop_id0]], RADataTable[[#This Row],[email]])</f>
        <v>brittany@cs.montana.edu</v>
      </c>
      <c r="Z374" s="15" t="str">
        <f>HYPERLINK("mailto:"&amp;RADataTable[[#This Row],[allPIemail]]&amp;"&amp;subject=NSF Proposal:  "&amp;RADataTable[[#This Row],[Div]]&amp;" "&amp;RADataTable[[#This Row],[prop_id0]], "PIs@")</f>
        <v>PIs@</v>
      </c>
      <c r="AA374" t="s">
        <v>245</v>
      </c>
      <c r="AB374" t="s">
        <v>682</v>
      </c>
      <c r="AC374" s="30" t="s">
        <v>842</v>
      </c>
      <c r="AD374" t="s">
        <v>843</v>
      </c>
      <c r="AE374" t="s">
        <v>844</v>
      </c>
      <c r="AF374" s="36">
        <v>552355</v>
      </c>
      <c r="AG374" s="36">
        <v>552355</v>
      </c>
      <c r="AH374" s="24"/>
      <c r="AJ374" s="34"/>
      <c r="AK374" t="s">
        <v>923</v>
      </c>
      <c r="AL374" t="s">
        <v>232</v>
      </c>
      <c r="AM374" s="34" t="s">
        <v>925</v>
      </c>
      <c r="AN374" s="34">
        <v>43032</v>
      </c>
      <c r="AO374" s="24">
        <v>9</v>
      </c>
      <c r="AP374" t="s">
        <v>940</v>
      </c>
      <c r="AR374" s="35"/>
      <c r="AS374"/>
      <c r="AT374" s="34"/>
      <c r="AV374" s="34"/>
      <c r="AX374" s="34"/>
      <c r="AY374"/>
      <c r="BA374" s="34"/>
      <c r="BB374"/>
      <c r="BC374" t="s">
        <v>847</v>
      </c>
      <c r="BD374" s="36">
        <v>552355</v>
      </c>
      <c r="BE374" s="36">
        <v>552355</v>
      </c>
      <c r="BF374">
        <v>0</v>
      </c>
      <c r="BG374" s="34">
        <v>43344</v>
      </c>
      <c r="BH374">
        <v>60</v>
      </c>
      <c r="BI374" t="s">
        <v>283</v>
      </c>
      <c r="BJ374" t="s">
        <v>928</v>
      </c>
      <c r="BK374" t="s">
        <v>945</v>
      </c>
      <c r="BL374" t="s">
        <v>194</v>
      </c>
      <c r="BM374" s="8" t="s">
        <v>192</v>
      </c>
      <c r="BN374" t="s">
        <v>189</v>
      </c>
      <c r="BO374" t="s">
        <v>190</v>
      </c>
      <c r="BP374" s="35" t="s">
        <v>846</v>
      </c>
      <c r="BQ374"/>
      <c r="BU374" s="35"/>
      <c r="BV374" s="35"/>
      <c r="BX374"/>
      <c r="CA374" s="35"/>
      <c r="CB374" s="35"/>
      <c r="CC374"/>
      <c r="CG374" s="35"/>
      <c r="CH374" s="35"/>
      <c r="CK374"/>
      <c r="CM374" s="35"/>
      <c r="CN374" s="35"/>
      <c r="CQ374"/>
      <c r="CS374" s="35"/>
      <c r="CT374" s="35"/>
      <c r="CX374"/>
      <c r="CZ374" s="35"/>
      <c r="DD374" s="34"/>
      <c r="DG374" t="s">
        <v>845</v>
      </c>
      <c r="DH374" t="s">
        <v>970</v>
      </c>
      <c r="DI374" t="s">
        <v>233</v>
      </c>
      <c r="DL374" t="s">
        <v>682</v>
      </c>
      <c r="DM374">
        <v>5</v>
      </c>
      <c r="DN374">
        <v>7</v>
      </c>
      <c r="DO374" t="s">
        <v>750</v>
      </c>
      <c r="DQ374" t="s">
        <v>927</v>
      </c>
      <c r="DR374">
        <v>14</v>
      </c>
      <c r="DS374">
        <v>0</v>
      </c>
      <c r="DU374">
        <v>14</v>
      </c>
      <c r="DV374">
        <v>0</v>
      </c>
      <c r="DX374">
        <v>14</v>
      </c>
      <c r="DY374">
        <v>0</v>
      </c>
      <c r="DZ374" t="s">
        <v>246</v>
      </c>
      <c r="EA374" t="s">
        <v>929</v>
      </c>
    </row>
    <row r="375" spans="1:131" x14ac:dyDescent="0.4">
      <c r="A375" s="34">
        <v>43067.305104166669</v>
      </c>
      <c r="B375" s="25">
        <v>42934.453472222223</v>
      </c>
      <c r="D375" s="34"/>
      <c r="E375" s="34" t="s">
        <v>193</v>
      </c>
      <c r="F375" s="34" t="s">
        <v>191</v>
      </c>
      <c r="G375" s="34" t="s">
        <v>100</v>
      </c>
      <c r="H375" t="s">
        <v>279</v>
      </c>
      <c r="I375" t="s">
        <v>243</v>
      </c>
      <c r="J375" t="s">
        <v>712</v>
      </c>
      <c r="K375" t="s">
        <v>729</v>
      </c>
      <c r="L375" t="s">
        <v>711</v>
      </c>
      <c r="M375" s="30">
        <v>2.1</v>
      </c>
      <c r="N375">
        <v>6.5</v>
      </c>
      <c r="P375" s="24" t="str">
        <f>IFERROR(MID(RADataTable[[#This Row],[RATemplate]],1,LEN(RADataTable[[#This Row],[RATemplate]])-8),"RA") &amp; " " &amp; RADataTable[[#This Row],[prop_id0]] &amp; " " &amp; RADataTable[[#This Row],[last0]]</f>
        <v>RA 1749678 Im</v>
      </c>
      <c r="T375">
        <v>4</v>
      </c>
      <c r="U375">
        <v>4</v>
      </c>
      <c r="V375" s="34">
        <v>43032.518055555556</v>
      </c>
      <c r="W375">
        <v>1</v>
      </c>
      <c r="X375" s="15" t="str">
        <f>HYPERLINK("https://www.ejacket.nsf.gov/ej/showProposal.do?Continue=Y&amp;ID="&amp;RADataTable[[#This Row],[prop_id0]],"eJ")</f>
        <v>eJ</v>
      </c>
      <c r="Y375" s="15" t="str">
        <f>HYPERLINK("mailto:"&amp;RADataTable[[#This Row],[email]]&amp;"&amp;subject=Your NSF Proposal:  "&amp;RADataTable[[#This Row],[Div]]&amp;" "&amp;RADataTable[[#This Row],[prop_id0]], RADataTable[[#This Row],[email]])</f>
        <v>sim3@ucmerced.edu</v>
      </c>
      <c r="Z375" s="15" t="str">
        <f>HYPERLINK("mailto:"&amp;RADataTable[[#This Row],[allPIemail]]&amp;"&amp;subject=NSF Proposal:  "&amp;RADataTable[[#This Row],[Div]]&amp;" "&amp;RADataTable[[#This Row],[prop_id0]], "PIs@")</f>
        <v>PIs@</v>
      </c>
      <c r="AA375" t="s">
        <v>245</v>
      </c>
      <c r="AB375" t="s">
        <v>666</v>
      </c>
      <c r="AC375" s="30" t="s">
        <v>746</v>
      </c>
      <c r="AD375" t="s">
        <v>747</v>
      </c>
      <c r="AE375" t="s">
        <v>748</v>
      </c>
      <c r="AF375" s="36">
        <v>514477</v>
      </c>
      <c r="AG375" s="36">
        <v>514477</v>
      </c>
      <c r="AH375" s="24"/>
      <c r="AJ375" s="34"/>
      <c r="AK375" t="s">
        <v>923</v>
      </c>
      <c r="AL375" t="s">
        <v>232</v>
      </c>
      <c r="AM375" s="34" t="s">
        <v>925</v>
      </c>
      <c r="AN375" s="34">
        <v>43032</v>
      </c>
      <c r="AO375" s="24">
        <v>10</v>
      </c>
      <c r="AP375" t="s">
        <v>940</v>
      </c>
      <c r="AR375" s="35"/>
      <c r="AS375"/>
      <c r="AT375" s="34"/>
      <c r="AV375" s="34"/>
      <c r="AX375" s="34"/>
      <c r="AY375"/>
      <c r="BA375" s="34"/>
      <c r="BB375"/>
      <c r="BC375" t="s">
        <v>751</v>
      </c>
      <c r="BD375" s="36">
        <v>514477</v>
      </c>
      <c r="BE375" s="36">
        <v>514477</v>
      </c>
      <c r="BF375">
        <v>0</v>
      </c>
      <c r="BG375" s="34">
        <v>43282</v>
      </c>
      <c r="BH375">
        <v>60</v>
      </c>
      <c r="BI375" t="s">
        <v>283</v>
      </c>
      <c r="BJ375" t="s">
        <v>928</v>
      </c>
      <c r="BK375" t="s">
        <v>934</v>
      </c>
      <c r="BL375" t="s">
        <v>194</v>
      </c>
      <c r="BM375" s="8" t="s">
        <v>192</v>
      </c>
      <c r="BN375" t="s">
        <v>189</v>
      </c>
      <c r="BO375" t="s">
        <v>190</v>
      </c>
      <c r="BP375" s="35" t="s">
        <v>718</v>
      </c>
      <c r="BQ375"/>
      <c r="BU375" s="35"/>
      <c r="BV375" s="35"/>
      <c r="BX375"/>
      <c r="CA375" s="35"/>
      <c r="CB375" s="35"/>
      <c r="CC375"/>
      <c r="CG375" s="35"/>
      <c r="CH375" s="35"/>
      <c r="CK375"/>
      <c r="CM375" s="35"/>
      <c r="CN375" s="35"/>
      <c r="CQ375"/>
      <c r="CS375" s="35"/>
      <c r="CT375" s="35"/>
      <c r="CX375"/>
      <c r="CZ375" s="35"/>
      <c r="DD375" s="34"/>
      <c r="DG375" t="s">
        <v>749</v>
      </c>
      <c r="DH375" t="s">
        <v>941</v>
      </c>
      <c r="DI375" t="s">
        <v>233</v>
      </c>
      <c r="DL375" t="s">
        <v>666</v>
      </c>
      <c r="DM375">
        <v>5</v>
      </c>
      <c r="DN375">
        <v>7</v>
      </c>
      <c r="DO375" t="s">
        <v>750</v>
      </c>
      <c r="DQ375" t="s">
        <v>927</v>
      </c>
      <c r="DR375">
        <v>14</v>
      </c>
      <c r="DS375">
        <v>0</v>
      </c>
      <c r="DU375">
        <v>14</v>
      </c>
      <c r="DV375">
        <v>0</v>
      </c>
      <c r="DX375">
        <v>14</v>
      </c>
      <c r="DY375">
        <v>0</v>
      </c>
      <c r="DZ375" t="s">
        <v>246</v>
      </c>
      <c r="EA375" t="s">
        <v>929</v>
      </c>
    </row>
    <row r="376" spans="1:131" x14ac:dyDescent="0.4">
      <c r="A376" s="34">
        <v>43067.305104166669</v>
      </c>
      <c r="B376" s="25">
        <v>42934.453472222223</v>
      </c>
      <c r="D376" s="34"/>
      <c r="E376" s="34" t="s">
        <v>193</v>
      </c>
      <c r="F376" s="34" t="s">
        <v>191</v>
      </c>
      <c r="G376" s="34" t="s">
        <v>100</v>
      </c>
      <c r="H376" t="s">
        <v>279</v>
      </c>
      <c r="I376" t="s">
        <v>243</v>
      </c>
      <c r="J376" t="s">
        <v>712</v>
      </c>
      <c r="K376" t="s">
        <v>729</v>
      </c>
      <c r="L376" t="s">
        <v>711</v>
      </c>
      <c r="M376" s="30">
        <v>2.1</v>
      </c>
      <c r="N376">
        <v>6.5</v>
      </c>
      <c r="P376" s="24" t="str">
        <f>IFERROR(MID(RADataTable[[#This Row],[RATemplate]],1,LEN(RADataTable[[#This Row],[RATemplate]])-8),"RA") &amp; " " &amp; RADataTable[[#This Row],[prop_id0]] &amp; " " &amp; RADataTable[[#This Row],[last0]]</f>
        <v>RA 1749678 Im</v>
      </c>
      <c r="T376">
        <v>4</v>
      </c>
      <c r="U376">
        <v>4</v>
      </c>
      <c r="V376" s="34">
        <v>43032.518055555556</v>
      </c>
      <c r="W376">
        <v>1</v>
      </c>
      <c r="X376" s="15" t="str">
        <f>HYPERLINK("https://www.ejacket.nsf.gov/ej/showProposal.do?Continue=Y&amp;ID="&amp;RADataTable[[#This Row],[prop_id0]],"eJ")</f>
        <v>eJ</v>
      </c>
      <c r="Y376" s="15" t="str">
        <f>HYPERLINK("mailto:"&amp;RADataTable[[#This Row],[email]]&amp;"&amp;subject=Your NSF Proposal:  "&amp;RADataTable[[#This Row],[Div]]&amp;" "&amp;RADataTable[[#This Row],[prop_id0]], RADataTable[[#This Row],[email]])</f>
        <v>sim3@ucmerced.edu</v>
      </c>
      <c r="Z376" s="15" t="str">
        <f>HYPERLINK("mailto:"&amp;RADataTable[[#This Row],[allPIemail]]&amp;"&amp;subject=NSF Proposal:  "&amp;RADataTable[[#This Row],[Div]]&amp;" "&amp;RADataTable[[#This Row],[prop_id0]], "PIs@")</f>
        <v>PIs@</v>
      </c>
      <c r="AA376" t="s">
        <v>245</v>
      </c>
      <c r="AB376" t="s">
        <v>666</v>
      </c>
      <c r="AC376" s="30" t="s">
        <v>746</v>
      </c>
      <c r="AD376" t="s">
        <v>747</v>
      </c>
      <c r="AE376" t="s">
        <v>748</v>
      </c>
      <c r="AF376" s="36">
        <v>514477</v>
      </c>
      <c r="AG376" s="36">
        <v>514477</v>
      </c>
      <c r="AH376" s="24"/>
      <c r="AJ376" s="34"/>
      <c r="AK376" t="s">
        <v>923</v>
      </c>
      <c r="AL376" t="s">
        <v>232</v>
      </c>
      <c r="AM376" s="34" t="s">
        <v>925</v>
      </c>
      <c r="AN376" s="34">
        <v>43032</v>
      </c>
      <c r="AO376" s="24">
        <v>10</v>
      </c>
      <c r="AP376" t="s">
        <v>940</v>
      </c>
      <c r="AR376" s="35"/>
      <c r="AS376"/>
      <c r="AT376" s="34"/>
      <c r="AV376" s="34"/>
      <c r="AX376" s="34"/>
      <c r="AY376"/>
      <c r="BA376" s="34"/>
      <c r="BB376"/>
      <c r="BC376" t="s">
        <v>751</v>
      </c>
      <c r="BD376" s="36">
        <v>514477</v>
      </c>
      <c r="BE376" s="36">
        <v>514477</v>
      </c>
      <c r="BF376">
        <v>0</v>
      </c>
      <c r="BG376" s="34">
        <v>43282</v>
      </c>
      <c r="BH376">
        <v>60</v>
      </c>
      <c r="BI376" t="s">
        <v>283</v>
      </c>
      <c r="BJ376" t="s">
        <v>928</v>
      </c>
      <c r="BK376" t="s">
        <v>934</v>
      </c>
      <c r="BL376" t="s">
        <v>194</v>
      </c>
      <c r="BM376" s="8" t="s">
        <v>192</v>
      </c>
      <c r="BN376" t="s">
        <v>189</v>
      </c>
      <c r="BO376" t="s">
        <v>190</v>
      </c>
      <c r="BP376" s="35" t="s">
        <v>718</v>
      </c>
      <c r="BQ376"/>
      <c r="BU376" s="35"/>
      <c r="BV376" s="35"/>
      <c r="BX376"/>
      <c r="CA376" s="35"/>
      <c r="CB376" s="35"/>
      <c r="CC376"/>
      <c r="CG376" s="35"/>
      <c r="CH376" s="35"/>
      <c r="CK376"/>
      <c r="CM376" s="35"/>
      <c r="CN376" s="35"/>
      <c r="CQ376"/>
      <c r="CS376" s="35"/>
      <c r="CT376" s="35"/>
      <c r="CX376"/>
      <c r="CZ376" s="35"/>
      <c r="DD376" s="34"/>
      <c r="DG376" t="s">
        <v>749</v>
      </c>
      <c r="DH376" t="s">
        <v>941</v>
      </c>
      <c r="DI376" t="s">
        <v>233</v>
      </c>
      <c r="DL376" t="s">
        <v>666</v>
      </c>
      <c r="DM376">
        <v>5</v>
      </c>
      <c r="DN376">
        <v>7</v>
      </c>
      <c r="DO376" t="s">
        <v>750</v>
      </c>
      <c r="DQ376" t="s">
        <v>927</v>
      </c>
      <c r="DR376">
        <v>14</v>
      </c>
      <c r="DS376">
        <v>0</v>
      </c>
      <c r="DU376">
        <v>14</v>
      </c>
      <c r="DV376">
        <v>0</v>
      </c>
      <c r="DX376">
        <v>14</v>
      </c>
      <c r="DY376">
        <v>0</v>
      </c>
      <c r="DZ376" t="s">
        <v>246</v>
      </c>
      <c r="EA376" t="s">
        <v>929</v>
      </c>
    </row>
    <row r="377" spans="1:131" x14ac:dyDescent="0.4">
      <c r="A377" s="34">
        <v>43067.305104166669</v>
      </c>
      <c r="B377" s="25">
        <v>42934.453472222223</v>
      </c>
      <c r="D377" s="34"/>
      <c r="E377" s="34" t="s">
        <v>193</v>
      </c>
      <c r="F377" s="34" t="s">
        <v>191</v>
      </c>
      <c r="G377" s="34" t="s">
        <v>100</v>
      </c>
      <c r="H377" t="s">
        <v>279</v>
      </c>
      <c r="I377" t="s">
        <v>243</v>
      </c>
      <c r="J377" t="s">
        <v>712</v>
      </c>
      <c r="K377" t="s">
        <v>729</v>
      </c>
      <c r="L377" t="s">
        <v>711</v>
      </c>
      <c r="M377" s="30">
        <v>2.1</v>
      </c>
      <c r="N377">
        <v>6.5</v>
      </c>
      <c r="P377" s="24" t="str">
        <f>IFERROR(MID(RADataTable[[#This Row],[RATemplate]],1,LEN(RADataTable[[#This Row],[RATemplate]])-8),"RA") &amp; " " &amp; RADataTable[[#This Row],[prop_id0]] &amp; " " &amp; RADataTable[[#This Row],[last0]]</f>
        <v>RA 1749678 Im</v>
      </c>
      <c r="T377">
        <v>4</v>
      </c>
      <c r="U377">
        <v>4</v>
      </c>
      <c r="V377" s="34">
        <v>43032.518055555556</v>
      </c>
      <c r="W377">
        <v>1</v>
      </c>
      <c r="X377" s="15" t="str">
        <f>HYPERLINK("https://www.ejacket.nsf.gov/ej/showProposal.do?Continue=Y&amp;ID="&amp;RADataTable[[#This Row],[prop_id0]],"eJ")</f>
        <v>eJ</v>
      </c>
      <c r="Y377" s="15" t="str">
        <f>HYPERLINK("mailto:"&amp;RADataTable[[#This Row],[email]]&amp;"&amp;subject=Your NSF Proposal:  "&amp;RADataTable[[#This Row],[Div]]&amp;" "&amp;RADataTable[[#This Row],[prop_id0]], RADataTable[[#This Row],[email]])</f>
        <v>sim3@ucmerced.edu</v>
      </c>
      <c r="Z377" s="15" t="str">
        <f>HYPERLINK("mailto:"&amp;RADataTable[[#This Row],[allPIemail]]&amp;"&amp;subject=NSF Proposal:  "&amp;RADataTable[[#This Row],[Div]]&amp;" "&amp;RADataTable[[#This Row],[prop_id0]], "PIs@")</f>
        <v>PIs@</v>
      </c>
      <c r="AA377" t="s">
        <v>245</v>
      </c>
      <c r="AB377" t="s">
        <v>666</v>
      </c>
      <c r="AC377" s="30" t="s">
        <v>746</v>
      </c>
      <c r="AD377" t="s">
        <v>747</v>
      </c>
      <c r="AE377" t="s">
        <v>748</v>
      </c>
      <c r="AF377" s="36">
        <v>514477</v>
      </c>
      <c r="AG377" s="36">
        <v>514477</v>
      </c>
      <c r="AH377" s="24"/>
      <c r="AJ377" s="34"/>
      <c r="AK377" t="s">
        <v>923</v>
      </c>
      <c r="AL377" t="s">
        <v>232</v>
      </c>
      <c r="AM377" s="34" t="s">
        <v>925</v>
      </c>
      <c r="AN377" s="34">
        <v>43032</v>
      </c>
      <c r="AO377" s="24">
        <v>10</v>
      </c>
      <c r="AP377" t="s">
        <v>940</v>
      </c>
      <c r="AR377" s="35"/>
      <c r="AS377"/>
      <c r="AT377" s="34"/>
      <c r="AV377" s="34"/>
      <c r="AX377" s="34"/>
      <c r="AY377"/>
      <c r="BA377" s="34"/>
      <c r="BB377"/>
      <c r="BC377" t="s">
        <v>751</v>
      </c>
      <c r="BD377" s="36">
        <v>514477</v>
      </c>
      <c r="BE377" s="36">
        <v>514477</v>
      </c>
      <c r="BF377">
        <v>0</v>
      </c>
      <c r="BG377" s="34">
        <v>43282</v>
      </c>
      <c r="BH377">
        <v>60</v>
      </c>
      <c r="BI377" t="s">
        <v>283</v>
      </c>
      <c r="BJ377" t="s">
        <v>928</v>
      </c>
      <c r="BK377" t="s">
        <v>934</v>
      </c>
      <c r="BL377" t="s">
        <v>194</v>
      </c>
      <c r="BM377" s="8" t="s">
        <v>192</v>
      </c>
      <c r="BN377" t="s">
        <v>189</v>
      </c>
      <c r="BO377" t="s">
        <v>190</v>
      </c>
      <c r="BP377" s="35" t="s">
        <v>718</v>
      </c>
      <c r="BQ377"/>
      <c r="BU377" s="35"/>
      <c r="BV377" s="35"/>
      <c r="BX377"/>
      <c r="CA377" s="35"/>
      <c r="CB377" s="35"/>
      <c r="CC377"/>
      <c r="CG377" s="35"/>
      <c r="CH377" s="35"/>
      <c r="CK377"/>
      <c r="CM377" s="35"/>
      <c r="CN377" s="35"/>
      <c r="CQ377"/>
      <c r="CS377" s="35"/>
      <c r="CT377" s="35"/>
      <c r="CX377"/>
      <c r="CZ377" s="35"/>
      <c r="DD377" s="34"/>
      <c r="DG377" t="s">
        <v>749</v>
      </c>
      <c r="DH377" t="s">
        <v>941</v>
      </c>
      <c r="DI377" t="s">
        <v>233</v>
      </c>
      <c r="DL377" t="s">
        <v>666</v>
      </c>
      <c r="DM377">
        <v>5</v>
      </c>
      <c r="DN377">
        <v>7</v>
      </c>
      <c r="DO377" t="s">
        <v>750</v>
      </c>
      <c r="DQ377" t="s">
        <v>927</v>
      </c>
      <c r="DR377">
        <v>14</v>
      </c>
      <c r="DS377">
        <v>0</v>
      </c>
      <c r="DU377">
        <v>14</v>
      </c>
      <c r="DV377">
        <v>0</v>
      </c>
      <c r="DX377">
        <v>14</v>
      </c>
      <c r="DY377">
        <v>0</v>
      </c>
      <c r="DZ377" t="s">
        <v>246</v>
      </c>
      <c r="EA377" t="s">
        <v>929</v>
      </c>
    </row>
    <row r="378" spans="1:131" x14ac:dyDescent="0.4">
      <c r="A378" s="34">
        <v>43067.305104166669</v>
      </c>
      <c r="B378" s="25">
        <v>42934.453472222223</v>
      </c>
      <c r="D378" s="34"/>
      <c r="E378" s="34" t="s">
        <v>193</v>
      </c>
      <c r="F378" s="34" t="s">
        <v>191</v>
      </c>
      <c r="G378" s="34" t="s">
        <v>100</v>
      </c>
      <c r="H378" t="s">
        <v>279</v>
      </c>
      <c r="I378" t="s">
        <v>243</v>
      </c>
      <c r="J378" t="s">
        <v>712</v>
      </c>
      <c r="K378" t="s">
        <v>729</v>
      </c>
      <c r="L378" t="s">
        <v>711</v>
      </c>
      <c r="M378" s="30">
        <v>2.1</v>
      </c>
      <c r="N378">
        <v>6.5</v>
      </c>
      <c r="P378" s="24" t="str">
        <f>IFERROR(MID(RADataTable[[#This Row],[RATemplate]],1,LEN(RADataTable[[#This Row],[RATemplate]])-8),"RA") &amp; " " &amp; RADataTable[[#This Row],[prop_id0]] &amp; " " &amp; RADataTable[[#This Row],[last0]]</f>
        <v>RA 1749678 Im</v>
      </c>
      <c r="T378">
        <v>4</v>
      </c>
      <c r="U378">
        <v>4</v>
      </c>
      <c r="V378" s="34">
        <v>43032.518055555556</v>
      </c>
      <c r="W378">
        <v>1</v>
      </c>
      <c r="X378" s="15" t="str">
        <f>HYPERLINK("https://www.ejacket.nsf.gov/ej/showProposal.do?Continue=Y&amp;ID="&amp;RADataTable[[#This Row],[prop_id0]],"eJ")</f>
        <v>eJ</v>
      </c>
      <c r="Y378" s="15" t="str">
        <f>HYPERLINK("mailto:"&amp;RADataTable[[#This Row],[email]]&amp;"&amp;subject=Your NSF Proposal:  "&amp;RADataTable[[#This Row],[Div]]&amp;" "&amp;RADataTable[[#This Row],[prop_id0]], RADataTable[[#This Row],[email]])</f>
        <v>sim3@ucmerced.edu</v>
      </c>
      <c r="Z378" s="15" t="str">
        <f>HYPERLINK("mailto:"&amp;RADataTable[[#This Row],[allPIemail]]&amp;"&amp;subject=NSF Proposal:  "&amp;RADataTable[[#This Row],[Div]]&amp;" "&amp;RADataTable[[#This Row],[prop_id0]], "PIs@")</f>
        <v>PIs@</v>
      </c>
      <c r="AA378" t="s">
        <v>245</v>
      </c>
      <c r="AB378" t="s">
        <v>666</v>
      </c>
      <c r="AC378" s="30" t="s">
        <v>746</v>
      </c>
      <c r="AD378" t="s">
        <v>747</v>
      </c>
      <c r="AE378" t="s">
        <v>748</v>
      </c>
      <c r="AF378" s="36">
        <v>514477</v>
      </c>
      <c r="AG378" s="36">
        <v>514477</v>
      </c>
      <c r="AH378" s="24"/>
      <c r="AJ378" s="34"/>
      <c r="AK378" t="s">
        <v>923</v>
      </c>
      <c r="AL378" t="s">
        <v>232</v>
      </c>
      <c r="AM378" s="34" t="s">
        <v>925</v>
      </c>
      <c r="AN378" s="34">
        <v>43032</v>
      </c>
      <c r="AO378" s="24">
        <v>10</v>
      </c>
      <c r="AP378" t="s">
        <v>940</v>
      </c>
      <c r="AR378" s="35"/>
      <c r="AS378"/>
      <c r="AT378" s="34"/>
      <c r="AV378" s="34"/>
      <c r="AX378" s="34"/>
      <c r="AY378"/>
      <c r="BA378" s="34"/>
      <c r="BB378"/>
      <c r="BC378" t="s">
        <v>751</v>
      </c>
      <c r="BD378" s="36">
        <v>514477</v>
      </c>
      <c r="BE378" s="36">
        <v>514477</v>
      </c>
      <c r="BF378">
        <v>0</v>
      </c>
      <c r="BG378" s="34">
        <v>43282</v>
      </c>
      <c r="BH378">
        <v>60</v>
      </c>
      <c r="BI378" t="s">
        <v>283</v>
      </c>
      <c r="BJ378" t="s">
        <v>928</v>
      </c>
      <c r="BK378" t="s">
        <v>934</v>
      </c>
      <c r="BL378" t="s">
        <v>194</v>
      </c>
      <c r="BM378" s="8" t="s">
        <v>192</v>
      </c>
      <c r="BN378" t="s">
        <v>189</v>
      </c>
      <c r="BO378" t="s">
        <v>190</v>
      </c>
      <c r="BP378" s="35" t="s">
        <v>718</v>
      </c>
      <c r="BQ378"/>
      <c r="BU378" s="35"/>
      <c r="BV378" s="35"/>
      <c r="BX378"/>
      <c r="CA378" s="35"/>
      <c r="CB378" s="35"/>
      <c r="CC378"/>
      <c r="CG378" s="35"/>
      <c r="CH378" s="35"/>
      <c r="CK378"/>
      <c r="CM378" s="35"/>
      <c r="CN378" s="35"/>
      <c r="CQ378"/>
      <c r="CS378" s="35"/>
      <c r="CT378" s="35"/>
      <c r="CX378"/>
      <c r="CZ378" s="35"/>
      <c r="DD378" s="34"/>
      <c r="DG378" t="s">
        <v>749</v>
      </c>
      <c r="DH378" t="s">
        <v>941</v>
      </c>
      <c r="DI378" t="s">
        <v>233</v>
      </c>
      <c r="DL378" t="s">
        <v>666</v>
      </c>
      <c r="DM378">
        <v>5</v>
      </c>
      <c r="DN378">
        <v>7</v>
      </c>
      <c r="DO378" t="s">
        <v>750</v>
      </c>
      <c r="DQ378" t="s">
        <v>927</v>
      </c>
      <c r="DR378">
        <v>14</v>
      </c>
      <c r="DS378">
        <v>0</v>
      </c>
      <c r="DU378">
        <v>14</v>
      </c>
      <c r="DV378">
        <v>0</v>
      </c>
      <c r="DX378">
        <v>14</v>
      </c>
      <c r="DY378">
        <v>0</v>
      </c>
      <c r="DZ378" t="s">
        <v>246</v>
      </c>
      <c r="EA378" t="s">
        <v>929</v>
      </c>
    </row>
    <row r="379" spans="1:131" x14ac:dyDescent="0.4">
      <c r="A379" s="34">
        <v>43067.305104166669</v>
      </c>
      <c r="B379" s="25">
        <v>42934.453472222223</v>
      </c>
      <c r="D379" s="34"/>
      <c r="E379" s="34" t="s">
        <v>193</v>
      </c>
      <c r="F379" s="34" t="s">
        <v>191</v>
      </c>
      <c r="G379" s="34" t="s">
        <v>100</v>
      </c>
      <c r="H379" t="s">
        <v>279</v>
      </c>
      <c r="I379" t="s">
        <v>243</v>
      </c>
      <c r="J379" t="s">
        <v>712</v>
      </c>
      <c r="K379" t="s">
        <v>729</v>
      </c>
      <c r="L379" t="s">
        <v>711</v>
      </c>
      <c r="M379" s="30">
        <v>2.1</v>
      </c>
      <c r="N379">
        <v>6.5</v>
      </c>
      <c r="P379" s="24" t="str">
        <f>IFERROR(MID(RADataTable[[#This Row],[RATemplate]],1,LEN(RADataTable[[#This Row],[RATemplate]])-8),"RA") &amp; " " &amp; RADataTable[[#This Row],[prop_id0]] &amp; " " &amp; RADataTable[[#This Row],[last0]]</f>
        <v>RA 1749678 Im</v>
      </c>
      <c r="T379">
        <v>4</v>
      </c>
      <c r="U379">
        <v>4</v>
      </c>
      <c r="V379" s="34">
        <v>43032.518055555556</v>
      </c>
      <c r="W379">
        <v>1</v>
      </c>
      <c r="X379" s="15" t="str">
        <f>HYPERLINK("https://www.ejacket.nsf.gov/ej/showProposal.do?Continue=Y&amp;ID="&amp;RADataTable[[#This Row],[prop_id0]],"eJ")</f>
        <v>eJ</v>
      </c>
      <c r="Y379" s="15" t="str">
        <f>HYPERLINK("mailto:"&amp;RADataTable[[#This Row],[email]]&amp;"&amp;subject=Your NSF Proposal:  "&amp;RADataTable[[#This Row],[Div]]&amp;" "&amp;RADataTable[[#This Row],[prop_id0]], RADataTable[[#This Row],[email]])</f>
        <v>sim3@ucmerced.edu</v>
      </c>
      <c r="Z379" s="15" t="str">
        <f>HYPERLINK("mailto:"&amp;RADataTable[[#This Row],[allPIemail]]&amp;"&amp;subject=NSF Proposal:  "&amp;RADataTable[[#This Row],[Div]]&amp;" "&amp;RADataTable[[#This Row],[prop_id0]], "PIs@")</f>
        <v>PIs@</v>
      </c>
      <c r="AA379" t="s">
        <v>245</v>
      </c>
      <c r="AB379" t="s">
        <v>666</v>
      </c>
      <c r="AC379" s="30" t="s">
        <v>746</v>
      </c>
      <c r="AD379" t="s">
        <v>747</v>
      </c>
      <c r="AE379" t="s">
        <v>748</v>
      </c>
      <c r="AF379" s="36">
        <v>514477</v>
      </c>
      <c r="AG379" s="36">
        <v>514477</v>
      </c>
      <c r="AH379" s="24"/>
      <c r="AJ379" s="34"/>
      <c r="AK379" t="s">
        <v>923</v>
      </c>
      <c r="AL379" t="s">
        <v>232</v>
      </c>
      <c r="AM379" s="34" t="s">
        <v>925</v>
      </c>
      <c r="AN379" s="34">
        <v>43032</v>
      </c>
      <c r="AO379" s="24">
        <v>10</v>
      </c>
      <c r="AP379" t="s">
        <v>940</v>
      </c>
      <c r="AR379" s="35"/>
      <c r="AS379"/>
      <c r="AT379" s="34"/>
      <c r="AV379" s="34"/>
      <c r="AX379" s="34"/>
      <c r="AY379"/>
      <c r="BA379" s="34"/>
      <c r="BB379"/>
      <c r="BC379" t="s">
        <v>751</v>
      </c>
      <c r="BD379" s="36">
        <v>514477</v>
      </c>
      <c r="BE379" s="36">
        <v>514477</v>
      </c>
      <c r="BF379">
        <v>0</v>
      </c>
      <c r="BG379" s="34">
        <v>43282</v>
      </c>
      <c r="BH379">
        <v>60</v>
      </c>
      <c r="BI379" t="s">
        <v>283</v>
      </c>
      <c r="BJ379" t="s">
        <v>928</v>
      </c>
      <c r="BK379" t="s">
        <v>934</v>
      </c>
      <c r="BL379" t="s">
        <v>194</v>
      </c>
      <c r="BM379" s="8" t="s">
        <v>192</v>
      </c>
      <c r="BN379" t="s">
        <v>189</v>
      </c>
      <c r="BO379" t="s">
        <v>190</v>
      </c>
      <c r="BP379" s="35" t="s">
        <v>718</v>
      </c>
      <c r="BQ379"/>
      <c r="BU379" s="35"/>
      <c r="BV379" s="35"/>
      <c r="BX379"/>
      <c r="CA379" s="35"/>
      <c r="CB379" s="35"/>
      <c r="CC379"/>
      <c r="CG379" s="35"/>
      <c r="CH379" s="35"/>
      <c r="CK379"/>
      <c r="CM379" s="35"/>
      <c r="CN379" s="35"/>
      <c r="CQ379"/>
      <c r="CS379" s="35"/>
      <c r="CT379" s="35"/>
      <c r="CX379"/>
      <c r="CZ379" s="35"/>
      <c r="DD379" s="34"/>
      <c r="DG379" t="s">
        <v>749</v>
      </c>
      <c r="DH379" t="s">
        <v>941</v>
      </c>
      <c r="DI379" t="s">
        <v>233</v>
      </c>
      <c r="DL379" t="s">
        <v>666</v>
      </c>
      <c r="DM379">
        <v>5</v>
      </c>
      <c r="DN379">
        <v>7</v>
      </c>
      <c r="DO379" t="s">
        <v>750</v>
      </c>
      <c r="DQ379" t="s">
        <v>927</v>
      </c>
      <c r="DR379">
        <v>14</v>
      </c>
      <c r="DS379">
        <v>0</v>
      </c>
      <c r="DU379">
        <v>14</v>
      </c>
      <c r="DV379">
        <v>0</v>
      </c>
      <c r="DX379">
        <v>14</v>
      </c>
      <c r="DY379">
        <v>0</v>
      </c>
      <c r="DZ379" t="s">
        <v>246</v>
      </c>
      <c r="EA379" t="s">
        <v>929</v>
      </c>
    </row>
    <row r="380" spans="1:131" x14ac:dyDescent="0.4">
      <c r="A380" s="34">
        <v>43067.305104166669</v>
      </c>
      <c r="B380" s="25">
        <v>42934.453472222223</v>
      </c>
      <c r="D380" s="34"/>
      <c r="E380" s="34" t="s">
        <v>193</v>
      </c>
      <c r="F380" s="34" t="s">
        <v>191</v>
      </c>
      <c r="G380" s="34" t="s">
        <v>100</v>
      </c>
      <c r="H380" t="s">
        <v>279</v>
      </c>
      <c r="I380" t="s">
        <v>243</v>
      </c>
      <c r="J380" t="s">
        <v>712</v>
      </c>
      <c r="K380" t="s">
        <v>729</v>
      </c>
      <c r="L380" t="s">
        <v>711</v>
      </c>
      <c r="M380" s="30">
        <v>2.1</v>
      </c>
      <c r="N380">
        <v>6.5</v>
      </c>
      <c r="P380" s="24" t="str">
        <f>IFERROR(MID(RADataTable[[#This Row],[RATemplate]],1,LEN(RADataTable[[#This Row],[RATemplate]])-8),"RA") &amp; " " &amp; RADataTable[[#This Row],[prop_id0]] &amp; " " &amp; RADataTable[[#This Row],[last0]]</f>
        <v>RA 1749678 Im</v>
      </c>
      <c r="T380">
        <v>4</v>
      </c>
      <c r="U380">
        <v>4</v>
      </c>
      <c r="V380" s="34">
        <v>43032.518055555556</v>
      </c>
      <c r="W380">
        <v>1</v>
      </c>
      <c r="X380" s="15" t="str">
        <f>HYPERLINK("https://www.ejacket.nsf.gov/ej/showProposal.do?Continue=Y&amp;ID="&amp;RADataTable[[#This Row],[prop_id0]],"eJ")</f>
        <v>eJ</v>
      </c>
      <c r="Y380" s="15" t="str">
        <f>HYPERLINK("mailto:"&amp;RADataTable[[#This Row],[email]]&amp;"&amp;subject=Your NSF Proposal:  "&amp;RADataTable[[#This Row],[Div]]&amp;" "&amp;RADataTable[[#This Row],[prop_id0]], RADataTable[[#This Row],[email]])</f>
        <v>sim3@ucmerced.edu</v>
      </c>
      <c r="Z380" s="15" t="str">
        <f>HYPERLINK("mailto:"&amp;RADataTable[[#This Row],[allPIemail]]&amp;"&amp;subject=NSF Proposal:  "&amp;RADataTable[[#This Row],[Div]]&amp;" "&amp;RADataTable[[#This Row],[prop_id0]], "PIs@")</f>
        <v>PIs@</v>
      </c>
      <c r="AA380" t="s">
        <v>245</v>
      </c>
      <c r="AB380" t="s">
        <v>666</v>
      </c>
      <c r="AC380" s="30" t="s">
        <v>746</v>
      </c>
      <c r="AD380" t="s">
        <v>747</v>
      </c>
      <c r="AE380" t="s">
        <v>748</v>
      </c>
      <c r="AF380" s="36">
        <v>514477</v>
      </c>
      <c r="AG380" s="36">
        <v>514477</v>
      </c>
      <c r="AH380" s="24"/>
      <c r="AJ380" s="34"/>
      <c r="AK380" t="s">
        <v>923</v>
      </c>
      <c r="AL380" t="s">
        <v>232</v>
      </c>
      <c r="AM380" s="34" t="s">
        <v>925</v>
      </c>
      <c r="AN380" s="34">
        <v>43032</v>
      </c>
      <c r="AO380" s="24">
        <v>10</v>
      </c>
      <c r="AP380" t="s">
        <v>940</v>
      </c>
      <c r="AR380" s="35"/>
      <c r="AS380"/>
      <c r="AT380" s="34"/>
      <c r="AV380" s="34"/>
      <c r="AX380" s="34"/>
      <c r="AY380"/>
      <c r="BA380" s="34"/>
      <c r="BB380"/>
      <c r="BC380" t="s">
        <v>751</v>
      </c>
      <c r="BD380" s="36">
        <v>514477</v>
      </c>
      <c r="BE380" s="36">
        <v>514477</v>
      </c>
      <c r="BF380">
        <v>0</v>
      </c>
      <c r="BG380" s="34">
        <v>43282</v>
      </c>
      <c r="BH380">
        <v>60</v>
      </c>
      <c r="BI380" t="s">
        <v>283</v>
      </c>
      <c r="BJ380" t="s">
        <v>928</v>
      </c>
      <c r="BK380" t="s">
        <v>934</v>
      </c>
      <c r="BL380" t="s">
        <v>194</v>
      </c>
      <c r="BM380" s="8" t="s">
        <v>192</v>
      </c>
      <c r="BN380" t="s">
        <v>189</v>
      </c>
      <c r="BO380" t="s">
        <v>190</v>
      </c>
      <c r="BP380" s="35" t="s">
        <v>718</v>
      </c>
      <c r="BQ380"/>
      <c r="BU380" s="35"/>
      <c r="BV380" s="35"/>
      <c r="BX380"/>
      <c r="CA380" s="35"/>
      <c r="CB380" s="35"/>
      <c r="CC380"/>
      <c r="CG380" s="35"/>
      <c r="CH380" s="35"/>
      <c r="CK380"/>
      <c r="CM380" s="35"/>
      <c r="CN380" s="35"/>
      <c r="CQ380"/>
      <c r="CS380" s="35"/>
      <c r="CT380" s="35"/>
      <c r="CX380"/>
      <c r="CZ380" s="35"/>
      <c r="DD380" s="34"/>
      <c r="DG380" t="s">
        <v>749</v>
      </c>
      <c r="DH380" t="s">
        <v>941</v>
      </c>
      <c r="DI380" t="s">
        <v>233</v>
      </c>
      <c r="DL380" t="s">
        <v>666</v>
      </c>
      <c r="DM380">
        <v>5</v>
      </c>
      <c r="DN380">
        <v>7</v>
      </c>
      <c r="DO380" t="s">
        <v>750</v>
      </c>
      <c r="DQ380" t="s">
        <v>927</v>
      </c>
      <c r="DR380">
        <v>14</v>
      </c>
      <c r="DS380">
        <v>0</v>
      </c>
      <c r="DU380">
        <v>14</v>
      </c>
      <c r="DV380">
        <v>0</v>
      </c>
      <c r="DX380">
        <v>14</v>
      </c>
      <c r="DY380">
        <v>0</v>
      </c>
      <c r="DZ380" t="s">
        <v>246</v>
      </c>
      <c r="EA380" t="s">
        <v>929</v>
      </c>
    </row>
    <row r="381" spans="1:131" x14ac:dyDescent="0.4">
      <c r="A381" s="34">
        <v>43067.305104166669</v>
      </c>
      <c r="B381" s="25">
        <v>42934.453472222223</v>
      </c>
      <c r="D381" s="34"/>
      <c r="E381" s="34" t="s">
        <v>193</v>
      </c>
      <c r="F381" s="34" t="s">
        <v>191</v>
      </c>
      <c r="G381" s="34" t="s">
        <v>100</v>
      </c>
      <c r="H381" t="s">
        <v>279</v>
      </c>
      <c r="I381" t="s">
        <v>243</v>
      </c>
      <c r="J381" t="s">
        <v>712</v>
      </c>
      <c r="K381" t="s">
        <v>729</v>
      </c>
      <c r="L381" t="s">
        <v>711</v>
      </c>
      <c r="M381" s="30">
        <v>2.1</v>
      </c>
      <c r="N381">
        <v>6.5</v>
      </c>
      <c r="P381" s="24" t="str">
        <f>IFERROR(MID(RADataTable[[#This Row],[RATemplate]],1,LEN(RADataTable[[#This Row],[RATemplate]])-8),"RA") &amp; " " &amp; RADataTable[[#This Row],[prop_id0]] &amp; " " &amp; RADataTable[[#This Row],[last0]]</f>
        <v>RA 1749678 Im</v>
      </c>
      <c r="T381">
        <v>4</v>
      </c>
      <c r="U381">
        <v>4</v>
      </c>
      <c r="V381" s="34">
        <v>43032.518055555556</v>
      </c>
      <c r="W381">
        <v>1</v>
      </c>
      <c r="X381" s="15" t="str">
        <f>HYPERLINK("https://www.ejacket.nsf.gov/ej/showProposal.do?Continue=Y&amp;ID="&amp;RADataTable[[#This Row],[prop_id0]],"eJ")</f>
        <v>eJ</v>
      </c>
      <c r="Y381" s="15" t="str">
        <f>HYPERLINK("mailto:"&amp;RADataTable[[#This Row],[email]]&amp;"&amp;subject=Your NSF Proposal:  "&amp;RADataTable[[#This Row],[Div]]&amp;" "&amp;RADataTable[[#This Row],[prop_id0]], RADataTable[[#This Row],[email]])</f>
        <v>sim3@ucmerced.edu</v>
      </c>
      <c r="Z381" s="15" t="str">
        <f>HYPERLINK("mailto:"&amp;RADataTable[[#This Row],[allPIemail]]&amp;"&amp;subject=NSF Proposal:  "&amp;RADataTable[[#This Row],[Div]]&amp;" "&amp;RADataTable[[#This Row],[prop_id0]], "PIs@")</f>
        <v>PIs@</v>
      </c>
      <c r="AA381" t="s">
        <v>245</v>
      </c>
      <c r="AB381" t="s">
        <v>666</v>
      </c>
      <c r="AC381" s="30" t="s">
        <v>746</v>
      </c>
      <c r="AD381" t="s">
        <v>747</v>
      </c>
      <c r="AE381" t="s">
        <v>748</v>
      </c>
      <c r="AF381" s="36">
        <v>514477</v>
      </c>
      <c r="AG381" s="36">
        <v>514477</v>
      </c>
      <c r="AH381" s="24"/>
      <c r="AJ381" s="34"/>
      <c r="AK381" t="s">
        <v>923</v>
      </c>
      <c r="AL381" t="s">
        <v>232</v>
      </c>
      <c r="AM381" s="34" t="s">
        <v>925</v>
      </c>
      <c r="AN381" s="34">
        <v>43032</v>
      </c>
      <c r="AO381" s="24">
        <v>10</v>
      </c>
      <c r="AP381" t="s">
        <v>940</v>
      </c>
      <c r="AR381" s="35"/>
      <c r="AS381"/>
      <c r="AT381" s="34"/>
      <c r="AV381" s="34"/>
      <c r="AX381" s="34"/>
      <c r="AY381"/>
      <c r="BA381" s="34"/>
      <c r="BB381"/>
      <c r="BC381" t="s">
        <v>751</v>
      </c>
      <c r="BD381" s="36">
        <v>514477</v>
      </c>
      <c r="BE381" s="36">
        <v>514477</v>
      </c>
      <c r="BF381">
        <v>0</v>
      </c>
      <c r="BG381" s="34">
        <v>43282</v>
      </c>
      <c r="BH381">
        <v>60</v>
      </c>
      <c r="BI381" t="s">
        <v>283</v>
      </c>
      <c r="BJ381" t="s">
        <v>928</v>
      </c>
      <c r="BK381" t="s">
        <v>934</v>
      </c>
      <c r="BL381" t="s">
        <v>194</v>
      </c>
      <c r="BM381" s="8" t="s">
        <v>192</v>
      </c>
      <c r="BN381" t="s">
        <v>189</v>
      </c>
      <c r="BO381" t="s">
        <v>190</v>
      </c>
      <c r="BP381" s="35" t="s">
        <v>718</v>
      </c>
      <c r="BQ381"/>
      <c r="BU381" s="35"/>
      <c r="BV381" s="35"/>
      <c r="BX381"/>
      <c r="CA381" s="35"/>
      <c r="CB381" s="35"/>
      <c r="CC381"/>
      <c r="CG381" s="35"/>
      <c r="CH381" s="35"/>
      <c r="CK381"/>
      <c r="CM381" s="35"/>
      <c r="CN381" s="35"/>
      <c r="CQ381"/>
      <c r="CS381" s="35"/>
      <c r="CT381" s="35"/>
      <c r="CX381"/>
      <c r="CZ381" s="35"/>
      <c r="DD381" s="34"/>
      <c r="DG381" t="s">
        <v>749</v>
      </c>
      <c r="DH381" t="s">
        <v>941</v>
      </c>
      <c r="DI381" t="s">
        <v>233</v>
      </c>
      <c r="DL381" t="s">
        <v>666</v>
      </c>
      <c r="DM381">
        <v>5</v>
      </c>
      <c r="DN381">
        <v>7</v>
      </c>
      <c r="DO381" t="s">
        <v>750</v>
      </c>
      <c r="DQ381" t="s">
        <v>927</v>
      </c>
      <c r="DR381">
        <v>14</v>
      </c>
      <c r="DS381">
        <v>0</v>
      </c>
      <c r="DU381">
        <v>14</v>
      </c>
      <c r="DV381">
        <v>0</v>
      </c>
      <c r="DX381">
        <v>14</v>
      </c>
      <c r="DY381">
        <v>0</v>
      </c>
      <c r="DZ381" t="s">
        <v>246</v>
      </c>
      <c r="EA381" t="s">
        <v>929</v>
      </c>
    </row>
    <row r="382" spans="1:131" x14ac:dyDescent="0.4">
      <c r="A382" s="34">
        <v>43067.305104166669</v>
      </c>
      <c r="B382" s="25">
        <v>42934.453472222223</v>
      </c>
      <c r="D382" s="34"/>
      <c r="E382" s="34" t="s">
        <v>193</v>
      </c>
      <c r="F382" s="34" t="s">
        <v>191</v>
      </c>
      <c r="G382" s="34" t="s">
        <v>100</v>
      </c>
      <c r="H382" t="s">
        <v>279</v>
      </c>
      <c r="I382" t="s">
        <v>243</v>
      </c>
      <c r="J382" t="s">
        <v>712</v>
      </c>
      <c r="K382" t="s">
        <v>729</v>
      </c>
      <c r="L382" t="s">
        <v>711</v>
      </c>
      <c r="M382" s="30">
        <v>2.1</v>
      </c>
      <c r="N382">
        <v>6.5</v>
      </c>
      <c r="P382" s="24" t="str">
        <f>IFERROR(MID(RADataTable[[#This Row],[RATemplate]],1,LEN(RADataTable[[#This Row],[RATemplate]])-8),"RA") &amp; " " &amp; RADataTable[[#This Row],[prop_id0]] &amp; " " &amp; RADataTable[[#This Row],[last0]]</f>
        <v>RA 1749678 Im</v>
      </c>
      <c r="T382">
        <v>4</v>
      </c>
      <c r="U382">
        <v>4</v>
      </c>
      <c r="V382" s="34">
        <v>43032.518055555556</v>
      </c>
      <c r="W382">
        <v>1</v>
      </c>
      <c r="X382" s="15" t="str">
        <f>HYPERLINK("https://www.ejacket.nsf.gov/ej/showProposal.do?Continue=Y&amp;ID="&amp;RADataTable[[#This Row],[prop_id0]],"eJ")</f>
        <v>eJ</v>
      </c>
      <c r="Y382" s="15" t="str">
        <f>HYPERLINK("mailto:"&amp;RADataTable[[#This Row],[email]]&amp;"&amp;subject=Your NSF Proposal:  "&amp;RADataTable[[#This Row],[Div]]&amp;" "&amp;RADataTable[[#This Row],[prop_id0]], RADataTable[[#This Row],[email]])</f>
        <v>sim3@ucmerced.edu</v>
      </c>
      <c r="Z382" s="15" t="str">
        <f>HYPERLINK("mailto:"&amp;RADataTable[[#This Row],[allPIemail]]&amp;"&amp;subject=NSF Proposal:  "&amp;RADataTable[[#This Row],[Div]]&amp;" "&amp;RADataTable[[#This Row],[prop_id0]], "PIs@")</f>
        <v>PIs@</v>
      </c>
      <c r="AA382" t="s">
        <v>245</v>
      </c>
      <c r="AB382" t="s">
        <v>666</v>
      </c>
      <c r="AC382" s="30" t="s">
        <v>746</v>
      </c>
      <c r="AD382" t="s">
        <v>747</v>
      </c>
      <c r="AE382" t="s">
        <v>748</v>
      </c>
      <c r="AF382" s="36">
        <v>514477</v>
      </c>
      <c r="AG382" s="36">
        <v>514477</v>
      </c>
      <c r="AH382" s="24"/>
      <c r="AJ382" s="34"/>
      <c r="AK382" t="s">
        <v>923</v>
      </c>
      <c r="AL382" t="s">
        <v>232</v>
      </c>
      <c r="AM382" s="34" t="s">
        <v>925</v>
      </c>
      <c r="AN382" s="34">
        <v>43032</v>
      </c>
      <c r="AO382" s="24">
        <v>10</v>
      </c>
      <c r="AP382" t="s">
        <v>940</v>
      </c>
      <c r="AR382" s="35"/>
      <c r="AS382"/>
      <c r="AT382" s="34"/>
      <c r="AV382" s="34"/>
      <c r="AX382" s="34"/>
      <c r="AY382"/>
      <c r="BA382" s="34"/>
      <c r="BB382"/>
      <c r="BC382" t="s">
        <v>751</v>
      </c>
      <c r="BD382" s="36">
        <v>514477</v>
      </c>
      <c r="BE382" s="36">
        <v>514477</v>
      </c>
      <c r="BF382">
        <v>0</v>
      </c>
      <c r="BG382" s="34">
        <v>43282</v>
      </c>
      <c r="BH382">
        <v>60</v>
      </c>
      <c r="BI382" t="s">
        <v>283</v>
      </c>
      <c r="BJ382" t="s">
        <v>928</v>
      </c>
      <c r="BK382" t="s">
        <v>934</v>
      </c>
      <c r="BL382" t="s">
        <v>194</v>
      </c>
      <c r="BM382" s="8" t="s">
        <v>192</v>
      </c>
      <c r="BN382" t="s">
        <v>189</v>
      </c>
      <c r="BO382" t="s">
        <v>190</v>
      </c>
      <c r="BP382" s="35" t="s">
        <v>718</v>
      </c>
      <c r="BQ382"/>
      <c r="BU382" s="35"/>
      <c r="BV382" s="35"/>
      <c r="BX382"/>
      <c r="CA382" s="35"/>
      <c r="CB382" s="35"/>
      <c r="CC382"/>
      <c r="CG382" s="35"/>
      <c r="CH382" s="35"/>
      <c r="CK382"/>
      <c r="CM382" s="35"/>
      <c r="CN382" s="35"/>
      <c r="CQ382"/>
      <c r="CS382" s="35"/>
      <c r="CT382" s="35"/>
      <c r="CX382"/>
      <c r="CZ382" s="35"/>
      <c r="DD382" s="34"/>
      <c r="DG382" t="s">
        <v>749</v>
      </c>
      <c r="DH382" t="s">
        <v>941</v>
      </c>
      <c r="DI382" t="s">
        <v>233</v>
      </c>
      <c r="DL382" t="s">
        <v>666</v>
      </c>
      <c r="DM382">
        <v>5</v>
      </c>
      <c r="DN382">
        <v>7</v>
      </c>
      <c r="DO382" t="s">
        <v>750</v>
      </c>
      <c r="DQ382" t="s">
        <v>927</v>
      </c>
      <c r="DR382">
        <v>14</v>
      </c>
      <c r="DS382">
        <v>0</v>
      </c>
      <c r="DU382">
        <v>14</v>
      </c>
      <c r="DV382">
        <v>0</v>
      </c>
      <c r="DX382">
        <v>14</v>
      </c>
      <c r="DY382">
        <v>0</v>
      </c>
      <c r="DZ382" t="s">
        <v>246</v>
      </c>
      <c r="EA382" t="s">
        <v>929</v>
      </c>
    </row>
    <row r="383" spans="1:131" x14ac:dyDescent="0.4">
      <c r="A383" s="34">
        <v>43067.305104166669</v>
      </c>
      <c r="B383" s="25">
        <v>42934.453472222223</v>
      </c>
      <c r="D383" s="34"/>
      <c r="E383" s="34" t="s">
        <v>193</v>
      </c>
      <c r="F383" s="34" t="s">
        <v>191</v>
      </c>
      <c r="G383" s="34" t="s">
        <v>100</v>
      </c>
      <c r="H383" t="s">
        <v>279</v>
      </c>
      <c r="I383" t="s">
        <v>243</v>
      </c>
      <c r="J383" t="s">
        <v>712</v>
      </c>
      <c r="K383" t="s">
        <v>729</v>
      </c>
      <c r="L383" t="s">
        <v>711</v>
      </c>
      <c r="M383" s="30">
        <v>2.1</v>
      </c>
      <c r="N383">
        <v>6.5</v>
      </c>
      <c r="P383" s="24" t="str">
        <f>IFERROR(MID(RADataTable[[#This Row],[RATemplate]],1,LEN(RADataTable[[#This Row],[RATemplate]])-8),"RA") &amp; " " &amp; RADataTable[[#This Row],[prop_id0]] &amp; " " &amp; RADataTable[[#This Row],[last0]]</f>
        <v>RA 1749678 Im</v>
      </c>
      <c r="T383">
        <v>4</v>
      </c>
      <c r="U383">
        <v>4</v>
      </c>
      <c r="V383" s="34">
        <v>43032.518055555556</v>
      </c>
      <c r="W383">
        <v>1</v>
      </c>
      <c r="X383" s="15" t="str">
        <f>HYPERLINK("https://www.ejacket.nsf.gov/ej/showProposal.do?Continue=Y&amp;ID="&amp;RADataTable[[#This Row],[prop_id0]],"eJ")</f>
        <v>eJ</v>
      </c>
      <c r="Y383" s="15" t="str">
        <f>HYPERLINK("mailto:"&amp;RADataTable[[#This Row],[email]]&amp;"&amp;subject=Your NSF Proposal:  "&amp;RADataTable[[#This Row],[Div]]&amp;" "&amp;RADataTable[[#This Row],[prop_id0]], RADataTable[[#This Row],[email]])</f>
        <v>sim3@ucmerced.edu</v>
      </c>
      <c r="Z383" s="15" t="str">
        <f>HYPERLINK("mailto:"&amp;RADataTable[[#This Row],[allPIemail]]&amp;"&amp;subject=NSF Proposal:  "&amp;RADataTable[[#This Row],[Div]]&amp;" "&amp;RADataTable[[#This Row],[prop_id0]], "PIs@")</f>
        <v>PIs@</v>
      </c>
      <c r="AA383" t="s">
        <v>245</v>
      </c>
      <c r="AB383" t="s">
        <v>666</v>
      </c>
      <c r="AC383" s="30" t="s">
        <v>746</v>
      </c>
      <c r="AD383" t="s">
        <v>747</v>
      </c>
      <c r="AE383" t="s">
        <v>748</v>
      </c>
      <c r="AF383" s="36">
        <v>514477</v>
      </c>
      <c r="AG383" s="36">
        <v>514477</v>
      </c>
      <c r="AH383" s="24"/>
      <c r="AJ383" s="34"/>
      <c r="AK383" t="s">
        <v>923</v>
      </c>
      <c r="AL383" t="s">
        <v>232</v>
      </c>
      <c r="AM383" s="34" t="s">
        <v>925</v>
      </c>
      <c r="AN383" s="34">
        <v>43032</v>
      </c>
      <c r="AO383" s="24">
        <v>10</v>
      </c>
      <c r="AP383" t="s">
        <v>940</v>
      </c>
      <c r="AR383" s="35"/>
      <c r="AS383"/>
      <c r="AT383" s="34"/>
      <c r="AV383" s="34"/>
      <c r="AX383" s="34"/>
      <c r="AY383"/>
      <c r="BA383" s="34"/>
      <c r="BB383"/>
      <c r="BC383" t="s">
        <v>751</v>
      </c>
      <c r="BD383" s="36">
        <v>514477</v>
      </c>
      <c r="BE383" s="36">
        <v>514477</v>
      </c>
      <c r="BF383">
        <v>0</v>
      </c>
      <c r="BG383" s="34">
        <v>43282</v>
      </c>
      <c r="BH383">
        <v>60</v>
      </c>
      <c r="BI383" t="s">
        <v>283</v>
      </c>
      <c r="BJ383" t="s">
        <v>928</v>
      </c>
      <c r="BK383" t="s">
        <v>934</v>
      </c>
      <c r="BL383" t="s">
        <v>194</v>
      </c>
      <c r="BM383" s="8" t="s">
        <v>192</v>
      </c>
      <c r="BN383" t="s">
        <v>189</v>
      </c>
      <c r="BO383" t="s">
        <v>190</v>
      </c>
      <c r="BP383" s="35" t="s">
        <v>718</v>
      </c>
      <c r="BQ383"/>
      <c r="BU383" s="35"/>
      <c r="BV383" s="35"/>
      <c r="BX383"/>
      <c r="CA383" s="35"/>
      <c r="CB383" s="35"/>
      <c r="CC383"/>
      <c r="CG383" s="35"/>
      <c r="CH383" s="35"/>
      <c r="CK383"/>
      <c r="CM383" s="35"/>
      <c r="CN383" s="35"/>
      <c r="CQ383"/>
      <c r="CS383" s="35"/>
      <c r="CT383" s="35"/>
      <c r="CX383"/>
      <c r="CZ383" s="35"/>
      <c r="DD383" s="34"/>
      <c r="DG383" t="s">
        <v>749</v>
      </c>
      <c r="DH383" t="s">
        <v>941</v>
      </c>
      <c r="DI383" t="s">
        <v>233</v>
      </c>
      <c r="DL383" t="s">
        <v>666</v>
      </c>
      <c r="DM383">
        <v>5</v>
      </c>
      <c r="DN383">
        <v>7</v>
      </c>
      <c r="DO383" t="s">
        <v>750</v>
      </c>
      <c r="DQ383" t="s">
        <v>927</v>
      </c>
      <c r="DR383">
        <v>14</v>
      </c>
      <c r="DS383">
        <v>0</v>
      </c>
      <c r="DU383">
        <v>14</v>
      </c>
      <c r="DV383">
        <v>0</v>
      </c>
      <c r="DX383">
        <v>14</v>
      </c>
      <c r="DY383">
        <v>0</v>
      </c>
      <c r="DZ383" t="s">
        <v>246</v>
      </c>
      <c r="EA383" t="s">
        <v>929</v>
      </c>
    </row>
    <row r="384" spans="1:131" x14ac:dyDescent="0.4">
      <c r="A384" s="34">
        <v>43067.305104166669</v>
      </c>
      <c r="B384" s="25">
        <v>42934.453472222223</v>
      </c>
      <c r="D384" s="34"/>
      <c r="E384" s="34" t="s">
        <v>193</v>
      </c>
      <c r="F384" s="34" t="s">
        <v>191</v>
      </c>
      <c r="G384" s="34" t="s">
        <v>100</v>
      </c>
      <c r="H384" t="s">
        <v>279</v>
      </c>
      <c r="I384" t="s">
        <v>243</v>
      </c>
      <c r="J384" t="s">
        <v>712</v>
      </c>
      <c r="K384" t="s">
        <v>729</v>
      </c>
      <c r="L384" t="s">
        <v>711</v>
      </c>
      <c r="M384" s="30">
        <v>2.1</v>
      </c>
      <c r="N384">
        <v>6.5</v>
      </c>
      <c r="P384" s="24" t="str">
        <f>IFERROR(MID(RADataTable[[#This Row],[RATemplate]],1,LEN(RADataTable[[#This Row],[RATemplate]])-8),"RA") &amp; " " &amp; RADataTable[[#This Row],[prop_id0]] &amp; " " &amp; RADataTable[[#This Row],[last0]]</f>
        <v>RA 1749678 Im</v>
      </c>
      <c r="T384">
        <v>4</v>
      </c>
      <c r="U384">
        <v>4</v>
      </c>
      <c r="V384" s="34">
        <v>43032.518055555556</v>
      </c>
      <c r="W384">
        <v>1</v>
      </c>
      <c r="X384" s="15" t="str">
        <f>HYPERLINK("https://www.ejacket.nsf.gov/ej/showProposal.do?Continue=Y&amp;ID="&amp;RADataTable[[#This Row],[prop_id0]],"eJ")</f>
        <v>eJ</v>
      </c>
      <c r="Y384" s="15" t="str">
        <f>HYPERLINK("mailto:"&amp;RADataTable[[#This Row],[email]]&amp;"&amp;subject=Your NSF Proposal:  "&amp;RADataTable[[#This Row],[Div]]&amp;" "&amp;RADataTable[[#This Row],[prop_id0]], RADataTable[[#This Row],[email]])</f>
        <v>sim3@ucmerced.edu</v>
      </c>
      <c r="Z384" s="15" t="str">
        <f>HYPERLINK("mailto:"&amp;RADataTable[[#This Row],[allPIemail]]&amp;"&amp;subject=NSF Proposal:  "&amp;RADataTable[[#This Row],[Div]]&amp;" "&amp;RADataTable[[#This Row],[prop_id0]], "PIs@")</f>
        <v>PIs@</v>
      </c>
      <c r="AA384" t="s">
        <v>245</v>
      </c>
      <c r="AB384" t="s">
        <v>666</v>
      </c>
      <c r="AC384" s="30" t="s">
        <v>746</v>
      </c>
      <c r="AD384" t="s">
        <v>747</v>
      </c>
      <c r="AE384" t="s">
        <v>748</v>
      </c>
      <c r="AF384" s="36">
        <v>514477</v>
      </c>
      <c r="AG384" s="36">
        <v>514477</v>
      </c>
      <c r="AH384" s="24"/>
      <c r="AJ384" s="34"/>
      <c r="AK384" t="s">
        <v>923</v>
      </c>
      <c r="AL384" t="s">
        <v>232</v>
      </c>
      <c r="AM384" s="34" t="s">
        <v>925</v>
      </c>
      <c r="AN384" s="34">
        <v>43032</v>
      </c>
      <c r="AO384" s="24">
        <v>10</v>
      </c>
      <c r="AP384" t="s">
        <v>940</v>
      </c>
      <c r="AR384" s="35"/>
      <c r="AS384"/>
      <c r="AT384" s="34"/>
      <c r="AV384" s="34"/>
      <c r="AX384" s="34"/>
      <c r="AY384"/>
      <c r="BA384" s="34"/>
      <c r="BB384"/>
      <c r="BC384" t="s">
        <v>751</v>
      </c>
      <c r="BD384" s="36">
        <v>514477</v>
      </c>
      <c r="BE384" s="36">
        <v>514477</v>
      </c>
      <c r="BF384">
        <v>0</v>
      </c>
      <c r="BG384" s="34">
        <v>43282</v>
      </c>
      <c r="BH384">
        <v>60</v>
      </c>
      <c r="BI384" t="s">
        <v>283</v>
      </c>
      <c r="BJ384" t="s">
        <v>928</v>
      </c>
      <c r="BK384" t="s">
        <v>934</v>
      </c>
      <c r="BL384" t="s">
        <v>194</v>
      </c>
      <c r="BM384" s="8" t="s">
        <v>192</v>
      </c>
      <c r="BN384" t="s">
        <v>189</v>
      </c>
      <c r="BO384" t="s">
        <v>190</v>
      </c>
      <c r="BP384" s="35" t="s">
        <v>718</v>
      </c>
      <c r="BQ384"/>
      <c r="BU384" s="35"/>
      <c r="BV384" s="35"/>
      <c r="BX384"/>
      <c r="CA384" s="35"/>
      <c r="CB384" s="35"/>
      <c r="CC384"/>
      <c r="CG384" s="35"/>
      <c r="CH384" s="35"/>
      <c r="CK384"/>
      <c r="CM384" s="35"/>
      <c r="CN384" s="35"/>
      <c r="CQ384"/>
      <c r="CS384" s="35"/>
      <c r="CT384" s="35"/>
      <c r="CX384"/>
      <c r="CZ384" s="35"/>
      <c r="DD384" s="34"/>
      <c r="DG384" t="s">
        <v>749</v>
      </c>
      <c r="DH384" t="s">
        <v>941</v>
      </c>
      <c r="DI384" t="s">
        <v>233</v>
      </c>
      <c r="DL384" t="s">
        <v>666</v>
      </c>
      <c r="DM384">
        <v>5</v>
      </c>
      <c r="DN384">
        <v>7</v>
      </c>
      <c r="DO384" t="s">
        <v>750</v>
      </c>
      <c r="DQ384" t="s">
        <v>927</v>
      </c>
      <c r="DR384">
        <v>14</v>
      </c>
      <c r="DS384">
        <v>0</v>
      </c>
      <c r="DU384">
        <v>14</v>
      </c>
      <c r="DV384">
        <v>0</v>
      </c>
      <c r="DX384">
        <v>14</v>
      </c>
      <c r="DY384">
        <v>0</v>
      </c>
      <c r="DZ384" t="s">
        <v>246</v>
      </c>
      <c r="EA384" t="s">
        <v>929</v>
      </c>
    </row>
    <row r="385" spans="1:131" x14ac:dyDescent="0.4">
      <c r="A385" s="34">
        <v>43067.305104166669</v>
      </c>
      <c r="B385" s="25">
        <v>42934.453472222223</v>
      </c>
      <c r="D385" s="34"/>
      <c r="E385" s="34" t="s">
        <v>193</v>
      </c>
      <c r="F385" s="34" t="s">
        <v>191</v>
      </c>
      <c r="G385" s="34" t="s">
        <v>100</v>
      </c>
      <c r="H385" t="s">
        <v>279</v>
      </c>
      <c r="I385" t="s">
        <v>243</v>
      </c>
      <c r="J385" t="s">
        <v>712</v>
      </c>
      <c r="K385" t="s">
        <v>729</v>
      </c>
      <c r="L385" t="s">
        <v>711</v>
      </c>
      <c r="M385" s="30">
        <v>2.1</v>
      </c>
      <c r="N385">
        <v>6.5</v>
      </c>
      <c r="P385" s="24" t="str">
        <f>IFERROR(MID(RADataTable[[#This Row],[RATemplate]],1,LEN(RADataTable[[#This Row],[RATemplate]])-8),"RA") &amp; " " &amp; RADataTable[[#This Row],[prop_id0]] &amp; " " &amp; RADataTable[[#This Row],[last0]]</f>
        <v>RA 1749678 Im</v>
      </c>
      <c r="T385">
        <v>4</v>
      </c>
      <c r="U385">
        <v>4</v>
      </c>
      <c r="V385" s="34">
        <v>43032.518055555556</v>
      </c>
      <c r="W385">
        <v>1</v>
      </c>
      <c r="X385" s="15" t="str">
        <f>HYPERLINK("https://www.ejacket.nsf.gov/ej/showProposal.do?Continue=Y&amp;ID="&amp;RADataTable[[#This Row],[prop_id0]],"eJ")</f>
        <v>eJ</v>
      </c>
      <c r="Y385" s="15" t="str">
        <f>HYPERLINK("mailto:"&amp;RADataTable[[#This Row],[email]]&amp;"&amp;subject=Your NSF Proposal:  "&amp;RADataTable[[#This Row],[Div]]&amp;" "&amp;RADataTable[[#This Row],[prop_id0]], RADataTable[[#This Row],[email]])</f>
        <v>sim3@ucmerced.edu</v>
      </c>
      <c r="Z385" s="15" t="str">
        <f>HYPERLINK("mailto:"&amp;RADataTable[[#This Row],[allPIemail]]&amp;"&amp;subject=NSF Proposal:  "&amp;RADataTable[[#This Row],[Div]]&amp;" "&amp;RADataTable[[#This Row],[prop_id0]], "PIs@")</f>
        <v>PIs@</v>
      </c>
      <c r="AA385" t="s">
        <v>245</v>
      </c>
      <c r="AB385" t="s">
        <v>666</v>
      </c>
      <c r="AC385" s="30" t="s">
        <v>746</v>
      </c>
      <c r="AD385" t="s">
        <v>747</v>
      </c>
      <c r="AE385" t="s">
        <v>748</v>
      </c>
      <c r="AF385" s="36">
        <v>514477</v>
      </c>
      <c r="AG385" s="36">
        <v>514477</v>
      </c>
      <c r="AH385" s="24"/>
      <c r="AJ385" s="34"/>
      <c r="AK385" t="s">
        <v>923</v>
      </c>
      <c r="AL385" t="s">
        <v>232</v>
      </c>
      <c r="AM385" s="34" t="s">
        <v>925</v>
      </c>
      <c r="AN385" s="34">
        <v>43032</v>
      </c>
      <c r="AO385" s="24">
        <v>10</v>
      </c>
      <c r="AP385" t="s">
        <v>940</v>
      </c>
      <c r="AR385" s="35"/>
      <c r="AS385"/>
      <c r="AT385" s="34"/>
      <c r="AV385" s="34"/>
      <c r="AX385" s="34"/>
      <c r="AY385"/>
      <c r="BA385" s="34"/>
      <c r="BB385"/>
      <c r="BC385" t="s">
        <v>751</v>
      </c>
      <c r="BD385" s="36">
        <v>514477</v>
      </c>
      <c r="BE385" s="36">
        <v>514477</v>
      </c>
      <c r="BF385">
        <v>0</v>
      </c>
      <c r="BG385" s="34">
        <v>43282</v>
      </c>
      <c r="BH385">
        <v>60</v>
      </c>
      <c r="BI385" t="s">
        <v>283</v>
      </c>
      <c r="BJ385" t="s">
        <v>928</v>
      </c>
      <c r="BK385" t="s">
        <v>934</v>
      </c>
      <c r="BL385" t="s">
        <v>194</v>
      </c>
      <c r="BM385" s="8" t="s">
        <v>192</v>
      </c>
      <c r="BN385" t="s">
        <v>189</v>
      </c>
      <c r="BO385" t="s">
        <v>190</v>
      </c>
      <c r="BP385" s="35" t="s">
        <v>718</v>
      </c>
      <c r="BQ385"/>
      <c r="BU385" s="35"/>
      <c r="BV385" s="35"/>
      <c r="BX385"/>
      <c r="CA385" s="35"/>
      <c r="CB385" s="35"/>
      <c r="CC385"/>
      <c r="CG385" s="35"/>
      <c r="CH385" s="35"/>
      <c r="CK385"/>
      <c r="CM385" s="35"/>
      <c r="CN385" s="35"/>
      <c r="CQ385"/>
      <c r="CS385" s="35"/>
      <c r="CT385" s="35"/>
      <c r="CX385"/>
      <c r="CZ385" s="35"/>
      <c r="DD385" s="34"/>
      <c r="DG385" t="s">
        <v>749</v>
      </c>
      <c r="DH385" t="s">
        <v>941</v>
      </c>
      <c r="DI385" t="s">
        <v>233</v>
      </c>
      <c r="DL385" t="s">
        <v>666</v>
      </c>
      <c r="DM385">
        <v>5</v>
      </c>
      <c r="DN385">
        <v>7</v>
      </c>
      <c r="DO385" t="s">
        <v>750</v>
      </c>
      <c r="DQ385" t="s">
        <v>927</v>
      </c>
      <c r="DR385">
        <v>14</v>
      </c>
      <c r="DS385">
        <v>0</v>
      </c>
      <c r="DU385">
        <v>14</v>
      </c>
      <c r="DV385">
        <v>0</v>
      </c>
      <c r="DX385">
        <v>14</v>
      </c>
      <c r="DY385">
        <v>0</v>
      </c>
      <c r="DZ385" t="s">
        <v>246</v>
      </c>
      <c r="EA385" t="s">
        <v>929</v>
      </c>
    </row>
    <row r="386" spans="1:131" x14ac:dyDescent="0.4">
      <c r="A386" s="34">
        <v>43067.305104166669</v>
      </c>
      <c r="B386" s="25">
        <v>42934.453472222223</v>
      </c>
      <c r="D386" s="34"/>
      <c r="E386" s="34" t="s">
        <v>193</v>
      </c>
      <c r="F386" s="34" t="s">
        <v>191</v>
      </c>
      <c r="G386" s="34" t="s">
        <v>100</v>
      </c>
      <c r="H386" t="s">
        <v>279</v>
      </c>
      <c r="I386" t="s">
        <v>243</v>
      </c>
      <c r="J386" t="s">
        <v>712</v>
      </c>
      <c r="K386" t="s">
        <v>729</v>
      </c>
      <c r="L386" t="s">
        <v>711</v>
      </c>
      <c r="M386" s="30">
        <v>2.1</v>
      </c>
      <c r="N386">
        <v>6.5</v>
      </c>
      <c r="P386" s="24" t="str">
        <f>IFERROR(MID(RADataTable[[#This Row],[RATemplate]],1,LEN(RADataTable[[#This Row],[RATemplate]])-8),"RA") &amp; " " &amp; RADataTable[[#This Row],[prop_id0]] &amp; " " &amp; RADataTable[[#This Row],[last0]]</f>
        <v>RA 1749678 Im</v>
      </c>
      <c r="T386">
        <v>4</v>
      </c>
      <c r="U386">
        <v>4</v>
      </c>
      <c r="V386" s="34">
        <v>43032.518055555556</v>
      </c>
      <c r="W386">
        <v>1</v>
      </c>
      <c r="X386" s="15" t="str">
        <f>HYPERLINK("https://www.ejacket.nsf.gov/ej/showProposal.do?Continue=Y&amp;ID="&amp;RADataTable[[#This Row],[prop_id0]],"eJ")</f>
        <v>eJ</v>
      </c>
      <c r="Y386" s="15" t="str">
        <f>HYPERLINK("mailto:"&amp;RADataTable[[#This Row],[email]]&amp;"&amp;subject=Your NSF Proposal:  "&amp;RADataTable[[#This Row],[Div]]&amp;" "&amp;RADataTable[[#This Row],[prop_id0]], RADataTable[[#This Row],[email]])</f>
        <v>sim3@ucmerced.edu</v>
      </c>
      <c r="Z386" s="15" t="str">
        <f>HYPERLINK("mailto:"&amp;RADataTable[[#This Row],[allPIemail]]&amp;"&amp;subject=NSF Proposal:  "&amp;RADataTable[[#This Row],[Div]]&amp;" "&amp;RADataTable[[#This Row],[prop_id0]], "PIs@")</f>
        <v>PIs@</v>
      </c>
      <c r="AA386" t="s">
        <v>245</v>
      </c>
      <c r="AB386" t="s">
        <v>666</v>
      </c>
      <c r="AC386" s="30" t="s">
        <v>746</v>
      </c>
      <c r="AD386" t="s">
        <v>747</v>
      </c>
      <c r="AE386" t="s">
        <v>748</v>
      </c>
      <c r="AF386" s="36">
        <v>514477</v>
      </c>
      <c r="AG386" s="36">
        <v>514477</v>
      </c>
      <c r="AH386" s="24"/>
      <c r="AJ386" s="34"/>
      <c r="AK386" t="s">
        <v>923</v>
      </c>
      <c r="AL386" t="s">
        <v>232</v>
      </c>
      <c r="AM386" s="34" t="s">
        <v>925</v>
      </c>
      <c r="AN386" s="34">
        <v>43032</v>
      </c>
      <c r="AO386" s="24">
        <v>10</v>
      </c>
      <c r="AP386" t="s">
        <v>940</v>
      </c>
      <c r="AR386" s="35"/>
      <c r="AS386"/>
      <c r="AT386" s="34"/>
      <c r="AV386" s="34"/>
      <c r="AX386" s="34"/>
      <c r="AY386"/>
      <c r="BA386" s="34"/>
      <c r="BB386"/>
      <c r="BC386" t="s">
        <v>751</v>
      </c>
      <c r="BD386" s="36">
        <v>514477</v>
      </c>
      <c r="BE386" s="36">
        <v>514477</v>
      </c>
      <c r="BF386">
        <v>0</v>
      </c>
      <c r="BG386" s="34">
        <v>43282</v>
      </c>
      <c r="BH386">
        <v>60</v>
      </c>
      <c r="BI386" t="s">
        <v>283</v>
      </c>
      <c r="BJ386" t="s">
        <v>928</v>
      </c>
      <c r="BK386" t="s">
        <v>934</v>
      </c>
      <c r="BL386" t="s">
        <v>194</v>
      </c>
      <c r="BM386" s="8" t="s">
        <v>192</v>
      </c>
      <c r="BN386" t="s">
        <v>189</v>
      </c>
      <c r="BO386" t="s">
        <v>190</v>
      </c>
      <c r="BP386" s="35" t="s">
        <v>718</v>
      </c>
      <c r="BQ386"/>
      <c r="BU386" s="35"/>
      <c r="BV386" s="35"/>
      <c r="BX386"/>
      <c r="CA386" s="35"/>
      <c r="CB386" s="35"/>
      <c r="CC386"/>
      <c r="CG386" s="35"/>
      <c r="CH386" s="35"/>
      <c r="CK386"/>
      <c r="CM386" s="35"/>
      <c r="CN386" s="35"/>
      <c r="CQ386"/>
      <c r="CS386" s="35"/>
      <c r="CT386" s="35"/>
      <c r="CX386"/>
      <c r="CZ386" s="35"/>
      <c r="DD386" s="34"/>
      <c r="DG386" t="s">
        <v>749</v>
      </c>
      <c r="DH386" t="s">
        <v>941</v>
      </c>
      <c r="DI386" t="s">
        <v>233</v>
      </c>
      <c r="DL386" t="s">
        <v>666</v>
      </c>
      <c r="DM386">
        <v>5</v>
      </c>
      <c r="DN386">
        <v>7</v>
      </c>
      <c r="DO386" t="s">
        <v>750</v>
      </c>
      <c r="DQ386" t="s">
        <v>927</v>
      </c>
      <c r="DR386">
        <v>14</v>
      </c>
      <c r="DS386">
        <v>0</v>
      </c>
      <c r="DU386">
        <v>14</v>
      </c>
      <c r="DV386">
        <v>0</v>
      </c>
      <c r="DX386">
        <v>14</v>
      </c>
      <c r="DY386">
        <v>0</v>
      </c>
      <c r="DZ386" t="s">
        <v>246</v>
      </c>
      <c r="EA386" t="s">
        <v>929</v>
      </c>
    </row>
    <row r="387" spans="1:131" x14ac:dyDescent="0.4">
      <c r="A387" s="34">
        <v>43067.305104166669</v>
      </c>
      <c r="B387" s="25">
        <v>42934.453472222223</v>
      </c>
      <c r="D387" s="34"/>
      <c r="E387" s="34" t="s">
        <v>193</v>
      </c>
      <c r="F387" s="34" t="s">
        <v>191</v>
      </c>
      <c r="G387" s="34" t="s">
        <v>100</v>
      </c>
      <c r="H387" t="s">
        <v>279</v>
      </c>
      <c r="I387" t="s">
        <v>243</v>
      </c>
      <c r="J387" t="s">
        <v>712</v>
      </c>
      <c r="K387" t="s">
        <v>729</v>
      </c>
      <c r="L387" t="s">
        <v>711</v>
      </c>
      <c r="M387" s="30">
        <v>2.1</v>
      </c>
      <c r="N387">
        <v>6.5</v>
      </c>
      <c r="P387" s="24" t="str">
        <f>IFERROR(MID(RADataTable[[#This Row],[RATemplate]],1,LEN(RADataTable[[#This Row],[RATemplate]])-8),"RA") &amp; " " &amp; RADataTable[[#This Row],[prop_id0]] &amp; " " &amp; RADataTable[[#This Row],[last0]]</f>
        <v>RA 1749678 Im</v>
      </c>
      <c r="T387">
        <v>4</v>
      </c>
      <c r="U387">
        <v>4</v>
      </c>
      <c r="V387" s="34">
        <v>43032.518055555556</v>
      </c>
      <c r="W387">
        <v>1</v>
      </c>
      <c r="X387" s="15" t="str">
        <f>HYPERLINK("https://www.ejacket.nsf.gov/ej/showProposal.do?Continue=Y&amp;ID="&amp;RADataTable[[#This Row],[prop_id0]],"eJ")</f>
        <v>eJ</v>
      </c>
      <c r="Y387" s="15" t="str">
        <f>HYPERLINK("mailto:"&amp;RADataTable[[#This Row],[email]]&amp;"&amp;subject=Your NSF Proposal:  "&amp;RADataTable[[#This Row],[Div]]&amp;" "&amp;RADataTable[[#This Row],[prop_id0]], RADataTable[[#This Row],[email]])</f>
        <v>sim3@ucmerced.edu</v>
      </c>
      <c r="Z387" s="15" t="str">
        <f>HYPERLINK("mailto:"&amp;RADataTable[[#This Row],[allPIemail]]&amp;"&amp;subject=NSF Proposal:  "&amp;RADataTable[[#This Row],[Div]]&amp;" "&amp;RADataTable[[#This Row],[prop_id0]], "PIs@")</f>
        <v>PIs@</v>
      </c>
      <c r="AA387" t="s">
        <v>245</v>
      </c>
      <c r="AB387" t="s">
        <v>666</v>
      </c>
      <c r="AC387" s="30" t="s">
        <v>746</v>
      </c>
      <c r="AD387" t="s">
        <v>747</v>
      </c>
      <c r="AE387" t="s">
        <v>748</v>
      </c>
      <c r="AF387" s="36">
        <v>514477</v>
      </c>
      <c r="AG387" s="36">
        <v>514477</v>
      </c>
      <c r="AH387" s="24"/>
      <c r="AJ387" s="34"/>
      <c r="AK387" t="s">
        <v>923</v>
      </c>
      <c r="AL387" t="s">
        <v>232</v>
      </c>
      <c r="AM387" s="34" t="s">
        <v>925</v>
      </c>
      <c r="AN387" s="34">
        <v>43032</v>
      </c>
      <c r="AO387" s="24">
        <v>10</v>
      </c>
      <c r="AP387" t="s">
        <v>940</v>
      </c>
      <c r="AR387" s="35"/>
      <c r="AS387"/>
      <c r="AT387" s="34"/>
      <c r="AV387" s="34"/>
      <c r="AX387" s="34"/>
      <c r="AY387"/>
      <c r="BA387" s="34"/>
      <c r="BB387"/>
      <c r="BC387" t="s">
        <v>751</v>
      </c>
      <c r="BD387" s="36">
        <v>514477</v>
      </c>
      <c r="BE387" s="36">
        <v>514477</v>
      </c>
      <c r="BF387">
        <v>0</v>
      </c>
      <c r="BG387" s="34">
        <v>43282</v>
      </c>
      <c r="BH387">
        <v>60</v>
      </c>
      <c r="BI387" t="s">
        <v>283</v>
      </c>
      <c r="BJ387" t="s">
        <v>928</v>
      </c>
      <c r="BK387" t="s">
        <v>934</v>
      </c>
      <c r="BL387" t="s">
        <v>194</v>
      </c>
      <c r="BM387" s="8" t="s">
        <v>192</v>
      </c>
      <c r="BN387" t="s">
        <v>189</v>
      </c>
      <c r="BO387" t="s">
        <v>190</v>
      </c>
      <c r="BP387" s="35" t="s">
        <v>718</v>
      </c>
      <c r="BQ387"/>
      <c r="BU387" s="35"/>
      <c r="BV387" s="35"/>
      <c r="BX387"/>
      <c r="CA387" s="35"/>
      <c r="CB387" s="35"/>
      <c r="CC387"/>
      <c r="CG387" s="35"/>
      <c r="CH387" s="35"/>
      <c r="CK387"/>
      <c r="CM387" s="35"/>
      <c r="CN387" s="35"/>
      <c r="CQ387"/>
      <c r="CS387" s="35"/>
      <c r="CT387" s="35"/>
      <c r="CX387"/>
      <c r="CZ387" s="35"/>
      <c r="DD387" s="34"/>
      <c r="DG387" t="s">
        <v>749</v>
      </c>
      <c r="DH387" t="s">
        <v>941</v>
      </c>
      <c r="DI387" t="s">
        <v>233</v>
      </c>
      <c r="DL387" t="s">
        <v>666</v>
      </c>
      <c r="DM387">
        <v>5</v>
      </c>
      <c r="DN387">
        <v>7</v>
      </c>
      <c r="DO387" t="s">
        <v>750</v>
      </c>
      <c r="DQ387" t="s">
        <v>927</v>
      </c>
      <c r="DR387">
        <v>14</v>
      </c>
      <c r="DS387">
        <v>0</v>
      </c>
      <c r="DU387">
        <v>14</v>
      </c>
      <c r="DV387">
        <v>0</v>
      </c>
      <c r="DX387">
        <v>14</v>
      </c>
      <c r="DY387">
        <v>0</v>
      </c>
      <c r="DZ387" t="s">
        <v>246</v>
      </c>
      <c r="EA387" t="s">
        <v>929</v>
      </c>
    </row>
    <row r="388" spans="1:131" x14ac:dyDescent="0.4">
      <c r="A388" s="34">
        <v>43067.305104166669</v>
      </c>
      <c r="B388" s="25">
        <v>42934.453472222223</v>
      </c>
      <c r="D388" s="34"/>
      <c r="E388" s="34" t="s">
        <v>193</v>
      </c>
      <c r="F388" s="34" t="s">
        <v>191</v>
      </c>
      <c r="G388" s="34" t="s">
        <v>100</v>
      </c>
      <c r="H388" t="s">
        <v>279</v>
      </c>
      <c r="I388" t="s">
        <v>243</v>
      </c>
      <c r="J388" t="s">
        <v>712</v>
      </c>
      <c r="K388" t="s">
        <v>729</v>
      </c>
      <c r="L388" t="s">
        <v>711</v>
      </c>
      <c r="M388" s="30">
        <v>2.1</v>
      </c>
      <c r="N388">
        <v>6.5</v>
      </c>
      <c r="P388" s="24" t="str">
        <f>IFERROR(MID(RADataTable[[#This Row],[RATemplate]],1,LEN(RADataTable[[#This Row],[RATemplate]])-8),"RA") &amp; " " &amp; RADataTable[[#This Row],[prop_id0]] &amp; " " &amp; RADataTable[[#This Row],[last0]]</f>
        <v>RA 1749678 Im</v>
      </c>
      <c r="T388">
        <v>4</v>
      </c>
      <c r="U388">
        <v>4</v>
      </c>
      <c r="V388" s="34">
        <v>43032.518055555556</v>
      </c>
      <c r="W388">
        <v>1</v>
      </c>
      <c r="X388" s="15" t="str">
        <f>HYPERLINK("https://www.ejacket.nsf.gov/ej/showProposal.do?Continue=Y&amp;ID="&amp;RADataTable[[#This Row],[prop_id0]],"eJ")</f>
        <v>eJ</v>
      </c>
      <c r="Y388" s="15" t="str">
        <f>HYPERLINK("mailto:"&amp;RADataTable[[#This Row],[email]]&amp;"&amp;subject=Your NSF Proposal:  "&amp;RADataTable[[#This Row],[Div]]&amp;" "&amp;RADataTable[[#This Row],[prop_id0]], RADataTable[[#This Row],[email]])</f>
        <v>sim3@ucmerced.edu</v>
      </c>
      <c r="Z388" s="15" t="str">
        <f>HYPERLINK("mailto:"&amp;RADataTable[[#This Row],[allPIemail]]&amp;"&amp;subject=NSF Proposal:  "&amp;RADataTable[[#This Row],[Div]]&amp;" "&amp;RADataTable[[#This Row],[prop_id0]], "PIs@")</f>
        <v>PIs@</v>
      </c>
      <c r="AA388" t="s">
        <v>245</v>
      </c>
      <c r="AB388" t="s">
        <v>666</v>
      </c>
      <c r="AC388" s="30" t="s">
        <v>746</v>
      </c>
      <c r="AD388" t="s">
        <v>747</v>
      </c>
      <c r="AE388" t="s">
        <v>748</v>
      </c>
      <c r="AF388" s="36">
        <v>514477</v>
      </c>
      <c r="AG388" s="36">
        <v>514477</v>
      </c>
      <c r="AH388" s="24"/>
      <c r="AJ388" s="34"/>
      <c r="AK388" t="s">
        <v>923</v>
      </c>
      <c r="AL388" t="s">
        <v>232</v>
      </c>
      <c r="AM388" s="34" t="s">
        <v>925</v>
      </c>
      <c r="AN388" s="34">
        <v>43032</v>
      </c>
      <c r="AO388" s="24">
        <v>10</v>
      </c>
      <c r="AP388" t="s">
        <v>940</v>
      </c>
      <c r="AR388" s="35"/>
      <c r="AS388"/>
      <c r="AT388" s="34"/>
      <c r="AV388" s="34"/>
      <c r="AX388" s="34"/>
      <c r="AY388"/>
      <c r="BA388" s="34"/>
      <c r="BB388"/>
      <c r="BC388" t="s">
        <v>751</v>
      </c>
      <c r="BD388" s="36">
        <v>514477</v>
      </c>
      <c r="BE388" s="36">
        <v>514477</v>
      </c>
      <c r="BF388">
        <v>0</v>
      </c>
      <c r="BG388" s="34">
        <v>43282</v>
      </c>
      <c r="BH388">
        <v>60</v>
      </c>
      <c r="BI388" t="s">
        <v>283</v>
      </c>
      <c r="BJ388" t="s">
        <v>928</v>
      </c>
      <c r="BK388" t="s">
        <v>934</v>
      </c>
      <c r="BL388" t="s">
        <v>194</v>
      </c>
      <c r="BM388" s="8" t="s">
        <v>192</v>
      </c>
      <c r="BN388" t="s">
        <v>189</v>
      </c>
      <c r="BO388" t="s">
        <v>190</v>
      </c>
      <c r="BP388" s="35" t="s">
        <v>718</v>
      </c>
      <c r="BQ388"/>
      <c r="BU388" s="35"/>
      <c r="BV388" s="35"/>
      <c r="BX388"/>
      <c r="CA388" s="35"/>
      <c r="CB388" s="35"/>
      <c r="CC388"/>
      <c r="CG388" s="35"/>
      <c r="CH388" s="35"/>
      <c r="CK388"/>
      <c r="CM388" s="35"/>
      <c r="CN388" s="35"/>
      <c r="CQ388"/>
      <c r="CS388" s="35"/>
      <c r="CT388" s="35"/>
      <c r="CX388"/>
      <c r="CZ388" s="35"/>
      <c r="DD388" s="34"/>
      <c r="DG388" t="s">
        <v>749</v>
      </c>
      <c r="DH388" t="s">
        <v>941</v>
      </c>
      <c r="DI388" t="s">
        <v>233</v>
      </c>
      <c r="DL388" t="s">
        <v>666</v>
      </c>
      <c r="DM388">
        <v>5</v>
      </c>
      <c r="DN388">
        <v>7</v>
      </c>
      <c r="DO388" t="s">
        <v>750</v>
      </c>
      <c r="DQ388" t="s">
        <v>927</v>
      </c>
      <c r="DR388">
        <v>14</v>
      </c>
      <c r="DS388">
        <v>0</v>
      </c>
      <c r="DU388">
        <v>14</v>
      </c>
      <c r="DV388">
        <v>0</v>
      </c>
      <c r="DX388">
        <v>14</v>
      </c>
      <c r="DY388">
        <v>0</v>
      </c>
      <c r="DZ388" t="s">
        <v>246</v>
      </c>
      <c r="EA388" t="s">
        <v>929</v>
      </c>
    </row>
    <row r="389" spans="1:131" x14ac:dyDescent="0.4">
      <c r="A389" s="34">
        <v>43067.305104166669</v>
      </c>
      <c r="B389" s="25">
        <v>42934.453472222223</v>
      </c>
      <c r="D389" s="34"/>
      <c r="E389" s="34" t="s">
        <v>193</v>
      </c>
      <c r="F389" s="34" t="s">
        <v>191</v>
      </c>
      <c r="G389" s="34" t="s">
        <v>100</v>
      </c>
      <c r="H389" t="s">
        <v>279</v>
      </c>
      <c r="I389" t="s">
        <v>243</v>
      </c>
      <c r="J389" t="s">
        <v>712</v>
      </c>
      <c r="K389" t="s">
        <v>729</v>
      </c>
      <c r="L389" t="s">
        <v>711</v>
      </c>
      <c r="M389" s="30">
        <v>2.1</v>
      </c>
      <c r="N389">
        <v>6.5</v>
      </c>
      <c r="P389" s="24" t="str">
        <f>IFERROR(MID(RADataTable[[#This Row],[RATemplate]],1,LEN(RADataTable[[#This Row],[RATemplate]])-8),"RA") &amp; " " &amp; RADataTable[[#This Row],[prop_id0]] &amp; " " &amp; RADataTable[[#This Row],[last0]]</f>
        <v>RA 1749678 Im</v>
      </c>
      <c r="T389">
        <v>4</v>
      </c>
      <c r="U389">
        <v>4</v>
      </c>
      <c r="V389" s="34">
        <v>43032.518055555556</v>
      </c>
      <c r="W389">
        <v>1</v>
      </c>
      <c r="X389" s="15" t="str">
        <f>HYPERLINK("https://www.ejacket.nsf.gov/ej/showProposal.do?Continue=Y&amp;ID="&amp;RADataTable[[#This Row],[prop_id0]],"eJ")</f>
        <v>eJ</v>
      </c>
      <c r="Y389" s="15" t="str">
        <f>HYPERLINK("mailto:"&amp;RADataTable[[#This Row],[email]]&amp;"&amp;subject=Your NSF Proposal:  "&amp;RADataTable[[#This Row],[Div]]&amp;" "&amp;RADataTable[[#This Row],[prop_id0]], RADataTable[[#This Row],[email]])</f>
        <v>sim3@ucmerced.edu</v>
      </c>
      <c r="Z389" s="15" t="str">
        <f>HYPERLINK("mailto:"&amp;RADataTable[[#This Row],[allPIemail]]&amp;"&amp;subject=NSF Proposal:  "&amp;RADataTable[[#This Row],[Div]]&amp;" "&amp;RADataTable[[#This Row],[prop_id0]], "PIs@")</f>
        <v>PIs@</v>
      </c>
      <c r="AA389" t="s">
        <v>245</v>
      </c>
      <c r="AB389" t="s">
        <v>666</v>
      </c>
      <c r="AC389" s="30" t="s">
        <v>746</v>
      </c>
      <c r="AD389" t="s">
        <v>747</v>
      </c>
      <c r="AE389" t="s">
        <v>748</v>
      </c>
      <c r="AF389" s="36">
        <v>514477</v>
      </c>
      <c r="AG389" s="36">
        <v>514477</v>
      </c>
      <c r="AH389" s="24"/>
      <c r="AJ389" s="34"/>
      <c r="AK389" t="s">
        <v>923</v>
      </c>
      <c r="AL389" t="s">
        <v>232</v>
      </c>
      <c r="AM389" s="34" t="s">
        <v>925</v>
      </c>
      <c r="AN389" s="34">
        <v>43032</v>
      </c>
      <c r="AO389" s="24">
        <v>10</v>
      </c>
      <c r="AP389" t="s">
        <v>940</v>
      </c>
      <c r="AR389" s="35"/>
      <c r="AS389"/>
      <c r="AT389" s="34"/>
      <c r="AV389" s="34"/>
      <c r="AX389" s="34"/>
      <c r="AY389"/>
      <c r="BA389" s="34"/>
      <c r="BB389"/>
      <c r="BC389" t="s">
        <v>751</v>
      </c>
      <c r="BD389" s="36">
        <v>514477</v>
      </c>
      <c r="BE389" s="36">
        <v>514477</v>
      </c>
      <c r="BF389">
        <v>0</v>
      </c>
      <c r="BG389" s="34">
        <v>43282</v>
      </c>
      <c r="BH389">
        <v>60</v>
      </c>
      <c r="BI389" t="s">
        <v>283</v>
      </c>
      <c r="BJ389" t="s">
        <v>928</v>
      </c>
      <c r="BK389" t="s">
        <v>934</v>
      </c>
      <c r="BL389" t="s">
        <v>194</v>
      </c>
      <c r="BM389" s="8" t="s">
        <v>192</v>
      </c>
      <c r="BN389" t="s">
        <v>189</v>
      </c>
      <c r="BO389" t="s">
        <v>190</v>
      </c>
      <c r="BP389" s="35" t="s">
        <v>718</v>
      </c>
      <c r="BQ389"/>
      <c r="BU389" s="35"/>
      <c r="BV389" s="35"/>
      <c r="BX389"/>
      <c r="CA389" s="35"/>
      <c r="CB389" s="35"/>
      <c r="CC389"/>
      <c r="CG389" s="35"/>
      <c r="CH389" s="35"/>
      <c r="CK389"/>
      <c r="CM389" s="35"/>
      <c r="CN389" s="35"/>
      <c r="CQ389"/>
      <c r="CS389" s="35"/>
      <c r="CT389" s="35"/>
      <c r="CX389"/>
      <c r="CZ389" s="35"/>
      <c r="DD389" s="34"/>
      <c r="DG389" t="s">
        <v>749</v>
      </c>
      <c r="DH389" t="s">
        <v>941</v>
      </c>
      <c r="DI389" t="s">
        <v>233</v>
      </c>
      <c r="DL389" t="s">
        <v>666</v>
      </c>
      <c r="DM389">
        <v>5</v>
      </c>
      <c r="DN389">
        <v>7</v>
      </c>
      <c r="DO389" t="s">
        <v>750</v>
      </c>
      <c r="DQ389" t="s">
        <v>927</v>
      </c>
      <c r="DR389">
        <v>14</v>
      </c>
      <c r="DS389">
        <v>0</v>
      </c>
      <c r="DU389">
        <v>14</v>
      </c>
      <c r="DV389">
        <v>0</v>
      </c>
      <c r="DX389">
        <v>14</v>
      </c>
      <c r="DY389">
        <v>0</v>
      </c>
      <c r="DZ389" t="s">
        <v>246</v>
      </c>
      <c r="EA389" t="s">
        <v>929</v>
      </c>
    </row>
    <row r="390" spans="1:131" x14ac:dyDescent="0.4">
      <c r="A390" s="34">
        <v>43067.305104166669</v>
      </c>
      <c r="B390" s="25">
        <v>42934.453472222223</v>
      </c>
      <c r="D390" s="34"/>
      <c r="E390" s="34" t="s">
        <v>193</v>
      </c>
      <c r="F390" s="34" t="s">
        <v>191</v>
      </c>
      <c r="G390" s="34" t="s">
        <v>100</v>
      </c>
      <c r="H390" t="s">
        <v>279</v>
      </c>
      <c r="I390" t="s">
        <v>243</v>
      </c>
      <c r="J390" t="s">
        <v>712</v>
      </c>
      <c r="K390" t="s">
        <v>729</v>
      </c>
      <c r="L390" t="s">
        <v>711</v>
      </c>
      <c r="M390" s="30">
        <v>2.1</v>
      </c>
      <c r="N390">
        <v>6.5</v>
      </c>
      <c r="P390" s="24" t="str">
        <f>IFERROR(MID(RADataTable[[#This Row],[RATemplate]],1,LEN(RADataTable[[#This Row],[RATemplate]])-8),"RA") &amp; " " &amp; RADataTable[[#This Row],[prop_id0]] &amp; " " &amp; RADataTable[[#This Row],[last0]]</f>
        <v>RA 1749678 Im</v>
      </c>
      <c r="T390">
        <v>4</v>
      </c>
      <c r="U390">
        <v>4</v>
      </c>
      <c r="V390" s="34">
        <v>43032.518055555556</v>
      </c>
      <c r="W390">
        <v>1</v>
      </c>
      <c r="X390" s="15" t="str">
        <f>HYPERLINK("https://www.ejacket.nsf.gov/ej/showProposal.do?Continue=Y&amp;ID="&amp;RADataTable[[#This Row],[prop_id0]],"eJ")</f>
        <v>eJ</v>
      </c>
      <c r="Y390" s="15" t="str">
        <f>HYPERLINK("mailto:"&amp;RADataTable[[#This Row],[email]]&amp;"&amp;subject=Your NSF Proposal:  "&amp;RADataTable[[#This Row],[Div]]&amp;" "&amp;RADataTable[[#This Row],[prop_id0]], RADataTable[[#This Row],[email]])</f>
        <v>sim3@ucmerced.edu</v>
      </c>
      <c r="Z390" s="15" t="str">
        <f>HYPERLINK("mailto:"&amp;RADataTable[[#This Row],[allPIemail]]&amp;"&amp;subject=NSF Proposal:  "&amp;RADataTable[[#This Row],[Div]]&amp;" "&amp;RADataTable[[#This Row],[prop_id0]], "PIs@")</f>
        <v>PIs@</v>
      </c>
      <c r="AA390" t="s">
        <v>245</v>
      </c>
      <c r="AB390" t="s">
        <v>666</v>
      </c>
      <c r="AC390" s="30" t="s">
        <v>746</v>
      </c>
      <c r="AD390" t="s">
        <v>747</v>
      </c>
      <c r="AE390" t="s">
        <v>748</v>
      </c>
      <c r="AF390" s="36">
        <v>514477</v>
      </c>
      <c r="AG390" s="36">
        <v>514477</v>
      </c>
      <c r="AH390" s="24"/>
      <c r="AJ390" s="34"/>
      <c r="AK390" t="s">
        <v>923</v>
      </c>
      <c r="AL390" t="s">
        <v>232</v>
      </c>
      <c r="AM390" s="34" t="s">
        <v>925</v>
      </c>
      <c r="AN390" s="34">
        <v>43032</v>
      </c>
      <c r="AO390" s="24">
        <v>10</v>
      </c>
      <c r="AP390" t="s">
        <v>940</v>
      </c>
      <c r="AR390" s="35"/>
      <c r="AS390"/>
      <c r="AT390" s="34"/>
      <c r="AV390" s="34"/>
      <c r="AX390" s="34"/>
      <c r="AY390"/>
      <c r="BA390" s="34"/>
      <c r="BB390"/>
      <c r="BC390" t="s">
        <v>751</v>
      </c>
      <c r="BD390" s="36">
        <v>514477</v>
      </c>
      <c r="BE390" s="36">
        <v>514477</v>
      </c>
      <c r="BF390">
        <v>0</v>
      </c>
      <c r="BG390" s="34">
        <v>43282</v>
      </c>
      <c r="BH390">
        <v>60</v>
      </c>
      <c r="BI390" t="s">
        <v>283</v>
      </c>
      <c r="BJ390" t="s">
        <v>928</v>
      </c>
      <c r="BK390" t="s">
        <v>934</v>
      </c>
      <c r="BL390" t="s">
        <v>194</v>
      </c>
      <c r="BM390" s="8" t="s">
        <v>192</v>
      </c>
      <c r="BN390" t="s">
        <v>189</v>
      </c>
      <c r="BO390" t="s">
        <v>190</v>
      </c>
      <c r="BP390" s="35" t="s">
        <v>718</v>
      </c>
      <c r="BQ390"/>
      <c r="BU390" s="35"/>
      <c r="BV390" s="35"/>
      <c r="BX390"/>
      <c r="CA390" s="35"/>
      <c r="CB390" s="35"/>
      <c r="CC390"/>
      <c r="CG390" s="35"/>
      <c r="CH390" s="35"/>
      <c r="CK390"/>
      <c r="CM390" s="35"/>
      <c r="CN390" s="35"/>
      <c r="CQ390"/>
      <c r="CS390" s="35"/>
      <c r="CT390" s="35"/>
      <c r="CX390"/>
      <c r="CZ390" s="35"/>
      <c r="DD390" s="34"/>
      <c r="DG390" t="s">
        <v>749</v>
      </c>
      <c r="DH390" t="s">
        <v>941</v>
      </c>
      <c r="DI390" t="s">
        <v>233</v>
      </c>
      <c r="DL390" t="s">
        <v>666</v>
      </c>
      <c r="DM390">
        <v>5</v>
      </c>
      <c r="DN390">
        <v>7</v>
      </c>
      <c r="DO390" t="s">
        <v>750</v>
      </c>
      <c r="DQ390" t="s">
        <v>927</v>
      </c>
      <c r="DR390">
        <v>14</v>
      </c>
      <c r="DS390">
        <v>0</v>
      </c>
      <c r="DU390">
        <v>14</v>
      </c>
      <c r="DV390">
        <v>0</v>
      </c>
      <c r="DX390">
        <v>14</v>
      </c>
      <c r="DY390">
        <v>0</v>
      </c>
      <c r="DZ390" t="s">
        <v>246</v>
      </c>
      <c r="EA390" t="s">
        <v>929</v>
      </c>
    </row>
    <row r="391" spans="1:131" x14ac:dyDescent="0.4">
      <c r="A391" s="34">
        <v>43067.305104166669</v>
      </c>
      <c r="B391" s="25">
        <v>42934.453472222223</v>
      </c>
      <c r="D391" s="34"/>
      <c r="E391" s="34" t="s">
        <v>193</v>
      </c>
      <c r="F391" s="34" t="s">
        <v>191</v>
      </c>
      <c r="G391" s="34" t="s">
        <v>100</v>
      </c>
      <c r="H391" t="s">
        <v>279</v>
      </c>
      <c r="I391" t="s">
        <v>243</v>
      </c>
      <c r="J391" t="s">
        <v>712</v>
      </c>
      <c r="K391" t="s">
        <v>729</v>
      </c>
      <c r="L391" t="s">
        <v>711</v>
      </c>
      <c r="M391" s="30">
        <v>2.1</v>
      </c>
      <c r="N391">
        <v>6.5</v>
      </c>
      <c r="P391" s="24" t="str">
        <f>IFERROR(MID(RADataTable[[#This Row],[RATemplate]],1,LEN(RADataTable[[#This Row],[RATemplate]])-8),"RA") &amp; " " &amp; RADataTable[[#This Row],[prop_id0]] &amp; " " &amp; RADataTable[[#This Row],[last0]]</f>
        <v>RA 1749678 Im</v>
      </c>
      <c r="T391">
        <v>4</v>
      </c>
      <c r="U391">
        <v>4</v>
      </c>
      <c r="V391" s="34">
        <v>43032.518055555556</v>
      </c>
      <c r="W391">
        <v>1</v>
      </c>
      <c r="X391" s="15" t="str">
        <f>HYPERLINK("https://www.ejacket.nsf.gov/ej/showProposal.do?Continue=Y&amp;ID="&amp;RADataTable[[#This Row],[prop_id0]],"eJ")</f>
        <v>eJ</v>
      </c>
      <c r="Y391" s="15" t="str">
        <f>HYPERLINK("mailto:"&amp;RADataTable[[#This Row],[email]]&amp;"&amp;subject=Your NSF Proposal:  "&amp;RADataTable[[#This Row],[Div]]&amp;" "&amp;RADataTable[[#This Row],[prop_id0]], RADataTable[[#This Row],[email]])</f>
        <v>sim3@ucmerced.edu</v>
      </c>
      <c r="Z391" s="15" t="str">
        <f>HYPERLINK("mailto:"&amp;RADataTable[[#This Row],[allPIemail]]&amp;"&amp;subject=NSF Proposal:  "&amp;RADataTable[[#This Row],[Div]]&amp;" "&amp;RADataTable[[#This Row],[prop_id0]], "PIs@")</f>
        <v>PIs@</v>
      </c>
      <c r="AA391" t="s">
        <v>245</v>
      </c>
      <c r="AB391" t="s">
        <v>666</v>
      </c>
      <c r="AC391" s="30" t="s">
        <v>746</v>
      </c>
      <c r="AD391" t="s">
        <v>747</v>
      </c>
      <c r="AE391" t="s">
        <v>748</v>
      </c>
      <c r="AF391" s="36">
        <v>514477</v>
      </c>
      <c r="AG391" s="36">
        <v>514477</v>
      </c>
      <c r="AH391" s="24"/>
      <c r="AJ391" s="34"/>
      <c r="AK391" t="s">
        <v>923</v>
      </c>
      <c r="AL391" t="s">
        <v>232</v>
      </c>
      <c r="AM391" s="34" t="s">
        <v>925</v>
      </c>
      <c r="AN391" s="34">
        <v>43032</v>
      </c>
      <c r="AO391" s="24">
        <v>10</v>
      </c>
      <c r="AP391" t="s">
        <v>940</v>
      </c>
      <c r="AR391" s="35"/>
      <c r="AS391"/>
      <c r="AT391" s="34"/>
      <c r="AV391" s="34"/>
      <c r="AX391" s="34"/>
      <c r="AY391"/>
      <c r="BA391" s="34"/>
      <c r="BB391"/>
      <c r="BC391" t="s">
        <v>751</v>
      </c>
      <c r="BD391" s="36">
        <v>514477</v>
      </c>
      <c r="BE391" s="36">
        <v>514477</v>
      </c>
      <c r="BF391">
        <v>0</v>
      </c>
      <c r="BG391" s="34">
        <v>43282</v>
      </c>
      <c r="BH391">
        <v>60</v>
      </c>
      <c r="BI391" t="s">
        <v>283</v>
      </c>
      <c r="BJ391" t="s">
        <v>928</v>
      </c>
      <c r="BK391" t="s">
        <v>934</v>
      </c>
      <c r="BL391" t="s">
        <v>194</v>
      </c>
      <c r="BM391" s="8" t="s">
        <v>192</v>
      </c>
      <c r="BN391" t="s">
        <v>189</v>
      </c>
      <c r="BO391" t="s">
        <v>190</v>
      </c>
      <c r="BP391" s="35" t="s">
        <v>718</v>
      </c>
      <c r="BQ391"/>
      <c r="BU391" s="35"/>
      <c r="BV391" s="35"/>
      <c r="BX391"/>
      <c r="CA391" s="35"/>
      <c r="CB391" s="35"/>
      <c r="CC391"/>
      <c r="CG391" s="35"/>
      <c r="CH391" s="35"/>
      <c r="CK391"/>
      <c r="CM391" s="35"/>
      <c r="CN391" s="35"/>
      <c r="CQ391"/>
      <c r="CS391" s="35"/>
      <c r="CT391" s="35"/>
      <c r="CX391"/>
      <c r="CZ391" s="35"/>
      <c r="DD391" s="34"/>
      <c r="DG391" t="s">
        <v>749</v>
      </c>
      <c r="DH391" t="s">
        <v>941</v>
      </c>
      <c r="DI391" t="s">
        <v>233</v>
      </c>
      <c r="DL391" t="s">
        <v>666</v>
      </c>
      <c r="DM391">
        <v>5</v>
      </c>
      <c r="DN391">
        <v>7</v>
      </c>
      <c r="DO391" t="s">
        <v>750</v>
      </c>
      <c r="DQ391" t="s">
        <v>927</v>
      </c>
      <c r="DR391">
        <v>14</v>
      </c>
      <c r="DS391">
        <v>0</v>
      </c>
      <c r="DU391">
        <v>14</v>
      </c>
      <c r="DV391">
        <v>0</v>
      </c>
      <c r="DX391">
        <v>14</v>
      </c>
      <c r="DY391">
        <v>0</v>
      </c>
      <c r="DZ391" t="s">
        <v>246</v>
      </c>
      <c r="EA391" t="s">
        <v>929</v>
      </c>
    </row>
    <row r="392" spans="1:131" x14ac:dyDescent="0.4">
      <c r="A392" s="34">
        <v>43067.305104166669</v>
      </c>
      <c r="B392" s="25">
        <v>42934.453472222223</v>
      </c>
      <c r="D392" s="34"/>
      <c r="E392" s="34" t="s">
        <v>193</v>
      </c>
      <c r="F392" s="34" t="s">
        <v>191</v>
      </c>
      <c r="G392" s="34" t="s">
        <v>100</v>
      </c>
      <c r="H392" t="s">
        <v>279</v>
      </c>
      <c r="I392" t="s">
        <v>243</v>
      </c>
      <c r="J392" t="s">
        <v>712</v>
      </c>
      <c r="K392" t="s">
        <v>729</v>
      </c>
      <c r="L392" t="s">
        <v>711</v>
      </c>
      <c r="M392" s="30">
        <v>2.1</v>
      </c>
      <c r="N392">
        <v>6.5</v>
      </c>
      <c r="P392" s="24" t="str">
        <f>IFERROR(MID(RADataTable[[#This Row],[RATemplate]],1,LEN(RADataTable[[#This Row],[RATemplate]])-8),"RA") &amp; " " &amp; RADataTable[[#This Row],[prop_id0]] &amp; " " &amp; RADataTable[[#This Row],[last0]]</f>
        <v>RA 1749678 Im</v>
      </c>
      <c r="T392">
        <v>4</v>
      </c>
      <c r="U392">
        <v>4</v>
      </c>
      <c r="V392" s="34">
        <v>43032.518055555556</v>
      </c>
      <c r="W392">
        <v>1</v>
      </c>
      <c r="X392" s="15" t="str">
        <f>HYPERLINK("https://www.ejacket.nsf.gov/ej/showProposal.do?Continue=Y&amp;ID="&amp;RADataTable[[#This Row],[prop_id0]],"eJ")</f>
        <v>eJ</v>
      </c>
      <c r="Y392" s="15" t="str">
        <f>HYPERLINK("mailto:"&amp;RADataTable[[#This Row],[email]]&amp;"&amp;subject=Your NSF Proposal:  "&amp;RADataTable[[#This Row],[Div]]&amp;" "&amp;RADataTable[[#This Row],[prop_id0]], RADataTable[[#This Row],[email]])</f>
        <v>sim3@ucmerced.edu</v>
      </c>
      <c r="Z392" s="15" t="str">
        <f>HYPERLINK("mailto:"&amp;RADataTable[[#This Row],[allPIemail]]&amp;"&amp;subject=NSF Proposal:  "&amp;RADataTable[[#This Row],[Div]]&amp;" "&amp;RADataTable[[#This Row],[prop_id0]], "PIs@")</f>
        <v>PIs@</v>
      </c>
      <c r="AA392" t="s">
        <v>245</v>
      </c>
      <c r="AB392" t="s">
        <v>666</v>
      </c>
      <c r="AC392" s="30" t="s">
        <v>746</v>
      </c>
      <c r="AD392" t="s">
        <v>747</v>
      </c>
      <c r="AE392" t="s">
        <v>748</v>
      </c>
      <c r="AF392" s="36">
        <v>514477</v>
      </c>
      <c r="AG392" s="36">
        <v>514477</v>
      </c>
      <c r="AH392" s="24"/>
      <c r="AJ392" s="34"/>
      <c r="AK392" t="s">
        <v>923</v>
      </c>
      <c r="AL392" t="s">
        <v>232</v>
      </c>
      <c r="AM392" s="34" t="s">
        <v>925</v>
      </c>
      <c r="AN392" s="34">
        <v>43032</v>
      </c>
      <c r="AO392" s="24">
        <v>10</v>
      </c>
      <c r="AP392" t="s">
        <v>940</v>
      </c>
      <c r="AR392" s="35"/>
      <c r="AS392"/>
      <c r="AT392" s="34"/>
      <c r="AV392" s="34"/>
      <c r="AX392" s="34"/>
      <c r="AY392"/>
      <c r="BA392" s="34"/>
      <c r="BB392"/>
      <c r="BC392" t="s">
        <v>751</v>
      </c>
      <c r="BD392" s="36">
        <v>514477</v>
      </c>
      <c r="BE392" s="36">
        <v>514477</v>
      </c>
      <c r="BF392">
        <v>0</v>
      </c>
      <c r="BG392" s="34">
        <v>43282</v>
      </c>
      <c r="BH392">
        <v>60</v>
      </c>
      <c r="BI392" t="s">
        <v>283</v>
      </c>
      <c r="BJ392" t="s">
        <v>928</v>
      </c>
      <c r="BK392" t="s">
        <v>934</v>
      </c>
      <c r="BL392" t="s">
        <v>194</v>
      </c>
      <c r="BM392" s="8" t="s">
        <v>192</v>
      </c>
      <c r="BN392" t="s">
        <v>189</v>
      </c>
      <c r="BO392" t="s">
        <v>190</v>
      </c>
      <c r="BP392" s="35" t="s">
        <v>718</v>
      </c>
      <c r="BQ392"/>
      <c r="BU392" s="35"/>
      <c r="BV392" s="35"/>
      <c r="BX392"/>
      <c r="CA392" s="35"/>
      <c r="CB392" s="35"/>
      <c r="CC392"/>
      <c r="CG392" s="35"/>
      <c r="CH392" s="35"/>
      <c r="CK392"/>
      <c r="CM392" s="35"/>
      <c r="CN392" s="35"/>
      <c r="CQ392"/>
      <c r="CS392" s="35"/>
      <c r="CT392" s="35"/>
      <c r="CX392"/>
      <c r="CZ392" s="35"/>
      <c r="DD392" s="34"/>
      <c r="DG392" t="s">
        <v>749</v>
      </c>
      <c r="DH392" t="s">
        <v>941</v>
      </c>
      <c r="DI392" t="s">
        <v>233</v>
      </c>
      <c r="DL392" t="s">
        <v>666</v>
      </c>
      <c r="DM392">
        <v>5</v>
      </c>
      <c r="DN392">
        <v>7</v>
      </c>
      <c r="DO392" t="s">
        <v>750</v>
      </c>
      <c r="DQ392" t="s">
        <v>927</v>
      </c>
      <c r="DR392">
        <v>14</v>
      </c>
      <c r="DS392">
        <v>0</v>
      </c>
      <c r="DU392">
        <v>14</v>
      </c>
      <c r="DV392">
        <v>0</v>
      </c>
      <c r="DX392">
        <v>14</v>
      </c>
      <c r="DY392">
        <v>0</v>
      </c>
      <c r="DZ392" t="s">
        <v>246</v>
      </c>
      <c r="EA392" t="s">
        <v>929</v>
      </c>
    </row>
    <row r="393" spans="1:131" x14ac:dyDescent="0.4">
      <c r="A393" s="34">
        <v>43067.305104166669</v>
      </c>
      <c r="B393" s="25">
        <v>42934.453472222223</v>
      </c>
      <c r="D393" s="34"/>
      <c r="E393" s="34" t="s">
        <v>193</v>
      </c>
      <c r="F393" s="34" t="s">
        <v>191</v>
      </c>
      <c r="G393" s="34" t="s">
        <v>100</v>
      </c>
      <c r="H393" t="s">
        <v>279</v>
      </c>
      <c r="I393" t="s">
        <v>243</v>
      </c>
      <c r="J393" t="s">
        <v>712</v>
      </c>
      <c r="K393" t="s">
        <v>729</v>
      </c>
      <c r="L393" t="s">
        <v>711</v>
      </c>
      <c r="M393" s="30">
        <v>2.1</v>
      </c>
      <c r="N393">
        <v>6.5</v>
      </c>
      <c r="P393" s="24" t="str">
        <f>IFERROR(MID(RADataTable[[#This Row],[RATemplate]],1,LEN(RADataTable[[#This Row],[RATemplate]])-8),"RA") &amp; " " &amp; RADataTable[[#This Row],[prop_id0]] &amp; " " &amp; RADataTable[[#This Row],[last0]]</f>
        <v>RA 1749678 Im</v>
      </c>
      <c r="T393">
        <v>4</v>
      </c>
      <c r="U393">
        <v>4</v>
      </c>
      <c r="V393" s="34">
        <v>43032.518055555556</v>
      </c>
      <c r="W393">
        <v>1</v>
      </c>
      <c r="X393" s="15" t="str">
        <f>HYPERLINK("https://www.ejacket.nsf.gov/ej/showProposal.do?Continue=Y&amp;ID="&amp;RADataTable[[#This Row],[prop_id0]],"eJ")</f>
        <v>eJ</v>
      </c>
      <c r="Y393" s="15" t="str">
        <f>HYPERLINK("mailto:"&amp;RADataTable[[#This Row],[email]]&amp;"&amp;subject=Your NSF Proposal:  "&amp;RADataTable[[#This Row],[Div]]&amp;" "&amp;RADataTable[[#This Row],[prop_id0]], RADataTable[[#This Row],[email]])</f>
        <v>sim3@ucmerced.edu</v>
      </c>
      <c r="Z393" s="15" t="str">
        <f>HYPERLINK("mailto:"&amp;RADataTable[[#This Row],[allPIemail]]&amp;"&amp;subject=NSF Proposal:  "&amp;RADataTable[[#This Row],[Div]]&amp;" "&amp;RADataTable[[#This Row],[prop_id0]], "PIs@")</f>
        <v>PIs@</v>
      </c>
      <c r="AA393" t="s">
        <v>245</v>
      </c>
      <c r="AB393" t="s">
        <v>666</v>
      </c>
      <c r="AC393" s="30" t="s">
        <v>746</v>
      </c>
      <c r="AD393" t="s">
        <v>747</v>
      </c>
      <c r="AE393" t="s">
        <v>748</v>
      </c>
      <c r="AF393" s="36">
        <v>514477</v>
      </c>
      <c r="AG393" s="36">
        <v>514477</v>
      </c>
      <c r="AH393" s="24"/>
      <c r="AJ393" s="34"/>
      <c r="AK393" t="s">
        <v>923</v>
      </c>
      <c r="AL393" t="s">
        <v>232</v>
      </c>
      <c r="AM393" s="34" t="s">
        <v>925</v>
      </c>
      <c r="AN393" s="34">
        <v>43032</v>
      </c>
      <c r="AO393" s="24">
        <v>10</v>
      </c>
      <c r="AP393" t="s">
        <v>940</v>
      </c>
      <c r="AR393" s="35"/>
      <c r="AS393"/>
      <c r="AT393" s="34"/>
      <c r="AV393" s="34"/>
      <c r="AX393" s="34"/>
      <c r="AY393"/>
      <c r="BA393" s="34"/>
      <c r="BB393"/>
      <c r="BC393" t="s">
        <v>751</v>
      </c>
      <c r="BD393" s="36">
        <v>514477</v>
      </c>
      <c r="BE393" s="36">
        <v>514477</v>
      </c>
      <c r="BF393">
        <v>0</v>
      </c>
      <c r="BG393" s="34">
        <v>43282</v>
      </c>
      <c r="BH393">
        <v>60</v>
      </c>
      <c r="BI393" t="s">
        <v>283</v>
      </c>
      <c r="BJ393" t="s">
        <v>928</v>
      </c>
      <c r="BK393" t="s">
        <v>934</v>
      </c>
      <c r="BL393" t="s">
        <v>194</v>
      </c>
      <c r="BM393" s="8" t="s">
        <v>192</v>
      </c>
      <c r="BN393" t="s">
        <v>189</v>
      </c>
      <c r="BO393" t="s">
        <v>190</v>
      </c>
      <c r="BP393" s="35" t="s">
        <v>718</v>
      </c>
      <c r="BQ393"/>
      <c r="BU393" s="35"/>
      <c r="BV393" s="35"/>
      <c r="BX393"/>
      <c r="CA393" s="35"/>
      <c r="CB393" s="35"/>
      <c r="CC393"/>
      <c r="CG393" s="35"/>
      <c r="CH393" s="35"/>
      <c r="CK393"/>
      <c r="CM393" s="35"/>
      <c r="CN393" s="35"/>
      <c r="CQ393"/>
      <c r="CS393" s="35"/>
      <c r="CT393" s="35"/>
      <c r="CX393"/>
      <c r="CZ393" s="35"/>
      <c r="DD393" s="34"/>
      <c r="DG393" t="s">
        <v>749</v>
      </c>
      <c r="DH393" t="s">
        <v>941</v>
      </c>
      <c r="DI393" t="s">
        <v>233</v>
      </c>
      <c r="DL393" t="s">
        <v>666</v>
      </c>
      <c r="DM393">
        <v>5</v>
      </c>
      <c r="DN393">
        <v>7</v>
      </c>
      <c r="DO393" t="s">
        <v>750</v>
      </c>
      <c r="DQ393" t="s">
        <v>927</v>
      </c>
      <c r="DR393">
        <v>14</v>
      </c>
      <c r="DS393">
        <v>0</v>
      </c>
      <c r="DU393">
        <v>14</v>
      </c>
      <c r="DV393">
        <v>0</v>
      </c>
      <c r="DX393">
        <v>14</v>
      </c>
      <c r="DY393">
        <v>0</v>
      </c>
      <c r="DZ393" t="s">
        <v>246</v>
      </c>
      <c r="EA393" t="s">
        <v>929</v>
      </c>
    </row>
    <row r="394" spans="1:131" x14ac:dyDescent="0.4">
      <c r="A394" s="34">
        <v>43067.305104166669</v>
      </c>
      <c r="B394" s="25">
        <v>42934.453472222223</v>
      </c>
      <c r="D394" s="34"/>
      <c r="E394" s="34" t="s">
        <v>193</v>
      </c>
      <c r="F394" s="34" t="s">
        <v>191</v>
      </c>
      <c r="G394" s="34" t="s">
        <v>100</v>
      </c>
      <c r="H394" t="s">
        <v>279</v>
      </c>
      <c r="I394" t="s">
        <v>243</v>
      </c>
      <c r="J394" t="s">
        <v>712</v>
      </c>
      <c r="K394" t="s">
        <v>729</v>
      </c>
      <c r="L394" t="s">
        <v>711</v>
      </c>
      <c r="M394" s="30">
        <v>2.1</v>
      </c>
      <c r="N394">
        <v>6.5</v>
      </c>
      <c r="P394" s="24" t="str">
        <f>IFERROR(MID(RADataTable[[#This Row],[RATemplate]],1,LEN(RADataTable[[#This Row],[RATemplate]])-8),"RA") &amp; " " &amp; RADataTable[[#This Row],[prop_id0]] &amp; " " &amp; RADataTable[[#This Row],[last0]]</f>
        <v>RA 1749678 Im</v>
      </c>
      <c r="T394">
        <v>4</v>
      </c>
      <c r="U394">
        <v>4</v>
      </c>
      <c r="V394" s="34">
        <v>43032.518055555556</v>
      </c>
      <c r="W394">
        <v>1</v>
      </c>
      <c r="X394" s="15" t="str">
        <f>HYPERLINK("https://www.ejacket.nsf.gov/ej/showProposal.do?Continue=Y&amp;ID="&amp;RADataTable[[#This Row],[prop_id0]],"eJ")</f>
        <v>eJ</v>
      </c>
      <c r="Y394" s="15" t="str">
        <f>HYPERLINK("mailto:"&amp;RADataTable[[#This Row],[email]]&amp;"&amp;subject=Your NSF Proposal:  "&amp;RADataTable[[#This Row],[Div]]&amp;" "&amp;RADataTable[[#This Row],[prop_id0]], RADataTable[[#This Row],[email]])</f>
        <v>sim3@ucmerced.edu</v>
      </c>
      <c r="Z394" s="15" t="str">
        <f>HYPERLINK("mailto:"&amp;RADataTable[[#This Row],[allPIemail]]&amp;"&amp;subject=NSF Proposal:  "&amp;RADataTable[[#This Row],[Div]]&amp;" "&amp;RADataTable[[#This Row],[prop_id0]], "PIs@")</f>
        <v>PIs@</v>
      </c>
      <c r="AA394" t="s">
        <v>245</v>
      </c>
      <c r="AB394" t="s">
        <v>666</v>
      </c>
      <c r="AC394" s="30" t="s">
        <v>746</v>
      </c>
      <c r="AD394" t="s">
        <v>747</v>
      </c>
      <c r="AE394" t="s">
        <v>748</v>
      </c>
      <c r="AF394" s="36">
        <v>514477</v>
      </c>
      <c r="AG394" s="36">
        <v>514477</v>
      </c>
      <c r="AH394" s="24"/>
      <c r="AJ394" s="34"/>
      <c r="AK394" t="s">
        <v>923</v>
      </c>
      <c r="AL394" t="s">
        <v>232</v>
      </c>
      <c r="AM394" s="34" t="s">
        <v>925</v>
      </c>
      <c r="AN394" s="34">
        <v>43032</v>
      </c>
      <c r="AO394" s="24">
        <v>10</v>
      </c>
      <c r="AP394" t="s">
        <v>940</v>
      </c>
      <c r="AR394" s="35"/>
      <c r="AS394"/>
      <c r="AT394" s="34"/>
      <c r="AV394" s="34"/>
      <c r="AX394" s="34"/>
      <c r="AY394"/>
      <c r="BA394" s="34"/>
      <c r="BB394"/>
      <c r="BC394" t="s">
        <v>751</v>
      </c>
      <c r="BD394" s="36">
        <v>514477</v>
      </c>
      <c r="BE394" s="36">
        <v>514477</v>
      </c>
      <c r="BF394">
        <v>0</v>
      </c>
      <c r="BG394" s="34">
        <v>43282</v>
      </c>
      <c r="BH394">
        <v>60</v>
      </c>
      <c r="BI394" t="s">
        <v>283</v>
      </c>
      <c r="BJ394" t="s">
        <v>928</v>
      </c>
      <c r="BK394" t="s">
        <v>934</v>
      </c>
      <c r="BL394" t="s">
        <v>194</v>
      </c>
      <c r="BM394" s="8" t="s">
        <v>192</v>
      </c>
      <c r="BN394" t="s">
        <v>189</v>
      </c>
      <c r="BO394" t="s">
        <v>190</v>
      </c>
      <c r="BP394" s="35" t="s">
        <v>718</v>
      </c>
      <c r="BQ394"/>
      <c r="BU394" s="35"/>
      <c r="BV394" s="35"/>
      <c r="BX394"/>
      <c r="CA394" s="35"/>
      <c r="CB394" s="35"/>
      <c r="CC394"/>
      <c r="CG394" s="35"/>
      <c r="CH394" s="35"/>
      <c r="CK394"/>
      <c r="CM394" s="35"/>
      <c r="CN394" s="35"/>
      <c r="CQ394"/>
      <c r="CS394" s="35"/>
      <c r="CT394" s="35"/>
      <c r="CX394"/>
      <c r="CZ394" s="35"/>
      <c r="DD394" s="34"/>
      <c r="DG394" t="s">
        <v>749</v>
      </c>
      <c r="DH394" t="s">
        <v>941</v>
      </c>
      <c r="DI394" t="s">
        <v>233</v>
      </c>
      <c r="DL394" t="s">
        <v>666</v>
      </c>
      <c r="DM394">
        <v>5</v>
      </c>
      <c r="DN394">
        <v>7</v>
      </c>
      <c r="DO394" t="s">
        <v>750</v>
      </c>
      <c r="DQ394" t="s">
        <v>927</v>
      </c>
      <c r="DR394">
        <v>14</v>
      </c>
      <c r="DS394">
        <v>0</v>
      </c>
      <c r="DU394">
        <v>14</v>
      </c>
      <c r="DV394">
        <v>0</v>
      </c>
      <c r="DX394">
        <v>14</v>
      </c>
      <c r="DY394">
        <v>0</v>
      </c>
      <c r="DZ394" t="s">
        <v>246</v>
      </c>
      <c r="EA394" t="s">
        <v>929</v>
      </c>
    </row>
    <row r="395" spans="1:131" x14ac:dyDescent="0.4">
      <c r="A395" s="34">
        <v>43067.305104166669</v>
      </c>
      <c r="B395" s="25">
        <v>42934.453472222223</v>
      </c>
      <c r="D395" s="34"/>
      <c r="E395" s="34" t="s">
        <v>193</v>
      </c>
      <c r="F395" s="34" t="s">
        <v>191</v>
      </c>
      <c r="G395" s="34" t="s">
        <v>100</v>
      </c>
      <c r="H395" t="s">
        <v>279</v>
      </c>
      <c r="I395" t="s">
        <v>243</v>
      </c>
      <c r="J395" t="s">
        <v>712</v>
      </c>
      <c r="K395" t="s">
        <v>729</v>
      </c>
      <c r="L395" t="s">
        <v>711</v>
      </c>
      <c r="M395" s="30">
        <v>2.1</v>
      </c>
      <c r="N395">
        <v>6.5</v>
      </c>
      <c r="P395" s="24" t="str">
        <f>IFERROR(MID(RADataTable[[#This Row],[RATemplate]],1,LEN(RADataTable[[#This Row],[RATemplate]])-8),"RA") &amp; " " &amp; RADataTable[[#This Row],[prop_id0]] &amp; " " &amp; RADataTable[[#This Row],[last0]]</f>
        <v>RA 1749678 Im</v>
      </c>
      <c r="T395">
        <v>4</v>
      </c>
      <c r="U395">
        <v>4</v>
      </c>
      <c r="V395" s="34">
        <v>43032.518055555556</v>
      </c>
      <c r="W395">
        <v>1</v>
      </c>
      <c r="X395" s="15" t="str">
        <f>HYPERLINK("https://www.ejacket.nsf.gov/ej/showProposal.do?Continue=Y&amp;ID="&amp;RADataTable[[#This Row],[prop_id0]],"eJ")</f>
        <v>eJ</v>
      </c>
      <c r="Y395" s="15" t="str">
        <f>HYPERLINK("mailto:"&amp;RADataTable[[#This Row],[email]]&amp;"&amp;subject=Your NSF Proposal:  "&amp;RADataTable[[#This Row],[Div]]&amp;" "&amp;RADataTable[[#This Row],[prop_id0]], RADataTable[[#This Row],[email]])</f>
        <v>sim3@ucmerced.edu</v>
      </c>
      <c r="Z395" s="15" t="str">
        <f>HYPERLINK("mailto:"&amp;RADataTable[[#This Row],[allPIemail]]&amp;"&amp;subject=NSF Proposal:  "&amp;RADataTable[[#This Row],[Div]]&amp;" "&amp;RADataTable[[#This Row],[prop_id0]], "PIs@")</f>
        <v>PIs@</v>
      </c>
      <c r="AA395" t="s">
        <v>245</v>
      </c>
      <c r="AB395" t="s">
        <v>666</v>
      </c>
      <c r="AC395" s="30" t="s">
        <v>746</v>
      </c>
      <c r="AD395" t="s">
        <v>747</v>
      </c>
      <c r="AE395" t="s">
        <v>748</v>
      </c>
      <c r="AF395" s="36">
        <v>514477</v>
      </c>
      <c r="AG395" s="36">
        <v>514477</v>
      </c>
      <c r="AH395" s="24"/>
      <c r="AJ395" s="34"/>
      <c r="AK395" t="s">
        <v>923</v>
      </c>
      <c r="AL395" t="s">
        <v>232</v>
      </c>
      <c r="AM395" s="34" t="s">
        <v>925</v>
      </c>
      <c r="AN395" s="34">
        <v>43032</v>
      </c>
      <c r="AO395" s="24">
        <v>10</v>
      </c>
      <c r="AP395" t="s">
        <v>940</v>
      </c>
      <c r="AR395" s="35"/>
      <c r="AS395"/>
      <c r="AT395" s="34"/>
      <c r="AV395" s="34"/>
      <c r="AX395" s="34"/>
      <c r="AY395"/>
      <c r="BA395" s="34"/>
      <c r="BB395"/>
      <c r="BC395" t="s">
        <v>751</v>
      </c>
      <c r="BD395" s="36">
        <v>514477</v>
      </c>
      <c r="BE395" s="36">
        <v>514477</v>
      </c>
      <c r="BF395">
        <v>0</v>
      </c>
      <c r="BG395" s="34">
        <v>43282</v>
      </c>
      <c r="BH395">
        <v>60</v>
      </c>
      <c r="BI395" t="s">
        <v>283</v>
      </c>
      <c r="BJ395" t="s">
        <v>928</v>
      </c>
      <c r="BK395" t="s">
        <v>934</v>
      </c>
      <c r="BL395" t="s">
        <v>194</v>
      </c>
      <c r="BM395" s="8" t="s">
        <v>192</v>
      </c>
      <c r="BN395" t="s">
        <v>189</v>
      </c>
      <c r="BO395" t="s">
        <v>190</v>
      </c>
      <c r="BP395" s="35" t="s">
        <v>718</v>
      </c>
      <c r="BQ395"/>
      <c r="BU395" s="35"/>
      <c r="BV395" s="35"/>
      <c r="BX395"/>
      <c r="CA395" s="35"/>
      <c r="CB395" s="35"/>
      <c r="CC395"/>
      <c r="CG395" s="35"/>
      <c r="CH395" s="35"/>
      <c r="CK395"/>
      <c r="CM395" s="35"/>
      <c r="CN395" s="35"/>
      <c r="CQ395"/>
      <c r="CS395" s="35"/>
      <c r="CT395" s="35"/>
      <c r="CX395"/>
      <c r="CZ395" s="35"/>
      <c r="DD395" s="34"/>
      <c r="DG395" t="s">
        <v>749</v>
      </c>
      <c r="DH395" t="s">
        <v>941</v>
      </c>
      <c r="DI395" t="s">
        <v>233</v>
      </c>
      <c r="DL395" t="s">
        <v>666</v>
      </c>
      <c r="DM395">
        <v>5</v>
      </c>
      <c r="DN395">
        <v>7</v>
      </c>
      <c r="DO395" t="s">
        <v>750</v>
      </c>
      <c r="DQ395" t="s">
        <v>927</v>
      </c>
      <c r="DR395">
        <v>14</v>
      </c>
      <c r="DS395">
        <v>0</v>
      </c>
      <c r="DU395">
        <v>14</v>
      </c>
      <c r="DV395">
        <v>0</v>
      </c>
      <c r="DX395">
        <v>14</v>
      </c>
      <c r="DY395">
        <v>0</v>
      </c>
      <c r="DZ395" t="s">
        <v>246</v>
      </c>
      <c r="EA395" t="s">
        <v>929</v>
      </c>
    </row>
    <row r="396" spans="1:131" x14ac:dyDescent="0.4">
      <c r="A396" s="34">
        <v>43067.305104166669</v>
      </c>
      <c r="B396" s="25">
        <v>42934.453472222223</v>
      </c>
      <c r="D396" s="34"/>
      <c r="E396" s="34" t="s">
        <v>193</v>
      </c>
      <c r="F396" s="34" t="s">
        <v>191</v>
      </c>
      <c r="G396" s="34" t="s">
        <v>100</v>
      </c>
      <c r="H396" t="s">
        <v>279</v>
      </c>
      <c r="I396" t="s">
        <v>243</v>
      </c>
      <c r="J396" t="s">
        <v>712</v>
      </c>
      <c r="K396" t="s">
        <v>729</v>
      </c>
      <c r="L396" t="s">
        <v>711</v>
      </c>
      <c r="M396" s="30">
        <v>2.1</v>
      </c>
      <c r="N396">
        <v>6.5</v>
      </c>
      <c r="P396" s="24" t="str">
        <f>IFERROR(MID(RADataTable[[#This Row],[RATemplate]],1,LEN(RADataTable[[#This Row],[RATemplate]])-8),"RA") &amp; " " &amp; RADataTable[[#This Row],[prop_id0]] &amp; " " &amp; RADataTable[[#This Row],[last0]]</f>
        <v>RA 1749678 Im</v>
      </c>
      <c r="T396">
        <v>4</v>
      </c>
      <c r="U396">
        <v>4</v>
      </c>
      <c r="V396" s="34">
        <v>43032.518055555556</v>
      </c>
      <c r="W396">
        <v>1</v>
      </c>
      <c r="X396" s="15" t="str">
        <f>HYPERLINK("https://www.ejacket.nsf.gov/ej/showProposal.do?Continue=Y&amp;ID="&amp;RADataTable[[#This Row],[prop_id0]],"eJ")</f>
        <v>eJ</v>
      </c>
      <c r="Y396" s="15" t="str">
        <f>HYPERLINK("mailto:"&amp;RADataTable[[#This Row],[email]]&amp;"&amp;subject=Your NSF Proposal:  "&amp;RADataTable[[#This Row],[Div]]&amp;" "&amp;RADataTable[[#This Row],[prop_id0]], RADataTable[[#This Row],[email]])</f>
        <v>sim3@ucmerced.edu</v>
      </c>
      <c r="Z396" s="15" t="str">
        <f>HYPERLINK("mailto:"&amp;RADataTable[[#This Row],[allPIemail]]&amp;"&amp;subject=NSF Proposal:  "&amp;RADataTable[[#This Row],[Div]]&amp;" "&amp;RADataTable[[#This Row],[prop_id0]], "PIs@")</f>
        <v>PIs@</v>
      </c>
      <c r="AA396" t="s">
        <v>245</v>
      </c>
      <c r="AB396" t="s">
        <v>666</v>
      </c>
      <c r="AC396" s="30" t="s">
        <v>746</v>
      </c>
      <c r="AD396" t="s">
        <v>747</v>
      </c>
      <c r="AE396" t="s">
        <v>748</v>
      </c>
      <c r="AF396" s="36">
        <v>514477</v>
      </c>
      <c r="AG396" s="36">
        <v>514477</v>
      </c>
      <c r="AH396" s="24"/>
      <c r="AJ396" s="34"/>
      <c r="AK396" t="s">
        <v>923</v>
      </c>
      <c r="AL396" t="s">
        <v>232</v>
      </c>
      <c r="AM396" s="34" t="s">
        <v>925</v>
      </c>
      <c r="AN396" s="34">
        <v>43032</v>
      </c>
      <c r="AO396" s="24">
        <v>10</v>
      </c>
      <c r="AP396" t="s">
        <v>940</v>
      </c>
      <c r="AR396" s="35"/>
      <c r="AS396"/>
      <c r="AT396" s="34"/>
      <c r="AV396" s="34"/>
      <c r="AX396" s="34"/>
      <c r="AY396"/>
      <c r="BA396" s="34"/>
      <c r="BB396"/>
      <c r="BC396" t="s">
        <v>751</v>
      </c>
      <c r="BD396" s="36">
        <v>514477</v>
      </c>
      <c r="BE396" s="36">
        <v>514477</v>
      </c>
      <c r="BF396">
        <v>0</v>
      </c>
      <c r="BG396" s="34">
        <v>43282</v>
      </c>
      <c r="BH396">
        <v>60</v>
      </c>
      <c r="BI396" t="s">
        <v>283</v>
      </c>
      <c r="BJ396" t="s">
        <v>928</v>
      </c>
      <c r="BK396" t="s">
        <v>934</v>
      </c>
      <c r="BL396" t="s">
        <v>194</v>
      </c>
      <c r="BM396" s="8" t="s">
        <v>192</v>
      </c>
      <c r="BN396" t="s">
        <v>189</v>
      </c>
      <c r="BO396" t="s">
        <v>190</v>
      </c>
      <c r="BP396" s="35" t="s">
        <v>718</v>
      </c>
      <c r="BQ396"/>
      <c r="BU396" s="35"/>
      <c r="BV396" s="35"/>
      <c r="BX396"/>
      <c r="CA396" s="35"/>
      <c r="CB396" s="35"/>
      <c r="CC396"/>
      <c r="CG396" s="35"/>
      <c r="CH396" s="35"/>
      <c r="CK396"/>
      <c r="CM396" s="35"/>
      <c r="CN396" s="35"/>
      <c r="CQ396"/>
      <c r="CS396" s="35"/>
      <c r="CT396" s="35"/>
      <c r="CX396"/>
      <c r="CZ396" s="35"/>
      <c r="DD396" s="34"/>
      <c r="DG396" t="s">
        <v>749</v>
      </c>
      <c r="DH396" t="s">
        <v>941</v>
      </c>
      <c r="DI396" t="s">
        <v>233</v>
      </c>
      <c r="DL396" t="s">
        <v>666</v>
      </c>
      <c r="DM396">
        <v>5</v>
      </c>
      <c r="DN396">
        <v>7</v>
      </c>
      <c r="DO396" t="s">
        <v>750</v>
      </c>
      <c r="DQ396" t="s">
        <v>927</v>
      </c>
      <c r="DR396">
        <v>14</v>
      </c>
      <c r="DS396">
        <v>0</v>
      </c>
      <c r="DU396">
        <v>14</v>
      </c>
      <c r="DV396">
        <v>0</v>
      </c>
      <c r="DX396">
        <v>14</v>
      </c>
      <c r="DY396">
        <v>0</v>
      </c>
      <c r="DZ396" t="s">
        <v>246</v>
      </c>
      <c r="EA396" t="s">
        <v>929</v>
      </c>
    </row>
    <row r="397" spans="1:131" x14ac:dyDescent="0.4">
      <c r="A397" s="34">
        <v>43067.305104166669</v>
      </c>
      <c r="B397" s="25">
        <v>42934.453472222223</v>
      </c>
      <c r="D397" s="34"/>
      <c r="E397" s="34" t="s">
        <v>193</v>
      </c>
      <c r="F397" s="34" t="s">
        <v>191</v>
      </c>
      <c r="G397" s="34" t="s">
        <v>100</v>
      </c>
      <c r="H397" t="s">
        <v>279</v>
      </c>
      <c r="I397" t="s">
        <v>243</v>
      </c>
      <c r="J397" t="s">
        <v>712</v>
      </c>
      <c r="K397" t="s">
        <v>729</v>
      </c>
      <c r="L397" t="s">
        <v>711</v>
      </c>
      <c r="M397" s="30">
        <v>2.1</v>
      </c>
      <c r="N397">
        <v>6.5</v>
      </c>
      <c r="P397" s="24" t="str">
        <f>IFERROR(MID(RADataTable[[#This Row],[RATemplate]],1,LEN(RADataTable[[#This Row],[RATemplate]])-8),"RA") &amp; " " &amp; RADataTable[[#This Row],[prop_id0]] &amp; " " &amp; RADataTable[[#This Row],[last0]]</f>
        <v>RA 1749678 Im</v>
      </c>
      <c r="T397">
        <v>4</v>
      </c>
      <c r="U397">
        <v>4</v>
      </c>
      <c r="V397" s="34">
        <v>43032.518055555556</v>
      </c>
      <c r="W397">
        <v>1</v>
      </c>
      <c r="X397" s="15" t="str">
        <f>HYPERLINK("https://www.ejacket.nsf.gov/ej/showProposal.do?Continue=Y&amp;ID="&amp;RADataTable[[#This Row],[prop_id0]],"eJ")</f>
        <v>eJ</v>
      </c>
      <c r="Y397" s="15" t="str">
        <f>HYPERLINK("mailto:"&amp;RADataTable[[#This Row],[email]]&amp;"&amp;subject=Your NSF Proposal:  "&amp;RADataTable[[#This Row],[Div]]&amp;" "&amp;RADataTable[[#This Row],[prop_id0]], RADataTable[[#This Row],[email]])</f>
        <v>sim3@ucmerced.edu</v>
      </c>
      <c r="Z397" s="15" t="str">
        <f>HYPERLINK("mailto:"&amp;RADataTable[[#This Row],[allPIemail]]&amp;"&amp;subject=NSF Proposal:  "&amp;RADataTable[[#This Row],[Div]]&amp;" "&amp;RADataTable[[#This Row],[prop_id0]], "PIs@")</f>
        <v>PIs@</v>
      </c>
      <c r="AA397" t="s">
        <v>245</v>
      </c>
      <c r="AB397" t="s">
        <v>666</v>
      </c>
      <c r="AC397" s="30" t="s">
        <v>746</v>
      </c>
      <c r="AD397" t="s">
        <v>747</v>
      </c>
      <c r="AE397" t="s">
        <v>748</v>
      </c>
      <c r="AF397" s="36">
        <v>514477</v>
      </c>
      <c r="AG397" s="36">
        <v>514477</v>
      </c>
      <c r="AH397" s="24"/>
      <c r="AJ397" s="34"/>
      <c r="AK397" t="s">
        <v>923</v>
      </c>
      <c r="AL397" t="s">
        <v>232</v>
      </c>
      <c r="AM397" s="34" t="s">
        <v>925</v>
      </c>
      <c r="AN397" s="34">
        <v>43032</v>
      </c>
      <c r="AO397" s="24">
        <v>10</v>
      </c>
      <c r="AP397" t="s">
        <v>940</v>
      </c>
      <c r="AR397" s="35"/>
      <c r="AS397"/>
      <c r="AT397" s="34"/>
      <c r="AV397" s="34"/>
      <c r="AX397" s="34"/>
      <c r="AY397"/>
      <c r="BA397" s="34"/>
      <c r="BB397"/>
      <c r="BC397" t="s">
        <v>751</v>
      </c>
      <c r="BD397" s="36">
        <v>514477</v>
      </c>
      <c r="BE397" s="36">
        <v>514477</v>
      </c>
      <c r="BF397">
        <v>0</v>
      </c>
      <c r="BG397" s="34">
        <v>43282</v>
      </c>
      <c r="BH397">
        <v>60</v>
      </c>
      <c r="BI397" t="s">
        <v>283</v>
      </c>
      <c r="BJ397" t="s">
        <v>928</v>
      </c>
      <c r="BK397" t="s">
        <v>934</v>
      </c>
      <c r="BL397" t="s">
        <v>194</v>
      </c>
      <c r="BM397" s="8" t="s">
        <v>192</v>
      </c>
      <c r="BN397" t="s">
        <v>189</v>
      </c>
      <c r="BO397" t="s">
        <v>190</v>
      </c>
      <c r="BP397" s="35" t="s">
        <v>718</v>
      </c>
      <c r="BQ397"/>
      <c r="BU397" s="35"/>
      <c r="BV397" s="35"/>
      <c r="BX397"/>
      <c r="CA397" s="35"/>
      <c r="CB397" s="35"/>
      <c r="CC397"/>
      <c r="CG397" s="35"/>
      <c r="CH397" s="35"/>
      <c r="CK397"/>
      <c r="CM397" s="35"/>
      <c r="CN397" s="35"/>
      <c r="CQ397"/>
      <c r="CS397" s="35"/>
      <c r="CT397" s="35"/>
      <c r="CX397"/>
      <c r="CZ397" s="35"/>
      <c r="DD397" s="34"/>
      <c r="DG397" t="s">
        <v>749</v>
      </c>
      <c r="DH397" t="s">
        <v>941</v>
      </c>
      <c r="DI397" t="s">
        <v>233</v>
      </c>
      <c r="DL397" t="s">
        <v>666</v>
      </c>
      <c r="DM397">
        <v>5</v>
      </c>
      <c r="DN397">
        <v>7</v>
      </c>
      <c r="DO397" t="s">
        <v>750</v>
      </c>
      <c r="DQ397" t="s">
        <v>927</v>
      </c>
      <c r="DR397">
        <v>14</v>
      </c>
      <c r="DS397">
        <v>0</v>
      </c>
      <c r="DU397">
        <v>14</v>
      </c>
      <c r="DV397">
        <v>0</v>
      </c>
      <c r="DX397">
        <v>14</v>
      </c>
      <c r="DY397">
        <v>0</v>
      </c>
      <c r="DZ397" t="s">
        <v>246</v>
      </c>
      <c r="EA397" t="s">
        <v>929</v>
      </c>
    </row>
    <row r="398" spans="1:131" x14ac:dyDescent="0.4">
      <c r="A398" s="34">
        <v>43067.305104166669</v>
      </c>
      <c r="B398" s="25">
        <v>42934.453472222223</v>
      </c>
      <c r="D398" s="34"/>
      <c r="E398" s="34" t="s">
        <v>193</v>
      </c>
      <c r="F398" s="34" t="s">
        <v>191</v>
      </c>
      <c r="G398" s="34" t="s">
        <v>100</v>
      </c>
      <c r="H398" t="s">
        <v>279</v>
      </c>
      <c r="I398" t="s">
        <v>243</v>
      </c>
      <c r="J398" t="s">
        <v>712</v>
      </c>
      <c r="K398" t="s">
        <v>729</v>
      </c>
      <c r="L398" t="s">
        <v>711</v>
      </c>
      <c r="M398" s="30">
        <v>2.1</v>
      </c>
      <c r="N398">
        <v>6.5</v>
      </c>
      <c r="P398" s="24" t="str">
        <f>IFERROR(MID(RADataTable[[#This Row],[RATemplate]],1,LEN(RADataTable[[#This Row],[RATemplate]])-8),"RA") &amp; " " &amp; RADataTable[[#This Row],[prop_id0]] &amp; " " &amp; RADataTable[[#This Row],[last0]]</f>
        <v>RA 1749678 Im</v>
      </c>
      <c r="T398">
        <v>4</v>
      </c>
      <c r="U398">
        <v>4</v>
      </c>
      <c r="V398" s="34">
        <v>43032.518055555556</v>
      </c>
      <c r="W398">
        <v>1</v>
      </c>
      <c r="X398" s="15" t="str">
        <f>HYPERLINK("https://www.ejacket.nsf.gov/ej/showProposal.do?Continue=Y&amp;ID="&amp;RADataTable[[#This Row],[prop_id0]],"eJ")</f>
        <v>eJ</v>
      </c>
      <c r="Y398" s="15" t="str">
        <f>HYPERLINK("mailto:"&amp;RADataTable[[#This Row],[email]]&amp;"&amp;subject=Your NSF Proposal:  "&amp;RADataTable[[#This Row],[Div]]&amp;" "&amp;RADataTable[[#This Row],[prop_id0]], RADataTable[[#This Row],[email]])</f>
        <v>sim3@ucmerced.edu</v>
      </c>
      <c r="Z398" s="15" t="str">
        <f>HYPERLINK("mailto:"&amp;RADataTable[[#This Row],[allPIemail]]&amp;"&amp;subject=NSF Proposal:  "&amp;RADataTable[[#This Row],[Div]]&amp;" "&amp;RADataTable[[#This Row],[prop_id0]], "PIs@")</f>
        <v>PIs@</v>
      </c>
      <c r="AA398" t="s">
        <v>245</v>
      </c>
      <c r="AB398" t="s">
        <v>666</v>
      </c>
      <c r="AC398" s="30" t="s">
        <v>746</v>
      </c>
      <c r="AD398" t="s">
        <v>747</v>
      </c>
      <c r="AE398" t="s">
        <v>748</v>
      </c>
      <c r="AF398" s="36">
        <v>514477</v>
      </c>
      <c r="AG398" s="36">
        <v>514477</v>
      </c>
      <c r="AH398" s="24"/>
      <c r="AJ398" s="34"/>
      <c r="AK398" t="s">
        <v>923</v>
      </c>
      <c r="AL398" t="s">
        <v>232</v>
      </c>
      <c r="AM398" s="34" t="s">
        <v>925</v>
      </c>
      <c r="AN398" s="34">
        <v>43032</v>
      </c>
      <c r="AO398" s="24">
        <v>10</v>
      </c>
      <c r="AP398" t="s">
        <v>940</v>
      </c>
      <c r="AR398" s="35"/>
      <c r="AS398"/>
      <c r="AT398" s="34"/>
      <c r="AV398" s="34"/>
      <c r="AX398" s="34"/>
      <c r="AY398"/>
      <c r="BA398" s="34"/>
      <c r="BB398"/>
      <c r="BC398" t="s">
        <v>751</v>
      </c>
      <c r="BD398" s="36">
        <v>514477</v>
      </c>
      <c r="BE398" s="36">
        <v>514477</v>
      </c>
      <c r="BF398">
        <v>0</v>
      </c>
      <c r="BG398" s="34">
        <v>43282</v>
      </c>
      <c r="BH398">
        <v>60</v>
      </c>
      <c r="BI398" t="s">
        <v>283</v>
      </c>
      <c r="BJ398" t="s">
        <v>928</v>
      </c>
      <c r="BK398" t="s">
        <v>934</v>
      </c>
      <c r="BL398" t="s">
        <v>194</v>
      </c>
      <c r="BM398" s="8" t="s">
        <v>192</v>
      </c>
      <c r="BN398" t="s">
        <v>189</v>
      </c>
      <c r="BO398" t="s">
        <v>190</v>
      </c>
      <c r="BP398" s="35" t="s">
        <v>718</v>
      </c>
      <c r="BQ398"/>
      <c r="BU398" s="35"/>
      <c r="BV398" s="35"/>
      <c r="BX398"/>
      <c r="CA398" s="35"/>
      <c r="CB398" s="35"/>
      <c r="CC398"/>
      <c r="CG398" s="35"/>
      <c r="CH398" s="35"/>
      <c r="CK398"/>
      <c r="CM398" s="35"/>
      <c r="CN398" s="35"/>
      <c r="CQ398"/>
      <c r="CS398" s="35"/>
      <c r="CT398" s="35"/>
      <c r="CX398"/>
      <c r="CZ398" s="35"/>
      <c r="DD398" s="34"/>
      <c r="DG398" t="s">
        <v>749</v>
      </c>
      <c r="DH398" t="s">
        <v>941</v>
      </c>
      <c r="DI398" t="s">
        <v>233</v>
      </c>
      <c r="DL398" t="s">
        <v>666</v>
      </c>
      <c r="DM398">
        <v>5</v>
      </c>
      <c r="DN398">
        <v>7</v>
      </c>
      <c r="DO398" t="s">
        <v>750</v>
      </c>
      <c r="DQ398" t="s">
        <v>927</v>
      </c>
      <c r="DR398">
        <v>14</v>
      </c>
      <c r="DS398">
        <v>0</v>
      </c>
      <c r="DU398">
        <v>14</v>
      </c>
      <c r="DV398">
        <v>0</v>
      </c>
      <c r="DX398">
        <v>14</v>
      </c>
      <c r="DY398">
        <v>0</v>
      </c>
      <c r="DZ398" t="s">
        <v>246</v>
      </c>
      <c r="EA398" t="s">
        <v>929</v>
      </c>
    </row>
    <row r="399" spans="1:131" x14ac:dyDescent="0.4">
      <c r="A399" s="34">
        <v>43067.305104166669</v>
      </c>
      <c r="B399" s="25">
        <v>42934.453472222223</v>
      </c>
      <c r="D399" s="34"/>
      <c r="E399" s="34" t="s">
        <v>193</v>
      </c>
      <c r="F399" s="34" t="s">
        <v>191</v>
      </c>
      <c r="G399" s="34" t="s">
        <v>100</v>
      </c>
      <c r="H399" t="s">
        <v>279</v>
      </c>
      <c r="I399" t="s">
        <v>243</v>
      </c>
      <c r="J399" t="s">
        <v>712</v>
      </c>
      <c r="K399" t="s">
        <v>729</v>
      </c>
      <c r="L399" t="s">
        <v>711</v>
      </c>
      <c r="M399" s="30">
        <v>2.1</v>
      </c>
      <c r="N399">
        <v>6.5</v>
      </c>
      <c r="P399" s="24" t="str">
        <f>IFERROR(MID(RADataTable[[#This Row],[RATemplate]],1,LEN(RADataTable[[#This Row],[RATemplate]])-8),"RA") &amp; " " &amp; RADataTable[[#This Row],[prop_id0]] &amp; " " &amp; RADataTable[[#This Row],[last0]]</f>
        <v>RA 1749678 Im</v>
      </c>
      <c r="T399">
        <v>4</v>
      </c>
      <c r="U399">
        <v>4</v>
      </c>
      <c r="V399" s="34">
        <v>43032.518055555556</v>
      </c>
      <c r="W399">
        <v>1</v>
      </c>
      <c r="X399" s="15" t="str">
        <f>HYPERLINK("https://www.ejacket.nsf.gov/ej/showProposal.do?Continue=Y&amp;ID="&amp;RADataTable[[#This Row],[prop_id0]],"eJ")</f>
        <v>eJ</v>
      </c>
      <c r="Y399" s="15" t="str">
        <f>HYPERLINK("mailto:"&amp;RADataTable[[#This Row],[email]]&amp;"&amp;subject=Your NSF Proposal:  "&amp;RADataTable[[#This Row],[Div]]&amp;" "&amp;RADataTable[[#This Row],[prop_id0]], RADataTable[[#This Row],[email]])</f>
        <v>sim3@ucmerced.edu</v>
      </c>
      <c r="Z399" s="15" t="str">
        <f>HYPERLINK("mailto:"&amp;RADataTable[[#This Row],[allPIemail]]&amp;"&amp;subject=NSF Proposal:  "&amp;RADataTable[[#This Row],[Div]]&amp;" "&amp;RADataTable[[#This Row],[prop_id0]], "PIs@")</f>
        <v>PIs@</v>
      </c>
      <c r="AA399" t="s">
        <v>245</v>
      </c>
      <c r="AB399" t="s">
        <v>666</v>
      </c>
      <c r="AC399" s="30" t="s">
        <v>746</v>
      </c>
      <c r="AD399" t="s">
        <v>747</v>
      </c>
      <c r="AE399" t="s">
        <v>748</v>
      </c>
      <c r="AF399" s="36">
        <v>514477</v>
      </c>
      <c r="AG399" s="36">
        <v>514477</v>
      </c>
      <c r="AH399" s="24"/>
      <c r="AJ399" s="34"/>
      <c r="AK399" t="s">
        <v>923</v>
      </c>
      <c r="AL399" t="s">
        <v>232</v>
      </c>
      <c r="AM399" s="34" t="s">
        <v>925</v>
      </c>
      <c r="AN399" s="34">
        <v>43032</v>
      </c>
      <c r="AO399" s="24">
        <v>10</v>
      </c>
      <c r="AP399" t="s">
        <v>940</v>
      </c>
      <c r="AR399" s="35"/>
      <c r="AS399"/>
      <c r="AT399" s="34"/>
      <c r="AV399" s="34"/>
      <c r="AX399" s="34"/>
      <c r="AY399"/>
      <c r="BA399" s="34"/>
      <c r="BB399"/>
      <c r="BC399" t="s">
        <v>751</v>
      </c>
      <c r="BD399" s="36">
        <v>514477</v>
      </c>
      <c r="BE399" s="36">
        <v>514477</v>
      </c>
      <c r="BF399">
        <v>0</v>
      </c>
      <c r="BG399" s="34">
        <v>43282</v>
      </c>
      <c r="BH399">
        <v>60</v>
      </c>
      <c r="BI399" t="s">
        <v>283</v>
      </c>
      <c r="BJ399" t="s">
        <v>928</v>
      </c>
      <c r="BK399" t="s">
        <v>934</v>
      </c>
      <c r="BL399" t="s">
        <v>194</v>
      </c>
      <c r="BM399" s="8" t="s">
        <v>192</v>
      </c>
      <c r="BN399" t="s">
        <v>189</v>
      </c>
      <c r="BO399" t="s">
        <v>190</v>
      </c>
      <c r="BP399" s="35" t="s">
        <v>718</v>
      </c>
      <c r="BQ399"/>
      <c r="BU399" s="35"/>
      <c r="BV399" s="35"/>
      <c r="BX399"/>
      <c r="CA399" s="35"/>
      <c r="CB399" s="35"/>
      <c r="CC399"/>
      <c r="CG399" s="35"/>
      <c r="CH399" s="35"/>
      <c r="CK399"/>
      <c r="CM399" s="35"/>
      <c r="CN399" s="35"/>
      <c r="CQ399"/>
      <c r="CS399" s="35"/>
      <c r="CT399" s="35"/>
      <c r="CX399"/>
      <c r="CZ399" s="35"/>
      <c r="DD399" s="34"/>
      <c r="DG399" t="s">
        <v>749</v>
      </c>
      <c r="DH399" t="s">
        <v>941</v>
      </c>
      <c r="DI399" t="s">
        <v>233</v>
      </c>
      <c r="DL399" t="s">
        <v>666</v>
      </c>
      <c r="DM399">
        <v>5</v>
      </c>
      <c r="DN399">
        <v>7</v>
      </c>
      <c r="DO399" t="s">
        <v>750</v>
      </c>
      <c r="DQ399" t="s">
        <v>927</v>
      </c>
      <c r="DR399">
        <v>14</v>
      </c>
      <c r="DS399">
        <v>0</v>
      </c>
      <c r="DU399">
        <v>14</v>
      </c>
      <c r="DV399">
        <v>0</v>
      </c>
      <c r="DX399">
        <v>14</v>
      </c>
      <c r="DY399">
        <v>0</v>
      </c>
      <c r="DZ399" t="s">
        <v>246</v>
      </c>
      <c r="EA399" t="s">
        <v>929</v>
      </c>
    </row>
    <row r="400" spans="1:131" x14ac:dyDescent="0.4">
      <c r="A400" s="34">
        <v>43067.305104166669</v>
      </c>
      <c r="B400" s="25">
        <v>42934.453472222223</v>
      </c>
      <c r="D400" s="34"/>
      <c r="E400" s="34" t="s">
        <v>193</v>
      </c>
      <c r="F400" s="34" t="s">
        <v>191</v>
      </c>
      <c r="G400" s="34" t="s">
        <v>100</v>
      </c>
      <c r="H400" t="s">
        <v>279</v>
      </c>
      <c r="I400" t="s">
        <v>243</v>
      </c>
      <c r="J400" t="s">
        <v>712</v>
      </c>
      <c r="K400" t="s">
        <v>729</v>
      </c>
      <c r="L400" t="s">
        <v>711</v>
      </c>
      <c r="M400" s="30">
        <v>2.1</v>
      </c>
      <c r="N400">
        <v>6.5</v>
      </c>
      <c r="P400" s="24" t="str">
        <f>IFERROR(MID(RADataTable[[#This Row],[RATemplate]],1,LEN(RADataTable[[#This Row],[RATemplate]])-8),"RA") &amp; " " &amp; RADataTable[[#This Row],[prop_id0]] &amp; " " &amp; RADataTable[[#This Row],[last0]]</f>
        <v>RA 1749678 Im</v>
      </c>
      <c r="T400">
        <v>4</v>
      </c>
      <c r="U400">
        <v>4</v>
      </c>
      <c r="V400" s="34">
        <v>43032.518055555556</v>
      </c>
      <c r="W400">
        <v>1</v>
      </c>
      <c r="X400" s="15" t="str">
        <f>HYPERLINK("https://www.ejacket.nsf.gov/ej/showProposal.do?Continue=Y&amp;ID="&amp;RADataTable[[#This Row],[prop_id0]],"eJ")</f>
        <v>eJ</v>
      </c>
      <c r="Y400" s="15" t="str">
        <f>HYPERLINK("mailto:"&amp;RADataTable[[#This Row],[email]]&amp;"&amp;subject=Your NSF Proposal:  "&amp;RADataTable[[#This Row],[Div]]&amp;" "&amp;RADataTable[[#This Row],[prop_id0]], RADataTable[[#This Row],[email]])</f>
        <v>sim3@ucmerced.edu</v>
      </c>
      <c r="Z400" s="15" t="str">
        <f>HYPERLINK("mailto:"&amp;RADataTable[[#This Row],[allPIemail]]&amp;"&amp;subject=NSF Proposal:  "&amp;RADataTable[[#This Row],[Div]]&amp;" "&amp;RADataTable[[#This Row],[prop_id0]], "PIs@")</f>
        <v>PIs@</v>
      </c>
      <c r="AA400" t="s">
        <v>245</v>
      </c>
      <c r="AB400" t="s">
        <v>666</v>
      </c>
      <c r="AC400" s="30" t="s">
        <v>746</v>
      </c>
      <c r="AD400" t="s">
        <v>747</v>
      </c>
      <c r="AE400" t="s">
        <v>748</v>
      </c>
      <c r="AF400" s="36">
        <v>514477</v>
      </c>
      <c r="AG400" s="36">
        <v>514477</v>
      </c>
      <c r="AH400" s="24"/>
      <c r="AJ400" s="34"/>
      <c r="AK400" t="s">
        <v>923</v>
      </c>
      <c r="AL400" t="s">
        <v>232</v>
      </c>
      <c r="AM400" s="34" t="s">
        <v>925</v>
      </c>
      <c r="AN400" s="34">
        <v>43032</v>
      </c>
      <c r="AO400" s="24">
        <v>10</v>
      </c>
      <c r="AP400" t="s">
        <v>940</v>
      </c>
      <c r="AR400" s="35"/>
      <c r="AS400"/>
      <c r="AT400" s="34"/>
      <c r="AV400" s="34"/>
      <c r="AX400" s="34"/>
      <c r="AY400"/>
      <c r="BA400" s="34"/>
      <c r="BB400"/>
      <c r="BC400" t="s">
        <v>751</v>
      </c>
      <c r="BD400" s="36">
        <v>514477</v>
      </c>
      <c r="BE400" s="36">
        <v>514477</v>
      </c>
      <c r="BF400">
        <v>0</v>
      </c>
      <c r="BG400" s="34">
        <v>43282</v>
      </c>
      <c r="BH400">
        <v>60</v>
      </c>
      <c r="BI400" t="s">
        <v>283</v>
      </c>
      <c r="BJ400" t="s">
        <v>928</v>
      </c>
      <c r="BK400" t="s">
        <v>934</v>
      </c>
      <c r="BL400" t="s">
        <v>194</v>
      </c>
      <c r="BM400" s="8" t="s">
        <v>192</v>
      </c>
      <c r="BN400" t="s">
        <v>189</v>
      </c>
      <c r="BO400" t="s">
        <v>190</v>
      </c>
      <c r="BP400" s="35" t="s">
        <v>718</v>
      </c>
      <c r="BQ400"/>
      <c r="BU400" s="35"/>
      <c r="BV400" s="35"/>
      <c r="BX400"/>
      <c r="CA400" s="35"/>
      <c r="CB400" s="35"/>
      <c r="CC400"/>
      <c r="CG400" s="35"/>
      <c r="CH400" s="35"/>
      <c r="CK400"/>
      <c r="CM400" s="35"/>
      <c r="CN400" s="35"/>
      <c r="CQ400"/>
      <c r="CS400" s="35"/>
      <c r="CT400" s="35"/>
      <c r="CX400"/>
      <c r="CZ400" s="35"/>
      <c r="DD400" s="34"/>
      <c r="DG400" t="s">
        <v>749</v>
      </c>
      <c r="DH400" t="s">
        <v>941</v>
      </c>
      <c r="DI400" t="s">
        <v>233</v>
      </c>
      <c r="DL400" t="s">
        <v>666</v>
      </c>
      <c r="DM400">
        <v>5</v>
      </c>
      <c r="DN400">
        <v>7</v>
      </c>
      <c r="DO400" t="s">
        <v>750</v>
      </c>
      <c r="DQ400" t="s">
        <v>927</v>
      </c>
      <c r="DR400">
        <v>14</v>
      </c>
      <c r="DS400">
        <v>0</v>
      </c>
      <c r="DU400">
        <v>14</v>
      </c>
      <c r="DV400">
        <v>0</v>
      </c>
      <c r="DX400">
        <v>14</v>
      </c>
      <c r="DY400">
        <v>0</v>
      </c>
      <c r="DZ400" t="s">
        <v>246</v>
      </c>
      <c r="EA400" t="s">
        <v>929</v>
      </c>
    </row>
    <row r="401" spans="1:131" x14ac:dyDescent="0.4">
      <c r="A401" s="34">
        <v>43067.305104166669</v>
      </c>
      <c r="B401" s="25">
        <v>42934.453472222223</v>
      </c>
      <c r="D401" s="34"/>
      <c r="E401" s="34" t="s">
        <v>193</v>
      </c>
      <c r="F401" s="34" t="s">
        <v>191</v>
      </c>
      <c r="G401" s="34" t="s">
        <v>100</v>
      </c>
      <c r="H401" t="s">
        <v>279</v>
      </c>
      <c r="I401" t="s">
        <v>243</v>
      </c>
      <c r="J401" t="s">
        <v>712</v>
      </c>
      <c r="K401" t="s">
        <v>729</v>
      </c>
      <c r="L401" t="s">
        <v>711</v>
      </c>
      <c r="M401" s="30">
        <v>2.1</v>
      </c>
      <c r="N401">
        <v>6.5</v>
      </c>
      <c r="P401" s="24" t="str">
        <f>IFERROR(MID(RADataTable[[#This Row],[RATemplate]],1,LEN(RADataTable[[#This Row],[RATemplate]])-8),"RA") &amp; " " &amp; RADataTable[[#This Row],[prop_id0]] &amp; " " &amp; RADataTable[[#This Row],[last0]]</f>
        <v>RA 1749678 Im</v>
      </c>
      <c r="T401">
        <v>4</v>
      </c>
      <c r="U401">
        <v>4</v>
      </c>
      <c r="V401" s="34">
        <v>43032.518055555556</v>
      </c>
      <c r="W401">
        <v>1</v>
      </c>
      <c r="X401" s="15" t="str">
        <f>HYPERLINK("https://www.ejacket.nsf.gov/ej/showProposal.do?Continue=Y&amp;ID="&amp;RADataTable[[#This Row],[prop_id0]],"eJ")</f>
        <v>eJ</v>
      </c>
      <c r="Y401" s="15" t="str">
        <f>HYPERLINK("mailto:"&amp;RADataTable[[#This Row],[email]]&amp;"&amp;subject=Your NSF Proposal:  "&amp;RADataTable[[#This Row],[Div]]&amp;" "&amp;RADataTable[[#This Row],[prop_id0]], RADataTable[[#This Row],[email]])</f>
        <v>sim3@ucmerced.edu</v>
      </c>
      <c r="Z401" s="15" t="str">
        <f>HYPERLINK("mailto:"&amp;RADataTable[[#This Row],[allPIemail]]&amp;"&amp;subject=NSF Proposal:  "&amp;RADataTable[[#This Row],[Div]]&amp;" "&amp;RADataTable[[#This Row],[prop_id0]], "PIs@")</f>
        <v>PIs@</v>
      </c>
      <c r="AA401" t="s">
        <v>245</v>
      </c>
      <c r="AB401" t="s">
        <v>666</v>
      </c>
      <c r="AC401" s="30" t="s">
        <v>746</v>
      </c>
      <c r="AD401" t="s">
        <v>747</v>
      </c>
      <c r="AE401" t="s">
        <v>748</v>
      </c>
      <c r="AF401" s="36">
        <v>514477</v>
      </c>
      <c r="AG401" s="36">
        <v>514477</v>
      </c>
      <c r="AH401" s="24"/>
      <c r="AJ401" s="34"/>
      <c r="AK401" t="s">
        <v>923</v>
      </c>
      <c r="AL401" t="s">
        <v>232</v>
      </c>
      <c r="AM401" s="34" t="s">
        <v>925</v>
      </c>
      <c r="AN401" s="34">
        <v>43032</v>
      </c>
      <c r="AO401" s="24">
        <v>10</v>
      </c>
      <c r="AP401" t="s">
        <v>940</v>
      </c>
      <c r="AR401" s="35"/>
      <c r="AS401"/>
      <c r="AT401" s="34"/>
      <c r="AV401" s="34"/>
      <c r="AX401" s="34"/>
      <c r="AY401"/>
      <c r="BA401" s="34"/>
      <c r="BB401"/>
      <c r="BC401" t="s">
        <v>751</v>
      </c>
      <c r="BD401" s="36">
        <v>514477</v>
      </c>
      <c r="BE401" s="36">
        <v>514477</v>
      </c>
      <c r="BF401">
        <v>0</v>
      </c>
      <c r="BG401" s="34">
        <v>43282</v>
      </c>
      <c r="BH401">
        <v>60</v>
      </c>
      <c r="BI401" t="s">
        <v>283</v>
      </c>
      <c r="BJ401" t="s">
        <v>928</v>
      </c>
      <c r="BK401" t="s">
        <v>934</v>
      </c>
      <c r="BL401" t="s">
        <v>194</v>
      </c>
      <c r="BM401" s="8" t="s">
        <v>192</v>
      </c>
      <c r="BN401" t="s">
        <v>189</v>
      </c>
      <c r="BO401" t="s">
        <v>190</v>
      </c>
      <c r="BP401" s="35" t="s">
        <v>718</v>
      </c>
      <c r="BQ401"/>
      <c r="BU401" s="35"/>
      <c r="BV401" s="35"/>
      <c r="BX401"/>
      <c r="CA401" s="35"/>
      <c r="CB401" s="35"/>
      <c r="CC401"/>
      <c r="CG401" s="35"/>
      <c r="CH401" s="35"/>
      <c r="CK401"/>
      <c r="CM401" s="35"/>
      <c r="CN401" s="35"/>
      <c r="CQ401"/>
      <c r="CS401" s="35"/>
      <c r="CT401" s="35"/>
      <c r="CX401"/>
      <c r="CZ401" s="35"/>
      <c r="DD401" s="34"/>
      <c r="DG401" t="s">
        <v>749</v>
      </c>
      <c r="DH401" t="s">
        <v>941</v>
      </c>
      <c r="DI401" t="s">
        <v>233</v>
      </c>
      <c r="DL401" t="s">
        <v>666</v>
      </c>
      <c r="DM401">
        <v>5</v>
      </c>
      <c r="DN401">
        <v>7</v>
      </c>
      <c r="DO401" t="s">
        <v>750</v>
      </c>
      <c r="DQ401" t="s">
        <v>927</v>
      </c>
      <c r="DR401">
        <v>14</v>
      </c>
      <c r="DS401">
        <v>0</v>
      </c>
      <c r="DU401">
        <v>14</v>
      </c>
      <c r="DV401">
        <v>0</v>
      </c>
      <c r="DX401">
        <v>14</v>
      </c>
      <c r="DY401">
        <v>0</v>
      </c>
      <c r="DZ401" t="s">
        <v>246</v>
      </c>
      <c r="EA401" t="s">
        <v>929</v>
      </c>
    </row>
    <row r="402" spans="1:131" x14ac:dyDescent="0.4">
      <c r="A402" s="34">
        <v>43067.305104166669</v>
      </c>
      <c r="B402" s="25">
        <v>42934.453472222223</v>
      </c>
      <c r="D402" s="34"/>
      <c r="E402" s="34" t="s">
        <v>193</v>
      </c>
      <c r="F402" s="34" t="s">
        <v>191</v>
      </c>
      <c r="G402" s="34" t="s">
        <v>100</v>
      </c>
      <c r="H402" t="s">
        <v>279</v>
      </c>
      <c r="I402" t="s">
        <v>243</v>
      </c>
      <c r="J402" t="s">
        <v>712</v>
      </c>
      <c r="K402" t="s">
        <v>729</v>
      </c>
      <c r="L402" t="s">
        <v>711</v>
      </c>
      <c r="M402" s="30">
        <v>2.1</v>
      </c>
      <c r="N402">
        <v>6.5</v>
      </c>
      <c r="P402" s="24" t="str">
        <f>IFERROR(MID(RADataTable[[#This Row],[RATemplate]],1,LEN(RADataTable[[#This Row],[RATemplate]])-8),"RA") &amp; " " &amp; RADataTable[[#This Row],[prop_id0]] &amp; " " &amp; RADataTable[[#This Row],[last0]]</f>
        <v>RA 1749678 Im</v>
      </c>
      <c r="T402">
        <v>4</v>
      </c>
      <c r="U402">
        <v>4</v>
      </c>
      <c r="V402" s="34">
        <v>43032.518055555556</v>
      </c>
      <c r="W402">
        <v>1</v>
      </c>
      <c r="X402" s="15" t="str">
        <f>HYPERLINK("https://www.ejacket.nsf.gov/ej/showProposal.do?Continue=Y&amp;ID="&amp;RADataTable[[#This Row],[prop_id0]],"eJ")</f>
        <v>eJ</v>
      </c>
      <c r="Y402" s="15" t="str">
        <f>HYPERLINK("mailto:"&amp;RADataTable[[#This Row],[email]]&amp;"&amp;subject=Your NSF Proposal:  "&amp;RADataTable[[#This Row],[Div]]&amp;" "&amp;RADataTable[[#This Row],[prop_id0]], RADataTable[[#This Row],[email]])</f>
        <v>sim3@ucmerced.edu</v>
      </c>
      <c r="Z402" s="15" t="str">
        <f>HYPERLINK("mailto:"&amp;RADataTable[[#This Row],[allPIemail]]&amp;"&amp;subject=NSF Proposal:  "&amp;RADataTable[[#This Row],[Div]]&amp;" "&amp;RADataTable[[#This Row],[prop_id0]], "PIs@")</f>
        <v>PIs@</v>
      </c>
      <c r="AA402" t="s">
        <v>245</v>
      </c>
      <c r="AB402" t="s">
        <v>666</v>
      </c>
      <c r="AC402" s="30" t="s">
        <v>746</v>
      </c>
      <c r="AD402" t="s">
        <v>747</v>
      </c>
      <c r="AE402" t="s">
        <v>748</v>
      </c>
      <c r="AF402" s="36">
        <v>514477</v>
      </c>
      <c r="AG402" s="36">
        <v>514477</v>
      </c>
      <c r="AH402" s="24"/>
      <c r="AJ402" s="34"/>
      <c r="AK402" t="s">
        <v>923</v>
      </c>
      <c r="AL402" t="s">
        <v>232</v>
      </c>
      <c r="AM402" s="34" t="s">
        <v>925</v>
      </c>
      <c r="AN402" s="34">
        <v>43032</v>
      </c>
      <c r="AO402" s="24">
        <v>10</v>
      </c>
      <c r="AP402" t="s">
        <v>940</v>
      </c>
      <c r="AR402" s="35"/>
      <c r="AS402"/>
      <c r="AT402" s="34"/>
      <c r="AV402" s="34"/>
      <c r="AX402" s="34"/>
      <c r="AY402"/>
      <c r="BA402" s="34"/>
      <c r="BB402"/>
      <c r="BC402" t="s">
        <v>751</v>
      </c>
      <c r="BD402" s="36">
        <v>514477</v>
      </c>
      <c r="BE402" s="36">
        <v>514477</v>
      </c>
      <c r="BF402">
        <v>0</v>
      </c>
      <c r="BG402" s="34">
        <v>43282</v>
      </c>
      <c r="BH402">
        <v>60</v>
      </c>
      <c r="BI402" t="s">
        <v>283</v>
      </c>
      <c r="BJ402" t="s">
        <v>928</v>
      </c>
      <c r="BK402" t="s">
        <v>934</v>
      </c>
      <c r="BL402" t="s">
        <v>194</v>
      </c>
      <c r="BM402" s="8" t="s">
        <v>192</v>
      </c>
      <c r="BN402" t="s">
        <v>189</v>
      </c>
      <c r="BO402" t="s">
        <v>190</v>
      </c>
      <c r="BP402" s="35" t="s">
        <v>718</v>
      </c>
      <c r="BQ402"/>
      <c r="BU402" s="35"/>
      <c r="BV402" s="35"/>
      <c r="BX402"/>
      <c r="CA402" s="35"/>
      <c r="CB402" s="35"/>
      <c r="CC402"/>
      <c r="CG402" s="35"/>
      <c r="CH402" s="35"/>
      <c r="CK402"/>
      <c r="CM402" s="35"/>
      <c r="CN402" s="35"/>
      <c r="CQ402"/>
      <c r="CS402" s="35"/>
      <c r="CT402" s="35"/>
      <c r="CX402"/>
      <c r="CZ402" s="35"/>
      <c r="DD402" s="34"/>
      <c r="DG402" t="s">
        <v>749</v>
      </c>
      <c r="DH402" t="s">
        <v>941</v>
      </c>
      <c r="DI402" t="s">
        <v>233</v>
      </c>
      <c r="DL402" t="s">
        <v>666</v>
      </c>
      <c r="DM402">
        <v>5</v>
      </c>
      <c r="DN402">
        <v>7</v>
      </c>
      <c r="DO402" t="s">
        <v>750</v>
      </c>
      <c r="DQ402" t="s">
        <v>927</v>
      </c>
      <c r="DR402">
        <v>14</v>
      </c>
      <c r="DS402">
        <v>0</v>
      </c>
      <c r="DU402">
        <v>14</v>
      </c>
      <c r="DV402">
        <v>0</v>
      </c>
      <c r="DX402">
        <v>14</v>
      </c>
      <c r="DY402">
        <v>0</v>
      </c>
      <c r="DZ402" t="s">
        <v>246</v>
      </c>
      <c r="EA402" t="s">
        <v>929</v>
      </c>
    </row>
    <row r="403" spans="1:131" x14ac:dyDescent="0.4">
      <c r="A403" s="34">
        <v>43067.305104166669</v>
      </c>
      <c r="B403" s="25">
        <v>42934.453472222223</v>
      </c>
      <c r="D403" s="34"/>
      <c r="E403" s="34" t="s">
        <v>193</v>
      </c>
      <c r="F403" s="34" t="s">
        <v>191</v>
      </c>
      <c r="G403" s="34" t="s">
        <v>100</v>
      </c>
      <c r="H403" t="s">
        <v>279</v>
      </c>
      <c r="I403" t="s">
        <v>243</v>
      </c>
      <c r="J403" t="s">
        <v>712</v>
      </c>
      <c r="K403" t="s">
        <v>729</v>
      </c>
      <c r="L403" t="s">
        <v>711</v>
      </c>
      <c r="M403" s="30">
        <v>2.1</v>
      </c>
      <c r="N403">
        <v>6.5</v>
      </c>
      <c r="P403" s="24" t="str">
        <f>IFERROR(MID(RADataTable[[#This Row],[RATemplate]],1,LEN(RADataTable[[#This Row],[RATemplate]])-8),"RA") &amp; " " &amp; RADataTable[[#This Row],[prop_id0]] &amp; " " &amp; RADataTable[[#This Row],[last0]]</f>
        <v>RA 1749678 Im</v>
      </c>
      <c r="T403">
        <v>4</v>
      </c>
      <c r="U403">
        <v>4</v>
      </c>
      <c r="V403" s="34">
        <v>43032.518055555556</v>
      </c>
      <c r="W403">
        <v>1</v>
      </c>
      <c r="X403" s="15" t="str">
        <f>HYPERLINK("https://www.ejacket.nsf.gov/ej/showProposal.do?Continue=Y&amp;ID="&amp;RADataTable[[#This Row],[prop_id0]],"eJ")</f>
        <v>eJ</v>
      </c>
      <c r="Y403" s="15" t="str">
        <f>HYPERLINK("mailto:"&amp;RADataTable[[#This Row],[email]]&amp;"&amp;subject=Your NSF Proposal:  "&amp;RADataTable[[#This Row],[Div]]&amp;" "&amp;RADataTable[[#This Row],[prop_id0]], RADataTable[[#This Row],[email]])</f>
        <v>sim3@ucmerced.edu</v>
      </c>
      <c r="Z403" s="15" t="str">
        <f>HYPERLINK("mailto:"&amp;RADataTable[[#This Row],[allPIemail]]&amp;"&amp;subject=NSF Proposal:  "&amp;RADataTable[[#This Row],[Div]]&amp;" "&amp;RADataTable[[#This Row],[prop_id0]], "PIs@")</f>
        <v>PIs@</v>
      </c>
      <c r="AA403" t="s">
        <v>245</v>
      </c>
      <c r="AB403" t="s">
        <v>666</v>
      </c>
      <c r="AC403" s="30" t="s">
        <v>746</v>
      </c>
      <c r="AD403" t="s">
        <v>747</v>
      </c>
      <c r="AE403" t="s">
        <v>748</v>
      </c>
      <c r="AF403" s="36">
        <v>514477</v>
      </c>
      <c r="AG403" s="36">
        <v>514477</v>
      </c>
      <c r="AH403" s="24"/>
      <c r="AJ403" s="34"/>
      <c r="AK403" t="s">
        <v>923</v>
      </c>
      <c r="AL403" t="s">
        <v>232</v>
      </c>
      <c r="AM403" s="34" t="s">
        <v>925</v>
      </c>
      <c r="AN403" s="34">
        <v>43032</v>
      </c>
      <c r="AO403" s="24">
        <v>10</v>
      </c>
      <c r="AP403" t="s">
        <v>940</v>
      </c>
      <c r="AR403" s="35"/>
      <c r="AS403"/>
      <c r="AT403" s="34"/>
      <c r="AV403" s="34"/>
      <c r="AX403" s="34"/>
      <c r="AY403"/>
      <c r="BA403" s="34"/>
      <c r="BB403"/>
      <c r="BC403" t="s">
        <v>751</v>
      </c>
      <c r="BD403" s="36">
        <v>514477</v>
      </c>
      <c r="BE403" s="36">
        <v>514477</v>
      </c>
      <c r="BF403">
        <v>0</v>
      </c>
      <c r="BG403" s="34">
        <v>43282</v>
      </c>
      <c r="BH403">
        <v>60</v>
      </c>
      <c r="BI403" t="s">
        <v>283</v>
      </c>
      <c r="BJ403" t="s">
        <v>928</v>
      </c>
      <c r="BK403" t="s">
        <v>934</v>
      </c>
      <c r="BL403" t="s">
        <v>194</v>
      </c>
      <c r="BM403" s="8" t="s">
        <v>192</v>
      </c>
      <c r="BN403" t="s">
        <v>189</v>
      </c>
      <c r="BO403" t="s">
        <v>190</v>
      </c>
      <c r="BP403" s="35" t="s">
        <v>718</v>
      </c>
      <c r="BQ403"/>
      <c r="BU403" s="35"/>
      <c r="BV403" s="35"/>
      <c r="BX403"/>
      <c r="CA403" s="35"/>
      <c r="CB403" s="35"/>
      <c r="CC403"/>
      <c r="CG403" s="35"/>
      <c r="CH403" s="35"/>
      <c r="CK403"/>
      <c r="CM403" s="35"/>
      <c r="CN403" s="35"/>
      <c r="CQ403"/>
      <c r="CS403" s="35"/>
      <c r="CT403" s="35"/>
      <c r="CX403"/>
      <c r="CZ403" s="35"/>
      <c r="DD403" s="34"/>
      <c r="DG403" t="s">
        <v>749</v>
      </c>
      <c r="DH403" t="s">
        <v>941</v>
      </c>
      <c r="DI403" t="s">
        <v>233</v>
      </c>
      <c r="DL403" t="s">
        <v>666</v>
      </c>
      <c r="DM403">
        <v>5</v>
      </c>
      <c r="DN403">
        <v>7</v>
      </c>
      <c r="DO403" t="s">
        <v>750</v>
      </c>
      <c r="DQ403" t="s">
        <v>927</v>
      </c>
      <c r="DR403">
        <v>14</v>
      </c>
      <c r="DS403">
        <v>0</v>
      </c>
      <c r="DU403">
        <v>14</v>
      </c>
      <c r="DV403">
        <v>0</v>
      </c>
      <c r="DX403">
        <v>14</v>
      </c>
      <c r="DY403">
        <v>0</v>
      </c>
      <c r="DZ403" t="s">
        <v>246</v>
      </c>
      <c r="EA403" t="s">
        <v>929</v>
      </c>
    </row>
    <row r="404" spans="1:131" x14ac:dyDescent="0.4">
      <c r="A404" s="34">
        <v>43067.305104166669</v>
      </c>
      <c r="B404" s="25">
        <v>42934.453472222223</v>
      </c>
      <c r="D404" s="34"/>
      <c r="E404" s="34" t="s">
        <v>193</v>
      </c>
      <c r="F404" s="34" t="s">
        <v>191</v>
      </c>
      <c r="G404" s="34" t="s">
        <v>100</v>
      </c>
      <c r="H404" t="s">
        <v>279</v>
      </c>
      <c r="I404" t="s">
        <v>243</v>
      </c>
      <c r="J404" t="s">
        <v>712</v>
      </c>
      <c r="K404" t="s">
        <v>729</v>
      </c>
      <c r="L404" t="s">
        <v>711</v>
      </c>
      <c r="M404" s="30">
        <v>2.1</v>
      </c>
      <c r="N404">
        <v>6.5</v>
      </c>
      <c r="P404" s="24" t="str">
        <f>IFERROR(MID(RADataTable[[#This Row],[RATemplate]],1,LEN(RADataTable[[#This Row],[RATemplate]])-8),"RA") &amp; " " &amp; RADataTable[[#This Row],[prop_id0]] &amp; " " &amp; RADataTable[[#This Row],[last0]]</f>
        <v>RA 1749678 Im</v>
      </c>
      <c r="T404">
        <v>4</v>
      </c>
      <c r="U404">
        <v>4</v>
      </c>
      <c r="V404" s="34">
        <v>43032.518055555556</v>
      </c>
      <c r="W404">
        <v>1</v>
      </c>
      <c r="X404" s="15" t="str">
        <f>HYPERLINK("https://www.ejacket.nsf.gov/ej/showProposal.do?Continue=Y&amp;ID="&amp;RADataTable[[#This Row],[prop_id0]],"eJ")</f>
        <v>eJ</v>
      </c>
      <c r="Y404" s="15" t="str">
        <f>HYPERLINK("mailto:"&amp;RADataTable[[#This Row],[email]]&amp;"&amp;subject=Your NSF Proposal:  "&amp;RADataTable[[#This Row],[Div]]&amp;" "&amp;RADataTable[[#This Row],[prop_id0]], RADataTable[[#This Row],[email]])</f>
        <v>sim3@ucmerced.edu</v>
      </c>
      <c r="Z404" s="15" t="str">
        <f>HYPERLINK("mailto:"&amp;RADataTable[[#This Row],[allPIemail]]&amp;"&amp;subject=NSF Proposal:  "&amp;RADataTable[[#This Row],[Div]]&amp;" "&amp;RADataTable[[#This Row],[prop_id0]], "PIs@")</f>
        <v>PIs@</v>
      </c>
      <c r="AA404" t="s">
        <v>245</v>
      </c>
      <c r="AB404" t="s">
        <v>666</v>
      </c>
      <c r="AC404" s="30" t="s">
        <v>746</v>
      </c>
      <c r="AD404" t="s">
        <v>747</v>
      </c>
      <c r="AE404" t="s">
        <v>748</v>
      </c>
      <c r="AF404" s="36">
        <v>514477</v>
      </c>
      <c r="AG404" s="36">
        <v>514477</v>
      </c>
      <c r="AH404" s="24"/>
      <c r="AJ404" s="34"/>
      <c r="AK404" t="s">
        <v>923</v>
      </c>
      <c r="AL404" t="s">
        <v>232</v>
      </c>
      <c r="AM404" s="34" t="s">
        <v>925</v>
      </c>
      <c r="AN404" s="34">
        <v>43032</v>
      </c>
      <c r="AO404" s="24">
        <v>10</v>
      </c>
      <c r="AP404" t="s">
        <v>940</v>
      </c>
      <c r="AR404" s="35"/>
      <c r="AS404"/>
      <c r="AT404" s="34"/>
      <c r="AV404" s="34"/>
      <c r="AX404" s="34"/>
      <c r="AY404"/>
      <c r="BA404" s="34"/>
      <c r="BB404"/>
      <c r="BC404" t="s">
        <v>751</v>
      </c>
      <c r="BD404" s="36">
        <v>514477</v>
      </c>
      <c r="BE404" s="36">
        <v>514477</v>
      </c>
      <c r="BF404">
        <v>0</v>
      </c>
      <c r="BG404" s="34">
        <v>43282</v>
      </c>
      <c r="BH404">
        <v>60</v>
      </c>
      <c r="BI404" t="s">
        <v>283</v>
      </c>
      <c r="BJ404" t="s">
        <v>928</v>
      </c>
      <c r="BK404" t="s">
        <v>934</v>
      </c>
      <c r="BL404" t="s">
        <v>194</v>
      </c>
      <c r="BM404" s="8" t="s">
        <v>192</v>
      </c>
      <c r="BN404" t="s">
        <v>189</v>
      </c>
      <c r="BO404" t="s">
        <v>190</v>
      </c>
      <c r="BP404" s="35" t="s">
        <v>718</v>
      </c>
      <c r="BQ404"/>
      <c r="BU404" s="35"/>
      <c r="BV404" s="35"/>
      <c r="BX404"/>
      <c r="CA404" s="35"/>
      <c r="CB404" s="35"/>
      <c r="CC404"/>
      <c r="CG404" s="35"/>
      <c r="CH404" s="35"/>
      <c r="CK404"/>
      <c r="CM404" s="35"/>
      <c r="CN404" s="35"/>
      <c r="CQ404"/>
      <c r="CS404" s="35"/>
      <c r="CT404" s="35"/>
      <c r="CX404"/>
      <c r="CZ404" s="35"/>
      <c r="DD404" s="34"/>
      <c r="DG404" t="s">
        <v>749</v>
      </c>
      <c r="DH404" t="s">
        <v>941</v>
      </c>
      <c r="DI404" t="s">
        <v>233</v>
      </c>
      <c r="DL404" t="s">
        <v>666</v>
      </c>
      <c r="DM404">
        <v>5</v>
      </c>
      <c r="DN404">
        <v>7</v>
      </c>
      <c r="DO404" t="s">
        <v>750</v>
      </c>
      <c r="DQ404" t="s">
        <v>927</v>
      </c>
      <c r="DR404">
        <v>14</v>
      </c>
      <c r="DS404">
        <v>0</v>
      </c>
      <c r="DU404">
        <v>14</v>
      </c>
      <c r="DV404">
        <v>0</v>
      </c>
      <c r="DX404">
        <v>14</v>
      </c>
      <c r="DY404">
        <v>0</v>
      </c>
      <c r="DZ404" t="s">
        <v>246</v>
      </c>
      <c r="EA404" t="s">
        <v>929</v>
      </c>
    </row>
    <row r="405" spans="1:131" x14ac:dyDescent="0.4">
      <c r="A405" s="34">
        <v>43067.305104166669</v>
      </c>
      <c r="B405" s="25">
        <v>42934.453472222223</v>
      </c>
      <c r="D405" s="34"/>
      <c r="E405" s="34" t="s">
        <v>193</v>
      </c>
      <c r="F405" s="34" t="s">
        <v>191</v>
      </c>
      <c r="G405" s="34" t="s">
        <v>100</v>
      </c>
      <c r="H405" t="s">
        <v>279</v>
      </c>
      <c r="I405" t="s">
        <v>243</v>
      </c>
      <c r="J405" t="s">
        <v>712</v>
      </c>
      <c r="K405" t="s">
        <v>729</v>
      </c>
      <c r="L405" t="s">
        <v>711</v>
      </c>
      <c r="M405" s="30">
        <v>2.1</v>
      </c>
      <c r="N405">
        <v>6.5</v>
      </c>
      <c r="P405" s="24" t="str">
        <f>IFERROR(MID(RADataTable[[#This Row],[RATemplate]],1,LEN(RADataTable[[#This Row],[RATemplate]])-8),"RA") &amp; " " &amp; RADataTable[[#This Row],[prop_id0]] &amp; " " &amp; RADataTable[[#This Row],[last0]]</f>
        <v>RA 1749678 Im</v>
      </c>
      <c r="T405">
        <v>4</v>
      </c>
      <c r="U405">
        <v>4</v>
      </c>
      <c r="V405" s="34">
        <v>43032.518055555556</v>
      </c>
      <c r="W405">
        <v>1</v>
      </c>
      <c r="X405" s="15" t="str">
        <f>HYPERLINK("https://www.ejacket.nsf.gov/ej/showProposal.do?Continue=Y&amp;ID="&amp;RADataTable[[#This Row],[prop_id0]],"eJ")</f>
        <v>eJ</v>
      </c>
      <c r="Y405" s="15" t="str">
        <f>HYPERLINK("mailto:"&amp;RADataTable[[#This Row],[email]]&amp;"&amp;subject=Your NSF Proposal:  "&amp;RADataTable[[#This Row],[Div]]&amp;" "&amp;RADataTable[[#This Row],[prop_id0]], RADataTable[[#This Row],[email]])</f>
        <v>sim3@ucmerced.edu</v>
      </c>
      <c r="Z405" s="15" t="str">
        <f>HYPERLINK("mailto:"&amp;RADataTable[[#This Row],[allPIemail]]&amp;"&amp;subject=NSF Proposal:  "&amp;RADataTable[[#This Row],[Div]]&amp;" "&amp;RADataTable[[#This Row],[prop_id0]], "PIs@")</f>
        <v>PIs@</v>
      </c>
      <c r="AA405" t="s">
        <v>245</v>
      </c>
      <c r="AB405" t="s">
        <v>666</v>
      </c>
      <c r="AC405" s="30" t="s">
        <v>746</v>
      </c>
      <c r="AD405" t="s">
        <v>747</v>
      </c>
      <c r="AE405" t="s">
        <v>748</v>
      </c>
      <c r="AF405" s="36">
        <v>514477</v>
      </c>
      <c r="AG405" s="36">
        <v>514477</v>
      </c>
      <c r="AH405" s="24"/>
      <c r="AJ405" s="34"/>
      <c r="AK405" t="s">
        <v>923</v>
      </c>
      <c r="AL405" t="s">
        <v>232</v>
      </c>
      <c r="AM405" s="34" t="s">
        <v>925</v>
      </c>
      <c r="AN405" s="34">
        <v>43032</v>
      </c>
      <c r="AO405" s="24">
        <v>10</v>
      </c>
      <c r="AP405" t="s">
        <v>940</v>
      </c>
      <c r="AR405" s="35"/>
      <c r="AS405"/>
      <c r="AT405" s="34"/>
      <c r="AV405" s="34"/>
      <c r="AX405" s="34"/>
      <c r="AY405"/>
      <c r="BA405" s="34"/>
      <c r="BB405"/>
      <c r="BC405" t="s">
        <v>751</v>
      </c>
      <c r="BD405" s="36">
        <v>514477</v>
      </c>
      <c r="BE405" s="36">
        <v>514477</v>
      </c>
      <c r="BF405">
        <v>0</v>
      </c>
      <c r="BG405" s="34">
        <v>43282</v>
      </c>
      <c r="BH405">
        <v>60</v>
      </c>
      <c r="BI405" t="s">
        <v>283</v>
      </c>
      <c r="BJ405" t="s">
        <v>928</v>
      </c>
      <c r="BK405" t="s">
        <v>934</v>
      </c>
      <c r="BL405" t="s">
        <v>194</v>
      </c>
      <c r="BM405" s="8" t="s">
        <v>192</v>
      </c>
      <c r="BN405" t="s">
        <v>189</v>
      </c>
      <c r="BO405" t="s">
        <v>190</v>
      </c>
      <c r="BP405" s="35" t="s">
        <v>718</v>
      </c>
      <c r="BQ405"/>
      <c r="BU405" s="35"/>
      <c r="BV405" s="35"/>
      <c r="BX405"/>
      <c r="CA405" s="35"/>
      <c r="CB405" s="35"/>
      <c r="CC405"/>
      <c r="CG405" s="35"/>
      <c r="CH405" s="35"/>
      <c r="CK405"/>
      <c r="CM405" s="35"/>
      <c r="CN405" s="35"/>
      <c r="CQ405"/>
      <c r="CS405" s="35"/>
      <c r="CT405" s="35"/>
      <c r="CX405"/>
      <c r="CZ405" s="35"/>
      <c r="DD405" s="34"/>
      <c r="DG405" t="s">
        <v>749</v>
      </c>
      <c r="DH405" t="s">
        <v>941</v>
      </c>
      <c r="DI405" t="s">
        <v>233</v>
      </c>
      <c r="DL405" t="s">
        <v>666</v>
      </c>
      <c r="DM405">
        <v>5</v>
      </c>
      <c r="DN405">
        <v>7</v>
      </c>
      <c r="DO405" t="s">
        <v>750</v>
      </c>
      <c r="DQ405" t="s">
        <v>927</v>
      </c>
      <c r="DR405">
        <v>14</v>
      </c>
      <c r="DS405">
        <v>0</v>
      </c>
      <c r="DU405">
        <v>14</v>
      </c>
      <c r="DV405">
        <v>0</v>
      </c>
      <c r="DX405">
        <v>14</v>
      </c>
      <c r="DY405">
        <v>0</v>
      </c>
      <c r="DZ405" t="s">
        <v>246</v>
      </c>
      <c r="EA405" t="s">
        <v>929</v>
      </c>
    </row>
    <row r="406" spans="1:131" x14ac:dyDescent="0.4">
      <c r="A406" s="34">
        <v>43067.305104166669</v>
      </c>
      <c r="B406" s="25">
        <v>42935.696527777778</v>
      </c>
      <c r="D406" s="34"/>
      <c r="E406" s="34" t="s">
        <v>193</v>
      </c>
      <c r="F406" s="34" t="s">
        <v>191</v>
      </c>
      <c r="G406" s="34" t="s">
        <v>100</v>
      </c>
      <c r="H406" t="s">
        <v>279</v>
      </c>
      <c r="I406" t="s">
        <v>243</v>
      </c>
      <c r="J406" t="s">
        <v>712</v>
      </c>
      <c r="K406" t="s">
        <v>713</v>
      </c>
      <c r="L406" t="s">
        <v>711</v>
      </c>
      <c r="M406" s="30">
        <v>2.1</v>
      </c>
      <c r="N406">
        <v>6.75</v>
      </c>
      <c r="P406" s="24" t="str">
        <f>IFERROR(MID(RADataTable[[#This Row],[RATemplate]],1,LEN(RADataTable[[#This Row],[RATemplate]])-8),"RA") &amp; " " &amp; RADataTable[[#This Row],[prop_id0]] &amp; " " &amp; RADataTable[[#This Row],[last0]]</f>
        <v>RA 1751135 Nayyeri</v>
      </c>
      <c r="T406">
        <v>4</v>
      </c>
      <c r="U406">
        <v>4</v>
      </c>
      <c r="V406" s="34">
        <v>43031.69027777778</v>
      </c>
      <c r="W406">
        <v>1</v>
      </c>
      <c r="X406" s="15" t="str">
        <f>HYPERLINK("https://www.ejacket.nsf.gov/ej/showProposal.do?Continue=Y&amp;ID="&amp;RADataTable[[#This Row],[prop_id0]],"eJ")</f>
        <v>eJ</v>
      </c>
      <c r="Y406" s="15" t="str">
        <f>HYPERLINK("mailto:"&amp;RADataTable[[#This Row],[email]]&amp;"&amp;subject=Your NSF Proposal:  "&amp;RADataTable[[#This Row],[Div]]&amp;" "&amp;RADataTable[[#This Row],[prop_id0]], RADataTable[[#This Row],[email]])</f>
        <v>nayyeria@eecs.oregonstate.edu</v>
      </c>
      <c r="Z406" s="15" t="str">
        <f>HYPERLINK("mailto:"&amp;RADataTable[[#This Row],[allPIemail]]&amp;"&amp;subject=NSF Proposal:  "&amp;RADataTable[[#This Row],[Div]]&amp;" "&amp;RADataTable[[#This Row],[prop_id0]], "PIs@")</f>
        <v>PIs@</v>
      </c>
      <c r="AA406" t="s">
        <v>245</v>
      </c>
      <c r="AB406" t="s">
        <v>681</v>
      </c>
      <c r="AC406" s="30" t="s">
        <v>835</v>
      </c>
      <c r="AD406" t="s">
        <v>836</v>
      </c>
      <c r="AE406" t="s">
        <v>837</v>
      </c>
      <c r="AF406" s="36">
        <v>607459</v>
      </c>
      <c r="AG406" s="36">
        <v>607459</v>
      </c>
      <c r="AH406" s="24"/>
      <c r="AJ406" s="34"/>
      <c r="AK406" t="s">
        <v>923</v>
      </c>
      <c r="AL406" t="s">
        <v>232</v>
      </c>
      <c r="AM406" s="34" t="s">
        <v>925</v>
      </c>
      <c r="AN406" s="34">
        <v>43032</v>
      </c>
      <c r="AO406" s="24">
        <v>10</v>
      </c>
      <c r="AP406" t="s">
        <v>968</v>
      </c>
      <c r="AR406" s="35"/>
      <c r="AS406"/>
      <c r="AT406" s="34"/>
      <c r="AV406" s="34"/>
      <c r="AX406" s="34"/>
      <c r="AY406"/>
      <c r="BA406" s="34"/>
      <c r="BB406"/>
      <c r="BC406" t="s">
        <v>841</v>
      </c>
      <c r="BD406" s="36">
        <v>607459</v>
      </c>
      <c r="BE406" s="36">
        <v>607459</v>
      </c>
      <c r="BF406">
        <v>0</v>
      </c>
      <c r="BG406" s="34">
        <v>43344</v>
      </c>
      <c r="BH406">
        <v>60</v>
      </c>
      <c r="BI406" t="s">
        <v>283</v>
      </c>
      <c r="BJ406" t="s">
        <v>928</v>
      </c>
      <c r="BK406" t="s">
        <v>234</v>
      </c>
      <c r="BL406" t="s">
        <v>194</v>
      </c>
      <c r="BM406" s="8" t="s">
        <v>192</v>
      </c>
      <c r="BN406" t="s">
        <v>189</v>
      </c>
      <c r="BO406" t="s">
        <v>190</v>
      </c>
      <c r="BP406" s="35" t="s">
        <v>726</v>
      </c>
      <c r="BQ406"/>
      <c r="BU406" s="35"/>
      <c r="BV406" s="35"/>
      <c r="BX406"/>
      <c r="CA406" s="35"/>
      <c r="CB406" s="35"/>
      <c r="CC406"/>
      <c r="CG406" s="35"/>
      <c r="CH406" s="35"/>
      <c r="CK406"/>
      <c r="CM406" s="35"/>
      <c r="CN406" s="35"/>
      <c r="CQ406"/>
      <c r="CS406" s="35"/>
      <c r="CT406" s="35"/>
      <c r="CX406"/>
      <c r="CZ406" s="35"/>
      <c r="DD406" s="34"/>
      <c r="DG406" t="s">
        <v>839</v>
      </c>
      <c r="DH406" t="s">
        <v>969</v>
      </c>
      <c r="DI406" t="s">
        <v>233</v>
      </c>
      <c r="DL406" t="s">
        <v>681</v>
      </c>
      <c r="DM406">
        <v>6</v>
      </c>
      <c r="DN406">
        <v>7</v>
      </c>
      <c r="DO406" t="s">
        <v>840</v>
      </c>
      <c r="DQ406" t="s">
        <v>927</v>
      </c>
      <c r="DR406">
        <v>14</v>
      </c>
      <c r="DS406">
        <v>2</v>
      </c>
      <c r="DU406">
        <v>14</v>
      </c>
      <c r="DV406">
        <v>2</v>
      </c>
      <c r="DX406">
        <v>14</v>
      </c>
      <c r="DY406">
        <v>2</v>
      </c>
      <c r="DZ406" t="s">
        <v>246</v>
      </c>
      <c r="EA406" t="s">
        <v>929</v>
      </c>
    </row>
    <row r="407" spans="1:131" x14ac:dyDescent="0.4">
      <c r="A407" s="34">
        <v>43067.305104166669</v>
      </c>
      <c r="B407" s="25">
        <v>42935.696527777778</v>
      </c>
      <c r="D407" s="34"/>
      <c r="E407" s="34" t="s">
        <v>193</v>
      </c>
      <c r="F407" s="34" t="s">
        <v>191</v>
      </c>
      <c r="G407" s="34" t="s">
        <v>100</v>
      </c>
      <c r="H407" t="s">
        <v>279</v>
      </c>
      <c r="I407" t="s">
        <v>243</v>
      </c>
      <c r="J407" t="s">
        <v>712</v>
      </c>
      <c r="K407" t="s">
        <v>713</v>
      </c>
      <c r="L407" t="s">
        <v>711</v>
      </c>
      <c r="M407" s="30">
        <v>2.1</v>
      </c>
      <c r="N407">
        <v>6.75</v>
      </c>
      <c r="P407" s="24" t="str">
        <f>IFERROR(MID(RADataTable[[#This Row],[RATemplate]],1,LEN(RADataTable[[#This Row],[RATemplate]])-8),"RA") &amp; " " &amp; RADataTable[[#This Row],[prop_id0]] &amp; " " &amp; RADataTable[[#This Row],[last0]]</f>
        <v>RA 1751135 Nayyeri</v>
      </c>
      <c r="T407">
        <v>4</v>
      </c>
      <c r="U407">
        <v>4</v>
      </c>
      <c r="V407" s="34">
        <v>43031.69027777778</v>
      </c>
      <c r="W407">
        <v>1</v>
      </c>
      <c r="X407" s="15" t="str">
        <f>HYPERLINK("https://www.ejacket.nsf.gov/ej/showProposal.do?Continue=Y&amp;ID="&amp;RADataTable[[#This Row],[prop_id0]],"eJ")</f>
        <v>eJ</v>
      </c>
      <c r="Y407" s="15" t="str">
        <f>HYPERLINK("mailto:"&amp;RADataTable[[#This Row],[email]]&amp;"&amp;subject=Your NSF Proposal:  "&amp;RADataTable[[#This Row],[Div]]&amp;" "&amp;RADataTable[[#This Row],[prop_id0]], RADataTable[[#This Row],[email]])</f>
        <v>nayyeria@eecs.oregonstate.edu</v>
      </c>
      <c r="Z407" s="15" t="str">
        <f>HYPERLINK("mailto:"&amp;RADataTable[[#This Row],[allPIemail]]&amp;"&amp;subject=NSF Proposal:  "&amp;RADataTable[[#This Row],[Div]]&amp;" "&amp;RADataTable[[#This Row],[prop_id0]], "PIs@")</f>
        <v>PIs@</v>
      </c>
      <c r="AA407" t="s">
        <v>245</v>
      </c>
      <c r="AB407" t="s">
        <v>681</v>
      </c>
      <c r="AC407" s="30" t="s">
        <v>835</v>
      </c>
      <c r="AD407" t="s">
        <v>836</v>
      </c>
      <c r="AE407" t="s">
        <v>837</v>
      </c>
      <c r="AF407" s="36">
        <v>607459</v>
      </c>
      <c r="AG407" s="36">
        <v>607459</v>
      </c>
      <c r="AH407" s="24"/>
      <c r="AJ407" s="34"/>
      <c r="AK407" t="s">
        <v>923</v>
      </c>
      <c r="AL407" t="s">
        <v>232</v>
      </c>
      <c r="AM407" s="34" t="s">
        <v>925</v>
      </c>
      <c r="AN407" s="34">
        <v>43032</v>
      </c>
      <c r="AO407" s="24">
        <v>10</v>
      </c>
      <c r="AP407" t="s">
        <v>968</v>
      </c>
      <c r="AR407" s="35"/>
      <c r="AS407"/>
      <c r="AT407" s="34"/>
      <c r="AV407" s="34"/>
      <c r="AX407" s="34"/>
      <c r="AY407"/>
      <c r="BA407" s="34"/>
      <c r="BB407"/>
      <c r="BC407" t="s">
        <v>841</v>
      </c>
      <c r="BD407" s="36">
        <v>607459</v>
      </c>
      <c r="BE407" s="36">
        <v>607459</v>
      </c>
      <c r="BF407">
        <v>0</v>
      </c>
      <c r="BG407" s="34">
        <v>43344</v>
      </c>
      <c r="BH407">
        <v>60</v>
      </c>
      <c r="BI407" t="s">
        <v>283</v>
      </c>
      <c r="BJ407" t="s">
        <v>928</v>
      </c>
      <c r="BK407" t="s">
        <v>234</v>
      </c>
      <c r="BL407" t="s">
        <v>194</v>
      </c>
      <c r="BM407" s="8" t="s">
        <v>192</v>
      </c>
      <c r="BN407" t="s">
        <v>189</v>
      </c>
      <c r="BO407" t="s">
        <v>190</v>
      </c>
      <c r="BP407" s="35" t="s">
        <v>726</v>
      </c>
      <c r="BQ407"/>
      <c r="BU407" s="35"/>
      <c r="BV407" s="35"/>
      <c r="BX407"/>
      <c r="CA407" s="35"/>
      <c r="CB407" s="35"/>
      <c r="CC407"/>
      <c r="CG407" s="35"/>
      <c r="CH407" s="35"/>
      <c r="CK407"/>
      <c r="CM407" s="35"/>
      <c r="CN407" s="35"/>
      <c r="CQ407"/>
      <c r="CS407" s="35"/>
      <c r="CT407" s="35"/>
      <c r="CX407"/>
      <c r="CZ407" s="35"/>
      <c r="DD407" s="34"/>
      <c r="DG407" t="s">
        <v>839</v>
      </c>
      <c r="DH407" t="s">
        <v>969</v>
      </c>
      <c r="DI407" t="s">
        <v>233</v>
      </c>
      <c r="DL407" t="s">
        <v>681</v>
      </c>
      <c r="DM407">
        <v>6</v>
      </c>
      <c r="DN407">
        <v>7</v>
      </c>
      <c r="DO407" t="s">
        <v>840</v>
      </c>
      <c r="DQ407" t="s">
        <v>927</v>
      </c>
      <c r="DR407">
        <v>14</v>
      </c>
      <c r="DS407">
        <v>2</v>
      </c>
      <c r="DU407">
        <v>14</v>
      </c>
      <c r="DV407">
        <v>2</v>
      </c>
      <c r="DX407">
        <v>14</v>
      </c>
      <c r="DY407">
        <v>2</v>
      </c>
      <c r="DZ407" t="s">
        <v>246</v>
      </c>
      <c r="EA407" t="s">
        <v>929</v>
      </c>
    </row>
    <row r="408" spans="1:131" x14ac:dyDescent="0.4">
      <c r="A408" s="34">
        <v>43067.305104166669</v>
      </c>
      <c r="B408" s="25">
        <v>42935.696527777778</v>
      </c>
      <c r="D408" s="34"/>
      <c r="E408" s="34" t="s">
        <v>193</v>
      </c>
      <c r="F408" s="34" t="s">
        <v>191</v>
      </c>
      <c r="G408" s="34" t="s">
        <v>100</v>
      </c>
      <c r="H408" t="s">
        <v>279</v>
      </c>
      <c r="I408" t="s">
        <v>243</v>
      </c>
      <c r="J408" t="s">
        <v>712</v>
      </c>
      <c r="K408" t="s">
        <v>713</v>
      </c>
      <c r="L408" t="s">
        <v>711</v>
      </c>
      <c r="M408" s="30">
        <v>2.1</v>
      </c>
      <c r="N408">
        <v>6.75</v>
      </c>
      <c r="P408" s="24" t="str">
        <f>IFERROR(MID(RADataTable[[#This Row],[RATemplate]],1,LEN(RADataTable[[#This Row],[RATemplate]])-8),"RA") &amp; " " &amp; RADataTable[[#This Row],[prop_id0]] &amp; " " &amp; RADataTable[[#This Row],[last0]]</f>
        <v>RA 1751135 Nayyeri</v>
      </c>
      <c r="T408">
        <v>4</v>
      </c>
      <c r="U408">
        <v>4</v>
      </c>
      <c r="V408" s="34">
        <v>43031.69027777778</v>
      </c>
      <c r="W408">
        <v>1</v>
      </c>
      <c r="X408" s="15" t="str">
        <f>HYPERLINK("https://www.ejacket.nsf.gov/ej/showProposal.do?Continue=Y&amp;ID="&amp;RADataTable[[#This Row],[prop_id0]],"eJ")</f>
        <v>eJ</v>
      </c>
      <c r="Y408" s="15" t="str">
        <f>HYPERLINK("mailto:"&amp;RADataTable[[#This Row],[email]]&amp;"&amp;subject=Your NSF Proposal:  "&amp;RADataTable[[#This Row],[Div]]&amp;" "&amp;RADataTable[[#This Row],[prop_id0]], RADataTable[[#This Row],[email]])</f>
        <v>nayyeria@eecs.oregonstate.edu</v>
      </c>
      <c r="Z408" s="15" t="str">
        <f>HYPERLINK("mailto:"&amp;RADataTable[[#This Row],[allPIemail]]&amp;"&amp;subject=NSF Proposal:  "&amp;RADataTable[[#This Row],[Div]]&amp;" "&amp;RADataTable[[#This Row],[prop_id0]], "PIs@")</f>
        <v>PIs@</v>
      </c>
      <c r="AA408" t="s">
        <v>245</v>
      </c>
      <c r="AB408" t="s">
        <v>681</v>
      </c>
      <c r="AC408" s="30" t="s">
        <v>835</v>
      </c>
      <c r="AD408" t="s">
        <v>836</v>
      </c>
      <c r="AE408" t="s">
        <v>837</v>
      </c>
      <c r="AF408" s="36">
        <v>607459</v>
      </c>
      <c r="AG408" s="36">
        <v>607459</v>
      </c>
      <c r="AH408" s="24"/>
      <c r="AJ408" s="34"/>
      <c r="AK408" t="s">
        <v>923</v>
      </c>
      <c r="AL408" t="s">
        <v>232</v>
      </c>
      <c r="AM408" s="34" t="s">
        <v>925</v>
      </c>
      <c r="AN408" s="34">
        <v>43032</v>
      </c>
      <c r="AO408" s="24">
        <v>10</v>
      </c>
      <c r="AP408" t="s">
        <v>968</v>
      </c>
      <c r="AR408" s="35"/>
      <c r="AS408"/>
      <c r="AT408" s="34"/>
      <c r="AV408" s="34"/>
      <c r="AX408" s="34"/>
      <c r="AY408"/>
      <c r="BA408" s="34"/>
      <c r="BB408"/>
      <c r="BC408" t="s">
        <v>841</v>
      </c>
      <c r="BD408" s="36">
        <v>607459</v>
      </c>
      <c r="BE408" s="36">
        <v>607459</v>
      </c>
      <c r="BF408">
        <v>0</v>
      </c>
      <c r="BG408" s="34">
        <v>43344</v>
      </c>
      <c r="BH408">
        <v>60</v>
      </c>
      <c r="BI408" t="s">
        <v>283</v>
      </c>
      <c r="BJ408" t="s">
        <v>928</v>
      </c>
      <c r="BK408" t="s">
        <v>234</v>
      </c>
      <c r="BL408" t="s">
        <v>194</v>
      </c>
      <c r="BM408" s="8" t="s">
        <v>192</v>
      </c>
      <c r="BN408" t="s">
        <v>189</v>
      </c>
      <c r="BO408" t="s">
        <v>190</v>
      </c>
      <c r="BP408" s="35" t="s">
        <v>726</v>
      </c>
      <c r="BQ408"/>
      <c r="BU408" s="35"/>
      <c r="BV408" s="35"/>
      <c r="BX408"/>
      <c r="CA408" s="35"/>
      <c r="CB408" s="35"/>
      <c r="CC408"/>
      <c r="CG408" s="35"/>
      <c r="CH408" s="35"/>
      <c r="CK408"/>
      <c r="CM408" s="35"/>
      <c r="CN408" s="35"/>
      <c r="CQ408"/>
      <c r="CS408" s="35"/>
      <c r="CT408" s="35"/>
      <c r="CX408"/>
      <c r="CZ408" s="35"/>
      <c r="DD408" s="34"/>
      <c r="DG408" t="s">
        <v>839</v>
      </c>
      <c r="DH408" t="s">
        <v>969</v>
      </c>
      <c r="DI408" t="s">
        <v>233</v>
      </c>
      <c r="DL408" t="s">
        <v>681</v>
      </c>
      <c r="DM408">
        <v>6</v>
      </c>
      <c r="DN408">
        <v>7</v>
      </c>
      <c r="DO408" t="s">
        <v>840</v>
      </c>
      <c r="DQ408" t="s">
        <v>927</v>
      </c>
      <c r="DR408">
        <v>14</v>
      </c>
      <c r="DS408">
        <v>2</v>
      </c>
      <c r="DU408">
        <v>14</v>
      </c>
      <c r="DV408">
        <v>2</v>
      </c>
      <c r="DX408">
        <v>14</v>
      </c>
      <c r="DY408">
        <v>2</v>
      </c>
      <c r="DZ408" t="s">
        <v>246</v>
      </c>
      <c r="EA408" t="s">
        <v>929</v>
      </c>
    </row>
    <row r="409" spans="1:131" x14ac:dyDescent="0.4">
      <c r="A409" s="34">
        <v>43067.305104166669</v>
      </c>
      <c r="B409" s="25">
        <v>42935.696527777778</v>
      </c>
      <c r="D409" s="34"/>
      <c r="E409" s="34" t="s">
        <v>193</v>
      </c>
      <c r="F409" s="34" t="s">
        <v>191</v>
      </c>
      <c r="G409" s="34" t="s">
        <v>100</v>
      </c>
      <c r="H409" t="s">
        <v>279</v>
      </c>
      <c r="I409" t="s">
        <v>243</v>
      </c>
      <c r="J409" t="s">
        <v>712</v>
      </c>
      <c r="K409" t="s">
        <v>713</v>
      </c>
      <c r="L409" t="s">
        <v>711</v>
      </c>
      <c r="M409" s="30">
        <v>2.1</v>
      </c>
      <c r="N409">
        <v>6.75</v>
      </c>
      <c r="P409" s="24" t="str">
        <f>IFERROR(MID(RADataTable[[#This Row],[RATemplate]],1,LEN(RADataTable[[#This Row],[RATemplate]])-8),"RA") &amp; " " &amp; RADataTable[[#This Row],[prop_id0]] &amp; " " &amp; RADataTable[[#This Row],[last0]]</f>
        <v>RA 1751135 Nayyeri</v>
      </c>
      <c r="T409">
        <v>4</v>
      </c>
      <c r="U409">
        <v>4</v>
      </c>
      <c r="V409" s="34">
        <v>43031.69027777778</v>
      </c>
      <c r="W409">
        <v>1</v>
      </c>
      <c r="X409" s="15" t="str">
        <f>HYPERLINK("https://www.ejacket.nsf.gov/ej/showProposal.do?Continue=Y&amp;ID="&amp;RADataTable[[#This Row],[prop_id0]],"eJ")</f>
        <v>eJ</v>
      </c>
      <c r="Y409" s="15" t="str">
        <f>HYPERLINK("mailto:"&amp;RADataTable[[#This Row],[email]]&amp;"&amp;subject=Your NSF Proposal:  "&amp;RADataTable[[#This Row],[Div]]&amp;" "&amp;RADataTable[[#This Row],[prop_id0]], RADataTable[[#This Row],[email]])</f>
        <v>nayyeria@eecs.oregonstate.edu</v>
      </c>
      <c r="Z409" s="15" t="str">
        <f>HYPERLINK("mailto:"&amp;RADataTable[[#This Row],[allPIemail]]&amp;"&amp;subject=NSF Proposal:  "&amp;RADataTable[[#This Row],[Div]]&amp;" "&amp;RADataTable[[#This Row],[prop_id0]], "PIs@")</f>
        <v>PIs@</v>
      </c>
      <c r="AA409" t="s">
        <v>245</v>
      </c>
      <c r="AB409" t="s">
        <v>681</v>
      </c>
      <c r="AC409" s="30" t="s">
        <v>835</v>
      </c>
      <c r="AD409" t="s">
        <v>836</v>
      </c>
      <c r="AE409" t="s">
        <v>837</v>
      </c>
      <c r="AF409" s="36">
        <v>607459</v>
      </c>
      <c r="AG409" s="36">
        <v>607459</v>
      </c>
      <c r="AH409" s="24"/>
      <c r="AJ409" s="34"/>
      <c r="AK409" t="s">
        <v>923</v>
      </c>
      <c r="AL409" t="s">
        <v>232</v>
      </c>
      <c r="AM409" s="34" t="s">
        <v>925</v>
      </c>
      <c r="AN409" s="34">
        <v>43032</v>
      </c>
      <c r="AO409" s="24">
        <v>10</v>
      </c>
      <c r="AP409" t="s">
        <v>968</v>
      </c>
      <c r="AR409" s="35"/>
      <c r="AS409"/>
      <c r="AT409" s="34"/>
      <c r="AV409" s="34"/>
      <c r="AX409" s="34"/>
      <c r="AY409"/>
      <c r="BA409" s="34"/>
      <c r="BB409"/>
      <c r="BC409" t="s">
        <v>841</v>
      </c>
      <c r="BD409" s="36">
        <v>607459</v>
      </c>
      <c r="BE409" s="36">
        <v>607459</v>
      </c>
      <c r="BF409">
        <v>0</v>
      </c>
      <c r="BG409" s="34">
        <v>43344</v>
      </c>
      <c r="BH409">
        <v>60</v>
      </c>
      <c r="BI409" t="s">
        <v>283</v>
      </c>
      <c r="BJ409" t="s">
        <v>928</v>
      </c>
      <c r="BK409" t="s">
        <v>234</v>
      </c>
      <c r="BL409" t="s">
        <v>194</v>
      </c>
      <c r="BM409" s="8" t="s">
        <v>192</v>
      </c>
      <c r="BN409" t="s">
        <v>189</v>
      </c>
      <c r="BO409" t="s">
        <v>190</v>
      </c>
      <c r="BP409" s="35" t="s">
        <v>726</v>
      </c>
      <c r="BQ409"/>
      <c r="BU409" s="35"/>
      <c r="BV409" s="35"/>
      <c r="BX409"/>
      <c r="CA409" s="35"/>
      <c r="CB409" s="35"/>
      <c r="CC409"/>
      <c r="CG409" s="35"/>
      <c r="CH409" s="35"/>
      <c r="CK409"/>
      <c r="CM409" s="35"/>
      <c r="CN409" s="35"/>
      <c r="CQ409"/>
      <c r="CS409" s="35"/>
      <c r="CT409" s="35"/>
      <c r="CX409"/>
      <c r="CZ409" s="35"/>
      <c r="DD409" s="34"/>
      <c r="DG409" t="s">
        <v>839</v>
      </c>
      <c r="DH409" t="s">
        <v>969</v>
      </c>
      <c r="DI409" t="s">
        <v>233</v>
      </c>
      <c r="DL409" t="s">
        <v>681</v>
      </c>
      <c r="DM409">
        <v>6</v>
      </c>
      <c r="DN409">
        <v>7</v>
      </c>
      <c r="DO409" t="s">
        <v>840</v>
      </c>
      <c r="DQ409" t="s">
        <v>927</v>
      </c>
      <c r="DR409">
        <v>14</v>
      </c>
      <c r="DS409">
        <v>2</v>
      </c>
      <c r="DU409">
        <v>14</v>
      </c>
      <c r="DV409">
        <v>2</v>
      </c>
      <c r="DX409">
        <v>14</v>
      </c>
      <c r="DY409">
        <v>2</v>
      </c>
      <c r="DZ409" t="s">
        <v>246</v>
      </c>
      <c r="EA409" t="s">
        <v>929</v>
      </c>
    </row>
    <row r="410" spans="1:131" x14ac:dyDescent="0.4">
      <c r="A410" s="34">
        <v>43067.305104166669</v>
      </c>
      <c r="B410" s="25">
        <v>42935.696527777778</v>
      </c>
      <c r="D410" s="34"/>
      <c r="E410" s="34" t="s">
        <v>193</v>
      </c>
      <c r="F410" s="34" t="s">
        <v>191</v>
      </c>
      <c r="G410" s="34" t="s">
        <v>100</v>
      </c>
      <c r="H410" t="s">
        <v>279</v>
      </c>
      <c r="I410" t="s">
        <v>243</v>
      </c>
      <c r="J410" t="s">
        <v>712</v>
      </c>
      <c r="K410" t="s">
        <v>713</v>
      </c>
      <c r="L410" t="s">
        <v>711</v>
      </c>
      <c r="M410" s="30">
        <v>2.1</v>
      </c>
      <c r="N410">
        <v>6.75</v>
      </c>
      <c r="P410" s="24" t="str">
        <f>IFERROR(MID(RADataTable[[#This Row],[RATemplate]],1,LEN(RADataTable[[#This Row],[RATemplate]])-8),"RA") &amp; " " &amp; RADataTable[[#This Row],[prop_id0]] &amp; " " &amp; RADataTable[[#This Row],[last0]]</f>
        <v>RA 1751135 Nayyeri</v>
      </c>
      <c r="T410">
        <v>4</v>
      </c>
      <c r="U410">
        <v>4</v>
      </c>
      <c r="V410" s="34">
        <v>43031.69027777778</v>
      </c>
      <c r="W410">
        <v>1</v>
      </c>
      <c r="X410" s="15" t="str">
        <f>HYPERLINK("https://www.ejacket.nsf.gov/ej/showProposal.do?Continue=Y&amp;ID="&amp;RADataTable[[#This Row],[prop_id0]],"eJ")</f>
        <v>eJ</v>
      </c>
      <c r="Y410" s="15" t="str">
        <f>HYPERLINK("mailto:"&amp;RADataTable[[#This Row],[email]]&amp;"&amp;subject=Your NSF Proposal:  "&amp;RADataTable[[#This Row],[Div]]&amp;" "&amp;RADataTable[[#This Row],[prop_id0]], RADataTable[[#This Row],[email]])</f>
        <v>nayyeria@eecs.oregonstate.edu</v>
      </c>
      <c r="Z410" s="15" t="str">
        <f>HYPERLINK("mailto:"&amp;RADataTable[[#This Row],[allPIemail]]&amp;"&amp;subject=NSF Proposal:  "&amp;RADataTable[[#This Row],[Div]]&amp;" "&amp;RADataTable[[#This Row],[prop_id0]], "PIs@")</f>
        <v>PIs@</v>
      </c>
      <c r="AA410" t="s">
        <v>245</v>
      </c>
      <c r="AB410" t="s">
        <v>681</v>
      </c>
      <c r="AC410" s="30" t="s">
        <v>835</v>
      </c>
      <c r="AD410" t="s">
        <v>836</v>
      </c>
      <c r="AE410" t="s">
        <v>837</v>
      </c>
      <c r="AF410" s="36">
        <v>607459</v>
      </c>
      <c r="AG410" s="36">
        <v>607459</v>
      </c>
      <c r="AH410" s="24"/>
      <c r="AJ410" s="34"/>
      <c r="AK410" t="s">
        <v>923</v>
      </c>
      <c r="AL410" t="s">
        <v>232</v>
      </c>
      <c r="AM410" s="34" t="s">
        <v>925</v>
      </c>
      <c r="AN410" s="34">
        <v>43032</v>
      </c>
      <c r="AO410" s="24">
        <v>10</v>
      </c>
      <c r="AP410" t="s">
        <v>968</v>
      </c>
      <c r="AR410" s="35"/>
      <c r="AS410"/>
      <c r="AT410" s="34"/>
      <c r="AV410" s="34"/>
      <c r="AX410" s="34"/>
      <c r="AY410"/>
      <c r="BA410" s="34"/>
      <c r="BB410"/>
      <c r="BC410" t="s">
        <v>841</v>
      </c>
      <c r="BD410" s="36">
        <v>607459</v>
      </c>
      <c r="BE410" s="36">
        <v>607459</v>
      </c>
      <c r="BF410">
        <v>0</v>
      </c>
      <c r="BG410" s="34">
        <v>43344</v>
      </c>
      <c r="BH410">
        <v>60</v>
      </c>
      <c r="BI410" t="s">
        <v>283</v>
      </c>
      <c r="BJ410" t="s">
        <v>928</v>
      </c>
      <c r="BK410" t="s">
        <v>234</v>
      </c>
      <c r="BL410" t="s">
        <v>194</v>
      </c>
      <c r="BM410" s="8" t="s">
        <v>192</v>
      </c>
      <c r="BN410" t="s">
        <v>189</v>
      </c>
      <c r="BO410" t="s">
        <v>190</v>
      </c>
      <c r="BP410" s="35" t="s">
        <v>726</v>
      </c>
      <c r="BQ410"/>
      <c r="BU410" s="35"/>
      <c r="BV410" s="35"/>
      <c r="BX410"/>
      <c r="CA410" s="35"/>
      <c r="CB410" s="35"/>
      <c r="CC410"/>
      <c r="CG410" s="35"/>
      <c r="CH410" s="35"/>
      <c r="CK410"/>
      <c r="CM410" s="35"/>
      <c r="CN410" s="35"/>
      <c r="CQ410"/>
      <c r="CS410" s="35"/>
      <c r="CT410" s="35"/>
      <c r="CX410"/>
      <c r="CZ410" s="35"/>
      <c r="DD410" s="34"/>
      <c r="DG410" t="s">
        <v>839</v>
      </c>
      <c r="DH410" t="s">
        <v>969</v>
      </c>
      <c r="DI410" t="s">
        <v>233</v>
      </c>
      <c r="DL410" t="s">
        <v>681</v>
      </c>
      <c r="DM410">
        <v>6</v>
      </c>
      <c r="DN410">
        <v>7</v>
      </c>
      <c r="DO410" t="s">
        <v>840</v>
      </c>
      <c r="DQ410" t="s">
        <v>927</v>
      </c>
      <c r="DR410">
        <v>14</v>
      </c>
      <c r="DS410">
        <v>2</v>
      </c>
      <c r="DU410">
        <v>14</v>
      </c>
      <c r="DV410">
        <v>2</v>
      </c>
      <c r="DX410">
        <v>14</v>
      </c>
      <c r="DY410">
        <v>2</v>
      </c>
      <c r="DZ410" t="s">
        <v>246</v>
      </c>
      <c r="EA410" t="s">
        <v>929</v>
      </c>
    </row>
    <row r="411" spans="1:131" x14ac:dyDescent="0.4">
      <c r="A411" s="34">
        <v>43067.305104166669</v>
      </c>
      <c r="B411" s="25">
        <v>42935.696527777778</v>
      </c>
      <c r="D411" s="34"/>
      <c r="E411" s="34" t="s">
        <v>193</v>
      </c>
      <c r="F411" s="34" t="s">
        <v>191</v>
      </c>
      <c r="G411" s="34" t="s">
        <v>100</v>
      </c>
      <c r="H411" t="s">
        <v>279</v>
      </c>
      <c r="I411" t="s">
        <v>243</v>
      </c>
      <c r="J411" t="s">
        <v>712</v>
      </c>
      <c r="K411" t="s">
        <v>713</v>
      </c>
      <c r="L411" t="s">
        <v>711</v>
      </c>
      <c r="M411" s="30">
        <v>2.1</v>
      </c>
      <c r="N411">
        <v>6.75</v>
      </c>
      <c r="P411" s="24" t="str">
        <f>IFERROR(MID(RADataTable[[#This Row],[RATemplate]],1,LEN(RADataTable[[#This Row],[RATemplate]])-8),"RA") &amp; " " &amp; RADataTable[[#This Row],[prop_id0]] &amp; " " &amp; RADataTable[[#This Row],[last0]]</f>
        <v>RA 1751135 Nayyeri</v>
      </c>
      <c r="T411">
        <v>4</v>
      </c>
      <c r="U411">
        <v>4</v>
      </c>
      <c r="V411" s="34">
        <v>43031.69027777778</v>
      </c>
      <c r="W411">
        <v>1</v>
      </c>
      <c r="X411" s="15" t="str">
        <f>HYPERLINK("https://www.ejacket.nsf.gov/ej/showProposal.do?Continue=Y&amp;ID="&amp;RADataTable[[#This Row],[prop_id0]],"eJ")</f>
        <v>eJ</v>
      </c>
      <c r="Y411" s="15" t="str">
        <f>HYPERLINK("mailto:"&amp;RADataTable[[#This Row],[email]]&amp;"&amp;subject=Your NSF Proposal:  "&amp;RADataTable[[#This Row],[Div]]&amp;" "&amp;RADataTable[[#This Row],[prop_id0]], RADataTable[[#This Row],[email]])</f>
        <v>nayyeria@eecs.oregonstate.edu</v>
      </c>
      <c r="Z411" s="15" t="str">
        <f>HYPERLINK("mailto:"&amp;RADataTable[[#This Row],[allPIemail]]&amp;"&amp;subject=NSF Proposal:  "&amp;RADataTable[[#This Row],[Div]]&amp;" "&amp;RADataTable[[#This Row],[prop_id0]], "PIs@")</f>
        <v>PIs@</v>
      </c>
      <c r="AA411" t="s">
        <v>245</v>
      </c>
      <c r="AB411" t="s">
        <v>681</v>
      </c>
      <c r="AC411" s="30" t="s">
        <v>835</v>
      </c>
      <c r="AD411" t="s">
        <v>836</v>
      </c>
      <c r="AE411" t="s">
        <v>837</v>
      </c>
      <c r="AF411" s="36">
        <v>607459</v>
      </c>
      <c r="AG411" s="36">
        <v>607459</v>
      </c>
      <c r="AH411" s="24"/>
      <c r="AJ411" s="34"/>
      <c r="AK411" t="s">
        <v>923</v>
      </c>
      <c r="AL411" t="s">
        <v>232</v>
      </c>
      <c r="AM411" s="34" t="s">
        <v>925</v>
      </c>
      <c r="AN411" s="34">
        <v>43032</v>
      </c>
      <c r="AO411" s="24">
        <v>10</v>
      </c>
      <c r="AP411" t="s">
        <v>968</v>
      </c>
      <c r="AR411" s="35"/>
      <c r="AS411"/>
      <c r="AT411" s="34"/>
      <c r="AV411" s="34"/>
      <c r="AX411" s="34"/>
      <c r="AY411"/>
      <c r="BA411" s="34"/>
      <c r="BB411"/>
      <c r="BC411" t="s">
        <v>841</v>
      </c>
      <c r="BD411" s="36">
        <v>607459</v>
      </c>
      <c r="BE411" s="36">
        <v>607459</v>
      </c>
      <c r="BF411">
        <v>0</v>
      </c>
      <c r="BG411" s="34">
        <v>43344</v>
      </c>
      <c r="BH411">
        <v>60</v>
      </c>
      <c r="BI411" t="s">
        <v>283</v>
      </c>
      <c r="BJ411" t="s">
        <v>928</v>
      </c>
      <c r="BK411" t="s">
        <v>234</v>
      </c>
      <c r="BL411" t="s">
        <v>194</v>
      </c>
      <c r="BM411" s="8" t="s">
        <v>192</v>
      </c>
      <c r="BN411" t="s">
        <v>189</v>
      </c>
      <c r="BO411" t="s">
        <v>190</v>
      </c>
      <c r="BP411" s="35" t="s">
        <v>726</v>
      </c>
      <c r="BQ411"/>
      <c r="BU411" s="35"/>
      <c r="BV411" s="35"/>
      <c r="BX411"/>
      <c r="CA411" s="35"/>
      <c r="CB411" s="35"/>
      <c r="CC411"/>
      <c r="CG411" s="35"/>
      <c r="CH411" s="35"/>
      <c r="CK411"/>
      <c r="CM411" s="35"/>
      <c r="CN411" s="35"/>
      <c r="CQ411"/>
      <c r="CS411" s="35"/>
      <c r="CT411" s="35"/>
      <c r="CX411"/>
      <c r="CZ411" s="35"/>
      <c r="DD411" s="34"/>
      <c r="DG411" t="s">
        <v>839</v>
      </c>
      <c r="DH411" t="s">
        <v>969</v>
      </c>
      <c r="DI411" t="s">
        <v>233</v>
      </c>
      <c r="DL411" t="s">
        <v>681</v>
      </c>
      <c r="DM411">
        <v>6</v>
      </c>
      <c r="DN411">
        <v>7</v>
      </c>
      <c r="DO411" t="s">
        <v>840</v>
      </c>
      <c r="DQ411" t="s">
        <v>927</v>
      </c>
      <c r="DR411">
        <v>14</v>
      </c>
      <c r="DS411">
        <v>2</v>
      </c>
      <c r="DU411">
        <v>14</v>
      </c>
      <c r="DV411">
        <v>2</v>
      </c>
      <c r="DX411">
        <v>14</v>
      </c>
      <c r="DY411">
        <v>2</v>
      </c>
      <c r="DZ411" t="s">
        <v>246</v>
      </c>
      <c r="EA411" t="s">
        <v>929</v>
      </c>
    </row>
    <row r="412" spans="1:131" x14ac:dyDescent="0.4">
      <c r="A412" s="34">
        <v>43067.305104166669</v>
      </c>
      <c r="B412" s="25">
        <v>42935.696527777778</v>
      </c>
      <c r="D412" s="34"/>
      <c r="E412" s="34" t="s">
        <v>193</v>
      </c>
      <c r="F412" s="34" t="s">
        <v>191</v>
      </c>
      <c r="G412" s="34" t="s">
        <v>100</v>
      </c>
      <c r="H412" t="s">
        <v>279</v>
      </c>
      <c r="I412" t="s">
        <v>243</v>
      </c>
      <c r="J412" t="s">
        <v>712</v>
      </c>
      <c r="K412" t="s">
        <v>713</v>
      </c>
      <c r="L412" t="s">
        <v>711</v>
      </c>
      <c r="M412" s="30">
        <v>2.1</v>
      </c>
      <c r="N412">
        <v>6.75</v>
      </c>
      <c r="P412" s="24" t="str">
        <f>IFERROR(MID(RADataTable[[#This Row],[RATemplate]],1,LEN(RADataTable[[#This Row],[RATemplate]])-8),"RA") &amp; " " &amp; RADataTable[[#This Row],[prop_id0]] &amp; " " &amp; RADataTable[[#This Row],[last0]]</f>
        <v>RA 1751135 Nayyeri</v>
      </c>
      <c r="T412">
        <v>4</v>
      </c>
      <c r="U412">
        <v>4</v>
      </c>
      <c r="V412" s="34">
        <v>43031.69027777778</v>
      </c>
      <c r="W412">
        <v>1</v>
      </c>
      <c r="X412" s="15" t="str">
        <f>HYPERLINK("https://www.ejacket.nsf.gov/ej/showProposal.do?Continue=Y&amp;ID="&amp;RADataTable[[#This Row],[prop_id0]],"eJ")</f>
        <v>eJ</v>
      </c>
      <c r="Y412" s="15" t="str">
        <f>HYPERLINK("mailto:"&amp;RADataTable[[#This Row],[email]]&amp;"&amp;subject=Your NSF Proposal:  "&amp;RADataTable[[#This Row],[Div]]&amp;" "&amp;RADataTable[[#This Row],[prop_id0]], RADataTable[[#This Row],[email]])</f>
        <v>nayyeria@eecs.oregonstate.edu</v>
      </c>
      <c r="Z412" s="15" t="str">
        <f>HYPERLINK("mailto:"&amp;RADataTable[[#This Row],[allPIemail]]&amp;"&amp;subject=NSF Proposal:  "&amp;RADataTable[[#This Row],[Div]]&amp;" "&amp;RADataTable[[#This Row],[prop_id0]], "PIs@")</f>
        <v>PIs@</v>
      </c>
      <c r="AA412" t="s">
        <v>245</v>
      </c>
      <c r="AB412" t="s">
        <v>681</v>
      </c>
      <c r="AC412" s="30" t="s">
        <v>835</v>
      </c>
      <c r="AD412" t="s">
        <v>836</v>
      </c>
      <c r="AE412" t="s">
        <v>837</v>
      </c>
      <c r="AF412" s="36">
        <v>607459</v>
      </c>
      <c r="AG412" s="36">
        <v>607459</v>
      </c>
      <c r="AH412" s="24"/>
      <c r="AJ412" s="34"/>
      <c r="AK412" t="s">
        <v>923</v>
      </c>
      <c r="AL412" t="s">
        <v>232</v>
      </c>
      <c r="AM412" s="34" t="s">
        <v>925</v>
      </c>
      <c r="AN412" s="34">
        <v>43032</v>
      </c>
      <c r="AO412" s="24">
        <v>10</v>
      </c>
      <c r="AP412" t="s">
        <v>968</v>
      </c>
      <c r="AR412" s="35"/>
      <c r="AS412"/>
      <c r="AT412" s="34"/>
      <c r="AV412" s="34"/>
      <c r="AX412" s="34"/>
      <c r="AY412"/>
      <c r="BA412" s="34"/>
      <c r="BB412"/>
      <c r="BC412" t="s">
        <v>841</v>
      </c>
      <c r="BD412" s="36">
        <v>607459</v>
      </c>
      <c r="BE412" s="36">
        <v>607459</v>
      </c>
      <c r="BF412">
        <v>0</v>
      </c>
      <c r="BG412" s="34">
        <v>43344</v>
      </c>
      <c r="BH412">
        <v>60</v>
      </c>
      <c r="BI412" t="s">
        <v>283</v>
      </c>
      <c r="BJ412" t="s">
        <v>928</v>
      </c>
      <c r="BK412" t="s">
        <v>234</v>
      </c>
      <c r="BL412" t="s">
        <v>194</v>
      </c>
      <c r="BM412" s="8" t="s">
        <v>192</v>
      </c>
      <c r="BN412" t="s">
        <v>189</v>
      </c>
      <c r="BO412" t="s">
        <v>190</v>
      </c>
      <c r="BP412" s="35" t="s">
        <v>726</v>
      </c>
      <c r="BQ412"/>
      <c r="BU412" s="35"/>
      <c r="BV412" s="35"/>
      <c r="BX412"/>
      <c r="CA412" s="35"/>
      <c r="CB412" s="35"/>
      <c r="CC412"/>
      <c r="CG412" s="35"/>
      <c r="CH412" s="35"/>
      <c r="CK412"/>
      <c r="CM412" s="35"/>
      <c r="CN412" s="35"/>
      <c r="CQ412"/>
      <c r="CS412" s="35"/>
      <c r="CT412" s="35"/>
      <c r="CX412"/>
      <c r="CZ412" s="35"/>
      <c r="DD412" s="34"/>
      <c r="DG412" t="s">
        <v>839</v>
      </c>
      <c r="DH412" t="s">
        <v>969</v>
      </c>
      <c r="DI412" t="s">
        <v>233</v>
      </c>
      <c r="DL412" t="s">
        <v>681</v>
      </c>
      <c r="DM412">
        <v>6</v>
      </c>
      <c r="DN412">
        <v>7</v>
      </c>
      <c r="DO412" t="s">
        <v>840</v>
      </c>
      <c r="DQ412" t="s">
        <v>927</v>
      </c>
      <c r="DR412">
        <v>14</v>
      </c>
      <c r="DS412">
        <v>2</v>
      </c>
      <c r="DU412">
        <v>14</v>
      </c>
      <c r="DV412">
        <v>2</v>
      </c>
      <c r="DX412">
        <v>14</v>
      </c>
      <c r="DY412">
        <v>2</v>
      </c>
      <c r="DZ412" t="s">
        <v>246</v>
      </c>
      <c r="EA412" t="s">
        <v>929</v>
      </c>
    </row>
    <row r="413" spans="1:131" x14ac:dyDescent="0.4">
      <c r="A413" s="34">
        <v>43067.305104166669</v>
      </c>
      <c r="B413" s="25">
        <v>42935.696527777778</v>
      </c>
      <c r="D413" s="34"/>
      <c r="E413" s="34" t="s">
        <v>193</v>
      </c>
      <c r="F413" s="34" t="s">
        <v>191</v>
      </c>
      <c r="G413" s="34" t="s">
        <v>100</v>
      </c>
      <c r="H413" t="s">
        <v>279</v>
      </c>
      <c r="I413" t="s">
        <v>243</v>
      </c>
      <c r="J413" t="s">
        <v>712</v>
      </c>
      <c r="K413" t="s">
        <v>713</v>
      </c>
      <c r="L413" t="s">
        <v>711</v>
      </c>
      <c r="M413" s="30">
        <v>2.1</v>
      </c>
      <c r="N413">
        <v>6.75</v>
      </c>
      <c r="P413" s="24" t="str">
        <f>IFERROR(MID(RADataTable[[#This Row],[RATemplate]],1,LEN(RADataTable[[#This Row],[RATemplate]])-8),"RA") &amp; " " &amp; RADataTable[[#This Row],[prop_id0]] &amp; " " &amp; RADataTable[[#This Row],[last0]]</f>
        <v>RA 1751135 Nayyeri</v>
      </c>
      <c r="T413">
        <v>4</v>
      </c>
      <c r="U413">
        <v>4</v>
      </c>
      <c r="V413" s="34">
        <v>43031.69027777778</v>
      </c>
      <c r="W413">
        <v>1</v>
      </c>
      <c r="X413" s="15" t="str">
        <f>HYPERLINK("https://www.ejacket.nsf.gov/ej/showProposal.do?Continue=Y&amp;ID="&amp;RADataTable[[#This Row],[prop_id0]],"eJ")</f>
        <v>eJ</v>
      </c>
      <c r="Y413" s="15" t="str">
        <f>HYPERLINK("mailto:"&amp;RADataTable[[#This Row],[email]]&amp;"&amp;subject=Your NSF Proposal:  "&amp;RADataTable[[#This Row],[Div]]&amp;" "&amp;RADataTable[[#This Row],[prop_id0]], RADataTable[[#This Row],[email]])</f>
        <v>nayyeria@eecs.oregonstate.edu</v>
      </c>
      <c r="Z413" s="15" t="str">
        <f>HYPERLINK("mailto:"&amp;RADataTable[[#This Row],[allPIemail]]&amp;"&amp;subject=NSF Proposal:  "&amp;RADataTable[[#This Row],[Div]]&amp;" "&amp;RADataTable[[#This Row],[prop_id0]], "PIs@")</f>
        <v>PIs@</v>
      </c>
      <c r="AA413" t="s">
        <v>245</v>
      </c>
      <c r="AB413" t="s">
        <v>681</v>
      </c>
      <c r="AC413" s="30" t="s">
        <v>835</v>
      </c>
      <c r="AD413" t="s">
        <v>836</v>
      </c>
      <c r="AE413" t="s">
        <v>837</v>
      </c>
      <c r="AF413" s="36">
        <v>607459</v>
      </c>
      <c r="AG413" s="36">
        <v>607459</v>
      </c>
      <c r="AH413" s="24"/>
      <c r="AJ413" s="34"/>
      <c r="AK413" t="s">
        <v>923</v>
      </c>
      <c r="AL413" t="s">
        <v>232</v>
      </c>
      <c r="AM413" s="34" t="s">
        <v>925</v>
      </c>
      <c r="AN413" s="34">
        <v>43032</v>
      </c>
      <c r="AO413" s="24">
        <v>10</v>
      </c>
      <c r="AP413" t="s">
        <v>968</v>
      </c>
      <c r="AR413" s="35"/>
      <c r="AS413"/>
      <c r="AT413" s="34"/>
      <c r="AV413" s="34"/>
      <c r="AX413" s="34"/>
      <c r="AY413"/>
      <c r="BA413" s="34"/>
      <c r="BB413"/>
      <c r="BC413" t="s">
        <v>841</v>
      </c>
      <c r="BD413" s="36">
        <v>607459</v>
      </c>
      <c r="BE413" s="36">
        <v>607459</v>
      </c>
      <c r="BF413">
        <v>0</v>
      </c>
      <c r="BG413" s="34">
        <v>43344</v>
      </c>
      <c r="BH413">
        <v>60</v>
      </c>
      <c r="BI413" t="s">
        <v>283</v>
      </c>
      <c r="BJ413" t="s">
        <v>928</v>
      </c>
      <c r="BK413" t="s">
        <v>234</v>
      </c>
      <c r="BL413" t="s">
        <v>194</v>
      </c>
      <c r="BM413" s="8" t="s">
        <v>192</v>
      </c>
      <c r="BN413" t="s">
        <v>189</v>
      </c>
      <c r="BO413" t="s">
        <v>190</v>
      </c>
      <c r="BP413" s="35" t="s">
        <v>726</v>
      </c>
      <c r="BQ413"/>
      <c r="BU413" s="35"/>
      <c r="BV413" s="35"/>
      <c r="BX413"/>
      <c r="CA413" s="35"/>
      <c r="CB413" s="35"/>
      <c r="CC413"/>
      <c r="CG413" s="35"/>
      <c r="CH413" s="35"/>
      <c r="CK413"/>
      <c r="CM413" s="35"/>
      <c r="CN413" s="35"/>
      <c r="CQ413"/>
      <c r="CS413" s="35"/>
      <c r="CT413" s="35"/>
      <c r="CX413"/>
      <c r="CZ413" s="35"/>
      <c r="DD413" s="34"/>
      <c r="DG413" t="s">
        <v>839</v>
      </c>
      <c r="DH413" t="s">
        <v>969</v>
      </c>
      <c r="DI413" t="s">
        <v>233</v>
      </c>
      <c r="DL413" t="s">
        <v>681</v>
      </c>
      <c r="DM413">
        <v>6</v>
      </c>
      <c r="DN413">
        <v>7</v>
      </c>
      <c r="DO413" t="s">
        <v>840</v>
      </c>
      <c r="DQ413" t="s">
        <v>927</v>
      </c>
      <c r="DR413">
        <v>14</v>
      </c>
      <c r="DS413">
        <v>2</v>
      </c>
      <c r="DU413">
        <v>14</v>
      </c>
      <c r="DV413">
        <v>2</v>
      </c>
      <c r="DX413">
        <v>14</v>
      </c>
      <c r="DY413">
        <v>2</v>
      </c>
      <c r="DZ413" t="s">
        <v>246</v>
      </c>
      <c r="EA413" t="s">
        <v>929</v>
      </c>
    </row>
    <row r="414" spans="1:131" x14ac:dyDescent="0.4">
      <c r="A414" s="34">
        <v>43067.305104166669</v>
      </c>
      <c r="B414" s="25">
        <v>42935.696527777778</v>
      </c>
      <c r="D414" s="34"/>
      <c r="E414" s="34" t="s">
        <v>193</v>
      </c>
      <c r="F414" s="34" t="s">
        <v>191</v>
      </c>
      <c r="G414" s="34" t="s">
        <v>100</v>
      </c>
      <c r="H414" t="s">
        <v>279</v>
      </c>
      <c r="I414" t="s">
        <v>243</v>
      </c>
      <c r="J414" t="s">
        <v>712</v>
      </c>
      <c r="K414" t="s">
        <v>713</v>
      </c>
      <c r="L414" t="s">
        <v>711</v>
      </c>
      <c r="M414" s="30">
        <v>2.1</v>
      </c>
      <c r="N414">
        <v>6.75</v>
      </c>
      <c r="P414" s="24" t="str">
        <f>IFERROR(MID(RADataTable[[#This Row],[RATemplate]],1,LEN(RADataTable[[#This Row],[RATemplate]])-8),"RA") &amp; " " &amp; RADataTable[[#This Row],[prop_id0]] &amp; " " &amp; RADataTable[[#This Row],[last0]]</f>
        <v>RA 1751135 Nayyeri</v>
      </c>
      <c r="T414">
        <v>4</v>
      </c>
      <c r="U414">
        <v>4</v>
      </c>
      <c r="V414" s="34">
        <v>43031.69027777778</v>
      </c>
      <c r="W414">
        <v>1</v>
      </c>
      <c r="X414" s="15" t="str">
        <f>HYPERLINK("https://www.ejacket.nsf.gov/ej/showProposal.do?Continue=Y&amp;ID="&amp;RADataTable[[#This Row],[prop_id0]],"eJ")</f>
        <v>eJ</v>
      </c>
      <c r="Y414" s="15" t="str">
        <f>HYPERLINK("mailto:"&amp;RADataTable[[#This Row],[email]]&amp;"&amp;subject=Your NSF Proposal:  "&amp;RADataTable[[#This Row],[Div]]&amp;" "&amp;RADataTable[[#This Row],[prop_id0]], RADataTable[[#This Row],[email]])</f>
        <v>nayyeria@eecs.oregonstate.edu</v>
      </c>
      <c r="Z414" s="15" t="str">
        <f>HYPERLINK("mailto:"&amp;RADataTable[[#This Row],[allPIemail]]&amp;"&amp;subject=NSF Proposal:  "&amp;RADataTable[[#This Row],[Div]]&amp;" "&amp;RADataTable[[#This Row],[prop_id0]], "PIs@")</f>
        <v>PIs@</v>
      </c>
      <c r="AA414" t="s">
        <v>245</v>
      </c>
      <c r="AB414" t="s">
        <v>681</v>
      </c>
      <c r="AC414" s="30" t="s">
        <v>835</v>
      </c>
      <c r="AD414" t="s">
        <v>836</v>
      </c>
      <c r="AE414" t="s">
        <v>837</v>
      </c>
      <c r="AF414" s="36">
        <v>607459</v>
      </c>
      <c r="AG414" s="36">
        <v>607459</v>
      </c>
      <c r="AH414" s="24"/>
      <c r="AJ414" s="34"/>
      <c r="AK414" t="s">
        <v>923</v>
      </c>
      <c r="AL414" t="s">
        <v>232</v>
      </c>
      <c r="AM414" s="34" t="s">
        <v>925</v>
      </c>
      <c r="AN414" s="34">
        <v>43032</v>
      </c>
      <c r="AO414" s="24">
        <v>10</v>
      </c>
      <c r="AP414" t="s">
        <v>968</v>
      </c>
      <c r="AR414" s="35"/>
      <c r="AS414"/>
      <c r="AT414" s="34"/>
      <c r="AV414" s="34"/>
      <c r="AX414" s="34"/>
      <c r="AY414"/>
      <c r="BA414" s="34"/>
      <c r="BB414"/>
      <c r="BC414" t="s">
        <v>841</v>
      </c>
      <c r="BD414" s="36">
        <v>607459</v>
      </c>
      <c r="BE414" s="36">
        <v>607459</v>
      </c>
      <c r="BF414">
        <v>0</v>
      </c>
      <c r="BG414" s="34">
        <v>43344</v>
      </c>
      <c r="BH414">
        <v>60</v>
      </c>
      <c r="BI414" t="s">
        <v>283</v>
      </c>
      <c r="BJ414" t="s">
        <v>928</v>
      </c>
      <c r="BK414" t="s">
        <v>234</v>
      </c>
      <c r="BL414" t="s">
        <v>194</v>
      </c>
      <c r="BM414" s="8" t="s">
        <v>192</v>
      </c>
      <c r="BN414" t="s">
        <v>189</v>
      </c>
      <c r="BO414" t="s">
        <v>190</v>
      </c>
      <c r="BP414" s="35" t="s">
        <v>726</v>
      </c>
      <c r="BQ414"/>
      <c r="BU414" s="35"/>
      <c r="BV414" s="35"/>
      <c r="BX414"/>
      <c r="CA414" s="35"/>
      <c r="CB414" s="35"/>
      <c r="CC414"/>
      <c r="CG414" s="35"/>
      <c r="CH414" s="35"/>
      <c r="CK414"/>
      <c r="CM414" s="35"/>
      <c r="CN414" s="35"/>
      <c r="CQ414"/>
      <c r="CS414" s="35"/>
      <c r="CT414" s="35"/>
      <c r="CX414"/>
      <c r="CZ414" s="35"/>
      <c r="DD414" s="34"/>
      <c r="DG414" t="s">
        <v>839</v>
      </c>
      <c r="DH414" t="s">
        <v>969</v>
      </c>
      <c r="DI414" t="s">
        <v>233</v>
      </c>
      <c r="DL414" t="s">
        <v>681</v>
      </c>
      <c r="DM414">
        <v>6</v>
      </c>
      <c r="DN414">
        <v>7</v>
      </c>
      <c r="DO414" t="s">
        <v>840</v>
      </c>
      <c r="DQ414" t="s">
        <v>927</v>
      </c>
      <c r="DR414">
        <v>14</v>
      </c>
      <c r="DS414">
        <v>2</v>
      </c>
      <c r="DU414">
        <v>14</v>
      </c>
      <c r="DV414">
        <v>2</v>
      </c>
      <c r="DX414">
        <v>14</v>
      </c>
      <c r="DY414">
        <v>2</v>
      </c>
      <c r="DZ414" t="s">
        <v>246</v>
      </c>
      <c r="EA414" t="s">
        <v>929</v>
      </c>
    </row>
    <row r="415" spans="1:131" x14ac:dyDescent="0.4">
      <c r="A415" s="34">
        <v>43067.305104166669</v>
      </c>
      <c r="B415" s="25">
        <v>42935.696527777778</v>
      </c>
      <c r="D415" s="34"/>
      <c r="E415" s="34" t="s">
        <v>193</v>
      </c>
      <c r="F415" s="34" t="s">
        <v>191</v>
      </c>
      <c r="G415" s="34" t="s">
        <v>100</v>
      </c>
      <c r="H415" t="s">
        <v>279</v>
      </c>
      <c r="I415" t="s">
        <v>243</v>
      </c>
      <c r="J415" t="s">
        <v>712</v>
      </c>
      <c r="K415" t="s">
        <v>713</v>
      </c>
      <c r="L415" t="s">
        <v>711</v>
      </c>
      <c r="M415" s="30">
        <v>2.1</v>
      </c>
      <c r="N415">
        <v>6.75</v>
      </c>
      <c r="P415" s="24" t="str">
        <f>IFERROR(MID(RADataTable[[#This Row],[RATemplate]],1,LEN(RADataTable[[#This Row],[RATemplate]])-8),"RA") &amp; " " &amp; RADataTable[[#This Row],[prop_id0]] &amp; " " &amp; RADataTable[[#This Row],[last0]]</f>
        <v>RA 1751135 Nayyeri</v>
      </c>
      <c r="T415">
        <v>4</v>
      </c>
      <c r="U415">
        <v>4</v>
      </c>
      <c r="V415" s="34">
        <v>43031.69027777778</v>
      </c>
      <c r="W415">
        <v>1</v>
      </c>
      <c r="X415" s="15" t="str">
        <f>HYPERLINK("https://www.ejacket.nsf.gov/ej/showProposal.do?Continue=Y&amp;ID="&amp;RADataTable[[#This Row],[prop_id0]],"eJ")</f>
        <v>eJ</v>
      </c>
      <c r="Y415" s="15" t="str">
        <f>HYPERLINK("mailto:"&amp;RADataTable[[#This Row],[email]]&amp;"&amp;subject=Your NSF Proposal:  "&amp;RADataTable[[#This Row],[Div]]&amp;" "&amp;RADataTable[[#This Row],[prop_id0]], RADataTable[[#This Row],[email]])</f>
        <v>nayyeria@eecs.oregonstate.edu</v>
      </c>
      <c r="Z415" s="15" t="str">
        <f>HYPERLINK("mailto:"&amp;RADataTable[[#This Row],[allPIemail]]&amp;"&amp;subject=NSF Proposal:  "&amp;RADataTable[[#This Row],[Div]]&amp;" "&amp;RADataTable[[#This Row],[prop_id0]], "PIs@")</f>
        <v>PIs@</v>
      </c>
      <c r="AA415" t="s">
        <v>245</v>
      </c>
      <c r="AB415" t="s">
        <v>681</v>
      </c>
      <c r="AC415" s="30" t="s">
        <v>835</v>
      </c>
      <c r="AD415" t="s">
        <v>836</v>
      </c>
      <c r="AE415" t="s">
        <v>837</v>
      </c>
      <c r="AF415" s="36">
        <v>607459</v>
      </c>
      <c r="AG415" s="36">
        <v>607459</v>
      </c>
      <c r="AH415" s="24"/>
      <c r="AJ415" s="34"/>
      <c r="AK415" t="s">
        <v>923</v>
      </c>
      <c r="AL415" t="s">
        <v>232</v>
      </c>
      <c r="AM415" s="34" t="s">
        <v>925</v>
      </c>
      <c r="AN415" s="34">
        <v>43032</v>
      </c>
      <c r="AO415" s="24">
        <v>10</v>
      </c>
      <c r="AP415" t="s">
        <v>968</v>
      </c>
      <c r="AR415" s="35"/>
      <c r="AS415"/>
      <c r="AT415" s="34"/>
      <c r="AV415" s="34"/>
      <c r="AX415" s="34"/>
      <c r="AY415"/>
      <c r="BA415" s="34"/>
      <c r="BB415"/>
      <c r="BC415" t="s">
        <v>841</v>
      </c>
      <c r="BD415" s="36">
        <v>607459</v>
      </c>
      <c r="BE415" s="36">
        <v>607459</v>
      </c>
      <c r="BF415">
        <v>0</v>
      </c>
      <c r="BG415" s="34">
        <v>43344</v>
      </c>
      <c r="BH415">
        <v>60</v>
      </c>
      <c r="BI415" t="s">
        <v>283</v>
      </c>
      <c r="BJ415" t="s">
        <v>928</v>
      </c>
      <c r="BK415" t="s">
        <v>234</v>
      </c>
      <c r="BL415" t="s">
        <v>194</v>
      </c>
      <c r="BM415" s="8" t="s">
        <v>192</v>
      </c>
      <c r="BN415" t="s">
        <v>189</v>
      </c>
      <c r="BO415" t="s">
        <v>190</v>
      </c>
      <c r="BP415" s="35" t="s">
        <v>726</v>
      </c>
      <c r="BQ415"/>
      <c r="BU415" s="35"/>
      <c r="BV415" s="35"/>
      <c r="BX415"/>
      <c r="CA415" s="35"/>
      <c r="CB415" s="35"/>
      <c r="CC415"/>
      <c r="CG415" s="35"/>
      <c r="CH415" s="35"/>
      <c r="CK415"/>
      <c r="CM415" s="35"/>
      <c r="CN415" s="35"/>
      <c r="CQ415"/>
      <c r="CS415" s="35"/>
      <c r="CT415" s="35"/>
      <c r="CX415"/>
      <c r="CZ415" s="35"/>
      <c r="DD415" s="34"/>
      <c r="DG415" t="s">
        <v>839</v>
      </c>
      <c r="DH415" t="s">
        <v>969</v>
      </c>
      <c r="DI415" t="s">
        <v>233</v>
      </c>
      <c r="DL415" t="s">
        <v>681</v>
      </c>
      <c r="DM415">
        <v>6</v>
      </c>
      <c r="DN415">
        <v>7</v>
      </c>
      <c r="DO415" t="s">
        <v>840</v>
      </c>
      <c r="DQ415" t="s">
        <v>927</v>
      </c>
      <c r="DR415">
        <v>14</v>
      </c>
      <c r="DS415">
        <v>2</v>
      </c>
      <c r="DU415">
        <v>14</v>
      </c>
      <c r="DV415">
        <v>2</v>
      </c>
      <c r="DX415">
        <v>14</v>
      </c>
      <c r="DY415">
        <v>2</v>
      </c>
      <c r="DZ415" t="s">
        <v>246</v>
      </c>
      <c r="EA415" t="s">
        <v>929</v>
      </c>
    </row>
    <row r="416" spans="1:131" x14ac:dyDescent="0.4">
      <c r="A416" s="34">
        <v>43067.305104166669</v>
      </c>
      <c r="B416" s="25">
        <v>42935.696527777778</v>
      </c>
      <c r="D416" s="34"/>
      <c r="E416" s="34" t="s">
        <v>193</v>
      </c>
      <c r="F416" s="34" t="s">
        <v>191</v>
      </c>
      <c r="G416" s="34" t="s">
        <v>100</v>
      </c>
      <c r="H416" t="s">
        <v>279</v>
      </c>
      <c r="I416" t="s">
        <v>243</v>
      </c>
      <c r="J416" t="s">
        <v>712</v>
      </c>
      <c r="K416" t="s">
        <v>713</v>
      </c>
      <c r="L416" t="s">
        <v>711</v>
      </c>
      <c r="M416" s="30">
        <v>2.1</v>
      </c>
      <c r="N416">
        <v>6.75</v>
      </c>
      <c r="P416" s="24" t="str">
        <f>IFERROR(MID(RADataTable[[#This Row],[RATemplate]],1,LEN(RADataTable[[#This Row],[RATemplate]])-8),"RA") &amp; " " &amp; RADataTable[[#This Row],[prop_id0]] &amp; " " &amp; RADataTable[[#This Row],[last0]]</f>
        <v>RA 1751135 Nayyeri</v>
      </c>
      <c r="T416">
        <v>4</v>
      </c>
      <c r="U416">
        <v>4</v>
      </c>
      <c r="V416" s="34">
        <v>43031.69027777778</v>
      </c>
      <c r="W416">
        <v>1</v>
      </c>
      <c r="X416" s="15" t="str">
        <f>HYPERLINK("https://www.ejacket.nsf.gov/ej/showProposal.do?Continue=Y&amp;ID="&amp;RADataTable[[#This Row],[prop_id0]],"eJ")</f>
        <v>eJ</v>
      </c>
      <c r="Y416" s="15" t="str">
        <f>HYPERLINK("mailto:"&amp;RADataTable[[#This Row],[email]]&amp;"&amp;subject=Your NSF Proposal:  "&amp;RADataTable[[#This Row],[Div]]&amp;" "&amp;RADataTable[[#This Row],[prop_id0]], RADataTable[[#This Row],[email]])</f>
        <v>nayyeria@eecs.oregonstate.edu</v>
      </c>
      <c r="Z416" s="15" t="str">
        <f>HYPERLINK("mailto:"&amp;RADataTable[[#This Row],[allPIemail]]&amp;"&amp;subject=NSF Proposal:  "&amp;RADataTable[[#This Row],[Div]]&amp;" "&amp;RADataTable[[#This Row],[prop_id0]], "PIs@")</f>
        <v>PIs@</v>
      </c>
      <c r="AA416" t="s">
        <v>245</v>
      </c>
      <c r="AB416" t="s">
        <v>681</v>
      </c>
      <c r="AC416" s="30" t="s">
        <v>835</v>
      </c>
      <c r="AD416" t="s">
        <v>836</v>
      </c>
      <c r="AE416" t="s">
        <v>837</v>
      </c>
      <c r="AF416" s="36">
        <v>607459</v>
      </c>
      <c r="AG416" s="36">
        <v>607459</v>
      </c>
      <c r="AH416" s="24"/>
      <c r="AJ416" s="34"/>
      <c r="AK416" t="s">
        <v>923</v>
      </c>
      <c r="AL416" t="s">
        <v>232</v>
      </c>
      <c r="AM416" s="34" t="s">
        <v>925</v>
      </c>
      <c r="AN416" s="34">
        <v>43032</v>
      </c>
      <c r="AO416" s="24">
        <v>10</v>
      </c>
      <c r="AP416" t="s">
        <v>968</v>
      </c>
      <c r="AR416" s="35"/>
      <c r="AS416"/>
      <c r="AT416" s="34"/>
      <c r="AV416" s="34"/>
      <c r="AX416" s="34"/>
      <c r="AY416"/>
      <c r="BA416" s="34"/>
      <c r="BB416"/>
      <c r="BC416" t="s">
        <v>841</v>
      </c>
      <c r="BD416" s="36">
        <v>607459</v>
      </c>
      <c r="BE416" s="36">
        <v>607459</v>
      </c>
      <c r="BF416">
        <v>0</v>
      </c>
      <c r="BG416" s="34">
        <v>43344</v>
      </c>
      <c r="BH416">
        <v>60</v>
      </c>
      <c r="BI416" t="s">
        <v>283</v>
      </c>
      <c r="BJ416" t="s">
        <v>928</v>
      </c>
      <c r="BK416" t="s">
        <v>234</v>
      </c>
      <c r="BL416" t="s">
        <v>194</v>
      </c>
      <c r="BM416" s="8" t="s">
        <v>192</v>
      </c>
      <c r="BN416" t="s">
        <v>189</v>
      </c>
      <c r="BO416" t="s">
        <v>190</v>
      </c>
      <c r="BP416" s="35" t="s">
        <v>726</v>
      </c>
      <c r="BQ416"/>
      <c r="BU416" s="35"/>
      <c r="BV416" s="35"/>
      <c r="BX416"/>
      <c r="CA416" s="35"/>
      <c r="CB416" s="35"/>
      <c r="CC416"/>
      <c r="CG416" s="35"/>
      <c r="CH416" s="35"/>
      <c r="CK416"/>
      <c r="CM416" s="35"/>
      <c r="CN416" s="35"/>
      <c r="CQ416"/>
      <c r="CS416" s="35"/>
      <c r="CT416" s="35"/>
      <c r="CX416"/>
      <c r="CZ416" s="35"/>
      <c r="DD416" s="34"/>
      <c r="DG416" t="s">
        <v>839</v>
      </c>
      <c r="DH416" t="s">
        <v>969</v>
      </c>
      <c r="DI416" t="s">
        <v>233</v>
      </c>
      <c r="DL416" t="s">
        <v>681</v>
      </c>
      <c r="DM416">
        <v>6</v>
      </c>
      <c r="DN416">
        <v>7</v>
      </c>
      <c r="DO416" t="s">
        <v>840</v>
      </c>
      <c r="DQ416" t="s">
        <v>927</v>
      </c>
      <c r="DR416">
        <v>14</v>
      </c>
      <c r="DS416">
        <v>2</v>
      </c>
      <c r="DU416">
        <v>14</v>
      </c>
      <c r="DV416">
        <v>2</v>
      </c>
      <c r="DX416">
        <v>14</v>
      </c>
      <c r="DY416">
        <v>2</v>
      </c>
      <c r="DZ416" t="s">
        <v>246</v>
      </c>
      <c r="EA416" t="s">
        <v>929</v>
      </c>
    </row>
    <row r="417" spans="1:131" x14ac:dyDescent="0.4">
      <c r="A417" s="34">
        <v>43067.305104166669</v>
      </c>
      <c r="B417" s="25">
        <v>42935.696527777778</v>
      </c>
      <c r="D417" s="34"/>
      <c r="E417" s="34" t="s">
        <v>193</v>
      </c>
      <c r="F417" s="34" t="s">
        <v>191</v>
      </c>
      <c r="G417" s="34" t="s">
        <v>100</v>
      </c>
      <c r="H417" t="s">
        <v>279</v>
      </c>
      <c r="I417" t="s">
        <v>243</v>
      </c>
      <c r="J417" t="s">
        <v>712</v>
      </c>
      <c r="K417" t="s">
        <v>713</v>
      </c>
      <c r="L417" t="s">
        <v>711</v>
      </c>
      <c r="M417" s="30">
        <v>2.1</v>
      </c>
      <c r="N417">
        <v>6.75</v>
      </c>
      <c r="P417" s="24" t="str">
        <f>IFERROR(MID(RADataTable[[#This Row],[RATemplate]],1,LEN(RADataTable[[#This Row],[RATemplate]])-8),"RA") &amp; " " &amp; RADataTable[[#This Row],[prop_id0]] &amp; " " &amp; RADataTable[[#This Row],[last0]]</f>
        <v>RA 1751135 Nayyeri</v>
      </c>
      <c r="T417">
        <v>4</v>
      </c>
      <c r="U417">
        <v>4</v>
      </c>
      <c r="V417" s="34">
        <v>43031.69027777778</v>
      </c>
      <c r="W417">
        <v>1</v>
      </c>
      <c r="X417" s="15" t="str">
        <f>HYPERLINK("https://www.ejacket.nsf.gov/ej/showProposal.do?Continue=Y&amp;ID="&amp;RADataTable[[#This Row],[prop_id0]],"eJ")</f>
        <v>eJ</v>
      </c>
      <c r="Y417" s="15" t="str">
        <f>HYPERLINK("mailto:"&amp;RADataTable[[#This Row],[email]]&amp;"&amp;subject=Your NSF Proposal:  "&amp;RADataTable[[#This Row],[Div]]&amp;" "&amp;RADataTable[[#This Row],[prop_id0]], RADataTable[[#This Row],[email]])</f>
        <v>nayyeria@eecs.oregonstate.edu</v>
      </c>
      <c r="Z417" s="15" t="str">
        <f>HYPERLINK("mailto:"&amp;RADataTable[[#This Row],[allPIemail]]&amp;"&amp;subject=NSF Proposal:  "&amp;RADataTable[[#This Row],[Div]]&amp;" "&amp;RADataTable[[#This Row],[prop_id0]], "PIs@")</f>
        <v>PIs@</v>
      </c>
      <c r="AA417" t="s">
        <v>245</v>
      </c>
      <c r="AB417" t="s">
        <v>681</v>
      </c>
      <c r="AC417" s="30" t="s">
        <v>835</v>
      </c>
      <c r="AD417" t="s">
        <v>836</v>
      </c>
      <c r="AE417" t="s">
        <v>837</v>
      </c>
      <c r="AF417" s="36">
        <v>607459</v>
      </c>
      <c r="AG417" s="36">
        <v>607459</v>
      </c>
      <c r="AH417" s="24"/>
      <c r="AJ417" s="34"/>
      <c r="AK417" t="s">
        <v>923</v>
      </c>
      <c r="AL417" t="s">
        <v>232</v>
      </c>
      <c r="AM417" s="34" t="s">
        <v>925</v>
      </c>
      <c r="AN417" s="34">
        <v>43032</v>
      </c>
      <c r="AO417" s="24">
        <v>10</v>
      </c>
      <c r="AP417" t="s">
        <v>968</v>
      </c>
      <c r="AR417" s="35"/>
      <c r="AS417"/>
      <c r="AT417" s="34"/>
      <c r="AV417" s="34"/>
      <c r="AX417" s="34"/>
      <c r="AY417"/>
      <c r="BA417" s="34"/>
      <c r="BB417"/>
      <c r="BC417" t="s">
        <v>841</v>
      </c>
      <c r="BD417" s="36">
        <v>607459</v>
      </c>
      <c r="BE417" s="36">
        <v>607459</v>
      </c>
      <c r="BF417">
        <v>0</v>
      </c>
      <c r="BG417" s="34">
        <v>43344</v>
      </c>
      <c r="BH417">
        <v>60</v>
      </c>
      <c r="BI417" t="s">
        <v>283</v>
      </c>
      <c r="BJ417" t="s">
        <v>928</v>
      </c>
      <c r="BK417" t="s">
        <v>234</v>
      </c>
      <c r="BL417" t="s">
        <v>194</v>
      </c>
      <c r="BM417" s="8" t="s">
        <v>192</v>
      </c>
      <c r="BN417" t="s">
        <v>189</v>
      </c>
      <c r="BO417" t="s">
        <v>190</v>
      </c>
      <c r="BP417" s="35" t="s">
        <v>726</v>
      </c>
      <c r="BQ417"/>
      <c r="BU417" s="35"/>
      <c r="BV417" s="35"/>
      <c r="BX417"/>
      <c r="CA417" s="35"/>
      <c r="CB417" s="35"/>
      <c r="CC417"/>
      <c r="CG417" s="35"/>
      <c r="CH417" s="35"/>
      <c r="CK417"/>
      <c r="CM417" s="35"/>
      <c r="CN417" s="35"/>
      <c r="CQ417"/>
      <c r="CS417" s="35"/>
      <c r="CT417" s="35"/>
      <c r="CX417"/>
      <c r="CZ417" s="35"/>
      <c r="DD417" s="34"/>
      <c r="DG417" t="s">
        <v>839</v>
      </c>
      <c r="DH417" t="s">
        <v>969</v>
      </c>
      <c r="DI417" t="s">
        <v>233</v>
      </c>
      <c r="DL417" t="s">
        <v>681</v>
      </c>
      <c r="DM417">
        <v>6</v>
      </c>
      <c r="DN417">
        <v>7</v>
      </c>
      <c r="DO417" t="s">
        <v>840</v>
      </c>
      <c r="DQ417" t="s">
        <v>927</v>
      </c>
      <c r="DR417">
        <v>14</v>
      </c>
      <c r="DS417">
        <v>2</v>
      </c>
      <c r="DU417">
        <v>14</v>
      </c>
      <c r="DV417">
        <v>2</v>
      </c>
      <c r="DX417">
        <v>14</v>
      </c>
      <c r="DY417">
        <v>2</v>
      </c>
      <c r="DZ417" t="s">
        <v>246</v>
      </c>
      <c r="EA417" t="s">
        <v>929</v>
      </c>
    </row>
    <row r="418" spans="1:131" x14ac:dyDescent="0.4">
      <c r="A418" s="34">
        <v>43067.305104166669</v>
      </c>
      <c r="B418" s="25">
        <v>42935.696527777778</v>
      </c>
      <c r="D418" s="34"/>
      <c r="E418" s="34" t="s">
        <v>193</v>
      </c>
      <c r="F418" s="34" t="s">
        <v>191</v>
      </c>
      <c r="G418" s="34" t="s">
        <v>100</v>
      </c>
      <c r="H418" t="s">
        <v>279</v>
      </c>
      <c r="I418" t="s">
        <v>243</v>
      </c>
      <c r="J418" t="s">
        <v>712</v>
      </c>
      <c r="K418" t="s">
        <v>713</v>
      </c>
      <c r="L418" t="s">
        <v>711</v>
      </c>
      <c r="M418" s="30">
        <v>2.1</v>
      </c>
      <c r="N418">
        <v>6.75</v>
      </c>
      <c r="P418" s="24" t="str">
        <f>IFERROR(MID(RADataTable[[#This Row],[RATemplate]],1,LEN(RADataTable[[#This Row],[RATemplate]])-8),"RA") &amp; " " &amp; RADataTable[[#This Row],[prop_id0]] &amp; " " &amp; RADataTable[[#This Row],[last0]]</f>
        <v>RA 1751135 Nayyeri</v>
      </c>
      <c r="T418">
        <v>4</v>
      </c>
      <c r="U418">
        <v>4</v>
      </c>
      <c r="V418" s="34">
        <v>43031.69027777778</v>
      </c>
      <c r="W418">
        <v>1</v>
      </c>
      <c r="X418" s="15" t="str">
        <f>HYPERLINK("https://www.ejacket.nsf.gov/ej/showProposal.do?Continue=Y&amp;ID="&amp;RADataTable[[#This Row],[prop_id0]],"eJ")</f>
        <v>eJ</v>
      </c>
      <c r="Y418" s="15" t="str">
        <f>HYPERLINK("mailto:"&amp;RADataTable[[#This Row],[email]]&amp;"&amp;subject=Your NSF Proposal:  "&amp;RADataTable[[#This Row],[Div]]&amp;" "&amp;RADataTable[[#This Row],[prop_id0]], RADataTable[[#This Row],[email]])</f>
        <v>nayyeria@eecs.oregonstate.edu</v>
      </c>
      <c r="Z418" s="15" t="str">
        <f>HYPERLINK("mailto:"&amp;RADataTable[[#This Row],[allPIemail]]&amp;"&amp;subject=NSF Proposal:  "&amp;RADataTable[[#This Row],[Div]]&amp;" "&amp;RADataTable[[#This Row],[prop_id0]], "PIs@")</f>
        <v>PIs@</v>
      </c>
      <c r="AA418" t="s">
        <v>245</v>
      </c>
      <c r="AB418" t="s">
        <v>681</v>
      </c>
      <c r="AC418" s="30" t="s">
        <v>835</v>
      </c>
      <c r="AD418" t="s">
        <v>836</v>
      </c>
      <c r="AE418" t="s">
        <v>837</v>
      </c>
      <c r="AF418" s="36">
        <v>607459</v>
      </c>
      <c r="AG418" s="36">
        <v>607459</v>
      </c>
      <c r="AH418" s="24"/>
      <c r="AJ418" s="34"/>
      <c r="AK418" t="s">
        <v>923</v>
      </c>
      <c r="AL418" t="s">
        <v>232</v>
      </c>
      <c r="AM418" s="34" t="s">
        <v>925</v>
      </c>
      <c r="AN418" s="34">
        <v>43032</v>
      </c>
      <c r="AO418" s="24">
        <v>10</v>
      </c>
      <c r="AP418" t="s">
        <v>968</v>
      </c>
      <c r="AR418" s="35"/>
      <c r="AS418"/>
      <c r="AT418" s="34"/>
      <c r="AV418" s="34"/>
      <c r="AX418" s="34"/>
      <c r="AY418"/>
      <c r="BA418" s="34"/>
      <c r="BB418"/>
      <c r="BC418" t="s">
        <v>841</v>
      </c>
      <c r="BD418" s="36">
        <v>607459</v>
      </c>
      <c r="BE418" s="36">
        <v>607459</v>
      </c>
      <c r="BF418">
        <v>0</v>
      </c>
      <c r="BG418" s="34">
        <v>43344</v>
      </c>
      <c r="BH418">
        <v>60</v>
      </c>
      <c r="BI418" t="s">
        <v>283</v>
      </c>
      <c r="BJ418" t="s">
        <v>928</v>
      </c>
      <c r="BK418" t="s">
        <v>234</v>
      </c>
      <c r="BL418" t="s">
        <v>194</v>
      </c>
      <c r="BM418" s="8" t="s">
        <v>192</v>
      </c>
      <c r="BN418" t="s">
        <v>189</v>
      </c>
      <c r="BO418" t="s">
        <v>190</v>
      </c>
      <c r="BP418" s="35" t="s">
        <v>726</v>
      </c>
      <c r="BQ418"/>
      <c r="BU418" s="35"/>
      <c r="BV418" s="35"/>
      <c r="BX418"/>
      <c r="CA418" s="35"/>
      <c r="CB418" s="35"/>
      <c r="CC418"/>
      <c r="CG418" s="35"/>
      <c r="CH418" s="35"/>
      <c r="CK418"/>
      <c r="CM418" s="35"/>
      <c r="CN418" s="35"/>
      <c r="CQ418"/>
      <c r="CS418" s="35"/>
      <c r="CT418" s="35"/>
      <c r="CX418"/>
      <c r="CZ418" s="35"/>
      <c r="DD418" s="34"/>
      <c r="DG418" t="s">
        <v>839</v>
      </c>
      <c r="DH418" t="s">
        <v>969</v>
      </c>
      <c r="DI418" t="s">
        <v>233</v>
      </c>
      <c r="DL418" t="s">
        <v>681</v>
      </c>
      <c r="DM418">
        <v>6</v>
      </c>
      <c r="DN418">
        <v>7</v>
      </c>
      <c r="DO418" t="s">
        <v>840</v>
      </c>
      <c r="DQ418" t="s">
        <v>927</v>
      </c>
      <c r="DR418">
        <v>14</v>
      </c>
      <c r="DS418">
        <v>2</v>
      </c>
      <c r="DU418">
        <v>14</v>
      </c>
      <c r="DV418">
        <v>2</v>
      </c>
      <c r="DX418">
        <v>14</v>
      </c>
      <c r="DY418">
        <v>2</v>
      </c>
      <c r="DZ418" t="s">
        <v>246</v>
      </c>
      <c r="EA418" t="s">
        <v>929</v>
      </c>
    </row>
    <row r="419" spans="1:131" x14ac:dyDescent="0.4">
      <c r="A419" s="34">
        <v>43067.305104166669</v>
      </c>
      <c r="B419" s="25">
        <v>42935.696527777778</v>
      </c>
      <c r="D419" s="34"/>
      <c r="E419" s="34" t="s">
        <v>193</v>
      </c>
      <c r="F419" s="34" t="s">
        <v>191</v>
      </c>
      <c r="G419" s="34" t="s">
        <v>100</v>
      </c>
      <c r="H419" t="s">
        <v>279</v>
      </c>
      <c r="I419" t="s">
        <v>243</v>
      </c>
      <c r="J419" t="s">
        <v>712</v>
      </c>
      <c r="K419" t="s">
        <v>713</v>
      </c>
      <c r="L419" t="s">
        <v>711</v>
      </c>
      <c r="M419" s="30">
        <v>2.1</v>
      </c>
      <c r="N419">
        <v>6.75</v>
      </c>
      <c r="P419" s="24" t="str">
        <f>IFERROR(MID(RADataTable[[#This Row],[RATemplate]],1,LEN(RADataTable[[#This Row],[RATemplate]])-8),"RA") &amp; " " &amp; RADataTable[[#This Row],[prop_id0]] &amp; " " &amp; RADataTable[[#This Row],[last0]]</f>
        <v>RA 1751135 Nayyeri</v>
      </c>
      <c r="T419">
        <v>4</v>
      </c>
      <c r="U419">
        <v>4</v>
      </c>
      <c r="V419" s="34">
        <v>43031.69027777778</v>
      </c>
      <c r="W419">
        <v>1</v>
      </c>
      <c r="X419" s="15" t="str">
        <f>HYPERLINK("https://www.ejacket.nsf.gov/ej/showProposal.do?Continue=Y&amp;ID="&amp;RADataTable[[#This Row],[prop_id0]],"eJ")</f>
        <v>eJ</v>
      </c>
      <c r="Y419" s="15" t="str">
        <f>HYPERLINK("mailto:"&amp;RADataTable[[#This Row],[email]]&amp;"&amp;subject=Your NSF Proposal:  "&amp;RADataTable[[#This Row],[Div]]&amp;" "&amp;RADataTable[[#This Row],[prop_id0]], RADataTable[[#This Row],[email]])</f>
        <v>nayyeria@eecs.oregonstate.edu</v>
      </c>
      <c r="Z419" s="15" t="str">
        <f>HYPERLINK("mailto:"&amp;RADataTable[[#This Row],[allPIemail]]&amp;"&amp;subject=NSF Proposal:  "&amp;RADataTable[[#This Row],[Div]]&amp;" "&amp;RADataTable[[#This Row],[prop_id0]], "PIs@")</f>
        <v>PIs@</v>
      </c>
      <c r="AA419" t="s">
        <v>245</v>
      </c>
      <c r="AB419" t="s">
        <v>681</v>
      </c>
      <c r="AC419" s="30" t="s">
        <v>835</v>
      </c>
      <c r="AD419" t="s">
        <v>836</v>
      </c>
      <c r="AE419" t="s">
        <v>837</v>
      </c>
      <c r="AF419" s="36">
        <v>607459</v>
      </c>
      <c r="AG419" s="36">
        <v>607459</v>
      </c>
      <c r="AH419" s="24"/>
      <c r="AJ419" s="34"/>
      <c r="AK419" t="s">
        <v>923</v>
      </c>
      <c r="AL419" t="s">
        <v>232</v>
      </c>
      <c r="AM419" s="34" t="s">
        <v>925</v>
      </c>
      <c r="AN419" s="34">
        <v>43032</v>
      </c>
      <c r="AO419" s="24">
        <v>10</v>
      </c>
      <c r="AP419" t="s">
        <v>968</v>
      </c>
      <c r="AR419" s="35"/>
      <c r="AS419"/>
      <c r="AT419" s="34"/>
      <c r="AV419" s="34"/>
      <c r="AX419" s="34"/>
      <c r="AY419"/>
      <c r="BA419" s="34"/>
      <c r="BB419"/>
      <c r="BC419" t="s">
        <v>841</v>
      </c>
      <c r="BD419" s="36">
        <v>607459</v>
      </c>
      <c r="BE419" s="36">
        <v>607459</v>
      </c>
      <c r="BF419">
        <v>0</v>
      </c>
      <c r="BG419" s="34">
        <v>43344</v>
      </c>
      <c r="BH419">
        <v>60</v>
      </c>
      <c r="BI419" t="s">
        <v>283</v>
      </c>
      <c r="BJ419" t="s">
        <v>928</v>
      </c>
      <c r="BK419" t="s">
        <v>234</v>
      </c>
      <c r="BL419" t="s">
        <v>194</v>
      </c>
      <c r="BM419" s="8" t="s">
        <v>192</v>
      </c>
      <c r="BN419" t="s">
        <v>189</v>
      </c>
      <c r="BO419" t="s">
        <v>190</v>
      </c>
      <c r="BP419" s="35" t="s">
        <v>726</v>
      </c>
      <c r="BQ419"/>
      <c r="BU419" s="35"/>
      <c r="BV419" s="35"/>
      <c r="BX419"/>
      <c r="CA419" s="35"/>
      <c r="CB419" s="35"/>
      <c r="CC419"/>
      <c r="CG419" s="35"/>
      <c r="CH419" s="35"/>
      <c r="CK419"/>
      <c r="CM419" s="35"/>
      <c r="CN419" s="35"/>
      <c r="CQ419"/>
      <c r="CS419" s="35"/>
      <c r="CT419" s="35"/>
      <c r="CX419"/>
      <c r="CZ419" s="35"/>
      <c r="DD419" s="34"/>
      <c r="DG419" t="s">
        <v>839</v>
      </c>
      <c r="DH419" t="s">
        <v>969</v>
      </c>
      <c r="DI419" t="s">
        <v>233</v>
      </c>
      <c r="DL419" t="s">
        <v>681</v>
      </c>
      <c r="DM419">
        <v>6</v>
      </c>
      <c r="DN419">
        <v>7</v>
      </c>
      <c r="DO419" t="s">
        <v>840</v>
      </c>
      <c r="DQ419" t="s">
        <v>927</v>
      </c>
      <c r="DR419">
        <v>14</v>
      </c>
      <c r="DS419">
        <v>2</v>
      </c>
      <c r="DU419">
        <v>14</v>
      </c>
      <c r="DV419">
        <v>2</v>
      </c>
      <c r="DX419">
        <v>14</v>
      </c>
      <c r="DY419">
        <v>2</v>
      </c>
      <c r="DZ419" t="s">
        <v>246</v>
      </c>
      <c r="EA419" t="s">
        <v>929</v>
      </c>
    </row>
    <row r="420" spans="1:131" x14ac:dyDescent="0.4">
      <c r="A420" s="34">
        <v>43067.305104166669</v>
      </c>
      <c r="B420" s="25">
        <v>42935.696527777778</v>
      </c>
      <c r="D420" s="34"/>
      <c r="E420" s="34" t="s">
        <v>193</v>
      </c>
      <c r="F420" s="34" t="s">
        <v>191</v>
      </c>
      <c r="G420" s="34" t="s">
        <v>100</v>
      </c>
      <c r="H420" t="s">
        <v>279</v>
      </c>
      <c r="I420" t="s">
        <v>243</v>
      </c>
      <c r="J420" t="s">
        <v>712</v>
      </c>
      <c r="K420" t="s">
        <v>713</v>
      </c>
      <c r="L420" t="s">
        <v>711</v>
      </c>
      <c r="M420" s="30">
        <v>2.1</v>
      </c>
      <c r="N420">
        <v>6.75</v>
      </c>
      <c r="P420" s="24" t="str">
        <f>IFERROR(MID(RADataTable[[#This Row],[RATemplate]],1,LEN(RADataTable[[#This Row],[RATemplate]])-8),"RA") &amp; " " &amp; RADataTable[[#This Row],[prop_id0]] &amp; " " &amp; RADataTable[[#This Row],[last0]]</f>
        <v>RA 1751135 Nayyeri</v>
      </c>
      <c r="T420">
        <v>4</v>
      </c>
      <c r="U420">
        <v>4</v>
      </c>
      <c r="V420" s="34">
        <v>43031.69027777778</v>
      </c>
      <c r="W420">
        <v>1</v>
      </c>
      <c r="X420" s="15" t="str">
        <f>HYPERLINK("https://www.ejacket.nsf.gov/ej/showProposal.do?Continue=Y&amp;ID="&amp;RADataTable[[#This Row],[prop_id0]],"eJ")</f>
        <v>eJ</v>
      </c>
      <c r="Y420" s="15" t="str">
        <f>HYPERLINK("mailto:"&amp;RADataTable[[#This Row],[email]]&amp;"&amp;subject=Your NSF Proposal:  "&amp;RADataTable[[#This Row],[Div]]&amp;" "&amp;RADataTable[[#This Row],[prop_id0]], RADataTable[[#This Row],[email]])</f>
        <v>nayyeria@eecs.oregonstate.edu</v>
      </c>
      <c r="Z420" s="15" t="str">
        <f>HYPERLINK("mailto:"&amp;RADataTable[[#This Row],[allPIemail]]&amp;"&amp;subject=NSF Proposal:  "&amp;RADataTable[[#This Row],[Div]]&amp;" "&amp;RADataTable[[#This Row],[prop_id0]], "PIs@")</f>
        <v>PIs@</v>
      </c>
      <c r="AA420" t="s">
        <v>245</v>
      </c>
      <c r="AB420" t="s">
        <v>681</v>
      </c>
      <c r="AC420" s="30" t="s">
        <v>835</v>
      </c>
      <c r="AD420" t="s">
        <v>836</v>
      </c>
      <c r="AE420" t="s">
        <v>837</v>
      </c>
      <c r="AF420" s="36">
        <v>607459</v>
      </c>
      <c r="AG420" s="36">
        <v>607459</v>
      </c>
      <c r="AH420" s="24"/>
      <c r="AJ420" s="34"/>
      <c r="AK420" t="s">
        <v>923</v>
      </c>
      <c r="AL420" t="s">
        <v>232</v>
      </c>
      <c r="AM420" s="34" t="s">
        <v>925</v>
      </c>
      <c r="AN420" s="34">
        <v>43032</v>
      </c>
      <c r="AO420" s="24">
        <v>10</v>
      </c>
      <c r="AP420" t="s">
        <v>968</v>
      </c>
      <c r="AR420" s="35"/>
      <c r="AS420"/>
      <c r="AT420" s="34"/>
      <c r="AV420" s="34"/>
      <c r="AX420" s="34"/>
      <c r="AY420"/>
      <c r="BA420" s="34"/>
      <c r="BB420"/>
      <c r="BC420" t="s">
        <v>841</v>
      </c>
      <c r="BD420" s="36">
        <v>607459</v>
      </c>
      <c r="BE420" s="36">
        <v>607459</v>
      </c>
      <c r="BF420">
        <v>0</v>
      </c>
      <c r="BG420" s="34">
        <v>43344</v>
      </c>
      <c r="BH420">
        <v>60</v>
      </c>
      <c r="BI420" t="s">
        <v>283</v>
      </c>
      <c r="BJ420" t="s">
        <v>928</v>
      </c>
      <c r="BK420" t="s">
        <v>234</v>
      </c>
      <c r="BL420" t="s">
        <v>194</v>
      </c>
      <c r="BM420" s="8" t="s">
        <v>192</v>
      </c>
      <c r="BN420" t="s">
        <v>189</v>
      </c>
      <c r="BO420" t="s">
        <v>190</v>
      </c>
      <c r="BP420" s="35" t="s">
        <v>726</v>
      </c>
      <c r="BQ420"/>
      <c r="BU420" s="35"/>
      <c r="BV420" s="35"/>
      <c r="BX420"/>
      <c r="CA420" s="35"/>
      <c r="CB420" s="35"/>
      <c r="CC420"/>
      <c r="CG420" s="35"/>
      <c r="CH420" s="35"/>
      <c r="CK420"/>
      <c r="CM420" s="35"/>
      <c r="CN420" s="35"/>
      <c r="CQ420"/>
      <c r="CS420" s="35"/>
      <c r="CT420" s="35"/>
      <c r="CX420"/>
      <c r="CZ420" s="35"/>
      <c r="DD420" s="34"/>
      <c r="DG420" t="s">
        <v>839</v>
      </c>
      <c r="DH420" t="s">
        <v>969</v>
      </c>
      <c r="DI420" t="s">
        <v>233</v>
      </c>
      <c r="DL420" t="s">
        <v>681</v>
      </c>
      <c r="DM420">
        <v>6</v>
      </c>
      <c r="DN420">
        <v>7</v>
      </c>
      <c r="DO420" t="s">
        <v>840</v>
      </c>
      <c r="DQ420" t="s">
        <v>927</v>
      </c>
      <c r="DR420">
        <v>14</v>
      </c>
      <c r="DS420">
        <v>2</v>
      </c>
      <c r="DU420">
        <v>14</v>
      </c>
      <c r="DV420">
        <v>2</v>
      </c>
      <c r="DX420">
        <v>14</v>
      </c>
      <c r="DY420">
        <v>2</v>
      </c>
      <c r="DZ420" t="s">
        <v>246</v>
      </c>
      <c r="EA420" t="s">
        <v>929</v>
      </c>
    </row>
    <row r="421" spans="1:131" x14ac:dyDescent="0.4">
      <c r="A421" s="34">
        <v>43067.305104166669</v>
      </c>
      <c r="B421" s="25">
        <v>42935.696527777778</v>
      </c>
      <c r="D421" s="34"/>
      <c r="E421" s="34" t="s">
        <v>193</v>
      </c>
      <c r="F421" s="34" t="s">
        <v>191</v>
      </c>
      <c r="G421" s="34" t="s">
        <v>100</v>
      </c>
      <c r="H421" t="s">
        <v>279</v>
      </c>
      <c r="I421" t="s">
        <v>243</v>
      </c>
      <c r="J421" t="s">
        <v>712</v>
      </c>
      <c r="K421" t="s">
        <v>713</v>
      </c>
      <c r="L421" t="s">
        <v>711</v>
      </c>
      <c r="M421" s="30">
        <v>2.1</v>
      </c>
      <c r="N421">
        <v>6.75</v>
      </c>
      <c r="P421" s="24" t="str">
        <f>IFERROR(MID(RADataTable[[#This Row],[RATemplate]],1,LEN(RADataTable[[#This Row],[RATemplate]])-8),"RA") &amp; " " &amp; RADataTable[[#This Row],[prop_id0]] &amp; " " &amp; RADataTable[[#This Row],[last0]]</f>
        <v>RA 1751135 Nayyeri</v>
      </c>
      <c r="T421">
        <v>4</v>
      </c>
      <c r="U421">
        <v>4</v>
      </c>
      <c r="V421" s="34">
        <v>43031.69027777778</v>
      </c>
      <c r="W421">
        <v>1</v>
      </c>
      <c r="X421" s="15" t="str">
        <f>HYPERLINK("https://www.ejacket.nsf.gov/ej/showProposal.do?Continue=Y&amp;ID="&amp;RADataTable[[#This Row],[prop_id0]],"eJ")</f>
        <v>eJ</v>
      </c>
      <c r="Y421" s="15" t="str">
        <f>HYPERLINK("mailto:"&amp;RADataTable[[#This Row],[email]]&amp;"&amp;subject=Your NSF Proposal:  "&amp;RADataTable[[#This Row],[Div]]&amp;" "&amp;RADataTable[[#This Row],[prop_id0]], RADataTable[[#This Row],[email]])</f>
        <v>nayyeria@eecs.oregonstate.edu</v>
      </c>
      <c r="Z421" s="15" t="str">
        <f>HYPERLINK("mailto:"&amp;RADataTable[[#This Row],[allPIemail]]&amp;"&amp;subject=NSF Proposal:  "&amp;RADataTable[[#This Row],[Div]]&amp;" "&amp;RADataTable[[#This Row],[prop_id0]], "PIs@")</f>
        <v>PIs@</v>
      </c>
      <c r="AA421" t="s">
        <v>245</v>
      </c>
      <c r="AB421" t="s">
        <v>681</v>
      </c>
      <c r="AC421" s="30" t="s">
        <v>835</v>
      </c>
      <c r="AD421" t="s">
        <v>836</v>
      </c>
      <c r="AE421" t="s">
        <v>837</v>
      </c>
      <c r="AF421" s="36">
        <v>607459</v>
      </c>
      <c r="AG421" s="36">
        <v>607459</v>
      </c>
      <c r="AH421" s="24"/>
      <c r="AJ421" s="34"/>
      <c r="AK421" t="s">
        <v>923</v>
      </c>
      <c r="AL421" t="s">
        <v>232</v>
      </c>
      <c r="AM421" s="34" t="s">
        <v>925</v>
      </c>
      <c r="AN421" s="34">
        <v>43032</v>
      </c>
      <c r="AO421" s="24">
        <v>10</v>
      </c>
      <c r="AP421" t="s">
        <v>968</v>
      </c>
      <c r="AR421" s="35"/>
      <c r="AS421"/>
      <c r="AT421" s="34"/>
      <c r="AV421" s="34"/>
      <c r="AX421" s="34"/>
      <c r="AY421"/>
      <c r="BA421" s="34"/>
      <c r="BB421"/>
      <c r="BC421" t="s">
        <v>841</v>
      </c>
      <c r="BD421" s="36">
        <v>607459</v>
      </c>
      <c r="BE421" s="36">
        <v>607459</v>
      </c>
      <c r="BF421">
        <v>0</v>
      </c>
      <c r="BG421" s="34">
        <v>43344</v>
      </c>
      <c r="BH421">
        <v>60</v>
      </c>
      <c r="BI421" t="s">
        <v>283</v>
      </c>
      <c r="BJ421" t="s">
        <v>928</v>
      </c>
      <c r="BK421" t="s">
        <v>234</v>
      </c>
      <c r="BL421" t="s">
        <v>194</v>
      </c>
      <c r="BM421" s="8" t="s">
        <v>192</v>
      </c>
      <c r="BN421" t="s">
        <v>189</v>
      </c>
      <c r="BO421" t="s">
        <v>190</v>
      </c>
      <c r="BP421" s="35" t="s">
        <v>726</v>
      </c>
      <c r="BQ421"/>
      <c r="BU421" s="35"/>
      <c r="BV421" s="35"/>
      <c r="BX421"/>
      <c r="CA421" s="35"/>
      <c r="CB421" s="35"/>
      <c r="CC421"/>
      <c r="CG421" s="35"/>
      <c r="CH421" s="35"/>
      <c r="CK421"/>
      <c r="CM421" s="35"/>
      <c r="CN421" s="35"/>
      <c r="CQ421"/>
      <c r="CS421" s="35"/>
      <c r="CT421" s="35"/>
      <c r="CX421"/>
      <c r="CZ421" s="35"/>
      <c r="DD421" s="34"/>
      <c r="DG421" t="s">
        <v>839</v>
      </c>
      <c r="DH421" t="s">
        <v>969</v>
      </c>
      <c r="DI421" t="s">
        <v>233</v>
      </c>
      <c r="DL421" t="s">
        <v>681</v>
      </c>
      <c r="DM421">
        <v>6</v>
      </c>
      <c r="DN421">
        <v>7</v>
      </c>
      <c r="DO421" t="s">
        <v>840</v>
      </c>
      <c r="DQ421" t="s">
        <v>927</v>
      </c>
      <c r="DR421">
        <v>14</v>
      </c>
      <c r="DS421">
        <v>2</v>
      </c>
      <c r="DU421">
        <v>14</v>
      </c>
      <c r="DV421">
        <v>2</v>
      </c>
      <c r="DX421">
        <v>14</v>
      </c>
      <c r="DY421">
        <v>2</v>
      </c>
      <c r="DZ421" t="s">
        <v>246</v>
      </c>
      <c r="EA421" t="s">
        <v>929</v>
      </c>
    </row>
    <row r="422" spans="1:131" x14ac:dyDescent="0.4">
      <c r="A422" s="34">
        <v>43067.305104166669</v>
      </c>
      <c r="B422" s="25">
        <v>42935.696527777778</v>
      </c>
      <c r="D422" s="34"/>
      <c r="E422" s="34" t="s">
        <v>193</v>
      </c>
      <c r="F422" s="34" t="s">
        <v>191</v>
      </c>
      <c r="G422" s="34" t="s">
        <v>100</v>
      </c>
      <c r="H422" t="s">
        <v>279</v>
      </c>
      <c r="I422" t="s">
        <v>243</v>
      </c>
      <c r="J422" t="s">
        <v>712</v>
      </c>
      <c r="K422" t="s">
        <v>713</v>
      </c>
      <c r="L422" t="s">
        <v>711</v>
      </c>
      <c r="M422" s="30">
        <v>2.1</v>
      </c>
      <c r="N422">
        <v>6.75</v>
      </c>
      <c r="P422" s="24" t="str">
        <f>IFERROR(MID(RADataTable[[#This Row],[RATemplate]],1,LEN(RADataTable[[#This Row],[RATemplate]])-8),"RA") &amp; " " &amp; RADataTable[[#This Row],[prop_id0]] &amp; " " &amp; RADataTable[[#This Row],[last0]]</f>
        <v>RA 1751135 Nayyeri</v>
      </c>
      <c r="T422">
        <v>4</v>
      </c>
      <c r="U422">
        <v>4</v>
      </c>
      <c r="V422" s="34">
        <v>43031.69027777778</v>
      </c>
      <c r="W422">
        <v>1</v>
      </c>
      <c r="X422" s="15" t="str">
        <f>HYPERLINK("https://www.ejacket.nsf.gov/ej/showProposal.do?Continue=Y&amp;ID="&amp;RADataTable[[#This Row],[prop_id0]],"eJ")</f>
        <v>eJ</v>
      </c>
      <c r="Y422" s="15" t="str">
        <f>HYPERLINK("mailto:"&amp;RADataTable[[#This Row],[email]]&amp;"&amp;subject=Your NSF Proposal:  "&amp;RADataTable[[#This Row],[Div]]&amp;" "&amp;RADataTable[[#This Row],[prop_id0]], RADataTable[[#This Row],[email]])</f>
        <v>nayyeria@eecs.oregonstate.edu</v>
      </c>
      <c r="Z422" s="15" t="str">
        <f>HYPERLINK("mailto:"&amp;RADataTable[[#This Row],[allPIemail]]&amp;"&amp;subject=NSF Proposal:  "&amp;RADataTable[[#This Row],[Div]]&amp;" "&amp;RADataTable[[#This Row],[prop_id0]], "PIs@")</f>
        <v>PIs@</v>
      </c>
      <c r="AA422" t="s">
        <v>245</v>
      </c>
      <c r="AB422" t="s">
        <v>681</v>
      </c>
      <c r="AC422" s="30" t="s">
        <v>835</v>
      </c>
      <c r="AD422" t="s">
        <v>836</v>
      </c>
      <c r="AE422" t="s">
        <v>837</v>
      </c>
      <c r="AF422" s="36">
        <v>607459</v>
      </c>
      <c r="AG422" s="36">
        <v>607459</v>
      </c>
      <c r="AH422" s="24"/>
      <c r="AJ422" s="34"/>
      <c r="AK422" t="s">
        <v>923</v>
      </c>
      <c r="AL422" t="s">
        <v>232</v>
      </c>
      <c r="AM422" s="34" t="s">
        <v>925</v>
      </c>
      <c r="AN422" s="34">
        <v>43032</v>
      </c>
      <c r="AO422" s="24">
        <v>10</v>
      </c>
      <c r="AP422" t="s">
        <v>968</v>
      </c>
      <c r="AR422" s="35"/>
      <c r="AS422"/>
      <c r="AT422" s="34"/>
      <c r="AV422" s="34"/>
      <c r="AX422" s="34"/>
      <c r="AY422"/>
      <c r="BA422" s="34"/>
      <c r="BB422"/>
      <c r="BC422" t="s">
        <v>841</v>
      </c>
      <c r="BD422" s="36">
        <v>607459</v>
      </c>
      <c r="BE422" s="36">
        <v>607459</v>
      </c>
      <c r="BF422">
        <v>0</v>
      </c>
      <c r="BG422" s="34">
        <v>43344</v>
      </c>
      <c r="BH422">
        <v>60</v>
      </c>
      <c r="BI422" t="s">
        <v>283</v>
      </c>
      <c r="BJ422" t="s">
        <v>928</v>
      </c>
      <c r="BK422" t="s">
        <v>234</v>
      </c>
      <c r="BL422" t="s">
        <v>194</v>
      </c>
      <c r="BM422" s="8" t="s">
        <v>192</v>
      </c>
      <c r="BN422" t="s">
        <v>189</v>
      </c>
      <c r="BO422" t="s">
        <v>190</v>
      </c>
      <c r="BP422" s="35" t="s">
        <v>726</v>
      </c>
      <c r="BQ422"/>
      <c r="BU422" s="35"/>
      <c r="BV422" s="35"/>
      <c r="BX422"/>
      <c r="CA422" s="35"/>
      <c r="CB422" s="35"/>
      <c r="CC422"/>
      <c r="CG422" s="35"/>
      <c r="CH422" s="35"/>
      <c r="CK422"/>
      <c r="CM422" s="35"/>
      <c r="CN422" s="35"/>
      <c r="CQ422"/>
      <c r="CS422" s="35"/>
      <c r="CT422" s="35"/>
      <c r="CX422"/>
      <c r="CZ422" s="35"/>
      <c r="DD422" s="34"/>
      <c r="DG422" t="s">
        <v>839</v>
      </c>
      <c r="DH422" t="s">
        <v>969</v>
      </c>
      <c r="DI422" t="s">
        <v>233</v>
      </c>
      <c r="DL422" t="s">
        <v>681</v>
      </c>
      <c r="DM422">
        <v>6</v>
      </c>
      <c r="DN422">
        <v>7</v>
      </c>
      <c r="DO422" t="s">
        <v>840</v>
      </c>
      <c r="DQ422" t="s">
        <v>927</v>
      </c>
      <c r="DR422">
        <v>14</v>
      </c>
      <c r="DS422">
        <v>2</v>
      </c>
      <c r="DU422">
        <v>14</v>
      </c>
      <c r="DV422">
        <v>2</v>
      </c>
      <c r="DX422">
        <v>14</v>
      </c>
      <c r="DY422">
        <v>2</v>
      </c>
      <c r="DZ422" t="s">
        <v>246</v>
      </c>
      <c r="EA422" t="s">
        <v>929</v>
      </c>
    </row>
    <row r="423" spans="1:131" x14ac:dyDescent="0.4">
      <c r="A423" s="34">
        <v>43067.305104166669</v>
      </c>
      <c r="B423" s="25">
        <v>42935.696527777778</v>
      </c>
      <c r="D423" s="34"/>
      <c r="E423" s="34" t="s">
        <v>193</v>
      </c>
      <c r="F423" s="34" t="s">
        <v>191</v>
      </c>
      <c r="G423" s="34" t="s">
        <v>100</v>
      </c>
      <c r="H423" t="s">
        <v>279</v>
      </c>
      <c r="I423" t="s">
        <v>243</v>
      </c>
      <c r="J423" t="s">
        <v>712</v>
      </c>
      <c r="K423" t="s">
        <v>713</v>
      </c>
      <c r="L423" t="s">
        <v>711</v>
      </c>
      <c r="M423" s="30">
        <v>2.1</v>
      </c>
      <c r="N423">
        <v>6.75</v>
      </c>
      <c r="P423" s="24" t="str">
        <f>IFERROR(MID(RADataTable[[#This Row],[RATemplate]],1,LEN(RADataTable[[#This Row],[RATemplate]])-8),"RA") &amp; " " &amp; RADataTable[[#This Row],[prop_id0]] &amp; " " &amp; RADataTable[[#This Row],[last0]]</f>
        <v>RA 1751135 Nayyeri</v>
      </c>
      <c r="T423">
        <v>4</v>
      </c>
      <c r="U423">
        <v>4</v>
      </c>
      <c r="V423" s="34">
        <v>43031.69027777778</v>
      </c>
      <c r="W423">
        <v>1</v>
      </c>
      <c r="X423" s="15" t="str">
        <f>HYPERLINK("https://www.ejacket.nsf.gov/ej/showProposal.do?Continue=Y&amp;ID="&amp;RADataTable[[#This Row],[prop_id0]],"eJ")</f>
        <v>eJ</v>
      </c>
      <c r="Y423" s="15" t="str">
        <f>HYPERLINK("mailto:"&amp;RADataTable[[#This Row],[email]]&amp;"&amp;subject=Your NSF Proposal:  "&amp;RADataTable[[#This Row],[Div]]&amp;" "&amp;RADataTable[[#This Row],[prop_id0]], RADataTable[[#This Row],[email]])</f>
        <v>nayyeria@eecs.oregonstate.edu</v>
      </c>
      <c r="Z423" s="15" t="str">
        <f>HYPERLINK("mailto:"&amp;RADataTable[[#This Row],[allPIemail]]&amp;"&amp;subject=NSF Proposal:  "&amp;RADataTable[[#This Row],[Div]]&amp;" "&amp;RADataTable[[#This Row],[prop_id0]], "PIs@")</f>
        <v>PIs@</v>
      </c>
      <c r="AA423" t="s">
        <v>245</v>
      </c>
      <c r="AB423" t="s">
        <v>681</v>
      </c>
      <c r="AC423" s="30" t="s">
        <v>835</v>
      </c>
      <c r="AD423" t="s">
        <v>836</v>
      </c>
      <c r="AE423" t="s">
        <v>837</v>
      </c>
      <c r="AF423" s="36">
        <v>607459</v>
      </c>
      <c r="AG423" s="36">
        <v>607459</v>
      </c>
      <c r="AH423" s="24"/>
      <c r="AJ423" s="34"/>
      <c r="AK423" t="s">
        <v>923</v>
      </c>
      <c r="AL423" t="s">
        <v>232</v>
      </c>
      <c r="AM423" s="34" t="s">
        <v>925</v>
      </c>
      <c r="AN423" s="34">
        <v>43032</v>
      </c>
      <c r="AO423" s="24">
        <v>10</v>
      </c>
      <c r="AP423" t="s">
        <v>968</v>
      </c>
      <c r="AR423" s="35"/>
      <c r="AS423"/>
      <c r="AT423" s="34"/>
      <c r="AV423" s="34"/>
      <c r="AX423" s="34"/>
      <c r="AY423"/>
      <c r="BA423" s="34"/>
      <c r="BB423"/>
      <c r="BC423" t="s">
        <v>841</v>
      </c>
      <c r="BD423" s="36">
        <v>607459</v>
      </c>
      <c r="BE423" s="36">
        <v>607459</v>
      </c>
      <c r="BF423">
        <v>0</v>
      </c>
      <c r="BG423" s="34">
        <v>43344</v>
      </c>
      <c r="BH423">
        <v>60</v>
      </c>
      <c r="BI423" t="s">
        <v>283</v>
      </c>
      <c r="BJ423" t="s">
        <v>928</v>
      </c>
      <c r="BK423" t="s">
        <v>234</v>
      </c>
      <c r="BL423" t="s">
        <v>194</v>
      </c>
      <c r="BM423" s="8" t="s">
        <v>192</v>
      </c>
      <c r="BN423" t="s">
        <v>189</v>
      </c>
      <c r="BO423" t="s">
        <v>190</v>
      </c>
      <c r="BP423" s="35" t="s">
        <v>726</v>
      </c>
      <c r="BQ423"/>
      <c r="BU423" s="35"/>
      <c r="BV423" s="35"/>
      <c r="BX423"/>
      <c r="CA423" s="35"/>
      <c r="CB423" s="35"/>
      <c r="CC423"/>
      <c r="CG423" s="35"/>
      <c r="CH423" s="35"/>
      <c r="CK423"/>
      <c r="CM423" s="35"/>
      <c r="CN423" s="35"/>
      <c r="CQ423"/>
      <c r="CS423" s="35"/>
      <c r="CT423" s="35"/>
      <c r="CX423"/>
      <c r="CZ423" s="35"/>
      <c r="DD423" s="34"/>
      <c r="DG423" t="s">
        <v>839</v>
      </c>
      <c r="DH423" t="s">
        <v>969</v>
      </c>
      <c r="DI423" t="s">
        <v>233</v>
      </c>
      <c r="DL423" t="s">
        <v>681</v>
      </c>
      <c r="DM423">
        <v>6</v>
      </c>
      <c r="DN423">
        <v>7</v>
      </c>
      <c r="DO423" t="s">
        <v>840</v>
      </c>
      <c r="DQ423" t="s">
        <v>927</v>
      </c>
      <c r="DR423">
        <v>14</v>
      </c>
      <c r="DS423">
        <v>2</v>
      </c>
      <c r="DU423">
        <v>14</v>
      </c>
      <c r="DV423">
        <v>2</v>
      </c>
      <c r="DX423">
        <v>14</v>
      </c>
      <c r="DY423">
        <v>2</v>
      </c>
      <c r="DZ423" t="s">
        <v>246</v>
      </c>
      <c r="EA423" t="s">
        <v>929</v>
      </c>
    </row>
    <row r="424" spans="1:131" x14ac:dyDescent="0.4">
      <c r="A424" s="34">
        <v>43067.305104166669</v>
      </c>
      <c r="B424" s="25">
        <v>42935.696527777778</v>
      </c>
      <c r="D424" s="34"/>
      <c r="E424" s="34" t="s">
        <v>193</v>
      </c>
      <c r="F424" s="34" t="s">
        <v>191</v>
      </c>
      <c r="G424" s="34" t="s">
        <v>100</v>
      </c>
      <c r="H424" t="s">
        <v>279</v>
      </c>
      <c r="I424" t="s">
        <v>243</v>
      </c>
      <c r="J424" t="s">
        <v>712</v>
      </c>
      <c r="K424" t="s">
        <v>713</v>
      </c>
      <c r="L424" t="s">
        <v>711</v>
      </c>
      <c r="M424" s="30">
        <v>2.1</v>
      </c>
      <c r="N424">
        <v>6.75</v>
      </c>
      <c r="P424" s="24" t="str">
        <f>IFERROR(MID(RADataTable[[#This Row],[RATemplate]],1,LEN(RADataTable[[#This Row],[RATemplate]])-8),"RA") &amp; " " &amp; RADataTable[[#This Row],[prop_id0]] &amp; " " &amp; RADataTable[[#This Row],[last0]]</f>
        <v>RA 1751135 Nayyeri</v>
      </c>
      <c r="T424">
        <v>4</v>
      </c>
      <c r="U424">
        <v>4</v>
      </c>
      <c r="V424" s="34">
        <v>43031.69027777778</v>
      </c>
      <c r="W424">
        <v>1</v>
      </c>
      <c r="X424" s="15" t="str">
        <f>HYPERLINK("https://www.ejacket.nsf.gov/ej/showProposal.do?Continue=Y&amp;ID="&amp;RADataTable[[#This Row],[prop_id0]],"eJ")</f>
        <v>eJ</v>
      </c>
      <c r="Y424" s="15" t="str">
        <f>HYPERLINK("mailto:"&amp;RADataTable[[#This Row],[email]]&amp;"&amp;subject=Your NSF Proposal:  "&amp;RADataTable[[#This Row],[Div]]&amp;" "&amp;RADataTable[[#This Row],[prop_id0]], RADataTable[[#This Row],[email]])</f>
        <v>nayyeria@eecs.oregonstate.edu</v>
      </c>
      <c r="Z424" s="15" t="str">
        <f>HYPERLINK("mailto:"&amp;RADataTable[[#This Row],[allPIemail]]&amp;"&amp;subject=NSF Proposal:  "&amp;RADataTable[[#This Row],[Div]]&amp;" "&amp;RADataTable[[#This Row],[prop_id0]], "PIs@")</f>
        <v>PIs@</v>
      </c>
      <c r="AA424" t="s">
        <v>245</v>
      </c>
      <c r="AB424" t="s">
        <v>681</v>
      </c>
      <c r="AC424" s="30" t="s">
        <v>835</v>
      </c>
      <c r="AD424" t="s">
        <v>836</v>
      </c>
      <c r="AE424" t="s">
        <v>837</v>
      </c>
      <c r="AF424" s="36">
        <v>607459</v>
      </c>
      <c r="AG424" s="36">
        <v>607459</v>
      </c>
      <c r="AH424" s="24"/>
      <c r="AJ424" s="34"/>
      <c r="AK424" t="s">
        <v>923</v>
      </c>
      <c r="AL424" t="s">
        <v>232</v>
      </c>
      <c r="AM424" s="34" t="s">
        <v>925</v>
      </c>
      <c r="AN424" s="34">
        <v>43032</v>
      </c>
      <c r="AO424" s="24">
        <v>10</v>
      </c>
      <c r="AP424" t="s">
        <v>968</v>
      </c>
      <c r="AR424" s="35"/>
      <c r="AS424"/>
      <c r="AT424" s="34"/>
      <c r="AV424" s="34"/>
      <c r="AX424" s="34"/>
      <c r="AY424"/>
      <c r="BA424" s="34"/>
      <c r="BB424"/>
      <c r="BC424" t="s">
        <v>841</v>
      </c>
      <c r="BD424" s="36">
        <v>607459</v>
      </c>
      <c r="BE424" s="36">
        <v>607459</v>
      </c>
      <c r="BF424">
        <v>0</v>
      </c>
      <c r="BG424" s="34">
        <v>43344</v>
      </c>
      <c r="BH424">
        <v>60</v>
      </c>
      <c r="BI424" t="s">
        <v>283</v>
      </c>
      <c r="BJ424" t="s">
        <v>928</v>
      </c>
      <c r="BK424" t="s">
        <v>234</v>
      </c>
      <c r="BL424" t="s">
        <v>194</v>
      </c>
      <c r="BM424" s="8" t="s">
        <v>192</v>
      </c>
      <c r="BN424" t="s">
        <v>189</v>
      </c>
      <c r="BO424" t="s">
        <v>190</v>
      </c>
      <c r="BP424" s="35" t="s">
        <v>726</v>
      </c>
      <c r="BQ424"/>
      <c r="BU424" s="35"/>
      <c r="BV424" s="35"/>
      <c r="BX424"/>
      <c r="CA424" s="35"/>
      <c r="CB424" s="35"/>
      <c r="CC424"/>
      <c r="CG424" s="35"/>
      <c r="CH424" s="35"/>
      <c r="CK424"/>
      <c r="CM424" s="35"/>
      <c r="CN424" s="35"/>
      <c r="CQ424"/>
      <c r="CS424" s="35"/>
      <c r="CT424" s="35"/>
      <c r="CX424"/>
      <c r="CZ424" s="35"/>
      <c r="DD424" s="34"/>
      <c r="DG424" t="s">
        <v>839</v>
      </c>
      <c r="DH424" t="s">
        <v>969</v>
      </c>
      <c r="DI424" t="s">
        <v>233</v>
      </c>
      <c r="DL424" t="s">
        <v>681</v>
      </c>
      <c r="DM424">
        <v>6</v>
      </c>
      <c r="DN424">
        <v>7</v>
      </c>
      <c r="DO424" t="s">
        <v>840</v>
      </c>
      <c r="DQ424" t="s">
        <v>927</v>
      </c>
      <c r="DR424">
        <v>14</v>
      </c>
      <c r="DS424">
        <v>2</v>
      </c>
      <c r="DU424">
        <v>14</v>
      </c>
      <c r="DV424">
        <v>2</v>
      </c>
      <c r="DX424">
        <v>14</v>
      </c>
      <c r="DY424">
        <v>2</v>
      </c>
      <c r="DZ424" t="s">
        <v>246</v>
      </c>
      <c r="EA424" t="s">
        <v>929</v>
      </c>
    </row>
    <row r="425" spans="1:131" x14ac:dyDescent="0.4">
      <c r="A425" s="34">
        <v>43067.305104166669</v>
      </c>
      <c r="B425" s="25">
        <v>42935.696527777778</v>
      </c>
      <c r="D425" s="34"/>
      <c r="E425" s="34" t="s">
        <v>193</v>
      </c>
      <c r="F425" s="34" t="s">
        <v>191</v>
      </c>
      <c r="G425" s="34" t="s">
        <v>100</v>
      </c>
      <c r="H425" t="s">
        <v>279</v>
      </c>
      <c r="I425" t="s">
        <v>243</v>
      </c>
      <c r="J425" t="s">
        <v>712</v>
      </c>
      <c r="K425" t="s">
        <v>713</v>
      </c>
      <c r="L425" t="s">
        <v>711</v>
      </c>
      <c r="M425" s="30">
        <v>2.1</v>
      </c>
      <c r="N425">
        <v>6.75</v>
      </c>
      <c r="P425" s="24" t="str">
        <f>IFERROR(MID(RADataTable[[#This Row],[RATemplate]],1,LEN(RADataTable[[#This Row],[RATemplate]])-8),"RA") &amp; " " &amp; RADataTable[[#This Row],[prop_id0]] &amp; " " &amp; RADataTable[[#This Row],[last0]]</f>
        <v>RA 1751135 Nayyeri</v>
      </c>
      <c r="T425">
        <v>4</v>
      </c>
      <c r="U425">
        <v>4</v>
      </c>
      <c r="V425" s="34">
        <v>43031.69027777778</v>
      </c>
      <c r="W425">
        <v>1</v>
      </c>
      <c r="X425" s="15" t="str">
        <f>HYPERLINK("https://www.ejacket.nsf.gov/ej/showProposal.do?Continue=Y&amp;ID="&amp;RADataTable[[#This Row],[prop_id0]],"eJ")</f>
        <v>eJ</v>
      </c>
      <c r="Y425" s="15" t="str">
        <f>HYPERLINK("mailto:"&amp;RADataTable[[#This Row],[email]]&amp;"&amp;subject=Your NSF Proposal:  "&amp;RADataTable[[#This Row],[Div]]&amp;" "&amp;RADataTable[[#This Row],[prop_id0]], RADataTable[[#This Row],[email]])</f>
        <v>nayyeria@eecs.oregonstate.edu</v>
      </c>
      <c r="Z425" s="15" t="str">
        <f>HYPERLINK("mailto:"&amp;RADataTable[[#This Row],[allPIemail]]&amp;"&amp;subject=NSF Proposal:  "&amp;RADataTable[[#This Row],[Div]]&amp;" "&amp;RADataTable[[#This Row],[prop_id0]], "PIs@")</f>
        <v>PIs@</v>
      </c>
      <c r="AA425" t="s">
        <v>245</v>
      </c>
      <c r="AB425" t="s">
        <v>681</v>
      </c>
      <c r="AC425" s="30" t="s">
        <v>835</v>
      </c>
      <c r="AD425" t="s">
        <v>836</v>
      </c>
      <c r="AE425" t="s">
        <v>837</v>
      </c>
      <c r="AF425" s="36">
        <v>607459</v>
      </c>
      <c r="AG425" s="36">
        <v>607459</v>
      </c>
      <c r="AH425" s="24"/>
      <c r="AJ425" s="34"/>
      <c r="AK425" t="s">
        <v>923</v>
      </c>
      <c r="AL425" t="s">
        <v>232</v>
      </c>
      <c r="AM425" s="34" t="s">
        <v>925</v>
      </c>
      <c r="AN425" s="34">
        <v>43032</v>
      </c>
      <c r="AO425" s="24">
        <v>10</v>
      </c>
      <c r="AP425" t="s">
        <v>968</v>
      </c>
      <c r="AR425" s="35"/>
      <c r="AS425"/>
      <c r="AT425" s="34"/>
      <c r="AV425" s="34"/>
      <c r="AX425" s="34"/>
      <c r="AY425"/>
      <c r="BA425" s="34"/>
      <c r="BB425"/>
      <c r="BC425" t="s">
        <v>841</v>
      </c>
      <c r="BD425" s="36">
        <v>607459</v>
      </c>
      <c r="BE425" s="36">
        <v>607459</v>
      </c>
      <c r="BF425">
        <v>0</v>
      </c>
      <c r="BG425" s="34">
        <v>43344</v>
      </c>
      <c r="BH425">
        <v>60</v>
      </c>
      <c r="BI425" t="s">
        <v>283</v>
      </c>
      <c r="BJ425" t="s">
        <v>928</v>
      </c>
      <c r="BK425" t="s">
        <v>234</v>
      </c>
      <c r="BL425" t="s">
        <v>194</v>
      </c>
      <c r="BM425" s="8" t="s">
        <v>192</v>
      </c>
      <c r="BN425" t="s">
        <v>189</v>
      </c>
      <c r="BO425" t="s">
        <v>190</v>
      </c>
      <c r="BP425" s="35" t="s">
        <v>726</v>
      </c>
      <c r="BQ425"/>
      <c r="BU425" s="35"/>
      <c r="BV425" s="35"/>
      <c r="BX425"/>
      <c r="CA425" s="35"/>
      <c r="CB425" s="35"/>
      <c r="CC425"/>
      <c r="CG425" s="35"/>
      <c r="CH425" s="35"/>
      <c r="CK425"/>
      <c r="CM425" s="35"/>
      <c r="CN425" s="35"/>
      <c r="CQ425"/>
      <c r="CS425" s="35"/>
      <c r="CT425" s="35"/>
      <c r="CX425"/>
      <c r="CZ425" s="35"/>
      <c r="DD425" s="34"/>
      <c r="DG425" t="s">
        <v>839</v>
      </c>
      <c r="DH425" t="s">
        <v>969</v>
      </c>
      <c r="DI425" t="s">
        <v>233</v>
      </c>
      <c r="DL425" t="s">
        <v>681</v>
      </c>
      <c r="DM425">
        <v>6</v>
      </c>
      <c r="DN425">
        <v>7</v>
      </c>
      <c r="DO425" t="s">
        <v>840</v>
      </c>
      <c r="DQ425" t="s">
        <v>927</v>
      </c>
      <c r="DR425">
        <v>14</v>
      </c>
      <c r="DS425">
        <v>2</v>
      </c>
      <c r="DU425">
        <v>14</v>
      </c>
      <c r="DV425">
        <v>2</v>
      </c>
      <c r="DX425">
        <v>14</v>
      </c>
      <c r="DY425">
        <v>2</v>
      </c>
      <c r="DZ425" t="s">
        <v>246</v>
      </c>
      <c r="EA425" t="s">
        <v>929</v>
      </c>
    </row>
    <row r="426" spans="1:131" x14ac:dyDescent="0.4">
      <c r="A426" s="34">
        <v>43067.305104166669</v>
      </c>
      <c r="B426" s="25">
        <v>42935.696527777778</v>
      </c>
      <c r="D426" s="34"/>
      <c r="E426" s="34" t="s">
        <v>193</v>
      </c>
      <c r="F426" s="34" t="s">
        <v>191</v>
      </c>
      <c r="G426" s="34" t="s">
        <v>100</v>
      </c>
      <c r="H426" t="s">
        <v>279</v>
      </c>
      <c r="I426" t="s">
        <v>243</v>
      </c>
      <c r="J426" t="s">
        <v>712</v>
      </c>
      <c r="K426" t="s">
        <v>713</v>
      </c>
      <c r="L426" t="s">
        <v>711</v>
      </c>
      <c r="M426" s="30">
        <v>2.1</v>
      </c>
      <c r="N426">
        <v>6.75</v>
      </c>
      <c r="P426" s="24" t="str">
        <f>IFERROR(MID(RADataTable[[#This Row],[RATemplate]],1,LEN(RADataTable[[#This Row],[RATemplate]])-8),"RA") &amp; " " &amp; RADataTable[[#This Row],[prop_id0]] &amp; " " &amp; RADataTable[[#This Row],[last0]]</f>
        <v>RA 1751135 Nayyeri</v>
      </c>
      <c r="T426">
        <v>4</v>
      </c>
      <c r="U426">
        <v>4</v>
      </c>
      <c r="V426" s="34">
        <v>43031.69027777778</v>
      </c>
      <c r="W426">
        <v>1</v>
      </c>
      <c r="X426" s="15" t="str">
        <f>HYPERLINK("https://www.ejacket.nsf.gov/ej/showProposal.do?Continue=Y&amp;ID="&amp;RADataTable[[#This Row],[prop_id0]],"eJ")</f>
        <v>eJ</v>
      </c>
      <c r="Y426" s="15" t="str">
        <f>HYPERLINK("mailto:"&amp;RADataTable[[#This Row],[email]]&amp;"&amp;subject=Your NSF Proposal:  "&amp;RADataTable[[#This Row],[Div]]&amp;" "&amp;RADataTable[[#This Row],[prop_id0]], RADataTable[[#This Row],[email]])</f>
        <v>nayyeria@eecs.oregonstate.edu</v>
      </c>
      <c r="Z426" s="15" t="str">
        <f>HYPERLINK("mailto:"&amp;RADataTable[[#This Row],[allPIemail]]&amp;"&amp;subject=NSF Proposal:  "&amp;RADataTable[[#This Row],[Div]]&amp;" "&amp;RADataTable[[#This Row],[prop_id0]], "PIs@")</f>
        <v>PIs@</v>
      </c>
      <c r="AA426" t="s">
        <v>245</v>
      </c>
      <c r="AB426" t="s">
        <v>681</v>
      </c>
      <c r="AC426" s="30" t="s">
        <v>835</v>
      </c>
      <c r="AD426" t="s">
        <v>836</v>
      </c>
      <c r="AE426" t="s">
        <v>837</v>
      </c>
      <c r="AF426" s="36">
        <v>607459</v>
      </c>
      <c r="AG426" s="36">
        <v>607459</v>
      </c>
      <c r="AH426" s="24"/>
      <c r="AJ426" s="34"/>
      <c r="AK426" t="s">
        <v>923</v>
      </c>
      <c r="AL426" t="s">
        <v>232</v>
      </c>
      <c r="AM426" s="34" t="s">
        <v>925</v>
      </c>
      <c r="AN426" s="34">
        <v>43032</v>
      </c>
      <c r="AO426" s="24">
        <v>10</v>
      </c>
      <c r="AP426" t="s">
        <v>968</v>
      </c>
      <c r="AR426" s="35"/>
      <c r="AS426"/>
      <c r="AT426" s="34"/>
      <c r="AV426" s="34"/>
      <c r="AX426" s="34"/>
      <c r="AY426"/>
      <c r="BA426" s="34"/>
      <c r="BB426"/>
      <c r="BC426" t="s">
        <v>841</v>
      </c>
      <c r="BD426" s="36">
        <v>607459</v>
      </c>
      <c r="BE426" s="36">
        <v>607459</v>
      </c>
      <c r="BF426">
        <v>0</v>
      </c>
      <c r="BG426" s="34">
        <v>43344</v>
      </c>
      <c r="BH426">
        <v>60</v>
      </c>
      <c r="BI426" t="s">
        <v>283</v>
      </c>
      <c r="BJ426" t="s">
        <v>928</v>
      </c>
      <c r="BK426" t="s">
        <v>234</v>
      </c>
      <c r="BL426" t="s">
        <v>194</v>
      </c>
      <c r="BM426" s="8" t="s">
        <v>192</v>
      </c>
      <c r="BN426" t="s">
        <v>189</v>
      </c>
      <c r="BO426" t="s">
        <v>190</v>
      </c>
      <c r="BP426" s="35" t="s">
        <v>726</v>
      </c>
      <c r="BQ426"/>
      <c r="BU426" s="35"/>
      <c r="BV426" s="35"/>
      <c r="BX426"/>
      <c r="CA426" s="35"/>
      <c r="CB426" s="35"/>
      <c r="CC426"/>
      <c r="CG426" s="35"/>
      <c r="CH426" s="35"/>
      <c r="CK426"/>
      <c r="CM426" s="35"/>
      <c r="CN426" s="35"/>
      <c r="CQ426"/>
      <c r="CS426" s="35"/>
      <c r="CT426" s="35"/>
      <c r="CX426"/>
      <c r="CZ426" s="35"/>
      <c r="DD426" s="34"/>
      <c r="DG426" t="s">
        <v>839</v>
      </c>
      <c r="DH426" t="s">
        <v>969</v>
      </c>
      <c r="DI426" t="s">
        <v>233</v>
      </c>
      <c r="DL426" t="s">
        <v>681</v>
      </c>
      <c r="DM426">
        <v>6</v>
      </c>
      <c r="DN426">
        <v>7</v>
      </c>
      <c r="DO426" t="s">
        <v>840</v>
      </c>
      <c r="DQ426" t="s">
        <v>927</v>
      </c>
      <c r="DR426">
        <v>14</v>
      </c>
      <c r="DS426">
        <v>2</v>
      </c>
      <c r="DU426">
        <v>14</v>
      </c>
      <c r="DV426">
        <v>2</v>
      </c>
      <c r="DX426">
        <v>14</v>
      </c>
      <c r="DY426">
        <v>2</v>
      </c>
      <c r="DZ426" t="s">
        <v>246</v>
      </c>
      <c r="EA426" t="s">
        <v>929</v>
      </c>
    </row>
    <row r="427" spans="1:131" x14ac:dyDescent="0.4">
      <c r="A427" s="34">
        <v>43067.305104166669</v>
      </c>
      <c r="B427" s="25">
        <v>42935.696527777778</v>
      </c>
      <c r="D427" s="34"/>
      <c r="E427" s="34" t="s">
        <v>193</v>
      </c>
      <c r="F427" s="34" t="s">
        <v>191</v>
      </c>
      <c r="G427" s="34" t="s">
        <v>100</v>
      </c>
      <c r="H427" t="s">
        <v>279</v>
      </c>
      <c r="I427" t="s">
        <v>243</v>
      </c>
      <c r="J427" t="s">
        <v>712</v>
      </c>
      <c r="K427" t="s">
        <v>713</v>
      </c>
      <c r="L427" t="s">
        <v>711</v>
      </c>
      <c r="M427" s="30">
        <v>2.1</v>
      </c>
      <c r="N427">
        <v>6.75</v>
      </c>
      <c r="P427" s="24" t="str">
        <f>IFERROR(MID(RADataTable[[#This Row],[RATemplate]],1,LEN(RADataTable[[#This Row],[RATemplate]])-8),"RA") &amp; " " &amp; RADataTable[[#This Row],[prop_id0]] &amp; " " &amp; RADataTable[[#This Row],[last0]]</f>
        <v>RA 1751135 Nayyeri</v>
      </c>
      <c r="T427">
        <v>4</v>
      </c>
      <c r="U427">
        <v>4</v>
      </c>
      <c r="V427" s="34">
        <v>43031.69027777778</v>
      </c>
      <c r="W427">
        <v>1</v>
      </c>
      <c r="X427" s="15" t="str">
        <f>HYPERLINK("https://www.ejacket.nsf.gov/ej/showProposal.do?Continue=Y&amp;ID="&amp;RADataTable[[#This Row],[prop_id0]],"eJ")</f>
        <v>eJ</v>
      </c>
      <c r="Y427" s="15" t="str">
        <f>HYPERLINK("mailto:"&amp;RADataTable[[#This Row],[email]]&amp;"&amp;subject=Your NSF Proposal:  "&amp;RADataTable[[#This Row],[Div]]&amp;" "&amp;RADataTable[[#This Row],[prop_id0]], RADataTable[[#This Row],[email]])</f>
        <v>nayyeria@eecs.oregonstate.edu</v>
      </c>
      <c r="Z427" s="15" t="str">
        <f>HYPERLINK("mailto:"&amp;RADataTable[[#This Row],[allPIemail]]&amp;"&amp;subject=NSF Proposal:  "&amp;RADataTable[[#This Row],[Div]]&amp;" "&amp;RADataTable[[#This Row],[prop_id0]], "PIs@")</f>
        <v>PIs@</v>
      </c>
      <c r="AA427" t="s">
        <v>245</v>
      </c>
      <c r="AB427" t="s">
        <v>681</v>
      </c>
      <c r="AC427" s="30" t="s">
        <v>835</v>
      </c>
      <c r="AD427" t="s">
        <v>836</v>
      </c>
      <c r="AE427" t="s">
        <v>837</v>
      </c>
      <c r="AF427" s="36">
        <v>607459</v>
      </c>
      <c r="AG427" s="36">
        <v>607459</v>
      </c>
      <c r="AH427" s="24"/>
      <c r="AJ427" s="34"/>
      <c r="AK427" t="s">
        <v>923</v>
      </c>
      <c r="AL427" t="s">
        <v>232</v>
      </c>
      <c r="AM427" s="34" t="s">
        <v>925</v>
      </c>
      <c r="AN427" s="34">
        <v>43032</v>
      </c>
      <c r="AO427" s="24">
        <v>10</v>
      </c>
      <c r="AP427" t="s">
        <v>968</v>
      </c>
      <c r="AR427" s="35"/>
      <c r="AS427"/>
      <c r="AT427" s="34"/>
      <c r="AV427" s="34"/>
      <c r="AX427" s="34"/>
      <c r="AY427"/>
      <c r="BA427" s="34"/>
      <c r="BB427"/>
      <c r="BC427" t="s">
        <v>841</v>
      </c>
      <c r="BD427" s="36">
        <v>607459</v>
      </c>
      <c r="BE427" s="36">
        <v>607459</v>
      </c>
      <c r="BF427">
        <v>0</v>
      </c>
      <c r="BG427" s="34">
        <v>43344</v>
      </c>
      <c r="BH427">
        <v>60</v>
      </c>
      <c r="BI427" t="s">
        <v>283</v>
      </c>
      <c r="BJ427" t="s">
        <v>928</v>
      </c>
      <c r="BK427" t="s">
        <v>234</v>
      </c>
      <c r="BL427" t="s">
        <v>194</v>
      </c>
      <c r="BM427" s="8" t="s">
        <v>192</v>
      </c>
      <c r="BN427" t="s">
        <v>189</v>
      </c>
      <c r="BO427" t="s">
        <v>190</v>
      </c>
      <c r="BP427" s="35" t="s">
        <v>726</v>
      </c>
      <c r="BQ427"/>
      <c r="BU427" s="35"/>
      <c r="BV427" s="35"/>
      <c r="BX427"/>
      <c r="CA427" s="35"/>
      <c r="CB427" s="35"/>
      <c r="CC427"/>
      <c r="CG427" s="35"/>
      <c r="CH427" s="35"/>
      <c r="CK427"/>
      <c r="CM427" s="35"/>
      <c r="CN427" s="35"/>
      <c r="CQ427"/>
      <c r="CS427" s="35"/>
      <c r="CT427" s="35"/>
      <c r="CX427"/>
      <c r="CZ427" s="35"/>
      <c r="DD427" s="34"/>
      <c r="DG427" t="s">
        <v>839</v>
      </c>
      <c r="DH427" t="s">
        <v>969</v>
      </c>
      <c r="DI427" t="s">
        <v>233</v>
      </c>
      <c r="DL427" t="s">
        <v>681</v>
      </c>
      <c r="DM427">
        <v>6</v>
      </c>
      <c r="DN427">
        <v>7</v>
      </c>
      <c r="DO427" t="s">
        <v>840</v>
      </c>
      <c r="DQ427" t="s">
        <v>927</v>
      </c>
      <c r="DR427">
        <v>14</v>
      </c>
      <c r="DS427">
        <v>2</v>
      </c>
      <c r="DU427">
        <v>14</v>
      </c>
      <c r="DV427">
        <v>2</v>
      </c>
      <c r="DX427">
        <v>14</v>
      </c>
      <c r="DY427">
        <v>2</v>
      </c>
      <c r="DZ427" t="s">
        <v>246</v>
      </c>
      <c r="EA427" t="s">
        <v>929</v>
      </c>
    </row>
    <row r="428" spans="1:131" x14ac:dyDescent="0.4">
      <c r="A428" s="34">
        <v>43067.305104166669</v>
      </c>
      <c r="B428" s="25">
        <v>42935.696527777778</v>
      </c>
      <c r="D428" s="34"/>
      <c r="E428" s="34" t="s">
        <v>193</v>
      </c>
      <c r="F428" s="34" t="s">
        <v>191</v>
      </c>
      <c r="G428" s="34" t="s">
        <v>100</v>
      </c>
      <c r="H428" t="s">
        <v>279</v>
      </c>
      <c r="I428" t="s">
        <v>243</v>
      </c>
      <c r="J428" t="s">
        <v>712</v>
      </c>
      <c r="K428" t="s">
        <v>713</v>
      </c>
      <c r="L428" t="s">
        <v>711</v>
      </c>
      <c r="M428" s="30">
        <v>2.1</v>
      </c>
      <c r="N428">
        <v>6.75</v>
      </c>
      <c r="P428" s="24" t="str">
        <f>IFERROR(MID(RADataTable[[#This Row],[RATemplate]],1,LEN(RADataTable[[#This Row],[RATemplate]])-8),"RA") &amp; " " &amp; RADataTable[[#This Row],[prop_id0]] &amp; " " &amp; RADataTable[[#This Row],[last0]]</f>
        <v>RA 1751135 Nayyeri</v>
      </c>
      <c r="T428">
        <v>4</v>
      </c>
      <c r="U428">
        <v>4</v>
      </c>
      <c r="V428" s="34">
        <v>43031.69027777778</v>
      </c>
      <c r="W428">
        <v>1</v>
      </c>
      <c r="X428" s="15" t="str">
        <f>HYPERLINK("https://www.ejacket.nsf.gov/ej/showProposal.do?Continue=Y&amp;ID="&amp;RADataTable[[#This Row],[prop_id0]],"eJ")</f>
        <v>eJ</v>
      </c>
      <c r="Y428" s="15" t="str">
        <f>HYPERLINK("mailto:"&amp;RADataTable[[#This Row],[email]]&amp;"&amp;subject=Your NSF Proposal:  "&amp;RADataTable[[#This Row],[Div]]&amp;" "&amp;RADataTable[[#This Row],[prop_id0]], RADataTable[[#This Row],[email]])</f>
        <v>nayyeria@eecs.oregonstate.edu</v>
      </c>
      <c r="Z428" s="15" t="str">
        <f>HYPERLINK("mailto:"&amp;RADataTable[[#This Row],[allPIemail]]&amp;"&amp;subject=NSF Proposal:  "&amp;RADataTable[[#This Row],[Div]]&amp;" "&amp;RADataTable[[#This Row],[prop_id0]], "PIs@")</f>
        <v>PIs@</v>
      </c>
      <c r="AA428" t="s">
        <v>245</v>
      </c>
      <c r="AB428" t="s">
        <v>681</v>
      </c>
      <c r="AC428" s="30" t="s">
        <v>835</v>
      </c>
      <c r="AD428" t="s">
        <v>836</v>
      </c>
      <c r="AE428" t="s">
        <v>837</v>
      </c>
      <c r="AF428" s="36">
        <v>607459</v>
      </c>
      <c r="AG428" s="36">
        <v>607459</v>
      </c>
      <c r="AH428" s="24"/>
      <c r="AJ428" s="34"/>
      <c r="AK428" t="s">
        <v>923</v>
      </c>
      <c r="AL428" t="s">
        <v>232</v>
      </c>
      <c r="AM428" s="34" t="s">
        <v>925</v>
      </c>
      <c r="AN428" s="34">
        <v>43032</v>
      </c>
      <c r="AO428" s="24">
        <v>10</v>
      </c>
      <c r="AP428" t="s">
        <v>968</v>
      </c>
      <c r="AR428" s="35"/>
      <c r="AS428"/>
      <c r="AT428" s="34"/>
      <c r="AV428" s="34"/>
      <c r="AX428" s="34"/>
      <c r="AY428"/>
      <c r="BA428" s="34"/>
      <c r="BB428"/>
      <c r="BC428" t="s">
        <v>841</v>
      </c>
      <c r="BD428" s="36">
        <v>607459</v>
      </c>
      <c r="BE428" s="36">
        <v>607459</v>
      </c>
      <c r="BF428">
        <v>0</v>
      </c>
      <c r="BG428" s="34">
        <v>43344</v>
      </c>
      <c r="BH428">
        <v>60</v>
      </c>
      <c r="BI428" t="s">
        <v>283</v>
      </c>
      <c r="BJ428" t="s">
        <v>928</v>
      </c>
      <c r="BK428" t="s">
        <v>234</v>
      </c>
      <c r="BL428" t="s">
        <v>194</v>
      </c>
      <c r="BM428" s="8" t="s">
        <v>192</v>
      </c>
      <c r="BN428" t="s">
        <v>189</v>
      </c>
      <c r="BO428" t="s">
        <v>190</v>
      </c>
      <c r="BP428" s="35" t="s">
        <v>726</v>
      </c>
      <c r="BQ428"/>
      <c r="BU428" s="35"/>
      <c r="BV428" s="35"/>
      <c r="BX428"/>
      <c r="CA428" s="35"/>
      <c r="CB428" s="35"/>
      <c r="CC428"/>
      <c r="CG428" s="35"/>
      <c r="CH428" s="35"/>
      <c r="CK428"/>
      <c r="CM428" s="35"/>
      <c r="CN428" s="35"/>
      <c r="CQ428"/>
      <c r="CS428" s="35"/>
      <c r="CT428" s="35"/>
      <c r="CX428"/>
      <c r="CZ428" s="35"/>
      <c r="DD428" s="34"/>
      <c r="DG428" t="s">
        <v>839</v>
      </c>
      <c r="DH428" t="s">
        <v>969</v>
      </c>
      <c r="DI428" t="s">
        <v>233</v>
      </c>
      <c r="DL428" t="s">
        <v>681</v>
      </c>
      <c r="DM428">
        <v>6</v>
      </c>
      <c r="DN428">
        <v>7</v>
      </c>
      <c r="DO428" t="s">
        <v>840</v>
      </c>
      <c r="DQ428" t="s">
        <v>927</v>
      </c>
      <c r="DR428">
        <v>14</v>
      </c>
      <c r="DS428">
        <v>2</v>
      </c>
      <c r="DU428">
        <v>14</v>
      </c>
      <c r="DV428">
        <v>2</v>
      </c>
      <c r="DX428">
        <v>14</v>
      </c>
      <c r="DY428">
        <v>2</v>
      </c>
      <c r="DZ428" t="s">
        <v>246</v>
      </c>
      <c r="EA428" t="s">
        <v>929</v>
      </c>
    </row>
    <row r="429" spans="1:131" x14ac:dyDescent="0.4">
      <c r="A429" s="34">
        <v>43067.305104166669</v>
      </c>
      <c r="B429" s="25">
        <v>42935.696527777778</v>
      </c>
      <c r="D429" s="34"/>
      <c r="E429" s="34" t="s">
        <v>193</v>
      </c>
      <c r="F429" s="34" t="s">
        <v>191</v>
      </c>
      <c r="G429" s="34" t="s">
        <v>100</v>
      </c>
      <c r="H429" t="s">
        <v>279</v>
      </c>
      <c r="I429" t="s">
        <v>243</v>
      </c>
      <c r="J429" t="s">
        <v>712</v>
      </c>
      <c r="K429" t="s">
        <v>713</v>
      </c>
      <c r="L429" t="s">
        <v>711</v>
      </c>
      <c r="M429" s="30">
        <v>2.1</v>
      </c>
      <c r="N429">
        <v>6.75</v>
      </c>
      <c r="P429" s="24" t="str">
        <f>IFERROR(MID(RADataTable[[#This Row],[RATemplate]],1,LEN(RADataTable[[#This Row],[RATemplate]])-8),"RA") &amp; " " &amp; RADataTable[[#This Row],[prop_id0]] &amp; " " &amp; RADataTable[[#This Row],[last0]]</f>
        <v>RA 1751135 Nayyeri</v>
      </c>
      <c r="T429">
        <v>4</v>
      </c>
      <c r="U429">
        <v>4</v>
      </c>
      <c r="V429" s="34">
        <v>43031.69027777778</v>
      </c>
      <c r="W429">
        <v>1</v>
      </c>
      <c r="X429" s="15" t="str">
        <f>HYPERLINK("https://www.ejacket.nsf.gov/ej/showProposal.do?Continue=Y&amp;ID="&amp;RADataTable[[#This Row],[prop_id0]],"eJ")</f>
        <v>eJ</v>
      </c>
      <c r="Y429" s="15" t="str">
        <f>HYPERLINK("mailto:"&amp;RADataTable[[#This Row],[email]]&amp;"&amp;subject=Your NSF Proposal:  "&amp;RADataTable[[#This Row],[Div]]&amp;" "&amp;RADataTable[[#This Row],[prop_id0]], RADataTable[[#This Row],[email]])</f>
        <v>nayyeria@eecs.oregonstate.edu</v>
      </c>
      <c r="Z429" s="15" t="str">
        <f>HYPERLINK("mailto:"&amp;RADataTable[[#This Row],[allPIemail]]&amp;"&amp;subject=NSF Proposal:  "&amp;RADataTable[[#This Row],[Div]]&amp;" "&amp;RADataTable[[#This Row],[prop_id0]], "PIs@")</f>
        <v>PIs@</v>
      </c>
      <c r="AA429" t="s">
        <v>245</v>
      </c>
      <c r="AB429" t="s">
        <v>681</v>
      </c>
      <c r="AC429" s="30" t="s">
        <v>835</v>
      </c>
      <c r="AD429" t="s">
        <v>836</v>
      </c>
      <c r="AE429" t="s">
        <v>837</v>
      </c>
      <c r="AF429" s="36">
        <v>607459</v>
      </c>
      <c r="AG429" s="36">
        <v>607459</v>
      </c>
      <c r="AH429" s="24"/>
      <c r="AJ429" s="34"/>
      <c r="AK429" t="s">
        <v>923</v>
      </c>
      <c r="AL429" t="s">
        <v>232</v>
      </c>
      <c r="AM429" s="34" t="s">
        <v>925</v>
      </c>
      <c r="AN429" s="34">
        <v>43032</v>
      </c>
      <c r="AO429" s="24">
        <v>10</v>
      </c>
      <c r="AP429" t="s">
        <v>968</v>
      </c>
      <c r="AR429" s="35"/>
      <c r="AS429"/>
      <c r="AT429" s="34"/>
      <c r="AV429" s="34"/>
      <c r="AX429" s="34"/>
      <c r="AY429"/>
      <c r="BA429" s="34"/>
      <c r="BB429"/>
      <c r="BC429" t="s">
        <v>841</v>
      </c>
      <c r="BD429" s="36">
        <v>607459</v>
      </c>
      <c r="BE429" s="36">
        <v>607459</v>
      </c>
      <c r="BF429">
        <v>0</v>
      </c>
      <c r="BG429" s="34">
        <v>43344</v>
      </c>
      <c r="BH429">
        <v>60</v>
      </c>
      <c r="BI429" t="s">
        <v>283</v>
      </c>
      <c r="BJ429" t="s">
        <v>928</v>
      </c>
      <c r="BK429" t="s">
        <v>234</v>
      </c>
      <c r="BL429" t="s">
        <v>194</v>
      </c>
      <c r="BM429" s="8" t="s">
        <v>192</v>
      </c>
      <c r="BN429" t="s">
        <v>189</v>
      </c>
      <c r="BO429" t="s">
        <v>190</v>
      </c>
      <c r="BP429" s="35" t="s">
        <v>726</v>
      </c>
      <c r="BQ429"/>
      <c r="BU429" s="35"/>
      <c r="BV429" s="35"/>
      <c r="BX429"/>
      <c r="CA429" s="35"/>
      <c r="CB429" s="35"/>
      <c r="CC429"/>
      <c r="CG429" s="35"/>
      <c r="CH429" s="35"/>
      <c r="CK429"/>
      <c r="CM429" s="35"/>
      <c r="CN429" s="35"/>
      <c r="CQ429"/>
      <c r="CS429" s="35"/>
      <c r="CT429" s="35"/>
      <c r="CX429"/>
      <c r="CZ429" s="35"/>
      <c r="DD429" s="34"/>
      <c r="DG429" t="s">
        <v>839</v>
      </c>
      <c r="DH429" t="s">
        <v>969</v>
      </c>
      <c r="DI429" t="s">
        <v>233</v>
      </c>
      <c r="DL429" t="s">
        <v>681</v>
      </c>
      <c r="DM429">
        <v>6</v>
      </c>
      <c r="DN429">
        <v>7</v>
      </c>
      <c r="DO429" t="s">
        <v>840</v>
      </c>
      <c r="DQ429" t="s">
        <v>927</v>
      </c>
      <c r="DR429">
        <v>14</v>
      </c>
      <c r="DS429">
        <v>2</v>
      </c>
      <c r="DU429">
        <v>14</v>
      </c>
      <c r="DV429">
        <v>2</v>
      </c>
      <c r="DX429">
        <v>14</v>
      </c>
      <c r="DY429">
        <v>2</v>
      </c>
      <c r="DZ429" t="s">
        <v>246</v>
      </c>
      <c r="EA429" t="s">
        <v>929</v>
      </c>
    </row>
    <row r="430" spans="1:131" x14ac:dyDescent="0.4">
      <c r="A430" s="34">
        <v>43067.305104166669</v>
      </c>
      <c r="B430" s="25">
        <v>42935.696527777778</v>
      </c>
      <c r="D430" s="34"/>
      <c r="E430" s="34" t="s">
        <v>193</v>
      </c>
      <c r="F430" s="34" t="s">
        <v>191</v>
      </c>
      <c r="G430" s="34" t="s">
        <v>100</v>
      </c>
      <c r="H430" t="s">
        <v>279</v>
      </c>
      <c r="I430" t="s">
        <v>243</v>
      </c>
      <c r="J430" t="s">
        <v>712</v>
      </c>
      <c r="K430" t="s">
        <v>713</v>
      </c>
      <c r="L430" t="s">
        <v>711</v>
      </c>
      <c r="M430" s="30">
        <v>2.1</v>
      </c>
      <c r="N430">
        <v>6.75</v>
      </c>
      <c r="P430" s="24" t="str">
        <f>IFERROR(MID(RADataTable[[#This Row],[RATemplate]],1,LEN(RADataTable[[#This Row],[RATemplate]])-8),"RA") &amp; " " &amp; RADataTable[[#This Row],[prop_id0]] &amp; " " &amp; RADataTable[[#This Row],[last0]]</f>
        <v>RA 1751135 Nayyeri</v>
      </c>
      <c r="T430">
        <v>4</v>
      </c>
      <c r="U430">
        <v>4</v>
      </c>
      <c r="V430" s="34">
        <v>43031.69027777778</v>
      </c>
      <c r="W430">
        <v>1</v>
      </c>
      <c r="X430" s="15" t="str">
        <f>HYPERLINK("https://www.ejacket.nsf.gov/ej/showProposal.do?Continue=Y&amp;ID="&amp;RADataTable[[#This Row],[prop_id0]],"eJ")</f>
        <v>eJ</v>
      </c>
      <c r="Y430" s="15" t="str">
        <f>HYPERLINK("mailto:"&amp;RADataTable[[#This Row],[email]]&amp;"&amp;subject=Your NSF Proposal:  "&amp;RADataTable[[#This Row],[Div]]&amp;" "&amp;RADataTable[[#This Row],[prop_id0]], RADataTable[[#This Row],[email]])</f>
        <v>nayyeria@eecs.oregonstate.edu</v>
      </c>
      <c r="Z430" s="15" t="str">
        <f>HYPERLINK("mailto:"&amp;RADataTable[[#This Row],[allPIemail]]&amp;"&amp;subject=NSF Proposal:  "&amp;RADataTable[[#This Row],[Div]]&amp;" "&amp;RADataTable[[#This Row],[prop_id0]], "PIs@")</f>
        <v>PIs@</v>
      </c>
      <c r="AA430" t="s">
        <v>245</v>
      </c>
      <c r="AB430" t="s">
        <v>681</v>
      </c>
      <c r="AC430" s="30" t="s">
        <v>835</v>
      </c>
      <c r="AD430" t="s">
        <v>836</v>
      </c>
      <c r="AE430" t="s">
        <v>837</v>
      </c>
      <c r="AF430" s="36">
        <v>607459</v>
      </c>
      <c r="AG430" s="36">
        <v>607459</v>
      </c>
      <c r="AH430" s="24"/>
      <c r="AJ430" s="34"/>
      <c r="AK430" t="s">
        <v>923</v>
      </c>
      <c r="AL430" t="s">
        <v>232</v>
      </c>
      <c r="AM430" s="34" t="s">
        <v>925</v>
      </c>
      <c r="AN430" s="34">
        <v>43032</v>
      </c>
      <c r="AO430" s="24">
        <v>10</v>
      </c>
      <c r="AP430" t="s">
        <v>968</v>
      </c>
      <c r="AR430" s="35"/>
      <c r="AS430"/>
      <c r="AT430" s="34"/>
      <c r="AV430" s="34"/>
      <c r="AX430" s="34"/>
      <c r="AY430"/>
      <c r="BA430" s="34"/>
      <c r="BB430"/>
      <c r="BC430" t="s">
        <v>841</v>
      </c>
      <c r="BD430" s="36">
        <v>607459</v>
      </c>
      <c r="BE430" s="36">
        <v>607459</v>
      </c>
      <c r="BF430">
        <v>0</v>
      </c>
      <c r="BG430" s="34">
        <v>43344</v>
      </c>
      <c r="BH430">
        <v>60</v>
      </c>
      <c r="BI430" t="s">
        <v>283</v>
      </c>
      <c r="BJ430" t="s">
        <v>928</v>
      </c>
      <c r="BK430" t="s">
        <v>234</v>
      </c>
      <c r="BL430" t="s">
        <v>194</v>
      </c>
      <c r="BM430" s="8" t="s">
        <v>192</v>
      </c>
      <c r="BN430" t="s">
        <v>189</v>
      </c>
      <c r="BO430" t="s">
        <v>190</v>
      </c>
      <c r="BP430" s="35" t="s">
        <v>726</v>
      </c>
      <c r="BQ430"/>
      <c r="BU430" s="35"/>
      <c r="BV430" s="35"/>
      <c r="BX430"/>
      <c r="CA430" s="35"/>
      <c r="CB430" s="35"/>
      <c r="CC430"/>
      <c r="CG430" s="35"/>
      <c r="CH430" s="35"/>
      <c r="CK430"/>
      <c r="CM430" s="35"/>
      <c r="CN430" s="35"/>
      <c r="CQ430"/>
      <c r="CS430" s="35"/>
      <c r="CT430" s="35"/>
      <c r="CX430"/>
      <c r="CZ430" s="35"/>
      <c r="DD430" s="34"/>
      <c r="DG430" t="s">
        <v>839</v>
      </c>
      <c r="DH430" t="s">
        <v>969</v>
      </c>
      <c r="DI430" t="s">
        <v>233</v>
      </c>
      <c r="DL430" t="s">
        <v>681</v>
      </c>
      <c r="DM430">
        <v>6</v>
      </c>
      <c r="DN430">
        <v>7</v>
      </c>
      <c r="DO430" t="s">
        <v>840</v>
      </c>
      <c r="DQ430" t="s">
        <v>927</v>
      </c>
      <c r="DR430">
        <v>14</v>
      </c>
      <c r="DS430">
        <v>2</v>
      </c>
      <c r="DU430">
        <v>14</v>
      </c>
      <c r="DV430">
        <v>2</v>
      </c>
      <c r="DX430">
        <v>14</v>
      </c>
      <c r="DY430">
        <v>2</v>
      </c>
      <c r="DZ430" t="s">
        <v>246</v>
      </c>
      <c r="EA430" t="s">
        <v>929</v>
      </c>
    </row>
    <row r="431" spans="1:131" x14ac:dyDescent="0.4">
      <c r="A431" s="34">
        <v>43067.305104166669</v>
      </c>
      <c r="B431" s="25">
        <v>42935.696527777778</v>
      </c>
      <c r="D431" s="34"/>
      <c r="E431" s="34" t="s">
        <v>193</v>
      </c>
      <c r="F431" s="34" t="s">
        <v>191</v>
      </c>
      <c r="G431" s="34" t="s">
        <v>100</v>
      </c>
      <c r="H431" t="s">
        <v>279</v>
      </c>
      <c r="I431" t="s">
        <v>243</v>
      </c>
      <c r="J431" t="s">
        <v>712</v>
      </c>
      <c r="K431" t="s">
        <v>713</v>
      </c>
      <c r="L431" t="s">
        <v>711</v>
      </c>
      <c r="M431" s="30">
        <v>2.1</v>
      </c>
      <c r="N431">
        <v>6.75</v>
      </c>
      <c r="P431" s="24" t="str">
        <f>IFERROR(MID(RADataTable[[#This Row],[RATemplate]],1,LEN(RADataTable[[#This Row],[RATemplate]])-8),"RA") &amp; " " &amp; RADataTable[[#This Row],[prop_id0]] &amp; " " &amp; RADataTable[[#This Row],[last0]]</f>
        <v>RA 1751135 Nayyeri</v>
      </c>
      <c r="T431">
        <v>4</v>
      </c>
      <c r="U431">
        <v>4</v>
      </c>
      <c r="V431" s="34">
        <v>43031.69027777778</v>
      </c>
      <c r="W431">
        <v>1</v>
      </c>
      <c r="X431" s="15" t="str">
        <f>HYPERLINK("https://www.ejacket.nsf.gov/ej/showProposal.do?Continue=Y&amp;ID="&amp;RADataTable[[#This Row],[prop_id0]],"eJ")</f>
        <v>eJ</v>
      </c>
      <c r="Y431" s="15" t="str">
        <f>HYPERLINK("mailto:"&amp;RADataTable[[#This Row],[email]]&amp;"&amp;subject=Your NSF Proposal:  "&amp;RADataTable[[#This Row],[Div]]&amp;" "&amp;RADataTable[[#This Row],[prop_id0]], RADataTable[[#This Row],[email]])</f>
        <v>nayyeria@eecs.oregonstate.edu</v>
      </c>
      <c r="Z431" s="15" t="str">
        <f>HYPERLINK("mailto:"&amp;RADataTable[[#This Row],[allPIemail]]&amp;"&amp;subject=NSF Proposal:  "&amp;RADataTable[[#This Row],[Div]]&amp;" "&amp;RADataTable[[#This Row],[prop_id0]], "PIs@")</f>
        <v>PIs@</v>
      </c>
      <c r="AA431" t="s">
        <v>245</v>
      </c>
      <c r="AB431" t="s">
        <v>681</v>
      </c>
      <c r="AC431" s="30" t="s">
        <v>835</v>
      </c>
      <c r="AD431" t="s">
        <v>836</v>
      </c>
      <c r="AE431" t="s">
        <v>837</v>
      </c>
      <c r="AF431" s="36">
        <v>607459</v>
      </c>
      <c r="AG431" s="36">
        <v>607459</v>
      </c>
      <c r="AH431" s="24"/>
      <c r="AJ431" s="34"/>
      <c r="AK431" t="s">
        <v>923</v>
      </c>
      <c r="AL431" t="s">
        <v>232</v>
      </c>
      <c r="AM431" s="34" t="s">
        <v>925</v>
      </c>
      <c r="AN431" s="34">
        <v>43032</v>
      </c>
      <c r="AO431" s="24">
        <v>10</v>
      </c>
      <c r="AP431" t="s">
        <v>968</v>
      </c>
      <c r="AR431" s="35"/>
      <c r="AS431"/>
      <c r="AT431" s="34"/>
      <c r="AV431" s="34"/>
      <c r="AX431" s="34"/>
      <c r="AY431"/>
      <c r="BA431" s="34"/>
      <c r="BB431"/>
      <c r="BC431" t="s">
        <v>841</v>
      </c>
      <c r="BD431" s="36">
        <v>607459</v>
      </c>
      <c r="BE431" s="36">
        <v>607459</v>
      </c>
      <c r="BF431">
        <v>0</v>
      </c>
      <c r="BG431" s="34">
        <v>43344</v>
      </c>
      <c r="BH431">
        <v>60</v>
      </c>
      <c r="BI431" t="s">
        <v>283</v>
      </c>
      <c r="BJ431" t="s">
        <v>928</v>
      </c>
      <c r="BK431" t="s">
        <v>234</v>
      </c>
      <c r="BL431" t="s">
        <v>194</v>
      </c>
      <c r="BM431" s="8" t="s">
        <v>192</v>
      </c>
      <c r="BN431" t="s">
        <v>189</v>
      </c>
      <c r="BO431" t="s">
        <v>190</v>
      </c>
      <c r="BP431" s="35" t="s">
        <v>726</v>
      </c>
      <c r="BQ431"/>
      <c r="BU431" s="35"/>
      <c r="BV431" s="35"/>
      <c r="BX431"/>
      <c r="CA431" s="35"/>
      <c r="CB431" s="35"/>
      <c r="CC431"/>
      <c r="CG431" s="35"/>
      <c r="CH431" s="35"/>
      <c r="CK431"/>
      <c r="CM431" s="35"/>
      <c r="CN431" s="35"/>
      <c r="CQ431"/>
      <c r="CS431" s="35"/>
      <c r="CT431" s="35"/>
      <c r="CX431"/>
      <c r="CZ431" s="35"/>
      <c r="DD431" s="34"/>
      <c r="DG431" t="s">
        <v>839</v>
      </c>
      <c r="DH431" t="s">
        <v>969</v>
      </c>
      <c r="DI431" t="s">
        <v>233</v>
      </c>
      <c r="DL431" t="s">
        <v>681</v>
      </c>
      <c r="DM431">
        <v>6</v>
      </c>
      <c r="DN431">
        <v>7</v>
      </c>
      <c r="DO431" t="s">
        <v>840</v>
      </c>
      <c r="DQ431" t="s">
        <v>927</v>
      </c>
      <c r="DR431">
        <v>14</v>
      </c>
      <c r="DS431">
        <v>2</v>
      </c>
      <c r="DU431">
        <v>14</v>
      </c>
      <c r="DV431">
        <v>2</v>
      </c>
      <c r="DX431">
        <v>14</v>
      </c>
      <c r="DY431">
        <v>2</v>
      </c>
      <c r="DZ431" t="s">
        <v>246</v>
      </c>
      <c r="EA431" t="s">
        <v>929</v>
      </c>
    </row>
    <row r="432" spans="1:131" x14ac:dyDescent="0.4">
      <c r="A432" s="34">
        <v>43067.305104166669</v>
      </c>
      <c r="B432" s="25">
        <v>42935.696527777778</v>
      </c>
      <c r="D432" s="34"/>
      <c r="E432" s="34" t="s">
        <v>193</v>
      </c>
      <c r="F432" s="34" t="s">
        <v>191</v>
      </c>
      <c r="G432" s="34" t="s">
        <v>100</v>
      </c>
      <c r="H432" t="s">
        <v>279</v>
      </c>
      <c r="I432" t="s">
        <v>243</v>
      </c>
      <c r="J432" t="s">
        <v>712</v>
      </c>
      <c r="K432" t="s">
        <v>713</v>
      </c>
      <c r="L432" t="s">
        <v>711</v>
      </c>
      <c r="M432" s="30">
        <v>2.1</v>
      </c>
      <c r="N432">
        <v>6.75</v>
      </c>
      <c r="P432" s="24" t="str">
        <f>IFERROR(MID(RADataTable[[#This Row],[RATemplate]],1,LEN(RADataTable[[#This Row],[RATemplate]])-8),"RA") &amp; " " &amp; RADataTable[[#This Row],[prop_id0]] &amp; " " &amp; RADataTable[[#This Row],[last0]]</f>
        <v>RA 1751135 Nayyeri</v>
      </c>
      <c r="T432">
        <v>4</v>
      </c>
      <c r="U432">
        <v>4</v>
      </c>
      <c r="V432" s="34">
        <v>43031.69027777778</v>
      </c>
      <c r="W432">
        <v>1</v>
      </c>
      <c r="X432" s="15" t="str">
        <f>HYPERLINK("https://www.ejacket.nsf.gov/ej/showProposal.do?Continue=Y&amp;ID="&amp;RADataTable[[#This Row],[prop_id0]],"eJ")</f>
        <v>eJ</v>
      </c>
      <c r="Y432" s="15" t="str">
        <f>HYPERLINK("mailto:"&amp;RADataTable[[#This Row],[email]]&amp;"&amp;subject=Your NSF Proposal:  "&amp;RADataTable[[#This Row],[Div]]&amp;" "&amp;RADataTable[[#This Row],[prop_id0]], RADataTable[[#This Row],[email]])</f>
        <v>nayyeria@eecs.oregonstate.edu</v>
      </c>
      <c r="Z432" s="15" t="str">
        <f>HYPERLINK("mailto:"&amp;RADataTable[[#This Row],[allPIemail]]&amp;"&amp;subject=NSF Proposal:  "&amp;RADataTable[[#This Row],[Div]]&amp;" "&amp;RADataTable[[#This Row],[prop_id0]], "PIs@")</f>
        <v>PIs@</v>
      </c>
      <c r="AA432" t="s">
        <v>245</v>
      </c>
      <c r="AB432" t="s">
        <v>681</v>
      </c>
      <c r="AC432" s="30" t="s">
        <v>835</v>
      </c>
      <c r="AD432" t="s">
        <v>836</v>
      </c>
      <c r="AE432" t="s">
        <v>837</v>
      </c>
      <c r="AF432" s="36">
        <v>607459</v>
      </c>
      <c r="AG432" s="36">
        <v>607459</v>
      </c>
      <c r="AH432" s="24"/>
      <c r="AJ432" s="34"/>
      <c r="AK432" t="s">
        <v>923</v>
      </c>
      <c r="AL432" t="s">
        <v>232</v>
      </c>
      <c r="AM432" s="34" t="s">
        <v>925</v>
      </c>
      <c r="AN432" s="34">
        <v>43032</v>
      </c>
      <c r="AO432" s="24">
        <v>10</v>
      </c>
      <c r="AP432" t="s">
        <v>968</v>
      </c>
      <c r="AR432" s="35"/>
      <c r="AS432"/>
      <c r="AT432" s="34"/>
      <c r="AV432" s="34"/>
      <c r="AX432" s="34"/>
      <c r="AY432"/>
      <c r="BA432" s="34"/>
      <c r="BB432"/>
      <c r="BC432" t="s">
        <v>841</v>
      </c>
      <c r="BD432" s="36">
        <v>607459</v>
      </c>
      <c r="BE432" s="36">
        <v>607459</v>
      </c>
      <c r="BF432">
        <v>0</v>
      </c>
      <c r="BG432" s="34">
        <v>43344</v>
      </c>
      <c r="BH432">
        <v>60</v>
      </c>
      <c r="BI432" t="s">
        <v>283</v>
      </c>
      <c r="BJ432" t="s">
        <v>928</v>
      </c>
      <c r="BK432" t="s">
        <v>234</v>
      </c>
      <c r="BL432" t="s">
        <v>194</v>
      </c>
      <c r="BM432" s="8" t="s">
        <v>192</v>
      </c>
      <c r="BN432" t="s">
        <v>189</v>
      </c>
      <c r="BO432" t="s">
        <v>190</v>
      </c>
      <c r="BP432" s="35" t="s">
        <v>726</v>
      </c>
      <c r="BQ432"/>
      <c r="BU432" s="35"/>
      <c r="BV432" s="35"/>
      <c r="BX432"/>
      <c r="CA432" s="35"/>
      <c r="CB432" s="35"/>
      <c r="CC432"/>
      <c r="CG432" s="35"/>
      <c r="CH432" s="35"/>
      <c r="CK432"/>
      <c r="CM432" s="35"/>
      <c r="CN432" s="35"/>
      <c r="CQ432"/>
      <c r="CS432" s="35"/>
      <c r="CT432" s="35"/>
      <c r="CX432"/>
      <c r="CZ432" s="35"/>
      <c r="DD432" s="34"/>
      <c r="DG432" t="s">
        <v>839</v>
      </c>
      <c r="DH432" t="s">
        <v>969</v>
      </c>
      <c r="DI432" t="s">
        <v>233</v>
      </c>
      <c r="DL432" t="s">
        <v>681</v>
      </c>
      <c r="DM432">
        <v>6</v>
      </c>
      <c r="DN432">
        <v>7</v>
      </c>
      <c r="DO432" t="s">
        <v>840</v>
      </c>
      <c r="DQ432" t="s">
        <v>927</v>
      </c>
      <c r="DR432">
        <v>14</v>
      </c>
      <c r="DS432">
        <v>2</v>
      </c>
      <c r="DU432">
        <v>14</v>
      </c>
      <c r="DV432">
        <v>2</v>
      </c>
      <c r="DX432">
        <v>14</v>
      </c>
      <c r="DY432">
        <v>2</v>
      </c>
      <c r="DZ432" t="s">
        <v>246</v>
      </c>
      <c r="EA432" t="s">
        <v>929</v>
      </c>
    </row>
    <row r="433" spans="1:131" x14ac:dyDescent="0.4">
      <c r="A433" s="34">
        <v>43067.305104166669</v>
      </c>
      <c r="B433" s="25">
        <v>42935.696527777778</v>
      </c>
      <c r="D433" s="34"/>
      <c r="E433" s="34" t="s">
        <v>193</v>
      </c>
      <c r="F433" s="34" t="s">
        <v>191</v>
      </c>
      <c r="G433" s="34" t="s">
        <v>100</v>
      </c>
      <c r="H433" t="s">
        <v>279</v>
      </c>
      <c r="I433" t="s">
        <v>243</v>
      </c>
      <c r="J433" t="s">
        <v>712</v>
      </c>
      <c r="K433" t="s">
        <v>713</v>
      </c>
      <c r="L433" t="s">
        <v>711</v>
      </c>
      <c r="M433" s="30">
        <v>2.1</v>
      </c>
      <c r="N433">
        <v>6.75</v>
      </c>
      <c r="P433" s="24" t="str">
        <f>IFERROR(MID(RADataTable[[#This Row],[RATemplate]],1,LEN(RADataTable[[#This Row],[RATemplate]])-8),"RA") &amp; " " &amp; RADataTable[[#This Row],[prop_id0]] &amp; " " &amp; RADataTable[[#This Row],[last0]]</f>
        <v>RA 1751135 Nayyeri</v>
      </c>
      <c r="T433">
        <v>4</v>
      </c>
      <c r="U433">
        <v>4</v>
      </c>
      <c r="V433" s="34">
        <v>43031.69027777778</v>
      </c>
      <c r="W433">
        <v>1</v>
      </c>
      <c r="X433" s="15" t="str">
        <f>HYPERLINK("https://www.ejacket.nsf.gov/ej/showProposal.do?Continue=Y&amp;ID="&amp;RADataTable[[#This Row],[prop_id0]],"eJ")</f>
        <v>eJ</v>
      </c>
      <c r="Y433" s="15" t="str">
        <f>HYPERLINK("mailto:"&amp;RADataTable[[#This Row],[email]]&amp;"&amp;subject=Your NSF Proposal:  "&amp;RADataTable[[#This Row],[Div]]&amp;" "&amp;RADataTable[[#This Row],[prop_id0]], RADataTable[[#This Row],[email]])</f>
        <v>nayyeria@eecs.oregonstate.edu</v>
      </c>
      <c r="Z433" s="15" t="str">
        <f>HYPERLINK("mailto:"&amp;RADataTable[[#This Row],[allPIemail]]&amp;"&amp;subject=NSF Proposal:  "&amp;RADataTable[[#This Row],[Div]]&amp;" "&amp;RADataTable[[#This Row],[prop_id0]], "PIs@")</f>
        <v>PIs@</v>
      </c>
      <c r="AA433" t="s">
        <v>245</v>
      </c>
      <c r="AB433" t="s">
        <v>681</v>
      </c>
      <c r="AC433" s="30" t="s">
        <v>835</v>
      </c>
      <c r="AD433" t="s">
        <v>836</v>
      </c>
      <c r="AE433" t="s">
        <v>837</v>
      </c>
      <c r="AF433" s="36">
        <v>607459</v>
      </c>
      <c r="AG433" s="36">
        <v>607459</v>
      </c>
      <c r="AH433" s="24"/>
      <c r="AJ433" s="34"/>
      <c r="AK433" t="s">
        <v>923</v>
      </c>
      <c r="AL433" t="s">
        <v>232</v>
      </c>
      <c r="AM433" s="34" t="s">
        <v>925</v>
      </c>
      <c r="AN433" s="34">
        <v>43032</v>
      </c>
      <c r="AO433" s="24">
        <v>10</v>
      </c>
      <c r="AP433" t="s">
        <v>968</v>
      </c>
      <c r="AR433" s="35"/>
      <c r="AS433"/>
      <c r="AT433" s="34"/>
      <c r="AV433" s="34"/>
      <c r="AX433" s="34"/>
      <c r="AY433"/>
      <c r="BA433" s="34"/>
      <c r="BB433"/>
      <c r="BC433" t="s">
        <v>841</v>
      </c>
      <c r="BD433" s="36">
        <v>607459</v>
      </c>
      <c r="BE433" s="36">
        <v>607459</v>
      </c>
      <c r="BF433">
        <v>0</v>
      </c>
      <c r="BG433" s="34">
        <v>43344</v>
      </c>
      <c r="BH433">
        <v>60</v>
      </c>
      <c r="BI433" t="s">
        <v>283</v>
      </c>
      <c r="BJ433" t="s">
        <v>928</v>
      </c>
      <c r="BK433" t="s">
        <v>234</v>
      </c>
      <c r="BL433" t="s">
        <v>194</v>
      </c>
      <c r="BM433" s="8" t="s">
        <v>192</v>
      </c>
      <c r="BN433" t="s">
        <v>189</v>
      </c>
      <c r="BO433" t="s">
        <v>190</v>
      </c>
      <c r="BP433" s="35" t="s">
        <v>726</v>
      </c>
      <c r="BQ433"/>
      <c r="BU433" s="35"/>
      <c r="BV433" s="35"/>
      <c r="BX433"/>
      <c r="CA433" s="35"/>
      <c r="CB433" s="35"/>
      <c r="CC433"/>
      <c r="CG433" s="35"/>
      <c r="CH433" s="35"/>
      <c r="CK433"/>
      <c r="CM433" s="35"/>
      <c r="CN433" s="35"/>
      <c r="CQ433"/>
      <c r="CS433" s="35"/>
      <c r="CT433" s="35"/>
      <c r="CX433"/>
      <c r="CZ433" s="35"/>
      <c r="DD433" s="34"/>
      <c r="DG433" t="s">
        <v>839</v>
      </c>
      <c r="DH433" t="s">
        <v>969</v>
      </c>
      <c r="DI433" t="s">
        <v>233</v>
      </c>
      <c r="DL433" t="s">
        <v>681</v>
      </c>
      <c r="DM433">
        <v>6</v>
      </c>
      <c r="DN433">
        <v>7</v>
      </c>
      <c r="DO433" t="s">
        <v>840</v>
      </c>
      <c r="DQ433" t="s">
        <v>927</v>
      </c>
      <c r="DR433">
        <v>14</v>
      </c>
      <c r="DS433">
        <v>2</v>
      </c>
      <c r="DU433">
        <v>14</v>
      </c>
      <c r="DV433">
        <v>2</v>
      </c>
      <c r="DX433">
        <v>14</v>
      </c>
      <c r="DY433">
        <v>2</v>
      </c>
      <c r="DZ433" t="s">
        <v>246</v>
      </c>
      <c r="EA433" t="s">
        <v>929</v>
      </c>
    </row>
    <row r="434" spans="1:131" x14ac:dyDescent="0.4">
      <c r="A434" s="34">
        <v>43067.305104166669</v>
      </c>
      <c r="B434" s="25">
        <v>42935.696527777778</v>
      </c>
      <c r="D434" s="34"/>
      <c r="E434" s="34" t="s">
        <v>193</v>
      </c>
      <c r="F434" s="34" t="s">
        <v>191</v>
      </c>
      <c r="G434" s="34" t="s">
        <v>100</v>
      </c>
      <c r="H434" t="s">
        <v>279</v>
      </c>
      <c r="I434" t="s">
        <v>243</v>
      </c>
      <c r="J434" t="s">
        <v>712</v>
      </c>
      <c r="K434" t="s">
        <v>713</v>
      </c>
      <c r="L434" t="s">
        <v>711</v>
      </c>
      <c r="M434" s="30">
        <v>2.1</v>
      </c>
      <c r="N434">
        <v>6.75</v>
      </c>
      <c r="P434" s="24" t="str">
        <f>IFERROR(MID(RADataTable[[#This Row],[RATemplate]],1,LEN(RADataTable[[#This Row],[RATemplate]])-8),"RA") &amp; " " &amp; RADataTable[[#This Row],[prop_id0]] &amp; " " &amp; RADataTable[[#This Row],[last0]]</f>
        <v>RA 1751135 Nayyeri</v>
      </c>
      <c r="T434">
        <v>4</v>
      </c>
      <c r="U434">
        <v>4</v>
      </c>
      <c r="V434" s="34">
        <v>43031.69027777778</v>
      </c>
      <c r="W434">
        <v>1</v>
      </c>
      <c r="X434" s="15" t="str">
        <f>HYPERLINK("https://www.ejacket.nsf.gov/ej/showProposal.do?Continue=Y&amp;ID="&amp;RADataTable[[#This Row],[prop_id0]],"eJ")</f>
        <v>eJ</v>
      </c>
      <c r="Y434" s="15" t="str">
        <f>HYPERLINK("mailto:"&amp;RADataTable[[#This Row],[email]]&amp;"&amp;subject=Your NSF Proposal:  "&amp;RADataTable[[#This Row],[Div]]&amp;" "&amp;RADataTable[[#This Row],[prop_id0]], RADataTable[[#This Row],[email]])</f>
        <v>nayyeria@eecs.oregonstate.edu</v>
      </c>
      <c r="Z434" s="15" t="str">
        <f>HYPERLINK("mailto:"&amp;RADataTable[[#This Row],[allPIemail]]&amp;"&amp;subject=NSF Proposal:  "&amp;RADataTable[[#This Row],[Div]]&amp;" "&amp;RADataTable[[#This Row],[prop_id0]], "PIs@")</f>
        <v>PIs@</v>
      </c>
      <c r="AA434" t="s">
        <v>245</v>
      </c>
      <c r="AB434" t="s">
        <v>681</v>
      </c>
      <c r="AC434" s="30" t="s">
        <v>835</v>
      </c>
      <c r="AD434" t="s">
        <v>836</v>
      </c>
      <c r="AE434" t="s">
        <v>837</v>
      </c>
      <c r="AF434" s="36">
        <v>607459</v>
      </c>
      <c r="AG434" s="36">
        <v>607459</v>
      </c>
      <c r="AH434" s="24"/>
      <c r="AJ434" s="34"/>
      <c r="AK434" t="s">
        <v>923</v>
      </c>
      <c r="AL434" t="s">
        <v>232</v>
      </c>
      <c r="AM434" s="34" t="s">
        <v>925</v>
      </c>
      <c r="AN434" s="34">
        <v>43032</v>
      </c>
      <c r="AO434" s="24">
        <v>10</v>
      </c>
      <c r="AP434" t="s">
        <v>968</v>
      </c>
      <c r="AR434" s="35"/>
      <c r="AS434"/>
      <c r="AT434" s="34"/>
      <c r="AV434" s="34"/>
      <c r="AX434" s="34"/>
      <c r="AY434"/>
      <c r="BA434" s="34"/>
      <c r="BB434"/>
      <c r="BC434" t="s">
        <v>841</v>
      </c>
      <c r="BD434" s="36">
        <v>607459</v>
      </c>
      <c r="BE434" s="36">
        <v>607459</v>
      </c>
      <c r="BF434">
        <v>0</v>
      </c>
      <c r="BG434" s="34">
        <v>43344</v>
      </c>
      <c r="BH434">
        <v>60</v>
      </c>
      <c r="BI434" t="s">
        <v>283</v>
      </c>
      <c r="BJ434" t="s">
        <v>928</v>
      </c>
      <c r="BK434" t="s">
        <v>234</v>
      </c>
      <c r="BL434" t="s">
        <v>194</v>
      </c>
      <c r="BM434" s="8" t="s">
        <v>192</v>
      </c>
      <c r="BN434" t="s">
        <v>189</v>
      </c>
      <c r="BO434" t="s">
        <v>190</v>
      </c>
      <c r="BP434" s="35" t="s">
        <v>726</v>
      </c>
      <c r="BQ434"/>
      <c r="BU434" s="35"/>
      <c r="BV434" s="35"/>
      <c r="BX434"/>
      <c r="CA434" s="35"/>
      <c r="CB434" s="35"/>
      <c r="CC434"/>
      <c r="CG434" s="35"/>
      <c r="CH434" s="35"/>
      <c r="CK434"/>
      <c r="CM434" s="35"/>
      <c r="CN434" s="35"/>
      <c r="CQ434"/>
      <c r="CS434" s="35"/>
      <c r="CT434" s="35"/>
      <c r="CX434"/>
      <c r="CZ434" s="35"/>
      <c r="DD434" s="34"/>
      <c r="DG434" t="s">
        <v>839</v>
      </c>
      <c r="DH434" t="s">
        <v>969</v>
      </c>
      <c r="DI434" t="s">
        <v>233</v>
      </c>
      <c r="DL434" t="s">
        <v>681</v>
      </c>
      <c r="DM434">
        <v>6</v>
      </c>
      <c r="DN434">
        <v>7</v>
      </c>
      <c r="DO434" t="s">
        <v>840</v>
      </c>
      <c r="DQ434" t="s">
        <v>927</v>
      </c>
      <c r="DR434">
        <v>14</v>
      </c>
      <c r="DS434">
        <v>2</v>
      </c>
      <c r="DU434">
        <v>14</v>
      </c>
      <c r="DV434">
        <v>2</v>
      </c>
      <c r="DX434">
        <v>14</v>
      </c>
      <c r="DY434">
        <v>2</v>
      </c>
      <c r="DZ434" t="s">
        <v>246</v>
      </c>
      <c r="EA434" t="s">
        <v>929</v>
      </c>
    </row>
    <row r="435" spans="1:131" x14ac:dyDescent="0.4">
      <c r="A435" s="34">
        <v>43067.305104166669</v>
      </c>
      <c r="B435" s="25">
        <v>42935.696527777778</v>
      </c>
      <c r="D435" s="34"/>
      <c r="E435" s="34" t="s">
        <v>193</v>
      </c>
      <c r="F435" s="34" t="s">
        <v>191</v>
      </c>
      <c r="G435" s="34" t="s">
        <v>100</v>
      </c>
      <c r="H435" t="s">
        <v>279</v>
      </c>
      <c r="I435" t="s">
        <v>243</v>
      </c>
      <c r="J435" t="s">
        <v>712</v>
      </c>
      <c r="K435" t="s">
        <v>713</v>
      </c>
      <c r="L435" t="s">
        <v>711</v>
      </c>
      <c r="M435" s="30">
        <v>2.1</v>
      </c>
      <c r="N435">
        <v>6.75</v>
      </c>
      <c r="P435" s="24" t="str">
        <f>IFERROR(MID(RADataTable[[#This Row],[RATemplate]],1,LEN(RADataTable[[#This Row],[RATemplate]])-8),"RA") &amp; " " &amp; RADataTable[[#This Row],[prop_id0]] &amp; " " &amp; RADataTable[[#This Row],[last0]]</f>
        <v>RA 1751135 Nayyeri</v>
      </c>
      <c r="T435">
        <v>4</v>
      </c>
      <c r="U435">
        <v>4</v>
      </c>
      <c r="V435" s="34">
        <v>43031.69027777778</v>
      </c>
      <c r="W435">
        <v>1</v>
      </c>
      <c r="X435" s="15" t="str">
        <f>HYPERLINK("https://www.ejacket.nsf.gov/ej/showProposal.do?Continue=Y&amp;ID="&amp;RADataTable[[#This Row],[prop_id0]],"eJ")</f>
        <v>eJ</v>
      </c>
      <c r="Y435" s="15" t="str">
        <f>HYPERLINK("mailto:"&amp;RADataTable[[#This Row],[email]]&amp;"&amp;subject=Your NSF Proposal:  "&amp;RADataTable[[#This Row],[Div]]&amp;" "&amp;RADataTable[[#This Row],[prop_id0]], RADataTable[[#This Row],[email]])</f>
        <v>nayyeria@eecs.oregonstate.edu</v>
      </c>
      <c r="Z435" s="15" t="str">
        <f>HYPERLINK("mailto:"&amp;RADataTable[[#This Row],[allPIemail]]&amp;"&amp;subject=NSF Proposal:  "&amp;RADataTable[[#This Row],[Div]]&amp;" "&amp;RADataTable[[#This Row],[prop_id0]], "PIs@")</f>
        <v>PIs@</v>
      </c>
      <c r="AA435" t="s">
        <v>245</v>
      </c>
      <c r="AB435" t="s">
        <v>681</v>
      </c>
      <c r="AC435" s="30" t="s">
        <v>835</v>
      </c>
      <c r="AD435" t="s">
        <v>836</v>
      </c>
      <c r="AE435" t="s">
        <v>837</v>
      </c>
      <c r="AF435" s="36">
        <v>607459</v>
      </c>
      <c r="AG435" s="36">
        <v>607459</v>
      </c>
      <c r="AH435" s="24"/>
      <c r="AJ435" s="34"/>
      <c r="AK435" t="s">
        <v>923</v>
      </c>
      <c r="AL435" t="s">
        <v>232</v>
      </c>
      <c r="AM435" s="34" t="s">
        <v>925</v>
      </c>
      <c r="AN435" s="34">
        <v>43032</v>
      </c>
      <c r="AO435" s="24">
        <v>10</v>
      </c>
      <c r="AP435" t="s">
        <v>968</v>
      </c>
      <c r="AR435" s="35"/>
      <c r="AS435"/>
      <c r="AT435" s="34"/>
      <c r="AV435" s="34"/>
      <c r="AX435" s="34"/>
      <c r="AY435"/>
      <c r="BA435" s="34"/>
      <c r="BB435"/>
      <c r="BC435" t="s">
        <v>841</v>
      </c>
      <c r="BD435" s="36">
        <v>607459</v>
      </c>
      <c r="BE435" s="36">
        <v>607459</v>
      </c>
      <c r="BF435">
        <v>0</v>
      </c>
      <c r="BG435" s="34">
        <v>43344</v>
      </c>
      <c r="BH435">
        <v>60</v>
      </c>
      <c r="BI435" t="s">
        <v>283</v>
      </c>
      <c r="BJ435" t="s">
        <v>928</v>
      </c>
      <c r="BK435" t="s">
        <v>234</v>
      </c>
      <c r="BL435" t="s">
        <v>194</v>
      </c>
      <c r="BM435" s="8" t="s">
        <v>192</v>
      </c>
      <c r="BN435" t="s">
        <v>189</v>
      </c>
      <c r="BO435" t="s">
        <v>190</v>
      </c>
      <c r="BP435" s="35" t="s">
        <v>726</v>
      </c>
      <c r="BQ435"/>
      <c r="BU435" s="35"/>
      <c r="BV435" s="35"/>
      <c r="BX435"/>
      <c r="CA435" s="35"/>
      <c r="CB435" s="35"/>
      <c r="CC435"/>
      <c r="CG435" s="35"/>
      <c r="CH435" s="35"/>
      <c r="CK435"/>
      <c r="CM435" s="35"/>
      <c r="CN435" s="35"/>
      <c r="CQ435"/>
      <c r="CS435" s="35"/>
      <c r="CT435" s="35"/>
      <c r="CX435"/>
      <c r="CZ435" s="35"/>
      <c r="DD435" s="34"/>
      <c r="DG435" t="s">
        <v>839</v>
      </c>
      <c r="DH435" t="s">
        <v>969</v>
      </c>
      <c r="DI435" t="s">
        <v>233</v>
      </c>
      <c r="DL435" t="s">
        <v>681</v>
      </c>
      <c r="DM435">
        <v>6</v>
      </c>
      <c r="DN435">
        <v>7</v>
      </c>
      <c r="DO435" t="s">
        <v>840</v>
      </c>
      <c r="DQ435" t="s">
        <v>927</v>
      </c>
      <c r="DR435">
        <v>14</v>
      </c>
      <c r="DS435">
        <v>2</v>
      </c>
      <c r="DU435">
        <v>14</v>
      </c>
      <c r="DV435">
        <v>2</v>
      </c>
      <c r="DX435">
        <v>14</v>
      </c>
      <c r="DY435">
        <v>2</v>
      </c>
      <c r="DZ435" t="s">
        <v>246</v>
      </c>
      <c r="EA435" t="s">
        <v>929</v>
      </c>
    </row>
    <row r="436" spans="1:131" x14ac:dyDescent="0.4">
      <c r="A436" s="34">
        <v>43067.305104166669</v>
      </c>
      <c r="B436" s="25">
        <v>42935.696527777778</v>
      </c>
      <c r="D436" s="34"/>
      <c r="E436" s="34" t="s">
        <v>193</v>
      </c>
      <c r="F436" s="34" t="s">
        <v>191</v>
      </c>
      <c r="G436" s="34" t="s">
        <v>100</v>
      </c>
      <c r="H436" t="s">
        <v>279</v>
      </c>
      <c r="I436" t="s">
        <v>243</v>
      </c>
      <c r="J436" t="s">
        <v>712</v>
      </c>
      <c r="K436" t="s">
        <v>713</v>
      </c>
      <c r="L436" t="s">
        <v>711</v>
      </c>
      <c r="M436" s="30">
        <v>2.1</v>
      </c>
      <c r="N436">
        <v>6.75</v>
      </c>
      <c r="P436" s="24" t="str">
        <f>IFERROR(MID(RADataTable[[#This Row],[RATemplate]],1,LEN(RADataTable[[#This Row],[RATemplate]])-8),"RA") &amp; " " &amp; RADataTable[[#This Row],[prop_id0]] &amp; " " &amp; RADataTable[[#This Row],[last0]]</f>
        <v>RA 1751135 Nayyeri</v>
      </c>
      <c r="T436">
        <v>4</v>
      </c>
      <c r="U436">
        <v>4</v>
      </c>
      <c r="V436" s="34">
        <v>43031.69027777778</v>
      </c>
      <c r="W436">
        <v>1</v>
      </c>
      <c r="X436" s="15" t="str">
        <f>HYPERLINK("https://www.ejacket.nsf.gov/ej/showProposal.do?Continue=Y&amp;ID="&amp;RADataTable[[#This Row],[prop_id0]],"eJ")</f>
        <v>eJ</v>
      </c>
      <c r="Y436" s="15" t="str">
        <f>HYPERLINK("mailto:"&amp;RADataTable[[#This Row],[email]]&amp;"&amp;subject=Your NSF Proposal:  "&amp;RADataTable[[#This Row],[Div]]&amp;" "&amp;RADataTable[[#This Row],[prop_id0]], RADataTable[[#This Row],[email]])</f>
        <v>nayyeria@eecs.oregonstate.edu</v>
      </c>
      <c r="Z436" s="15" t="str">
        <f>HYPERLINK("mailto:"&amp;RADataTable[[#This Row],[allPIemail]]&amp;"&amp;subject=NSF Proposal:  "&amp;RADataTable[[#This Row],[Div]]&amp;" "&amp;RADataTable[[#This Row],[prop_id0]], "PIs@")</f>
        <v>PIs@</v>
      </c>
      <c r="AA436" t="s">
        <v>245</v>
      </c>
      <c r="AB436" t="s">
        <v>681</v>
      </c>
      <c r="AC436" s="30" t="s">
        <v>835</v>
      </c>
      <c r="AD436" t="s">
        <v>836</v>
      </c>
      <c r="AE436" t="s">
        <v>837</v>
      </c>
      <c r="AF436" s="36">
        <v>607459</v>
      </c>
      <c r="AG436" s="36">
        <v>607459</v>
      </c>
      <c r="AH436" s="24"/>
      <c r="AJ436" s="34"/>
      <c r="AK436" t="s">
        <v>923</v>
      </c>
      <c r="AL436" t="s">
        <v>232</v>
      </c>
      <c r="AM436" s="34" t="s">
        <v>925</v>
      </c>
      <c r="AN436" s="34">
        <v>43032</v>
      </c>
      <c r="AO436" s="24">
        <v>10</v>
      </c>
      <c r="AP436" t="s">
        <v>968</v>
      </c>
      <c r="AR436" s="35"/>
      <c r="AS436"/>
      <c r="AT436" s="34"/>
      <c r="AV436" s="34"/>
      <c r="AX436" s="34"/>
      <c r="AY436"/>
      <c r="BA436" s="34"/>
      <c r="BB436"/>
      <c r="BC436" t="s">
        <v>841</v>
      </c>
      <c r="BD436" s="36">
        <v>607459</v>
      </c>
      <c r="BE436" s="36">
        <v>607459</v>
      </c>
      <c r="BF436">
        <v>0</v>
      </c>
      <c r="BG436" s="34">
        <v>43344</v>
      </c>
      <c r="BH436">
        <v>60</v>
      </c>
      <c r="BI436" t="s">
        <v>283</v>
      </c>
      <c r="BJ436" t="s">
        <v>928</v>
      </c>
      <c r="BK436" t="s">
        <v>234</v>
      </c>
      <c r="BL436" t="s">
        <v>194</v>
      </c>
      <c r="BM436" s="8" t="s">
        <v>192</v>
      </c>
      <c r="BN436" t="s">
        <v>189</v>
      </c>
      <c r="BO436" t="s">
        <v>190</v>
      </c>
      <c r="BP436" s="35" t="s">
        <v>726</v>
      </c>
      <c r="BQ436"/>
      <c r="BU436" s="35"/>
      <c r="BV436" s="35"/>
      <c r="BX436"/>
      <c r="CA436" s="35"/>
      <c r="CB436" s="35"/>
      <c r="CC436"/>
      <c r="CG436" s="35"/>
      <c r="CH436" s="35"/>
      <c r="CK436"/>
      <c r="CM436" s="35"/>
      <c r="CN436" s="35"/>
      <c r="CQ436"/>
      <c r="CS436" s="35"/>
      <c r="CT436" s="35"/>
      <c r="CX436"/>
      <c r="CZ436" s="35"/>
      <c r="DD436" s="34"/>
      <c r="DG436" t="s">
        <v>839</v>
      </c>
      <c r="DH436" t="s">
        <v>969</v>
      </c>
      <c r="DI436" t="s">
        <v>233</v>
      </c>
      <c r="DL436" t="s">
        <v>681</v>
      </c>
      <c r="DM436">
        <v>6</v>
      </c>
      <c r="DN436">
        <v>7</v>
      </c>
      <c r="DO436" t="s">
        <v>840</v>
      </c>
      <c r="DQ436" t="s">
        <v>927</v>
      </c>
      <c r="DR436">
        <v>14</v>
      </c>
      <c r="DS436">
        <v>2</v>
      </c>
      <c r="DU436">
        <v>14</v>
      </c>
      <c r="DV436">
        <v>2</v>
      </c>
      <c r="DX436">
        <v>14</v>
      </c>
      <c r="DY436">
        <v>2</v>
      </c>
      <c r="DZ436" t="s">
        <v>246</v>
      </c>
      <c r="EA436" t="s">
        <v>929</v>
      </c>
    </row>
    <row r="437" spans="1:131" x14ac:dyDescent="0.4">
      <c r="A437" s="34">
        <v>43067.305104166669</v>
      </c>
      <c r="B437" s="25">
        <v>42935.69027777778</v>
      </c>
      <c r="D437" s="34"/>
      <c r="E437" s="34" t="s">
        <v>193</v>
      </c>
      <c r="F437" s="34" t="s">
        <v>191</v>
      </c>
      <c r="G437" s="34" t="s">
        <v>100</v>
      </c>
      <c r="H437" t="s">
        <v>279</v>
      </c>
      <c r="I437" t="s">
        <v>243</v>
      </c>
      <c r="J437" t="s">
        <v>712</v>
      </c>
      <c r="K437" t="s">
        <v>713</v>
      </c>
      <c r="L437" t="s">
        <v>711</v>
      </c>
      <c r="M437" s="30">
        <v>2.12</v>
      </c>
      <c r="N437">
        <v>6.5</v>
      </c>
      <c r="P437" s="24" t="str">
        <f>IFERROR(MID(RADataTable[[#This Row],[RATemplate]],1,LEN(RADataTable[[#This Row],[RATemplate]])-8),"RA") &amp; " " &amp; RADataTable[[#This Row],[prop_id0]] &amp; " " &amp; RADataTable[[#This Row],[last0]]</f>
        <v>RA 1751102 Vouga</v>
      </c>
      <c r="T437">
        <v>4</v>
      </c>
      <c r="U437">
        <v>4</v>
      </c>
      <c r="V437" s="34">
        <v>43031.392361111109</v>
      </c>
      <c r="W437">
        <v>1</v>
      </c>
      <c r="X437" s="15" t="str">
        <f>HYPERLINK("https://www.ejacket.nsf.gov/ej/showProposal.do?Continue=Y&amp;ID="&amp;RADataTable[[#This Row],[prop_id0]],"eJ")</f>
        <v>eJ</v>
      </c>
      <c r="Y437" s="15" t="str">
        <f>HYPERLINK("mailto:"&amp;RADataTable[[#This Row],[email]]&amp;"&amp;subject=Your NSF Proposal:  "&amp;RADataTable[[#This Row],[Div]]&amp;" "&amp;RADataTable[[#This Row],[prop_id0]], RADataTable[[#This Row],[email]])</f>
        <v>evouga@cs.utexas.edu</v>
      </c>
      <c r="Z437" s="15" t="str">
        <f>HYPERLINK("mailto:"&amp;RADataTable[[#This Row],[allPIemail]]&amp;"&amp;subject=NSF Proposal:  "&amp;RADataTable[[#This Row],[Div]]&amp;" "&amp;RADataTable[[#This Row],[prop_id0]], "PIs@")</f>
        <v>PIs@</v>
      </c>
      <c r="AA437" t="s">
        <v>245</v>
      </c>
      <c r="AB437" t="s">
        <v>680</v>
      </c>
      <c r="AC437" s="30" t="s">
        <v>830</v>
      </c>
      <c r="AD437" t="s">
        <v>831</v>
      </c>
      <c r="AE437" t="s">
        <v>832</v>
      </c>
      <c r="AF437" s="36">
        <v>523537</v>
      </c>
      <c r="AG437" s="36">
        <v>523537</v>
      </c>
      <c r="AH437" s="24"/>
      <c r="AJ437" s="34"/>
      <c r="AK437" t="s">
        <v>923</v>
      </c>
      <c r="AL437" t="s">
        <v>232</v>
      </c>
      <c r="AM437" s="34" t="s">
        <v>925</v>
      </c>
      <c r="AN437" s="34">
        <v>43032</v>
      </c>
      <c r="AO437" s="24">
        <v>12</v>
      </c>
      <c r="AP437" t="s">
        <v>940</v>
      </c>
      <c r="AR437" s="35"/>
      <c r="AS437"/>
      <c r="AT437" s="34"/>
      <c r="AV437" s="34"/>
      <c r="AX437" s="34"/>
      <c r="AY437"/>
      <c r="BA437" s="34"/>
      <c r="BB437"/>
      <c r="BC437" t="s">
        <v>834</v>
      </c>
      <c r="BD437" s="36">
        <v>523537</v>
      </c>
      <c r="BE437" s="36">
        <v>523537</v>
      </c>
      <c r="BF437">
        <v>0</v>
      </c>
      <c r="BG437" s="34">
        <v>43344</v>
      </c>
      <c r="BH437">
        <v>60</v>
      </c>
      <c r="BI437" t="s">
        <v>283</v>
      </c>
      <c r="BJ437" t="s">
        <v>928</v>
      </c>
      <c r="BK437" t="s">
        <v>234</v>
      </c>
      <c r="BL437" t="s">
        <v>194</v>
      </c>
      <c r="BM437" s="8" t="s">
        <v>192</v>
      </c>
      <c r="BN437" t="s">
        <v>189</v>
      </c>
      <c r="BO437" t="s">
        <v>190</v>
      </c>
      <c r="BP437" s="35" t="s">
        <v>726</v>
      </c>
      <c r="BQ437"/>
      <c r="BU437" s="35"/>
      <c r="BV437" s="35"/>
      <c r="BX437"/>
      <c r="CA437" s="35"/>
      <c r="CB437" s="35"/>
      <c r="CC437"/>
      <c r="CG437" s="35"/>
      <c r="CH437" s="35"/>
      <c r="CK437"/>
      <c r="CM437" s="35"/>
      <c r="CN437" s="35"/>
      <c r="CQ437"/>
      <c r="CS437" s="35"/>
      <c r="CT437" s="35"/>
      <c r="CX437"/>
      <c r="CZ437" s="35"/>
      <c r="DD437" s="34"/>
      <c r="DG437" t="s">
        <v>833</v>
      </c>
      <c r="DH437" t="s">
        <v>967</v>
      </c>
      <c r="DI437" t="s">
        <v>233</v>
      </c>
      <c r="DL437" t="s">
        <v>680</v>
      </c>
      <c r="DM437">
        <v>5</v>
      </c>
      <c r="DN437">
        <v>7</v>
      </c>
      <c r="DO437" t="s">
        <v>750</v>
      </c>
      <c r="DQ437" t="s">
        <v>927</v>
      </c>
      <c r="DR437">
        <v>14</v>
      </c>
      <c r="DS437">
        <v>0</v>
      </c>
      <c r="DU437">
        <v>14</v>
      </c>
      <c r="DV437">
        <v>0</v>
      </c>
      <c r="DX437">
        <v>14</v>
      </c>
      <c r="DY437">
        <v>0</v>
      </c>
      <c r="DZ437" t="s">
        <v>246</v>
      </c>
      <c r="EA437" t="s">
        <v>929</v>
      </c>
    </row>
    <row r="438" spans="1:131" x14ac:dyDescent="0.4">
      <c r="A438" s="34">
        <v>43067.305104166669</v>
      </c>
      <c r="B438" s="25">
        <v>42935.69027777778</v>
      </c>
      <c r="D438" s="34"/>
      <c r="E438" s="34" t="s">
        <v>193</v>
      </c>
      <c r="F438" s="34" t="s">
        <v>191</v>
      </c>
      <c r="G438" s="34" t="s">
        <v>100</v>
      </c>
      <c r="H438" t="s">
        <v>279</v>
      </c>
      <c r="I438" t="s">
        <v>243</v>
      </c>
      <c r="J438" t="s">
        <v>712</v>
      </c>
      <c r="K438" t="s">
        <v>713</v>
      </c>
      <c r="L438" t="s">
        <v>711</v>
      </c>
      <c r="M438" s="30">
        <v>2.12</v>
      </c>
      <c r="N438">
        <v>6.5</v>
      </c>
      <c r="P438" s="24" t="str">
        <f>IFERROR(MID(RADataTable[[#This Row],[RATemplate]],1,LEN(RADataTable[[#This Row],[RATemplate]])-8),"RA") &amp; " " &amp; RADataTable[[#This Row],[prop_id0]] &amp; " " &amp; RADataTable[[#This Row],[last0]]</f>
        <v>RA 1751102 Vouga</v>
      </c>
      <c r="T438">
        <v>4</v>
      </c>
      <c r="U438">
        <v>4</v>
      </c>
      <c r="V438" s="34">
        <v>43031.392361111109</v>
      </c>
      <c r="W438">
        <v>1</v>
      </c>
      <c r="X438" s="15" t="str">
        <f>HYPERLINK("https://www.ejacket.nsf.gov/ej/showProposal.do?Continue=Y&amp;ID="&amp;RADataTable[[#This Row],[prop_id0]],"eJ")</f>
        <v>eJ</v>
      </c>
      <c r="Y438" s="15" t="str">
        <f>HYPERLINK("mailto:"&amp;RADataTable[[#This Row],[email]]&amp;"&amp;subject=Your NSF Proposal:  "&amp;RADataTable[[#This Row],[Div]]&amp;" "&amp;RADataTable[[#This Row],[prop_id0]], RADataTable[[#This Row],[email]])</f>
        <v>evouga@cs.utexas.edu</v>
      </c>
      <c r="Z438" s="15" t="str">
        <f>HYPERLINK("mailto:"&amp;RADataTable[[#This Row],[allPIemail]]&amp;"&amp;subject=NSF Proposal:  "&amp;RADataTable[[#This Row],[Div]]&amp;" "&amp;RADataTable[[#This Row],[prop_id0]], "PIs@")</f>
        <v>PIs@</v>
      </c>
      <c r="AA438" t="s">
        <v>245</v>
      </c>
      <c r="AB438" t="s">
        <v>680</v>
      </c>
      <c r="AC438" s="30" t="s">
        <v>830</v>
      </c>
      <c r="AD438" t="s">
        <v>831</v>
      </c>
      <c r="AE438" t="s">
        <v>832</v>
      </c>
      <c r="AF438" s="36">
        <v>523537</v>
      </c>
      <c r="AG438" s="36">
        <v>523537</v>
      </c>
      <c r="AH438" s="24"/>
      <c r="AJ438" s="34"/>
      <c r="AK438" t="s">
        <v>923</v>
      </c>
      <c r="AL438" t="s">
        <v>232</v>
      </c>
      <c r="AM438" s="34" t="s">
        <v>925</v>
      </c>
      <c r="AN438" s="34">
        <v>43032</v>
      </c>
      <c r="AO438" s="24">
        <v>12</v>
      </c>
      <c r="AP438" t="s">
        <v>940</v>
      </c>
      <c r="AR438" s="35"/>
      <c r="AS438"/>
      <c r="AT438" s="34"/>
      <c r="AV438" s="34"/>
      <c r="AX438" s="34"/>
      <c r="AY438"/>
      <c r="BA438" s="34"/>
      <c r="BB438"/>
      <c r="BC438" t="s">
        <v>834</v>
      </c>
      <c r="BD438" s="36">
        <v>523537</v>
      </c>
      <c r="BE438" s="36">
        <v>523537</v>
      </c>
      <c r="BF438">
        <v>0</v>
      </c>
      <c r="BG438" s="34">
        <v>43344</v>
      </c>
      <c r="BH438">
        <v>60</v>
      </c>
      <c r="BI438" t="s">
        <v>283</v>
      </c>
      <c r="BJ438" t="s">
        <v>928</v>
      </c>
      <c r="BK438" t="s">
        <v>234</v>
      </c>
      <c r="BL438" t="s">
        <v>194</v>
      </c>
      <c r="BM438" s="8" t="s">
        <v>192</v>
      </c>
      <c r="BN438" t="s">
        <v>189</v>
      </c>
      <c r="BO438" t="s">
        <v>190</v>
      </c>
      <c r="BP438" s="35" t="s">
        <v>726</v>
      </c>
      <c r="BQ438"/>
      <c r="BU438" s="35"/>
      <c r="BV438" s="35"/>
      <c r="BX438"/>
      <c r="CA438" s="35"/>
      <c r="CB438" s="35"/>
      <c r="CC438"/>
      <c r="CG438" s="35"/>
      <c r="CH438" s="35"/>
      <c r="CK438"/>
      <c r="CM438" s="35"/>
      <c r="CN438" s="35"/>
      <c r="CQ438"/>
      <c r="CS438" s="35"/>
      <c r="CT438" s="35"/>
      <c r="CX438"/>
      <c r="CZ438" s="35"/>
      <c r="DD438" s="34"/>
      <c r="DG438" t="s">
        <v>833</v>
      </c>
      <c r="DH438" t="s">
        <v>967</v>
      </c>
      <c r="DI438" t="s">
        <v>233</v>
      </c>
      <c r="DL438" t="s">
        <v>680</v>
      </c>
      <c r="DM438">
        <v>5</v>
      </c>
      <c r="DN438">
        <v>7</v>
      </c>
      <c r="DO438" t="s">
        <v>750</v>
      </c>
      <c r="DQ438" t="s">
        <v>927</v>
      </c>
      <c r="DR438">
        <v>14</v>
      </c>
      <c r="DS438">
        <v>0</v>
      </c>
      <c r="DU438">
        <v>14</v>
      </c>
      <c r="DV438">
        <v>0</v>
      </c>
      <c r="DX438">
        <v>14</v>
      </c>
      <c r="DY438">
        <v>0</v>
      </c>
      <c r="DZ438" t="s">
        <v>246</v>
      </c>
      <c r="EA438" t="s">
        <v>929</v>
      </c>
    </row>
    <row r="439" spans="1:131" x14ac:dyDescent="0.4">
      <c r="A439" s="34">
        <v>43067.305104166669</v>
      </c>
      <c r="B439" s="25">
        <v>42935.69027777778</v>
      </c>
      <c r="D439" s="34"/>
      <c r="E439" s="34" t="s">
        <v>193</v>
      </c>
      <c r="F439" s="34" t="s">
        <v>191</v>
      </c>
      <c r="G439" s="34" t="s">
        <v>100</v>
      </c>
      <c r="H439" t="s">
        <v>279</v>
      </c>
      <c r="I439" t="s">
        <v>243</v>
      </c>
      <c r="J439" t="s">
        <v>712</v>
      </c>
      <c r="K439" t="s">
        <v>713</v>
      </c>
      <c r="L439" t="s">
        <v>711</v>
      </c>
      <c r="M439" s="30">
        <v>2.12</v>
      </c>
      <c r="N439">
        <v>6.5</v>
      </c>
      <c r="P439" s="24" t="str">
        <f>IFERROR(MID(RADataTable[[#This Row],[RATemplate]],1,LEN(RADataTable[[#This Row],[RATemplate]])-8),"RA") &amp; " " &amp; RADataTable[[#This Row],[prop_id0]] &amp; " " &amp; RADataTable[[#This Row],[last0]]</f>
        <v>RA 1751102 Vouga</v>
      </c>
      <c r="T439">
        <v>4</v>
      </c>
      <c r="U439">
        <v>4</v>
      </c>
      <c r="V439" s="34">
        <v>43031.392361111109</v>
      </c>
      <c r="W439">
        <v>1</v>
      </c>
      <c r="X439" s="15" t="str">
        <f>HYPERLINK("https://www.ejacket.nsf.gov/ej/showProposal.do?Continue=Y&amp;ID="&amp;RADataTable[[#This Row],[prop_id0]],"eJ")</f>
        <v>eJ</v>
      </c>
      <c r="Y439" s="15" t="str">
        <f>HYPERLINK("mailto:"&amp;RADataTable[[#This Row],[email]]&amp;"&amp;subject=Your NSF Proposal:  "&amp;RADataTable[[#This Row],[Div]]&amp;" "&amp;RADataTable[[#This Row],[prop_id0]], RADataTable[[#This Row],[email]])</f>
        <v>evouga@cs.utexas.edu</v>
      </c>
      <c r="Z439" s="15" t="str">
        <f>HYPERLINK("mailto:"&amp;RADataTable[[#This Row],[allPIemail]]&amp;"&amp;subject=NSF Proposal:  "&amp;RADataTable[[#This Row],[Div]]&amp;" "&amp;RADataTable[[#This Row],[prop_id0]], "PIs@")</f>
        <v>PIs@</v>
      </c>
      <c r="AA439" t="s">
        <v>245</v>
      </c>
      <c r="AB439" t="s">
        <v>680</v>
      </c>
      <c r="AC439" s="30" t="s">
        <v>830</v>
      </c>
      <c r="AD439" t="s">
        <v>831</v>
      </c>
      <c r="AE439" t="s">
        <v>832</v>
      </c>
      <c r="AF439" s="36">
        <v>523537</v>
      </c>
      <c r="AG439" s="36">
        <v>523537</v>
      </c>
      <c r="AH439" s="24"/>
      <c r="AJ439" s="34"/>
      <c r="AK439" t="s">
        <v>923</v>
      </c>
      <c r="AL439" t="s">
        <v>232</v>
      </c>
      <c r="AM439" s="34" t="s">
        <v>925</v>
      </c>
      <c r="AN439" s="34">
        <v>43032</v>
      </c>
      <c r="AO439" s="24">
        <v>12</v>
      </c>
      <c r="AP439" t="s">
        <v>940</v>
      </c>
      <c r="AR439" s="35"/>
      <c r="AS439"/>
      <c r="AT439" s="34"/>
      <c r="AV439" s="34"/>
      <c r="AX439" s="34"/>
      <c r="AY439"/>
      <c r="BA439" s="34"/>
      <c r="BB439"/>
      <c r="BC439" t="s">
        <v>834</v>
      </c>
      <c r="BD439" s="36">
        <v>523537</v>
      </c>
      <c r="BE439" s="36">
        <v>523537</v>
      </c>
      <c r="BF439">
        <v>0</v>
      </c>
      <c r="BG439" s="34">
        <v>43344</v>
      </c>
      <c r="BH439">
        <v>60</v>
      </c>
      <c r="BI439" t="s">
        <v>283</v>
      </c>
      <c r="BJ439" t="s">
        <v>928</v>
      </c>
      <c r="BK439" t="s">
        <v>234</v>
      </c>
      <c r="BL439" t="s">
        <v>194</v>
      </c>
      <c r="BM439" s="8" t="s">
        <v>192</v>
      </c>
      <c r="BN439" t="s">
        <v>189</v>
      </c>
      <c r="BO439" t="s">
        <v>190</v>
      </c>
      <c r="BP439" s="35" t="s">
        <v>726</v>
      </c>
      <c r="BQ439"/>
      <c r="BU439" s="35"/>
      <c r="BV439" s="35"/>
      <c r="BX439"/>
      <c r="CA439" s="35"/>
      <c r="CB439" s="35"/>
      <c r="CC439"/>
      <c r="CG439" s="35"/>
      <c r="CH439" s="35"/>
      <c r="CK439"/>
      <c r="CM439" s="35"/>
      <c r="CN439" s="35"/>
      <c r="CQ439"/>
      <c r="CS439" s="35"/>
      <c r="CT439" s="35"/>
      <c r="CX439"/>
      <c r="CZ439" s="35"/>
      <c r="DD439" s="34"/>
      <c r="DG439" t="s">
        <v>833</v>
      </c>
      <c r="DH439" t="s">
        <v>967</v>
      </c>
      <c r="DI439" t="s">
        <v>233</v>
      </c>
      <c r="DL439" t="s">
        <v>680</v>
      </c>
      <c r="DM439">
        <v>5</v>
      </c>
      <c r="DN439">
        <v>7</v>
      </c>
      <c r="DO439" t="s">
        <v>750</v>
      </c>
      <c r="DQ439" t="s">
        <v>927</v>
      </c>
      <c r="DR439">
        <v>14</v>
      </c>
      <c r="DS439">
        <v>0</v>
      </c>
      <c r="DU439">
        <v>14</v>
      </c>
      <c r="DV439">
        <v>0</v>
      </c>
      <c r="DX439">
        <v>14</v>
      </c>
      <c r="DY439">
        <v>0</v>
      </c>
      <c r="DZ439" t="s">
        <v>246</v>
      </c>
      <c r="EA439" t="s">
        <v>929</v>
      </c>
    </row>
    <row r="440" spans="1:131" x14ac:dyDescent="0.4">
      <c r="A440" s="34">
        <v>43067.305104166669</v>
      </c>
      <c r="B440" s="25">
        <v>42935.69027777778</v>
      </c>
      <c r="D440" s="34"/>
      <c r="E440" s="34" t="s">
        <v>193</v>
      </c>
      <c r="F440" s="34" t="s">
        <v>191</v>
      </c>
      <c r="G440" s="34" t="s">
        <v>100</v>
      </c>
      <c r="H440" t="s">
        <v>279</v>
      </c>
      <c r="I440" t="s">
        <v>243</v>
      </c>
      <c r="J440" t="s">
        <v>712</v>
      </c>
      <c r="K440" t="s">
        <v>713</v>
      </c>
      <c r="L440" t="s">
        <v>711</v>
      </c>
      <c r="M440" s="30">
        <v>2.12</v>
      </c>
      <c r="N440">
        <v>6.5</v>
      </c>
      <c r="P440" s="24" t="str">
        <f>IFERROR(MID(RADataTable[[#This Row],[RATemplate]],1,LEN(RADataTable[[#This Row],[RATemplate]])-8),"RA") &amp; " " &amp; RADataTable[[#This Row],[prop_id0]] &amp; " " &amp; RADataTable[[#This Row],[last0]]</f>
        <v>RA 1751102 Vouga</v>
      </c>
      <c r="T440">
        <v>4</v>
      </c>
      <c r="U440">
        <v>4</v>
      </c>
      <c r="V440" s="34">
        <v>43031.392361111109</v>
      </c>
      <c r="W440">
        <v>1</v>
      </c>
      <c r="X440" s="15" t="str">
        <f>HYPERLINK("https://www.ejacket.nsf.gov/ej/showProposal.do?Continue=Y&amp;ID="&amp;RADataTable[[#This Row],[prop_id0]],"eJ")</f>
        <v>eJ</v>
      </c>
      <c r="Y440" s="15" t="str">
        <f>HYPERLINK("mailto:"&amp;RADataTable[[#This Row],[email]]&amp;"&amp;subject=Your NSF Proposal:  "&amp;RADataTable[[#This Row],[Div]]&amp;" "&amp;RADataTable[[#This Row],[prop_id0]], RADataTable[[#This Row],[email]])</f>
        <v>evouga@cs.utexas.edu</v>
      </c>
      <c r="Z440" s="15" t="str">
        <f>HYPERLINK("mailto:"&amp;RADataTable[[#This Row],[allPIemail]]&amp;"&amp;subject=NSF Proposal:  "&amp;RADataTable[[#This Row],[Div]]&amp;" "&amp;RADataTable[[#This Row],[prop_id0]], "PIs@")</f>
        <v>PIs@</v>
      </c>
      <c r="AA440" t="s">
        <v>245</v>
      </c>
      <c r="AB440" t="s">
        <v>680</v>
      </c>
      <c r="AC440" s="30" t="s">
        <v>830</v>
      </c>
      <c r="AD440" t="s">
        <v>831</v>
      </c>
      <c r="AE440" t="s">
        <v>832</v>
      </c>
      <c r="AF440" s="36">
        <v>523537</v>
      </c>
      <c r="AG440" s="36">
        <v>523537</v>
      </c>
      <c r="AH440" s="24"/>
      <c r="AJ440" s="34"/>
      <c r="AK440" t="s">
        <v>923</v>
      </c>
      <c r="AL440" t="s">
        <v>232</v>
      </c>
      <c r="AM440" s="34" t="s">
        <v>925</v>
      </c>
      <c r="AN440" s="34">
        <v>43032</v>
      </c>
      <c r="AO440" s="24">
        <v>12</v>
      </c>
      <c r="AP440" t="s">
        <v>940</v>
      </c>
      <c r="AR440" s="35"/>
      <c r="AS440"/>
      <c r="AT440" s="34"/>
      <c r="AV440" s="34"/>
      <c r="AX440" s="34"/>
      <c r="AY440"/>
      <c r="BA440" s="34"/>
      <c r="BB440"/>
      <c r="BC440" t="s">
        <v>834</v>
      </c>
      <c r="BD440" s="36">
        <v>523537</v>
      </c>
      <c r="BE440" s="36">
        <v>523537</v>
      </c>
      <c r="BF440">
        <v>0</v>
      </c>
      <c r="BG440" s="34">
        <v>43344</v>
      </c>
      <c r="BH440">
        <v>60</v>
      </c>
      <c r="BI440" t="s">
        <v>283</v>
      </c>
      <c r="BJ440" t="s">
        <v>928</v>
      </c>
      <c r="BK440" t="s">
        <v>234</v>
      </c>
      <c r="BL440" t="s">
        <v>194</v>
      </c>
      <c r="BM440" s="8" t="s">
        <v>192</v>
      </c>
      <c r="BN440" t="s">
        <v>189</v>
      </c>
      <c r="BO440" t="s">
        <v>190</v>
      </c>
      <c r="BP440" s="35" t="s">
        <v>726</v>
      </c>
      <c r="BQ440"/>
      <c r="BU440" s="35"/>
      <c r="BV440" s="35"/>
      <c r="BX440"/>
      <c r="CA440" s="35"/>
      <c r="CB440" s="35"/>
      <c r="CC440"/>
      <c r="CG440" s="35"/>
      <c r="CH440" s="35"/>
      <c r="CK440"/>
      <c r="CM440" s="35"/>
      <c r="CN440" s="35"/>
      <c r="CQ440"/>
      <c r="CS440" s="35"/>
      <c r="CT440" s="35"/>
      <c r="CX440"/>
      <c r="CZ440" s="35"/>
      <c r="DD440" s="34"/>
      <c r="DG440" t="s">
        <v>833</v>
      </c>
      <c r="DH440" t="s">
        <v>967</v>
      </c>
      <c r="DI440" t="s">
        <v>233</v>
      </c>
      <c r="DL440" t="s">
        <v>680</v>
      </c>
      <c r="DM440">
        <v>5</v>
      </c>
      <c r="DN440">
        <v>7</v>
      </c>
      <c r="DO440" t="s">
        <v>750</v>
      </c>
      <c r="DQ440" t="s">
        <v>927</v>
      </c>
      <c r="DR440">
        <v>14</v>
      </c>
      <c r="DS440">
        <v>0</v>
      </c>
      <c r="DU440">
        <v>14</v>
      </c>
      <c r="DV440">
        <v>0</v>
      </c>
      <c r="DX440">
        <v>14</v>
      </c>
      <c r="DY440">
        <v>0</v>
      </c>
      <c r="DZ440" t="s">
        <v>246</v>
      </c>
      <c r="EA440" t="s">
        <v>929</v>
      </c>
    </row>
    <row r="441" spans="1:131" x14ac:dyDescent="0.4">
      <c r="A441" s="34">
        <v>43067.305104166669</v>
      </c>
      <c r="B441" s="25">
        <v>42935.69027777778</v>
      </c>
      <c r="D441" s="34"/>
      <c r="E441" s="34" t="s">
        <v>193</v>
      </c>
      <c r="F441" s="34" t="s">
        <v>191</v>
      </c>
      <c r="G441" s="34" t="s">
        <v>100</v>
      </c>
      <c r="H441" t="s">
        <v>279</v>
      </c>
      <c r="I441" t="s">
        <v>243</v>
      </c>
      <c r="J441" t="s">
        <v>712</v>
      </c>
      <c r="K441" t="s">
        <v>713</v>
      </c>
      <c r="L441" t="s">
        <v>711</v>
      </c>
      <c r="M441" s="30">
        <v>2.12</v>
      </c>
      <c r="N441">
        <v>6.5</v>
      </c>
      <c r="P441" s="24" t="str">
        <f>IFERROR(MID(RADataTable[[#This Row],[RATemplate]],1,LEN(RADataTable[[#This Row],[RATemplate]])-8),"RA") &amp; " " &amp; RADataTable[[#This Row],[prop_id0]] &amp; " " &amp; RADataTable[[#This Row],[last0]]</f>
        <v>RA 1751102 Vouga</v>
      </c>
      <c r="T441">
        <v>4</v>
      </c>
      <c r="U441">
        <v>4</v>
      </c>
      <c r="V441" s="34">
        <v>43031.392361111109</v>
      </c>
      <c r="W441">
        <v>1</v>
      </c>
      <c r="X441" s="15" t="str">
        <f>HYPERLINK("https://www.ejacket.nsf.gov/ej/showProposal.do?Continue=Y&amp;ID="&amp;RADataTable[[#This Row],[prop_id0]],"eJ")</f>
        <v>eJ</v>
      </c>
      <c r="Y441" s="15" t="str">
        <f>HYPERLINK("mailto:"&amp;RADataTable[[#This Row],[email]]&amp;"&amp;subject=Your NSF Proposal:  "&amp;RADataTable[[#This Row],[Div]]&amp;" "&amp;RADataTable[[#This Row],[prop_id0]], RADataTable[[#This Row],[email]])</f>
        <v>evouga@cs.utexas.edu</v>
      </c>
      <c r="Z441" s="15" t="str">
        <f>HYPERLINK("mailto:"&amp;RADataTable[[#This Row],[allPIemail]]&amp;"&amp;subject=NSF Proposal:  "&amp;RADataTable[[#This Row],[Div]]&amp;" "&amp;RADataTable[[#This Row],[prop_id0]], "PIs@")</f>
        <v>PIs@</v>
      </c>
      <c r="AA441" t="s">
        <v>245</v>
      </c>
      <c r="AB441" t="s">
        <v>680</v>
      </c>
      <c r="AC441" s="30" t="s">
        <v>830</v>
      </c>
      <c r="AD441" t="s">
        <v>831</v>
      </c>
      <c r="AE441" t="s">
        <v>832</v>
      </c>
      <c r="AF441" s="36">
        <v>523537</v>
      </c>
      <c r="AG441" s="36">
        <v>523537</v>
      </c>
      <c r="AH441" s="24"/>
      <c r="AJ441" s="34"/>
      <c r="AK441" t="s">
        <v>923</v>
      </c>
      <c r="AL441" t="s">
        <v>232</v>
      </c>
      <c r="AM441" s="34" t="s">
        <v>925</v>
      </c>
      <c r="AN441" s="34">
        <v>43032</v>
      </c>
      <c r="AO441" s="24">
        <v>12</v>
      </c>
      <c r="AP441" t="s">
        <v>940</v>
      </c>
      <c r="AR441" s="35"/>
      <c r="AS441"/>
      <c r="AT441" s="34"/>
      <c r="AV441" s="34"/>
      <c r="AX441" s="34"/>
      <c r="AY441"/>
      <c r="BA441" s="34"/>
      <c r="BB441"/>
      <c r="BC441" t="s">
        <v>834</v>
      </c>
      <c r="BD441" s="36">
        <v>523537</v>
      </c>
      <c r="BE441" s="36">
        <v>523537</v>
      </c>
      <c r="BF441">
        <v>0</v>
      </c>
      <c r="BG441" s="34">
        <v>43344</v>
      </c>
      <c r="BH441">
        <v>60</v>
      </c>
      <c r="BI441" t="s">
        <v>283</v>
      </c>
      <c r="BJ441" t="s">
        <v>928</v>
      </c>
      <c r="BK441" t="s">
        <v>234</v>
      </c>
      <c r="BL441" t="s">
        <v>194</v>
      </c>
      <c r="BM441" s="8" t="s">
        <v>192</v>
      </c>
      <c r="BN441" t="s">
        <v>189</v>
      </c>
      <c r="BO441" t="s">
        <v>190</v>
      </c>
      <c r="BP441" s="35" t="s">
        <v>726</v>
      </c>
      <c r="BQ441"/>
      <c r="BU441" s="35"/>
      <c r="BV441" s="35"/>
      <c r="BX441"/>
      <c r="CA441" s="35"/>
      <c r="CB441" s="35"/>
      <c r="CC441"/>
      <c r="CG441" s="35"/>
      <c r="CH441" s="35"/>
      <c r="CK441"/>
      <c r="CM441" s="35"/>
      <c r="CN441" s="35"/>
      <c r="CQ441"/>
      <c r="CS441" s="35"/>
      <c r="CT441" s="35"/>
      <c r="CX441"/>
      <c r="CZ441" s="35"/>
      <c r="DD441" s="34"/>
      <c r="DG441" t="s">
        <v>833</v>
      </c>
      <c r="DH441" t="s">
        <v>967</v>
      </c>
      <c r="DI441" t="s">
        <v>233</v>
      </c>
      <c r="DL441" t="s">
        <v>680</v>
      </c>
      <c r="DM441">
        <v>5</v>
      </c>
      <c r="DN441">
        <v>7</v>
      </c>
      <c r="DO441" t="s">
        <v>750</v>
      </c>
      <c r="DQ441" t="s">
        <v>927</v>
      </c>
      <c r="DR441">
        <v>14</v>
      </c>
      <c r="DS441">
        <v>0</v>
      </c>
      <c r="DU441">
        <v>14</v>
      </c>
      <c r="DV441">
        <v>0</v>
      </c>
      <c r="DX441">
        <v>14</v>
      </c>
      <c r="DY441">
        <v>0</v>
      </c>
      <c r="DZ441" t="s">
        <v>246</v>
      </c>
      <c r="EA441" t="s">
        <v>929</v>
      </c>
    </row>
    <row r="442" spans="1:131" x14ac:dyDescent="0.4">
      <c r="A442" s="34">
        <v>43067.305104166669</v>
      </c>
      <c r="B442" s="25">
        <v>42935.69027777778</v>
      </c>
      <c r="D442" s="34"/>
      <c r="E442" s="34" t="s">
        <v>193</v>
      </c>
      <c r="F442" s="34" t="s">
        <v>191</v>
      </c>
      <c r="G442" s="34" t="s">
        <v>100</v>
      </c>
      <c r="H442" t="s">
        <v>279</v>
      </c>
      <c r="I442" t="s">
        <v>243</v>
      </c>
      <c r="J442" t="s">
        <v>712</v>
      </c>
      <c r="K442" t="s">
        <v>713</v>
      </c>
      <c r="L442" t="s">
        <v>711</v>
      </c>
      <c r="M442" s="30">
        <v>2.12</v>
      </c>
      <c r="N442">
        <v>6.5</v>
      </c>
      <c r="P442" s="24" t="str">
        <f>IFERROR(MID(RADataTable[[#This Row],[RATemplate]],1,LEN(RADataTable[[#This Row],[RATemplate]])-8),"RA") &amp; " " &amp; RADataTable[[#This Row],[prop_id0]] &amp; " " &amp; RADataTable[[#This Row],[last0]]</f>
        <v>RA 1751102 Vouga</v>
      </c>
      <c r="T442">
        <v>4</v>
      </c>
      <c r="U442">
        <v>4</v>
      </c>
      <c r="V442" s="34">
        <v>43031.392361111109</v>
      </c>
      <c r="W442">
        <v>1</v>
      </c>
      <c r="X442" s="15" t="str">
        <f>HYPERLINK("https://www.ejacket.nsf.gov/ej/showProposal.do?Continue=Y&amp;ID="&amp;RADataTable[[#This Row],[prop_id0]],"eJ")</f>
        <v>eJ</v>
      </c>
      <c r="Y442" s="15" t="str">
        <f>HYPERLINK("mailto:"&amp;RADataTable[[#This Row],[email]]&amp;"&amp;subject=Your NSF Proposal:  "&amp;RADataTable[[#This Row],[Div]]&amp;" "&amp;RADataTable[[#This Row],[prop_id0]], RADataTable[[#This Row],[email]])</f>
        <v>evouga@cs.utexas.edu</v>
      </c>
      <c r="Z442" s="15" t="str">
        <f>HYPERLINK("mailto:"&amp;RADataTable[[#This Row],[allPIemail]]&amp;"&amp;subject=NSF Proposal:  "&amp;RADataTable[[#This Row],[Div]]&amp;" "&amp;RADataTable[[#This Row],[prop_id0]], "PIs@")</f>
        <v>PIs@</v>
      </c>
      <c r="AA442" t="s">
        <v>245</v>
      </c>
      <c r="AB442" t="s">
        <v>680</v>
      </c>
      <c r="AC442" s="30" t="s">
        <v>830</v>
      </c>
      <c r="AD442" t="s">
        <v>831</v>
      </c>
      <c r="AE442" t="s">
        <v>832</v>
      </c>
      <c r="AF442" s="36">
        <v>523537</v>
      </c>
      <c r="AG442" s="36">
        <v>523537</v>
      </c>
      <c r="AH442" s="24"/>
      <c r="AJ442" s="34"/>
      <c r="AK442" t="s">
        <v>923</v>
      </c>
      <c r="AL442" t="s">
        <v>232</v>
      </c>
      <c r="AM442" s="34" t="s">
        <v>925</v>
      </c>
      <c r="AN442" s="34">
        <v>43032</v>
      </c>
      <c r="AO442" s="24">
        <v>12</v>
      </c>
      <c r="AP442" t="s">
        <v>940</v>
      </c>
      <c r="AR442" s="35"/>
      <c r="AS442"/>
      <c r="AT442" s="34"/>
      <c r="AV442" s="34"/>
      <c r="AX442" s="34"/>
      <c r="AY442"/>
      <c r="BA442" s="34"/>
      <c r="BB442"/>
      <c r="BC442" t="s">
        <v>834</v>
      </c>
      <c r="BD442" s="36">
        <v>523537</v>
      </c>
      <c r="BE442" s="36">
        <v>523537</v>
      </c>
      <c r="BF442">
        <v>0</v>
      </c>
      <c r="BG442" s="34">
        <v>43344</v>
      </c>
      <c r="BH442">
        <v>60</v>
      </c>
      <c r="BI442" t="s">
        <v>283</v>
      </c>
      <c r="BJ442" t="s">
        <v>928</v>
      </c>
      <c r="BK442" t="s">
        <v>234</v>
      </c>
      <c r="BL442" t="s">
        <v>194</v>
      </c>
      <c r="BM442" s="8" t="s">
        <v>192</v>
      </c>
      <c r="BN442" t="s">
        <v>189</v>
      </c>
      <c r="BO442" t="s">
        <v>190</v>
      </c>
      <c r="BP442" s="35" t="s">
        <v>726</v>
      </c>
      <c r="BQ442"/>
      <c r="BU442" s="35"/>
      <c r="BV442" s="35"/>
      <c r="BX442"/>
      <c r="CA442" s="35"/>
      <c r="CB442" s="35"/>
      <c r="CC442"/>
      <c r="CG442" s="35"/>
      <c r="CH442" s="35"/>
      <c r="CK442"/>
      <c r="CM442" s="35"/>
      <c r="CN442" s="35"/>
      <c r="CQ442"/>
      <c r="CS442" s="35"/>
      <c r="CT442" s="35"/>
      <c r="CX442"/>
      <c r="CZ442" s="35"/>
      <c r="DD442" s="34"/>
      <c r="DG442" t="s">
        <v>833</v>
      </c>
      <c r="DH442" t="s">
        <v>967</v>
      </c>
      <c r="DI442" t="s">
        <v>233</v>
      </c>
      <c r="DL442" t="s">
        <v>680</v>
      </c>
      <c r="DM442">
        <v>5</v>
      </c>
      <c r="DN442">
        <v>7</v>
      </c>
      <c r="DO442" t="s">
        <v>750</v>
      </c>
      <c r="DQ442" t="s">
        <v>927</v>
      </c>
      <c r="DR442">
        <v>14</v>
      </c>
      <c r="DS442">
        <v>0</v>
      </c>
      <c r="DU442">
        <v>14</v>
      </c>
      <c r="DV442">
        <v>0</v>
      </c>
      <c r="DX442">
        <v>14</v>
      </c>
      <c r="DY442">
        <v>0</v>
      </c>
      <c r="DZ442" t="s">
        <v>246</v>
      </c>
      <c r="EA442" t="s">
        <v>929</v>
      </c>
    </row>
    <row r="443" spans="1:131" x14ac:dyDescent="0.4">
      <c r="A443" s="34">
        <v>43067.305104166669</v>
      </c>
      <c r="B443" s="25">
        <v>42935.69027777778</v>
      </c>
      <c r="D443" s="34"/>
      <c r="E443" s="34" t="s">
        <v>193</v>
      </c>
      <c r="F443" s="34" t="s">
        <v>191</v>
      </c>
      <c r="G443" s="34" t="s">
        <v>100</v>
      </c>
      <c r="H443" t="s">
        <v>279</v>
      </c>
      <c r="I443" t="s">
        <v>243</v>
      </c>
      <c r="J443" t="s">
        <v>712</v>
      </c>
      <c r="K443" t="s">
        <v>713</v>
      </c>
      <c r="L443" t="s">
        <v>711</v>
      </c>
      <c r="M443" s="30">
        <v>2.12</v>
      </c>
      <c r="N443">
        <v>6.5</v>
      </c>
      <c r="P443" s="24" t="str">
        <f>IFERROR(MID(RADataTable[[#This Row],[RATemplate]],1,LEN(RADataTable[[#This Row],[RATemplate]])-8),"RA") &amp; " " &amp; RADataTable[[#This Row],[prop_id0]] &amp; " " &amp; RADataTable[[#This Row],[last0]]</f>
        <v>RA 1751102 Vouga</v>
      </c>
      <c r="T443">
        <v>4</v>
      </c>
      <c r="U443">
        <v>4</v>
      </c>
      <c r="V443" s="34">
        <v>43031.392361111109</v>
      </c>
      <c r="W443">
        <v>1</v>
      </c>
      <c r="X443" s="15" t="str">
        <f>HYPERLINK("https://www.ejacket.nsf.gov/ej/showProposal.do?Continue=Y&amp;ID="&amp;RADataTable[[#This Row],[prop_id0]],"eJ")</f>
        <v>eJ</v>
      </c>
      <c r="Y443" s="15" t="str">
        <f>HYPERLINK("mailto:"&amp;RADataTable[[#This Row],[email]]&amp;"&amp;subject=Your NSF Proposal:  "&amp;RADataTable[[#This Row],[Div]]&amp;" "&amp;RADataTable[[#This Row],[prop_id0]], RADataTable[[#This Row],[email]])</f>
        <v>evouga@cs.utexas.edu</v>
      </c>
      <c r="Z443" s="15" t="str">
        <f>HYPERLINK("mailto:"&amp;RADataTable[[#This Row],[allPIemail]]&amp;"&amp;subject=NSF Proposal:  "&amp;RADataTable[[#This Row],[Div]]&amp;" "&amp;RADataTable[[#This Row],[prop_id0]], "PIs@")</f>
        <v>PIs@</v>
      </c>
      <c r="AA443" t="s">
        <v>245</v>
      </c>
      <c r="AB443" t="s">
        <v>680</v>
      </c>
      <c r="AC443" s="30" t="s">
        <v>830</v>
      </c>
      <c r="AD443" t="s">
        <v>831</v>
      </c>
      <c r="AE443" t="s">
        <v>832</v>
      </c>
      <c r="AF443" s="36">
        <v>523537</v>
      </c>
      <c r="AG443" s="36">
        <v>523537</v>
      </c>
      <c r="AH443" s="24"/>
      <c r="AJ443" s="34"/>
      <c r="AK443" t="s">
        <v>923</v>
      </c>
      <c r="AL443" t="s">
        <v>232</v>
      </c>
      <c r="AM443" s="34" t="s">
        <v>925</v>
      </c>
      <c r="AN443" s="34">
        <v>43032</v>
      </c>
      <c r="AO443" s="24">
        <v>12</v>
      </c>
      <c r="AP443" t="s">
        <v>940</v>
      </c>
      <c r="AR443" s="35"/>
      <c r="AS443"/>
      <c r="AT443" s="34"/>
      <c r="AV443" s="34"/>
      <c r="AX443" s="34"/>
      <c r="AY443"/>
      <c r="BA443" s="34"/>
      <c r="BB443"/>
      <c r="BC443" t="s">
        <v>834</v>
      </c>
      <c r="BD443" s="36">
        <v>523537</v>
      </c>
      <c r="BE443" s="36">
        <v>523537</v>
      </c>
      <c r="BF443">
        <v>0</v>
      </c>
      <c r="BG443" s="34">
        <v>43344</v>
      </c>
      <c r="BH443">
        <v>60</v>
      </c>
      <c r="BI443" t="s">
        <v>283</v>
      </c>
      <c r="BJ443" t="s">
        <v>928</v>
      </c>
      <c r="BK443" t="s">
        <v>234</v>
      </c>
      <c r="BL443" t="s">
        <v>194</v>
      </c>
      <c r="BM443" s="8" t="s">
        <v>192</v>
      </c>
      <c r="BN443" t="s">
        <v>189</v>
      </c>
      <c r="BO443" t="s">
        <v>190</v>
      </c>
      <c r="BP443" s="35" t="s">
        <v>726</v>
      </c>
      <c r="BQ443"/>
      <c r="BU443" s="35"/>
      <c r="BV443" s="35"/>
      <c r="BX443"/>
      <c r="CA443" s="35"/>
      <c r="CB443" s="35"/>
      <c r="CC443"/>
      <c r="CG443" s="35"/>
      <c r="CH443" s="35"/>
      <c r="CK443"/>
      <c r="CM443" s="35"/>
      <c r="CN443" s="35"/>
      <c r="CQ443"/>
      <c r="CS443" s="35"/>
      <c r="CT443" s="35"/>
      <c r="CX443"/>
      <c r="CZ443" s="35"/>
      <c r="DD443" s="34"/>
      <c r="DG443" t="s">
        <v>833</v>
      </c>
      <c r="DH443" t="s">
        <v>967</v>
      </c>
      <c r="DI443" t="s">
        <v>233</v>
      </c>
      <c r="DL443" t="s">
        <v>680</v>
      </c>
      <c r="DM443">
        <v>5</v>
      </c>
      <c r="DN443">
        <v>7</v>
      </c>
      <c r="DO443" t="s">
        <v>750</v>
      </c>
      <c r="DQ443" t="s">
        <v>927</v>
      </c>
      <c r="DR443">
        <v>14</v>
      </c>
      <c r="DS443">
        <v>0</v>
      </c>
      <c r="DU443">
        <v>14</v>
      </c>
      <c r="DV443">
        <v>0</v>
      </c>
      <c r="DX443">
        <v>14</v>
      </c>
      <c r="DY443">
        <v>0</v>
      </c>
      <c r="DZ443" t="s">
        <v>246</v>
      </c>
      <c r="EA443" t="s">
        <v>929</v>
      </c>
    </row>
    <row r="444" spans="1:131" x14ac:dyDescent="0.4">
      <c r="A444" s="34">
        <v>43067.305104166669</v>
      </c>
      <c r="B444" s="25">
        <v>42935.69027777778</v>
      </c>
      <c r="D444" s="34"/>
      <c r="E444" s="34" t="s">
        <v>193</v>
      </c>
      <c r="F444" s="34" t="s">
        <v>191</v>
      </c>
      <c r="G444" s="34" t="s">
        <v>100</v>
      </c>
      <c r="H444" t="s">
        <v>279</v>
      </c>
      <c r="I444" t="s">
        <v>243</v>
      </c>
      <c r="J444" t="s">
        <v>712</v>
      </c>
      <c r="K444" t="s">
        <v>713</v>
      </c>
      <c r="L444" t="s">
        <v>711</v>
      </c>
      <c r="M444" s="30">
        <v>2.12</v>
      </c>
      <c r="N444">
        <v>6.5</v>
      </c>
      <c r="P444" s="24" t="str">
        <f>IFERROR(MID(RADataTable[[#This Row],[RATemplate]],1,LEN(RADataTable[[#This Row],[RATemplate]])-8),"RA") &amp; " " &amp; RADataTable[[#This Row],[prop_id0]] &amp; " " &amp; RADataTable[[#This Row],[last0]]</f>
        <v>RA 1751102 Vouga</v>
      </c>
      <c r="T444">
        <v>4</v>
      </c>
      <c r="U444">
        <v>4</v>
      </c>
      <c r="V444" s="34">
        <v>43031.392361111109</v>
      </c>
      <c r="W444">
        <v>1</v>
      </c>
      <c r="X444" s="15" t="str">
        <f>HYPERLINK("https://www.ejacket.nsf.gov/ej/showProposal.do?Continue=Y&amp;ID="&amp;RADataTable[[#This Row],[prop_id0]],"eJ")</f>
        <v>eJ</v>
      </c>
      <c r="Y444" s="15" t="str">
        <f>HYPERLINK("mailto:"&amp;RADataTable[[#This Row],[email]]&amp;"&amp;subject=Your NSF Proposal:  "&amp;RADataTable[[#This Row],[Div]]&amp;" "&amp;RADataTable[[#This Row],[prop_id0]], RADataTable[[#This Row],[email]])</f>
        <v>evouga@cs.utexas.edu</v>
      </c>
      <c r="Z444" s="15" t="str">
        <f>HYPERLINK("mailto:"&amp;RADataTable[[#This Row],[allPIemail]]&amp;"&amp;subject=NSF Proposal:  "&amp;RADataTable[[#This Row],[Div]]&amp;" "&amp;RADataTable[[#This Row],[prop_id0]], "PIs@")</f>
        <v>PIs@</v>
      </c>
      <c r="AA444" t="s">
        <v>245</v>
      </c>
      <c r="AB444" t="s">
        <v>680</v>
      </c>
      <c r="AC444" s="30" t="s">
        <v>830</v>
      </c>
      <c r="AD444" t="s">
        <v>831</v>
      </c>
      <c r="AE444" t="s">
        <v>832</v>
      </c>
      <c r="AF444" s="36">
        <v>523537</v>
      </c>
      <c r="AG444" s="36">
        <v>523537</v>
      </c>
      <c r="AH444" s="24"/>
      <c r="AJ444" s="34"/>
      <c r="AK444" t="s">
        <v>923</v>
      </c>
      <c r="AL444" t="s">
        <v>232</v>
      </c>
      <c r="AM444" s="34" t="s">
        <v>925</v>
      </c>
      <c r="AN444" s="34">
        <v>43032</v>
      </c>
      <c r="AO444" s="24">
        <v>12</v>
      </c>
      <c r="AP444" t="s">
        <v>940</v>
      </c>
      <c r="AR444" s="35"/>
      <c r="AS444"/>
      <c r="AT444" s="34"/>
      <c r="AV444" s="34"/>
      <c r="AX444" s="34"/>
      <c r="AY444"/>
      <c r="BA444" s="34"/>
      <c r="BB444"/>
      <c r="BC444" t="s">
        <v>834</v>
      </c>
      <c r="BD444" s="36">
        <v>523537</v>
      </c>
      <c r="BE444" s="36">
        <v>523537</v>
      </c>
      <c r="BF444">
        <v>0</v>
      </c>
      <c r="BG444" s="34">
        <v>43344</v>
      </c>
      <c r="BH444">
        <v>60</v>
      </c>
      <c r="BI444" t="s">
        <v>283</v>
      </c>
      <c r="BJ444" t="s">
        <v>928</v>
      </c>
      <c r="BK444" t="s">
        <v>234</v>
      </c>
      <c r="BL444" t="s">
        <v>194</v>
      </c>
      <c r="BM444" s="8" t="s">
        <v>192</v>
      </c>
      <c r="BN444" t="s">
        <v>189</v>
      </c>
      <c r="BO444" t="s">
        <v>190</v>
      </c>
      <c r="BP444" s="35" t="s">
        <v>726</v>
      </c>
      <c r="BQ444"/>
      <c r="BU444" s="35"/>
      <c r="BV444" s="35"/>
      <c r="BX444"/>
      <c r="CA444" s="35"/>
      <c r="CB444" s="35"/>
      <c r="CC444"/>
      <c r="CG444" s="35"/>
      <c r="CH444" s="35"/>
      <c r="CK444"/>
      <c r="CM444" s="35"/>
      <c r="CN444" s="35"/>
      <c r="CQ444"/>
      <c r="CS444" s="35"/>
      <c r="CT444" s="35"/>
      <c r="CX444"/>
      <c r="CZ444" s="35"/>
      <c r="DD444" s="34"/>
      <c r="DG444" t="s">
        <v>833</v>
      </c>
      <c r="DH444" t="s">
        <v>967</v>
      </c>
      <c r="DI444" t="s">
        <v>233</v>
      </c>
      <c r="DL444" t="s">
        <v>680</v>
      </c>
      <c r="DM444">
        <v>5</v>
      </c>
      <c r="DN444">
        <v>7</v>
      </c>
      <c r="DO444" t="s">
        <v>750</v>
      </c>
      <c r="DQ444" t="s">
        <v>927</v>
      </c>
      <c r="DR444">
        <v>14</v>
      </c>
      <c r="DS444">
        <v>0</v>
      </c>
      <c r="DU444">
        <v>14</v>
      </c>
      <c r="DV444">
        <v>0</v>
      </c>
      <c r="DX444">
        <v>14</v>
      </c>
      <c r="DY444">
        <v>0</v>
      </c>
      <c r="DZ444" t="s">
        <v>246</v>
      </c>
      <c r="EA444" t="s">
        <v>929</v>
      </c>
    </row>
    <row r="445" spans="1:131" x14ac:dyDescent="0.4">
      <c r="A445" s="34">
        <v>43067.305104166669</v>
      </c>
      <c r="B445" s="25">
        <v>42935.69027777778</v>
      </c>
      <c r="D445" s="34"/>
      <c r="E445" s="34" t="s">
        <v>193</v>
      </c>
      <c r="F445" s="34" t="s">
        <v>191</v>
      </c>
      <c r="G445" s="34" t="s">
        <v>100</v>
      </c>
      <c r="H445" t="s">
        <v>279</v>
      </c>
      <c r="I445" t="s">
        <v>243</v>
      </c>
      <c r="J445" t="s">
        <v>712</v>
      </c>
      <c r="K445" t="s">
        <v>713</v>
      </c>
      <c r="L445" t="s">
        <v>711</v>
      </c>
      <c r="M445" s="30">
        <v>2.12</v>
      </c>
      <c r="N445">
        <v>6.5</v>
      </c>
      <c r="P445" s="24" t="str">
        <f>IFERROR(MID(RADataTable[[#This Row],[RATemplate]],1,LEN(RADataTable[[#This Row],[RATemplate]])-8),"RA") &amp; " " &amp; RADataTable[[#This Row],[prop_id0]] &amp; " " &amp; RADataTable[[#This Row],[last0]]</f>
        <v>RA 1751102 Vouga</v>
      </c>
      <c r="T445">
        <v>4</v>
      </c>
      <c r="U445">
        <v>4</v>
      </c>
      <c r="V445" s="34">
        <v>43031.392361111109</v>
      </c>
      <c r="W445">
        <v>1</v>
      </c>
      <c r="X445" s="15" t="str">
        <f>HYPERLINK("https://www.ejacket.nsf.gov/ej/showProposal.do?Continue=Y&amp;ID="&amp;RADataTable[[#This Row],[prop_id0]],"eJ")</f>
        <v>eJ</v>
      </c>
      <c r="Y445" s="15" t="str">
        <f>HYPERLINK("mailto:"&amp;RADataTable[[#This Row],[email]]&amp;"&amp;subject=Your NSF Proposal:  "&amp;RADataTable[[#This Row],[Div]]&amp;" "&amp;RADataTable[[#This Row],[prop_id0]], RADataTable[[#This Row],[email]])</f>
        <v>evouga@cs.utexas.edu</v>
      </c>
      <c r="Z445" s="15" t="str">
        <f>HYPERLINK("mailto:"&amp;RADataTable[[#This Row],[allPIemail]]&amp;"&amp;subject=NSF Proposal:  "&amp;RADataTable[[#This Row],[Div]]&amp;" "&amp;RADataTable[[#This Row],[prop_id0]], "PIs@")</f>
        <v>PIs@</v>
      </c>
      <c r="AA445" t="s">
        <v>245</v>
      </c>
      <c r="AB445" t="s">
        <v>680</v>
      </c>
      <c r="AC445" s="30" t="s">
        <v>830</v>
      </c>
      <c r="AD445" t="s">
        <v>831</v>
      </c>
      <c r="AE445" t="s">
        <v>832</v>
      </c>
      <c r="AF445" s="36">
        <v>523537</v>
      </c>
      <c r="AG445" s="36">
        <v>523537</v>
      </c>
      <c r="AH445" s="24"/>
      <c r="AJ445" s="34"/>
      <c r="AK445" t="s">
        <v>923</v>
      </c>
      <c r="AL445" t="s">
        <v>232</v>
      </c>
      <c r="AM445" s="34" t="s">
        <v>925</v>
      </c>
      <c r="AN445" s="34">
        <v>43032</v>
      </c>
      <c r="AO445" s="24">
        <v>12</v>
      </c>
      <c r="AP445" t="s">
        <v>940</v>
      </c>
      <c r="AR445" s="35"/>
      <c r="AS445"/>
      <c r="AT445" s="34"/>
      <c r="AV445" s="34"/>
      <c r="AX445" s="34"/>
      <c r="AY445"/>
      <c r="BA445" s="34"/>
      <c r="BB445"/>
      <c r="BC445" t="s">
        <v>834</v>
      </c>
      <c r="BD445" s="36">
        <v>523537</v>
      </c>
      <c r="BE445" s="36">
        <v>523537</v>
      </c>
      <c r="BF445">
        <v>0</v>
      </c>
      <c r="BG445" s="34">
        <v>43344</v>
      </c>
      <c r="BH445">
        <v>60</v>
      </c>
      <c r="BI445" t="s">
        <v>283</v>
      </c>
      <c r="BJ445" t="s">
        <v>928</v>
      </c>
      <c r="BK445" t="s">
        <v>234</v>
      </c>
      <c r="BL445" t="s">
        <v>194</v>
      </c>
      <c r="BM445" s="8" t="s">
        <v>192</v>
      </c>
      <c r="BN445" t="s">
        <v>189</v>
      </c>
      <c r="BO445" t="s">
        <v>190</v>
      </c>
      <c r="BP445" s="35" t="s">
        <v>726</v>
      </c>
      <c r="BQ445"/>
      <c r="BU445" s="35"/>
      <c r="BV445" s="35"/>
      <c r="BX445"/>
      <c r="CA445" s="35"/>
      <c r="CB445" s="35"/>
      <c r="CC445"/>
      <c r="CG445" s="35"/>
      <c r="CH445" s="35"/>
      <c r="CK445"/>
      <c r="CM445" s="35"/>
      <c r="CN445" s="35"/>
      <c r="CQ445"/>
      <c r="CS445" s="35"/>
      <c r="CT445" s="35"/>
      <c r="CX445"/>
      <c r="CZ445" s="35"/>
      <c r="DD445" s="34"/>
      <c r="DG445" t="s">
        <v>833</v>
      </c>
      <c r="DH445" t="s">
        <v>967</v>
      </c>
      <c r="DI445" t="s">
        <v>233</v>
      </c>
      <c r="DL445" t="s">
        <v>680</v>
      </c>
      <c r="DM445">
        <v>5</v>
      </c>
      <c r="DN445">
        <v>7</v>
      </c>
      <c r="DO445" t="s">
        <v>750</v>
      </c>
      <c r="DQ445" t="s">
        <v>927</v>
      </c>
      <c r="DR445">
        <v>14</v>
      </c>
      <c r="DS445">
        <v>0</v>
      </c>
      <c r="DU445">
        <v>14</v>
      </c>
      <c r="DV445">
        <v>0</v>
      </c>
      <c r="DX445">
        <v>14</v>
      </c>
      <c r="DY445">
        <v>0</v>
      </c>
      <c r="DZ445" t="s">
        <v>246</v>
      </c>
      <c r="EA445" t="s">
        <v>929</v>
      </c>
    </row>
    <row r="446" spans="1:131" x14ac:dyDescent="0.4">
      <c r="A446" s="34">
        <v>43067.305104166669</v>
      </c>
      <c r="B446" s="25">
        <v>42935.69027777778</v>
      </c>
      <c r="D446" s="34"/>
      <c r="E446" s="34" t="s">
        <v>193</v>
      </c>
      <c r="F446" s="34" t="s">
        <v>191</v>
      </c>
      <c r="G446" s="34" t="s">
        <v>100</v>
      </c>
      <c r="H446" t="s">
        <v>279</v>
      </c>
      <c r="I446" t="s">
        <v>243</v>
      </c>
      <c r="J446" t="s">
        <v>712</v>
      </c>
      <c r="K446" t="s">
        <v>713</v>
      </c>
      <c r="L446" t="s">
        <v>711</v>
      </c>
      <c r="M446" s="30">
        <v>2.12</v>
      </c>
      <c r="N446">
        <v>6.5</v>
      </c>
      <c r="P446" s="24" t="str">
        <f>IFERROR(MID(RADataTable[[#This Row],[RATemplate]],1,LEN(RADataTable[[#This Row],[RATemplate]])-8),"RA") &amp; " " &amp; RADataTable[[#This Row],[prop_id0]] &amp; " " &amp; RADataTable[[#This Row],[last0]]</f>
        <v>RA 1751102 Vouga</v>
      </c>
      <c r="T446">
        <v>4</v>
      </c>
      <c r="U446">
        <v>4</v>
      </c>
      <c r="V446" s="34">
        <v>43031.392361111109</v>
      </c>
      <c r="W446">
        <v>1</v>
      </c>
      <c r="X446" s="15" t="str">
        <f>HYPERLINK("https://www.ejacket.nsf.gov/ej/showProposal.do?Continue=Y&amp;ID="&amp;RADataTable[[#This Row],[prop_id0]],"eJ")</f>
        <v>eJ</v>
      </c>
      <c r="Y446" s="15" t="str">
        <f>HYPERLINK("mailto:"&amp;RADataTable[[#This Row],[email]]&amp;"&amp;subject=Your NSF Proposal:  "&amp;RADataTable[[#This Row],[Div]]&amp;" "&amp;RADataTable[[#This Row],[prop_id0]], RADataTable[[#This Row],[email]])</f>
        <v>evouga@cs.utexas.edu</v>
      </c>
      <c r="Z446" s="15" t="str">
        <f>HYPERLINK("mailto:"&amp;RADataTable[[#This Row],[allPIemail]]&amp;"&amp;subject=NSF Proposal:  "&amp;RADataTable[[#This Row],[Div]]&amp;" "&amp;RADataTable[[#This Row],[prop_id0]], "PIs@")</f>
        <v>PIs@</v>
      </c>
      <c r="AA446" t="s">
        <v>245</v>
      </c>
      <c r="AB446" t="s">
        <v>680</v>
      </c>
      <c r="AC446" s="30" t="s">
        <v>830</v>
      </c>
      <c r="AD446" t="s">
        <v>831</v>
      </c>
      <c r="AE446" t="s">
        <v>832</v>
      </c>
      <c r="AF446" s="36">
        <v>523537</v>
      </c>
      <c r="AG446" s="36">
        <v>523537</v>
      </c>
      <c r="AH446" s="24"/>
      <c r="AJ446" s="34"/>
      <c r="AK446" t="s">
        <v>923</v>
      </c>
      <c r="AL446" t="s">
        <v>232</v>
      </c>
      <c r="AM446" s="34" t="s">
        <v>925</v>
      </c>
      <c r="AN446" s="34">
        <v>43032</v>
      </c>
      <c r="AO446" s="24">
        <v>12</v>
      </c>
      <c r="AP446" t="s">
        <v>940</v>
      </c>
      <c r="AR446" s="35"/>
      <c r="AS446"/>
      <c r="AT446" s="34"/>
      <c r="AV446" s="34"/>
      <c r="AX446" s="34"/>
      <c r="AY446"/>
      <c r="BA446" s="34"/>
      <c r="BB446"/>
      <c r="BC446" t="s">
        <v>834</v>
      </c>
      <c r="BD446" s="36">
        <v>523537</v>
      </c>
      <c r="BE446" s="36">
        <v>523537</v>
      </c>
      <c r="BF446">
        <v>0</v>
      </c>
      <c r="BG446" s="34">
        <v>43344</v>
      </c>
      <c r="BH446">
        <v>60</v>
      </c>
      <c r="BI446" t="s">
        <v>283</v>
      </c>
      <c r="BJ446" t="s">
        <v>928</v>
      </c>
      <c r="BK446" t="s">
        <v>234</v>
      </c>
      <c r="BL446" t="s">
        <v>194</v>
      </c>
      <c r="BM446" s="8" t="s">
        <v>192</v>
      </c>
      <c r="BN446" t="s">
        <v>189</v>
      </c>
      <c r="BO446" t="s">
        <v>190</v>
      </c>
      <c r="BP446" s="35" t="s">
        <v>726</v>
      </c>
      <c r="BQ446"/>
      <c r="BU446" s="35"/>
      <c r="BV446" s="35"/>
      <c r="BX446"/>
      <c r="CA446" s="35"/>
      <c r="CB446" s="35"/>
      <c r="CC446"/>
      <c r="CG446" s="35"/>
      <c r="CH446" s="35"/>
      <c r="CK446"/>
      <c r="CM446" s="35"/>
      <c r="CN446" s="35"/>
      <c r="CQ446"/>
      <c r="CS446" s="35"/>
      <c r="CT446" s="35"/>
      <c r="CX446"/>
      <c r="CZ446" s="35"/>
      <c r="DD446" s="34"/>
      <c r="DG446" t="s">
        <v>833</v>
      </c>
      <c r="DH446" t="s">
        <v>967</v>
      </c>
      <c r="DI446" t="s">
        <v>233</v>
      </c>
      <c r="DL446" t="s">
        <v>680</v>
      </c>
      <c r="DM446">
        <v>5</v>
      </c>
      <c r="DN446">
        <v>7</v>
      </c>
      <c r="DO446" t="s">
        <v>750</v>
      </c>
      <c r="DQ446" t="s">
        <v>927</v>
      </c>
      <c r="DR446">
        <v>14</v>
      </c>
      <c r="DS446">
        <v>0</v>
      </c>
      <c r="DU446">
        <v>14</v>
      </c>
      <c r="DV446">
        <v>0</v>
      </c>
      <c r="DX446">
        <v>14</v>
      </c>
      <c r="DY446">
        <v>0</v>
      </c>
      <c r="DZ446" t="s">
        <v>246</v>
      </c>
      <c r="EA446" t="s">
        <v>929</v>
      </c>
    </row>
    <row r="447" spans="1:131" x14ac:dyDescent="0.4">
      <c r="A447" s="34">
        <v>43067.305104166669</v>
      </c>
      <c r="B447" s="25">
        <v>42935.69027777778</v>
      </c>
      <c r="D447" s="34"/>
      <c r="E447" s="34" t="s">
        <v>193</v>
      </c>
      <c r="F447" s="34" t="s">
        <v>191</v>
      </c>
      <c r="G447" s="34" t="s">
        <v>100</v>
      </c>
      <c r="H447" t="s">
        <v>279</v>
      </c>
      <c r="I447" t="s">
        <v>243</v>
      </c>
      <c r="J447" t="s">
        <v>712</v>
      </c>
      <c r="K447" t="s">
        <v>713</v>
      </c>
      <c r="L447" t="s">
        <v>711</v>
      </c>
      <c r="M447" s="30">
        <v>2.12</v>
      </c>
      <c r="N447">
        <v>6.5</v>
      </c>
      <c r="P447" s="24" t="str">
        <f>IFERROR(MID(RADataTable[[#This Row],[RATemplate]],1,LEN(RADataTable[[#This Row],[RATemplate]])-8),"RA") &amp; " " &amp; RADataTable[[#This Row],[prop_id0]] &amp; " " &amp; RADataTable[[#This Row],[last0]]</f>
        <v>RA 1751102 Vouga</v>
      </c>
      <c r="T447">
        <v>4</v>
      </c>
      <c r="U447">
        <v>4</v>
      </c>
      <c r="V447" s="34">
        <v>43031.392361111109</v>
      </c>
      <c r="W447">
        <v>1</v>
      </c>
      <c r="X447" s="15" t="str">
        <f>HYPERLINK("https://www.ejacket.nsf.gov/ej/showProposal.do?Continue=Y&amp;ID="&amp;RADataTable[[#This Row],[prop_id0]],"eJ")</f>
        <v>eJ</v>
      </c>
      <c r="Y447" s="15" t="str">
        <f>HYPERLINK("mailto:"&amp;RADataTable[[#This Row],[email]]&amp;"&amp;subject=Your NSF Proposal:  "&amp;RADataTable[[#This Row],[Div]]&amp;" "&amp;RADataTable[[#This Row],[prop_id0]], RADataTable[[#This Row],[email]])</f>
        <v>evouga@cs.utexas.edu</v>
      </c>
      <c r="Z447" s="15" t="str">
        <f>HYPERLINK("mailto:"&amp;RADataTable[[#This Row],[allPIemail]]&amp;"&amp;subject=NSF Proposal:  "&amp;RADataTable[[#This Row],[Div]]&amp;" "&amp;RADataTable[[#This Row],[prop_id0]], "PIs@")</f>
        <v>PIs@</v>
      </c>
      <c r="AA447" t="s">
        <v>245</v>
      </c>
      <c r="AB447" t="s">
        <v>680</v>
      </c>
      <c r="AC447" s="30" t="s">
        <v>830</v>
      </c>
      <c r="AD447" t="s">
        <v>831</v>
      </c>
      <c r="AE447" t="s">
        <v>832</v>
      </c>
      <c r="AF447" s="36">
        <v>523537</v>
      </c>
      <c r="AG447" s="36">
        <v>523537</v>
      </c>
      <c r="AH447" s="24"/>
      <c r="AJ447" s="34"/>
      <c r="AK447" t="s">
        <v>923</v>
      </c>
      <c r="AL447" t="s">
        <v>232</v>
      </c>
      <c r="AM447" s="34" t="s">
        <v>925</v>
      </c>
      <c r="AN447" s="34">
        <v>43032</v>
      </c>
      <c r="AO447" s="24">
        <v>12</v>
      </c>
      <c r="AP447" t="s">
        <v>940</v>
      </c>
      <c r="AR447" s="35"/>
      <c r="AS447"/>
      <c r="AT447" s="34"/>
      <c r="AV447" s="34"/>
      <c r="AX447" s="34"/>
      <c r="AY447"/>
      <c r="BA447" s="34"/>
      <c r="BB447"/>
      <c r="BC447" t="s">
        <v>834</v>
      </c>
      <c r="BD447" s="36">
        <v>523537</v>
      </c>
      <c r="BE447" s="36">
        <v>523537</v>
      </c>
      <c r="BF447">
        <v>0</v>
      </c>
      <c r="BG447" s="34">
        <v>43344</v>
      </c>
      <c r="BH447">
        <v>60</v>
      </c>
      <c r="BI447" t="s">
        <v>283</v>
      </c>
      <c r="BJ447" t="s">
        <v>928</v>
      </c>
      <c r="BK447" t="s">
        <v>234</v>
      </c>
      <c r="BL447" t="s">
        <v>194</v>
      </c>
      <c r="BM447" s="8" t="s">
        <v>192</v>
      </c>
      <c r="BN447" t="s">
        <v>189</v>
      </c>
      <c r="BO447" t="s">
        <v>190</v>
      </c>
      <c r="BP447" s="35" t="s">
        <v>726</v>
      </c>
      <c r="BQ447"/>
      <c r="BU447" s="35"/>
      <c r="BV447" s="35"/>
      <c r="BX447"/>
      <c r="CA447" s="35"/>
      <c r="CB447" s="35"/>
      <c r="CC447"/>
      <c r="CG447" s="35"/>
      <c r="CH447" s="35"/>
      <c r="CK447"/>
      <c r="CM447" s="35"/>
      <c r="CN447" s="35"/>
      <c r="CQ447"/>
      <c r="CS447" s="35"/>
      <c r="CT447" s="35"/>
      <c r="CX447"/>
      <c r="CZ447" s="35"/>
      <c r="DD447" s="34"/>
      <c r="DG447" t="s">
        <v>833</v>
      </c>
      <c r="DH447" t="s">
        <v>967</v>
      </c>
      <c r="DI447" t="s">
        <v>233</v>
      </c>
      <c r="DL447" t="s">
        <v>680</v>
      </c>
      <c r="DM447">
        <v>5</v>
      </c>
      <c r="DN447">
        <v>7</v>
      </c>
      <c r="DO447" t="s">
        <v>750</v>
      </c>
      <c r="DQ447" t="s">
        <v>927</v>
      </c>
      <c r="DR447">
        <v>14</v>
      </c>
      <c r="DS447">
        <v>0</v>
      </c>
      <c r="DU447">
        <v>14</v>
      </c>
      <c r="DV447">
        <v>0</v>
      </c>
      <c r="DX447">
        <v>14</v>
      </c>
      <c r="DY447">
        <v>0</v>
      </c>
      <c r="DZ447" t="s">
        <v>246</v>
      </c>
      <c r="EA447" t="s">
        <v>929</v>
      </c>
    </row>
    <row r="448" spans="1:131" x14ac:dyDescent="0.4">
      <c r="A448" s="34">
        <v>43067.305104166669</v>
      </c>
      <c r="B448" s="25">
        <v>42935.69027777778</v>
      </c>
      <c r="D448" s="34"/>
      <c r="E448" s="34" t="s">
        <v>193</v>
      </c>
      <c r="F448" s="34" t="s">
        <v>191</v>
      </c>
      <c r="G448" s="34" t="s">
        <v>100</v>
      </c>
      <c r="H448" t="s">
        <v>279</v>
      </c>
      <c r="I448" t="s">
        <v>243</v>
      </c>
      <c r="J448" t="s">
        <v>712</v>
      </c>
      <c r="K448" t="s">
        <v>713</v>
      </c>
      <c r="L448" t="s">
        <v>711</v>
      </c>
      <c r="M448" s="30">
        <v>2.12</v>
      </c>
      <c r="N448">
        <v>6.5</v>
      </c>
      <c r="P448" s="24" t="str">
        <f>IFERROR(MID(RADataTable[[#This Row],[RATemplate]],1,LEN(RADataTable[[#This Row],[RATemplate]])-8),"RA") &amp; " " &amp; RADataTable[[#This Row],[prop_id0]] &amp; " " &amp; RADataTable[[#This Row],[last0]]</f>
        <v>RA 1751102 Vouga</v>
      </c>
      <c r="T448">
        <v>4</v>
      </c>
      <c r="U448">
        <v>4</v>
      </c>
      <c r="V448" s="34">
        <v>43031.392361111109</v>
      </c>
      <c r="W448">
        <v>1</v>
      </c>
      <c r="X448" s="15" t="str">
        <f>HYPERLINK("https://www.ejacket.nsf.gov/ej/showProposal.do?Continue=Y&amp;ID="&amp;RADataTable[[#This Row],[prop_id0]],"eJ")</f>
        <v>eJ</v>
      </c>
      <c r="Y448" s="15" t="str">
        <f>HYPERLINK("mailto:"&amp;RADataTable[[#This Row],[email]]&amp;"&amp;subject=Your NSF Proposal:  "&amp;RADataTable[[#This Row],[Div]]&amp;" "&amp;RADataTable[[#This Row],[prop_id0]], RADataTable[[#This Row],[email]])</f>
        <v>evouga@cs.utexas.edu</v>
      </c>
      <c r="Z448" s="15" t="str">
        <f>HYPERLINK("mailto:"&amp;RADataTable[[#This Row],[allPIemail]]&amp;"&amp;subject=NSF Proposal:  "&amp;RADataTable[[#This Row],[Div]]&amp;" "&amp;RADataTable[[#This Row],[prop_id0]], "PIs@")</f>
        <v>PIs@</v>
      </c>
      <c r="AA448" t="s">
        <v>245</v>
      </c>
      <c r="AB448" t="s">
        <v>680</v>
      </c>
      <c r="AC448" s="30" t="s">
        <v>830</v>
      </c>
      <c r="AD448" t="s">
        <v>831</v>
      </c>
      <c r="AE448" t="s">
        <v>832</v>
      </c>
      <c r="AF448" s="36">
        <v>523537</v>
      </c>
      <c r="AG448" s="36">
        <v>523537</v>
      </c>
      <c r="AH448" s="24"/>
      <c r="AJ448" s="34"/>
      <c r="AK448" t="s">
        <v>923</v>
      </c>
      <c r="AL448" t="s">
        <v>232</v>
      </c>
      <c r="AM448" s="34" t="s">
        <v>925</v>
      </c>
      <c r="AN448" s="34">
        <v>43032</v>
      </c>
      <c r="AO448" s="24">
        <v>12</v>
      </c>
      <c r="AP448" t="s">
        <v>940</v>
      </c>
      <c r="AR448" s="35"/>
      <c r="AS448"/>
      <c r="AT448" s="34"/>
      <c r="AV448" s="34"/>
      <c r="AX448" s="34"/>
      <c r="AY448"/>
      <c r="BA448" s="34"/>
      <c r="BB448"/>
      <c r="BC448" t="s">
        <v>834</v>
      </c>
      <c r="BD448" s="36">
        <v>523537</v>
      </c>
      <c r="BE448" s="36">
        <v>523537</v>
      </c>
      <c r="BF448">
        <v>0</v>
      </c>
      <c r="BG448" s="34">
        <v>43344</v>
      </c>
      <c r="BH448">
        <v>60</v>
      </c>
      <c r="BI448" t="s">
        <v>283</v>
      </c>
      <c r="BJ448" t="s">
        <v>928</v>
      </c>
      <c r="BK448" t="s">
        <v>234</v>
      </c>
      <c r="BL448" t="s">
        <v>194</v>
      </c>
      <c r="BM448" s="8" t="s">
        <v>192</v>
      </c>
      <c r="BN448" t="s">
        <v>189</v>
      </c>
      <c r="BO448" t="s">
        <v>190</v>
      </c>
      <c r="BP448" s="35" t="s">
        <v>726</v>
      </c>
      <c r="BQ448"/>
      <c r="BU448" s="35"/>
      <c r="BV448" s="35"/>
      <c r="BX448"/>
      <c r="CA448" s="35"/>
      <c r="CB448" s="35"/>
      <c r="CC448"/>
      <c r="CG448" s="35"/>
      <c r="CH448" s="35"/>
      <c r="CK448"/>
      <c r="CM448" s="35"/>
      <c r="CN448" s="35"/>
      <c r="CQ448"/>
      <c r="CS448" s="35"/>
      <c r="CT448" s="35"/>
      <c r="CX448"/>
      <c r="CZ448" s="35"/>
      <c r="DD448" s="34"/>
      <c r="DG448" t="s">
        <v>833</v>
      </c>
      <c r="DH448" t="s">
        <v>967</v>
      </c>
      <c r="DI448" t="s">
        <v>233</v>
      </c>
      <c r="DL448" t="s">
        <v>680</v>
      </c>
      <c r="DM448">
        <v>5</v>
      </c>
      <c r="DN448">
        <v>7</v>
      </c>
      <c r="DO448" t="s">
        <v>750</v>
      </c>
      <c r="DQ448" t="s">
        <v>927</v>
      </c>
      <c r="DR448">
        <v>14</v>
      </c>
      <c r="DS448">
        <v>0</v>
      </c>
      <c r="DU448">
        <v>14</v>
      </c>
      <c r="DV448">
        <v>0</v>
      </c>
      <c r="DX448">
        <v>14</v>
      </c>
      <c r="DY448">
        <v>0</v>
      </c>
      <c r="DZ448" t="s">
        <v>246</v>
      </c>
      <c r="EA448" t="s">
        <v>929</v>
      </c>
    </row>
    <row r="449" spans="1:131" x14ac:dyDescent="0.4">
      <c r="A449" s="34">
        <v>43067.305104166669</v>
      </c>
      <c r="B449" s="25">
        <v>42935.69027777778</v>
      </c>
      <c r="D449" s="34"/>
      <c r="E449" s="34" t="s">
        <v>193</v>
      </c>
      <c r="F449" s="34" t="s">
        <v>191</v>
      </c>
      <c r="G449" s="34" t="s">
        <v>100</v>
      </c>
      <c r="H449" t="s">
        <v>279</v>
      </c>
      <c r="I449" t="s">
        <v>243</v>
      </c>
      <c r="J449" t="s">
        <v>712</v>
      </c>
      <c r="K449" t="s">
        <v>713</v>
      </c>
      <c r="L449" t="s">
        <v>711</v>
      </c>
      <c r="M449" s="30">
        <v>2.12</v>
      </c>
      <c r="N449">
        <v>6.5</v>
      </c>
      <c r="P449" s="24" t="str">
        <f>IFERROR(MID(RADataTable[[#This Row],[RATemplate]],1,LEN(RADataTable[[#This Row],[RATemplate]])-8),"RA") &amp; " " &amp; RADataTable[[#This Row],[prop_id0]] &amp; " " &amp; RADataTable[[#This Row],[last0]]</f>
        <v>RA 1751102 Vouga</v>
      </c>
      <c r="T449">
        <v>4</v>
      </c>
      <c r="U449">
        <v>4</v>
      </c>
      <c r="V449" s="34">
        <v>43031.392361111109</v>
      </c>
      <c r="W449">
        <v>1</v>
      </c>
      <c r="X449" s="15" t="str">
        <f>HYPERLINK("https://www.ejacket.nsf.gov/ej/showProposal.do?Continue=Y&amp;ID="&amp;RADataTable[[#This Row],[prop_id0]],"eJ")</f>
        <v>eJ</v>
      </c>
      <c r="Y449" s="15" t="str">
        <f>HYPERLINK("mailto:"&amp;RADataTable[[#This Row],[email]]&amp;"&amp;subject=Your NSF Proposal:  "&amp;RADataTable[[#This Row],[Div]]&amp;" "&amp;RADataTable[[#This Row],[prop_id0]], RADataTable[[#This Row],[email]])</f>
        <v>evouga@cs.utexas.edu</v>
      </c>
      <c r="Z449" s="15" t="str">
        <f>HYPERLINK("mailto:"&amp;RADataTable[[#This Row],[allPIemail]]&amp;"&amp;subject=NSF Proposal:  "&amp;RADataTable[[#This Row],[Div]]&amp;" "&amp;RADataTable[[#This Row],[prop_id0]], "PIs@")</f>
        <v>PIs@</v>
      </c>
      <c r="AA449" t="s">
        <v>245</v>
      </c>
      <c r="AB449" t="s">
        <v>680</v>
      </c>
      <c r="AC449" s="30" t="s">
        <v>830</v>
      </c>
      <c r="AD449" t="s">
        <v>831</v>
      </c>
      <c r="AE449" t="s">
        <v>832</v>
      </c>
      <c r="AF449" s="36">
        <v>523537</v>
      </c>
      <c r="AG449" s="36">
        <v>523537</v>
      </c>
      <c r="AH449" s="24"/>
      <c r="AJ449" s="34"/>
      <c r="AK449" t="s">
        <v>923</v>
      </c>
      <c r="AL449" t="s">
        <v>232</v>
      </c>
      <c r="AM449" s="34" t="s">
        <v>925</v>
      </c>
      <c r="AN449" s="34">
        <v>43032</v>
      </c>
      <c r="AO449" s="24">
        <v>12</v>
      </c>
      <c r="AP449" t="s">
        <v>940</v>
      </c>
      <c r="AR449" s="35"/>
      <c r="AS449"/>
      <c r="AT449" s="34"/>
      <c r="AV449" s="34"/>
      <c r="AX449" s="34"/>
      <c r="AY449"/>
      <c r="BA449" s="34"/>
      <c r="BB449"/>
      <c r="BC449" t="s">
        <v>834</v>
      </c>
      <c r="BD449" s="36">
        <v>523537</v>
      </c>
      <c r="BE449" s="36">
        <v>523537</v>
      </c>
      <c r="BF449">
        <v>0</v>
      </c>
      <c r="BG449" s="34">
        <v>43344</v>
      </c>
      <c r="BH449">
        <v>60</v>
      </c>
      <c r="BI449" t="s">
        <v>283</v>
      </c>
      <c r="BJ449" t="s">
        <v>928</v>
      </c>
      <c r="BK449" t="s">
        <v>234</v>
      </c>
      <c r="BL449" t="s">
        <v>194</v>
      </c>
      <c r="BM449" s="8" t="s">
        <v>192</v>
      </c>
      <c r="BN449" t="s">
        <v>189</v>
      </c>
      <c r="BO449" t="s">
        <v>190</v>
      </c>
      <c r="BP449" s="35" t="s">
        <v>726</v>
      </c>
      <c r="BQ449"/>
      <c r="BU449" s="35"/>
      <c r="BV449" s="35"/>
      <c r="BX449"/>
      <c r="CA449" s="35"/>
      <c r="CB449" s="35"/>
      <c r="CC449"/>
      <c r="CG449" s="35"/>
      <c r="CH449" s="35"/>
      <c r="CK449"/>
      <c r="CM449" s="35"/>
      <c r="CN449" s="35"/>
      <c r="CQ449"/>
      <c r="CS449" s="35"/>
      <c r="CT449" s="35"/>
      <c r="CX449"/>
      <c r="CZ449" s="35"/>
      <c r="DD449" s="34"/>
      <c r="DG449" t="s">
        <v>833</v>
      </c>
      <c r="DH449" t="s">
        <v>967</v>
      </c>
      <c r="DI449" t="s">
        <v>233</v>
      </c>
      <c r="DL449" t="s">
        <v>680</v>
      </c>
      <c r="DM449">
        <v>5</v>
      </c>
      <c r="DN449">
        <v>7</v>
      </c>
      <c r="DO449" t="s">
        <v>750</v>
      </c>
      <c r="DQ449" t="s">
        <v>927</v>
      </c>
      <c r="DR449">
        <v>14</v>
      </c>
      <c r="DS449">
        <v>0</v>
      </c>
      <c r="DU449">
        <v>14</v>
      </c>
      <c r="DV449">
        <v>0</v>
      </c>
      <c r="DX449">
        <v>14</v>
      </c>
      <c r="DY449">
        <v>0</v>
      </c>
      <c r="DZ449" t="s">
        <v>246</v>
      </c>
      <c r="EA449" t="s">
        <v>929</v>
      </c>
    </row>
    <row r="450" spans="1:131" x14ac:dyDescent="0.4">
      <c r="A450" s="34">
        <v>43067.305104166669</v>
      </c>
      <c r="B450" s="25">
        <v>42935.69027777778</v>
      </c>
      <c r="D450" s="34"/>
      <c r="E450" s="34" t="s">
        <v>193</v>
      </c>
      <c r="F450" s="34" t="s">
        <v>191</v>
      </c>
      <c r="G450" s="34" t="s">
        <v>100</v>
      </c>
      <c r="H450" t="s">
        <v>279</v>
      </c>
      <c r="I450" t="s">
        <v>243</v>
      </c>
      <c r="J450" t="s">
        <v>712</v>
      </c>
      <c r="K450" t="s">
        <v>713</v>
      </c>
      <c r="L450" t="s">
        <v>711</v>
      </c>
      <c r="M450" s="30">
        <v>2.12</v>
      </c>
      <c r="N450">
        <v>6.5</v>
      </c>
      <c r="P450" s="24" t="str">
        <f>IFERROR(MID(RADataTable[[#This Row],[RATemplate]],1,LEN(RADataTable[[#This Row],[RATemplate]])-8),"RA") &amp; " " &amp; RADataTable[[#This Row],[prop_id0]] &amp; " " &amp; RADataTable[[#This Row],[last0]]</f>
        <v>RA 1751102 Vouga</v>
      </c>
      <c r="T450">
        <v>4</v>
      </c>
      <c r="U450">
        <v>4</v>
      </c>
      <c r="V450" s="34">
        <v>43031.392361111109</v>
      </c>
      <c r="W450">
        <v>1</v>
      </c>
      <c r="X450" s="15" t="str">
        <f>HYPERLINK("https://www.ejacket.nsf.gov/ej/showProposal.do?Continue=Y&amp;ID="&amp;RADataTable[[#This Row],[prop_id0]],"eJ")</f>
        <v>eJ</v>
      </c>
      <c r="Y450" s="15" t="str">
        <f>HYPERLINK("mailto:"&amp;RADataTable[[#This Row],[email]]&amp;"&amp;subject=Your NSF Proposal:  "&amp;RADataTable[[#This Row],[Div]]&amp;" "&amp;RADataTable[[#This Row],[prop_id0]], RADataTable[[#This Row],[email]])</f>
        <v>evouga@cs.utexas.edu</v>
      </c>
      <c r="Z450" s="15" t="str">
        <f>HYPERLINK("mailto:"&amp;RADataTable[[#This Row],[allPIemail]]&amp;"&amp;subject=NSF Proposal:  "&amp;RADataTable[[#This Row],[Div]]&amp;" "&amp;RADataTable[[#This Row],[prop_id0]], "PIs@")</f>
        <v>PIs@</v>
      </c>
      <c r="AA450" t="s">
        <v>245</v>
      </c>
      <c r="AB450" t="s">
        <v>680</v>
      </c>
      <c r="AC450" s="30" t="s">
        <v>830</v>
      </c>
      <c r="AD450" t="s">
        <v>831</v>
      </c>
      <c r="AE450" t="s">
        <v>832</v>
      </c>
      <c r="AF450" s="36">
        <v>523537</v>
      </c>
      <c r="AG450" s="36">
        <v>523537</v>
      </c>
      <c r="AH450" s="24"/>
      <c r="AJ450" s="34"/>
      <c r="AK450" t="s">
        <v>923</v>
      </c>
      <c r="AL450" t="s">
        <v>232</v>
      </c>
      <c r="AM450" s="34" t="s">
        <v>925</v>
      </c>
      <c r="AN450" s="34">
        <v>43032</v>
      </c>
      <c r="AO450" s="24">
        <v>12</v>
      </c>
      <c r="AP450" t="s">
        <v>940</v>
      </c>
      <c r="AR450" s="35"/>
      <c r="AS450"/>
      <c r="AT450" s="34"/>
      <c r="AV450" s="34"/>
      <c r="AX450" s="34"/>
      <c r="AY450"/>
      <c r="BA450" s="34"/>
      <c r="BB450"/>
      <c r="BC450" t="s">
        <v>834</v>
      </c>
      <c r="BD450" s="36">
        <v>523537</v>
      </c>
      <c r="BE450" s="36">
        <v>523537</v>
      </c>
      <c r="BF450">
        <v>0</v>
      </c>
      <c r="BG450" s="34">
        <v>43344</v>
      </c>
      <c r="BH450">
        <v>60</v>
      </c>
      <c r="BI450" t="s">
        <v>283</v>
      </c>
      <c r="BJ450" t="s">
        <v>928</v>
      </c>
      <c r="BK450" t="s">
        <v>234</v>
      </c>
      <c r="BL450" t="s">
        <v>194</v>
      </c>
      <c r="BM450" s="8" t="s">
        <v>192</v>
      </c>
      <c r="BN450" t="s">
        <v>189</v>
      </c>
      <c r="BO450" t="s">
        <v>190</v>
      </c>
      <c r="BP450" s="35" t="s">
        <v>726</v>
      </c>
      <c r="BQ450"/>
      <c r="BU450" s="35"/>
      <c r="BV450" s="35"/>
      <c r="BX450"/>
      <c r="CA450" s="35"/>
      <c r="CB450" s="35"/>
      <c r="CC450"/>
      <c r="CG450" s="35"/>
      <c r="CH450" s="35"/>
      <c r="CK450"/>
      <c r="CM450" s="35"/>
      <c r="CN450" s="35"/>
      <c r="CQ450"/>
      <c r="CS450" s="35"/>
      <c r="CT450" s="35"/>
      <c r="CX450"/>
      <c r="CZ450" s="35"/>
      <c r="DD450" s="34"/>
      <c r="DG450" t="s">
        <v>833</v>
      </c>
      <c r="DH450" t="s">
        <v>967</v>
      </c>
      <c r="DI450" t="s">
        <v>233</v>
      </c>
      <c r="DL450" t="s">
        <v>680</v>
      </c>
      <c r="DM450">
        <v>5</v>
      </c>
      <c r="DN450">
        <v>7</v>
      </c>
      <c r="DO450" t="s">
        <v>750</v>
      </c>
      <c r="DQ450" t="s">
        <v>927</v>
      </c>
      <c r="DR450">
        <v>14</v>
      </c>
      <c r="DS450">
        <v>0</v>
      </c>
      <c r="DU450">
        <v>14</v>
      </c>
      <c r="DV450">
        <v>0</v>
      </c>
      <c r="DX450">
        <v>14</v>
      </c>
      <c r="DY450">
        <v>0</v>
      </c>
      <c r="DZ450" t="s">
        <v>246</v>
      </c>
      <c r="EA450" t="s">
        <v>929</v>
      </c>
    </row>
    <row r="451" spans="1:131" x14ac:dyDescent="0.4">
      <c r="A451" s="34">
        <v>43067.305104166669</v>
      </c>
      <c r="B451" s="25">
        <v>42935.69027777778</v>
      </c>
      <c r="D451" s="34"/>
      <c r="E451" s="34" t="s">
        <v>193</v>
      </c>
      <c r="F451" s="34" t="s">
        <v>191</v>
      </c>
      <c r="G451" s="34" t="s">
        <v>100</v>
      </c>
      <c r="H451" t="s">
        <v>279</v>
      </c>
      <c r="I451" t="s">
        <v>243</v>
      </c>
      <c r="J451" t="s">
        <v>712</v>
      </c>
      <c r="K451" t="s">
        <v>713</v>
      </c>
      <c r="L451" t="s">
        <v>711</v>
      </c>
      <c r="M451" s="30">
        <v>2.12</v>
      </c>
      <c r="N451">
        <v>6.5</v>
      </c>
      <c r="P451" s="24" t="str">
        <f>IFERROR(MID(RADataTable[[#This Row],[RATemplate]],1,LEN(RADataTable[[#This Row],[RATemplate]])-8),"RA") &amp; " " &amp; RADataTable[[#This Row],[prop_id0]] &amp; " " &amp; RADataTable[[#This Row],[last0]]</f>
        <v>RA 1751102 Vouga</v>
      </c>
      <c r="T451">
        <v>4</v>
      </c>
      <c r="U451">
        <v>4</v>
      </c>
      <c r="V451" s="34">
        <v>43031.392361111109</v>
      </c>
      <c r="W451">
        <v>1</v>
      </c>
      <c r="X451" s="15" t="str">
        <f>HYPERLINK("https://www.ejacket.nsf.gov/ej/showProposal.do?Continue=Y&amp;ID="&amp;RADataTable[[#This Row],[prop_id0]],"eJ")</f>
        <v>eJ</v>
      </c>
      <c r="Y451" s="15" t="str">
        <f>HYPERLINK("mailto:"&amp;RADataTable[[#This Row],[email]]&amp;"&amp;subject=Your NSF Proposal:  "&amp;RADataTable[[#This Row],[Div]]&amp;" "&amp;RADataTable[[#This Row],[prop_id0]], RADataTable[[#This Row],[email]])</f>
        <v>evouga@cs.utexas.edu</v>
      </c>
      <c r="Z451" s="15" t="str">
        <f>HYPERLINK("mailto:"&amp;RADataTable[[#This Row],[allPIemail]]&amp;"&amp;subject=NSF Proposal:  "&amp;RADataTable[[#This Row],[Div]]&amp;" "&amp;RADataTable[[#This Row],[prop_id0]], "PIs@")</f>
        <v>PIs@</v>
      </c>
      <c r="AA451" t="s">
        <v>245</v>
      </c>
      <c r="AB451" t="s">
        <v>680</v>
      </c>
      <c r="AC451" s="30" t="s">
        <v>830</v>
      </c>
      <c r="AD451" t="s">
        <v>831</v>
      </c>
      <c r="AE451" t="s">
        <v>832</v>
      </c>
      <c r="AF451" s="36">
        <v>523537</v>
      </c>
      <c r="AG451" s="36">
        <v>523537</v>
      </c>
      <c r="AH451" s="24"/>
      <c r="AJ451" s="34"/>
      <c r="AK451" t="s">
        <v>923</v>
      </c>
      <c r="AL451" t="s">
        <v>232</v>
      </c>
      <c r="AM451" s="34" t="s">
        <v>925</v>
      </c>
      <c r="AN451" s="34">
        <v>43032</v>
      </c>
      <c r="AO451" s="24">
        <v>12</v>
      </c>
      <c r="AP451" t="s">
        <v>940</v>
      </c>
      <c r="AR451" s="35"/>
      <c r="AS451"/>
      <c r="AT451" s="34"/>
      <c r="AV451" s="34"/>
      <c r="AX451" s="34"/>
      <c r="AY451"/>
      <c r="BA451" s="34"/>
      <c r="BB451"/>
      <c r="BC451" t="s">
        <v>834</v>
      </c>
      <c r="BD451" s="36">
        <v>523537</v>
      </c>
      <c r="BE451" s="36">
        <v>523537</v>
      </c>
      <c r="BF451">
        <v>0</v>
      </c>
      <c r="BG451" s="34">
        <v>43344</v>
      </c>
      <c r="BH451">
        <v>60</v>
      </c>
      <c r="BI451" t="s">
        <v>283</v>
      </c>
      <c r="BJ451" t="s">
        <v>928</v>
      </c>
      <c r="BK451" t="s">
        <v>234</v>
      </c>
      <c r="BL451" t="s">
        <v>194</v>
      </c>
      <c r="BM451" s="8" t="s">
        <v>192</v>
      </c>
      <c r="BN451" t="s">
        <v>189</v>
      </c>
      <c r="BO451" t="s">
        <v>190</v>
      </c>
      <c r="BP451" s="35" t="s">
        <v>726</v>
      </c>
      <c r="BQ451"/>
      <c r="BU451" s="35"/>
      <c r="BV451" s="35"/>
      <c r="BX451"/>
      <c r="CA451" s="35"/>
      <c r="CB451" s="35"/>
      <c r="CC451"/>
      <c r="CG451" s="35"/>
      <c r="CH451" s="35"/>
      <c r="CK451"/>
      <c r="CM451" s="35"/>
      <c r="CN451" s="35"/>
      <c r="CQ451"/>
      <c r="CS451" s="35"/>
      <c r="CT451" s="35"/>
      <c r="CX451"/>
      <c r="CZ451" s="35"/>
      <c r="DD451" s="34"/>
      <c r="DG451" t="s">
        <v>833</v>
      </c>
      <c r="DH451" t="s">
        <v>967</v>
      </c>
      <c r="DI451" t="s">
        <v>233</v>
      </c>
      <c r="DL451" t="s">
        <v>680</v>
      </c>
      <c r="DM451">
        <v>5</v>
      </c>
      <c r="DN451">
        <v>7</v>
      </c>
      <c r="DO451" t="s">
        <v>750</v>
      </c>
      <c r="DQ451" t="s">
        <v>927</v>
      </c>
      <c r="DR451">
        <v>14</v>
      </c>
      <c r="DS451">
        <v>0</v>
      </c>
      <c r="DU451">
        <v>14</v>
      </c>
      <c r="DV451">
        <v>0</v>
      </c>
      <c r="DX451">
        <v>14</v>
      </c>
      <c r="DY451">
        <v>0</v>
      </c>
      <c r="DZ451" t="s">
        <v>246</v>
      </c>
      <c r="EA451" t="s">
        <v>929</v>
      </c>
    </row>
    <row r="452" spans="1:131" x14ac:dyDescent="0.4">
      <c r="A452" s="34">
        <v>43067.305104166669</v>
      </c>
      <c r="B452" s="25">
        <v>42935.69027777778</v>
      </c>
      <c r="D452" s="34"/>
      <c r="E452" s="34" t="s">
        <v>193</v>
      </c>
      <c r="F452" s="34" t="s">
        <v>191</v>
      </c>
      <c r="G452" s="34" t="s">
        <v>100</v>
      </c>
      <c r="H452" t="s">
        <v>279</v>
      </c>
      <c r="I452" t="s">
        <v>243</v>
      </c>
      <c r="J452" t="s">
        <v>712</v>
      </c>
      <c r="K452" t="s">
        <v>713</v>
      </c>
      <c r="L452" t="s">
        <v>711</v>
      </c>
      <c r="M452" s="30">
        <v>2.12</v>
      </c>
      <c r="N452">
        <v>6.5</v>
      </c>
      <c r="P452" s="24" t="str">
        <f>IFERROR(MID(RADataTable[[#This Row],[RATemplate]],1,LEN(RADataTable[[#This Row],[RATemplate]])-8),"RA") &amp; " " &amp; RADataTable[[#This Row],[prop_id0]] &amp; " " &amp; RADataTable[[#This Row],[last0]]</f>
        <v>RA 1751102 Vouga</v>
      </c>
      <c r="T452">
        <v>4</v>
      </c>
      <c r="U452">
        <v>4</v>
      </c>
      <c r="V452" s="34">
        <v>43031.392361111109</v>
      </c>
      <c r="W452">
        <v>1</v>
      </c>
      <c r="X452" s="15" t="str">
        <f>HYPERLINK("https://www.ejacket.nsf.gov/ej/showProposal.do?Continue=Y&amp;ID="&amp;RADataTable[[#This Row],[prop_id0]],"eJ")</f>
        <v>eJ</v>
      </c>
      <c r="Y452" s="15" t="str">
        <f>HYPERLINK("mailto:"&amp;RADataTable[[#This Row],[email]]&amp;"&amp;subject=Your NSF Proposal:  "&amp;RADataTable[[#This Row],[Div]]&amp;" "&amp;RADataTable[[#This Row],[prop_id0]], RADataTable[[#This Row],[email]])</f>
        <v>evouga@cs.utexas.edu</v>
      </c>
      <c r="Z452" s="15" t="str">
        <f>HYPERLINK("mailto:"&amp;RADataTable[[#This Row],[allPIemail]]&amp;"&amp;subject=NSF Proposal:  "&amp;RADataTable[[#This Row],[Div]]&amp;" "&amp;RADataTable[[#This Row],[prop_id0]], "PIs@")</f>
        <v>PIs@</v>
      </c>
      <c r="AA452" t="s">
        <v>245</v>
      </c>
      <c r="AB452" t="s">
        <v>680</v>
      </c>
      <c r="AC452" s="30" t="s">
        <v>830</v>
      </c>
      <c r="AD452" t="s">
        <v>831</v>
      </c>
      <c r="AE452" t="s">
        <v>832</v>
      </c>
      <c r="AF452" s="36">
        <v>523537</v>
      </c>
      <c r="AG452" s="36">
        <v>523537</v>
      </c>
      <c r="AH452" s="24"/>
      <c r="AJ452" s="34"/>
      <c r="AK452" t="s">
        <v>923</v>
      </c>
      <c r="AL452" t="s">
        <v>232</v>
      </c>
      <c r="AM452" s="34" t="s">
        <v>925</v>
      </c>
      <c r="AN452" s="34">
        <v>43032</v>
      </c>
      <c r="AO452" s="24">
        <v>12</v>
      </c>
      <c r="AP452" t="s">
        <v>940</v>
      </c>
      <c r="AR452" s="35"/>
      <c r="AS452"/>
      <c r="AT452" s="34"/>
      <c r="AV452" s="34"/>
      <c r="AX452" s="34"/>
      <c r="AY452"/>
      <c r="BA452" s="34"/>
      <c r="BB452"/>
      <c r="BC452" t="s">
        <v>834</v>
      </c>
      <c r="BD452" s="36">
        <v>523537</v>
      </c>
      <c r="BE452" s="36">
        <v>523537</v>
      </c>
      <c r="BF452">
        <v>0</v>
      </c>
      <c r="BG452" s="34">
        <v>43344</v>
      </c>
      <c r="BH452">
        <v>60</v>
      </c>
      <c r="BI452" t="s">
        <v>283</v>
      </c>
      <c r="BJ452" t="s">
        <v>928</v>
      </c>
      <c r="BK452" t="s">
        <v>234</v>
      </c>
      <c r="BL452" t="s">
        <v>194</v>
      </c>
      <c r="BM452" s="8" t="s">
        <v>192</v>
      </c>
      <c r="BN452" t="s">
        <v>189</v>
      </c>
      <c r="BO452" t="s">
        <v>190</v>
      </c>
      <c r="BP452" s="35" t="s">
        <v>726</v>
      </c>
      <c r="BQ452"/>
      <c r="BU452" s="35"/>
      <c r="BV452" s="35"/>
      <c r="BX452"/>
      <c r="CA452" s="35"/>
      <c r="CB452" s="35"/>
      <c r="CC452"/>
      <c r="CG452" s="35"/>
      <c r="CH452" s="35"/>
      <c r="CK452"/>
      <c r="CM452" s="35"/>
      <c r="CN452" s="35"/>
      <c r="CQ452"/>
      <c r="CS452" s="35"/>
      <c r="CT452" s="35"/>
      <c r="CX452"/>
      <c r="CZ452" s="35"/>
      <c r="DD452" s="34"/>
      <c r="DG452" t="s">
        <v>833</v>
      </c>
      <c r="DH452" t="s">
        <v>967</v>
      </c>
      <c r="DI452" t="s">
        <v>233</v>
      </c>
      <c r="DL452" t="s">
        <v>680</v>
      </c>
      <c r="DM452">
        <v>5</v>
      </c>
      <c r="DN452">
        <v>7</v>
      </c>
      <c r="DO452" t="s">
        <v>750</v>
      </c>
      <c r="DQ452" t="s">
        <v>927</v>
      </c>
      <c r="DR452">
        <v>14</v>
      </c>
      <c r="DS452">
        <v>0</v>
      </c>
      <c r="DU452">
        <v>14</v>
      </c>
      <c r="DV452">
        <v>0</v>
      </c>
      <c r="DX452">
        <v>14</v>
      </c>
      <c r="DY452">
        <v>0</v>
      </c>
      <c r="DZ452" t="s">
        <v>246</v>
      </c>
      <c r="EA452" t="s">
        <v>929</v>
      </c>
    </row>
    <row r="453" spans="1:131" x14ac:dyDescent="0.4">
      <c r="A453" s="34">
        <v>43067.305104166669</v>
      </c>
      <c r="B453" s="25">
        <v>42935.69027777778</v>
      </c>
      <c r="D453" s="34"/>
      <c r="E453" s="34" t="s">
        <v>193</v>
      </c>
      <c r="F453" s="34" t="s">
        <v>191</v>
      </c>
      <c r="G453" s="34" t="s">
        <v>100</v>
      </c>
      <c r="H453" t="s">
        <v>279</v>
      </c>
      <c r="I453" t="s">
        <v>243</v>
      </c>
      <c r="J453" t="s">
        <v>712</v>
      </c>
      <c r="K453" t="s">
        <v>713</v>
      </c>
      <c r="L453" t="s">
        <v>711</v>
      </c>
      <c r="M453" s="30">
        <v>2.12</v>
      </c>
      <c r="N453">
        <v>6.5</v>
      </c>
      <c r="P453" s="24" t="str">
        <f>IFERROR(MID(RADataTable[[#This Row],[RATemplate]],1,LEN(RADataTable[[#This Row],[RATemplate]])-8),"RA") &amp; " " &amp; RADataTable[[#This Row],[prop_id0]] &amp; " " &amp; RADataTable[[#This Row],[last0]]</f>
        <v>RA 1751102 Vouga</v>
      </c>
      <c r="T453">
        <v>4</v>
      </c>
      <c r="U453">
        <v>4</v>
      </c>
      <c r="V453" s="34">
        <v>43031.392361111109</v>
      </c>
      <c r="W453">
        <v>1</v>
      </c>
      <c r="X453" s="15" t="str">
        <f>HYPERLINK("https://www.ejacket.nsf.gov/ej/showProposal.do?Continue=Y&amp;ID="&amp;RADataTable[[#This Row],[prop_id0]],"eJ")</f>
        <v>eJ</v>
      </c>
      <c r="Y453" s="15" t="str">
        <f>HYPERLINK("mailto:"&amp;RADataTable[[#This Row],[email]]&amp;"&amp;subject=Your NSF Proposal:  "&amp;RADataTable[[#This Row],[Div]]&amp;" "&amp;RADataTable[[#This Row],[prop_id0]], RADataTable[[#This Row],[email]])</f>
        <v>evouga@cs.utexas.edu</v>
      </c>
      <c r="Z453" s="15" t="str">
        <f>HYPERLINK("mailto:"&amp;RADataTable[[#This Row],[allPIemail]]&amp;"&amp;subject=NSF Proposal:  "&amp;RADataTable[[#This Row],[Div]]&amp;" "&amp;RADataTable[[#This Row],[prop_id0]], "PIs@")</f>
        <v>PIs@</v>
      </c>
      <c r="AA453" t="s">
        <v>245</v>
      </c>
      <c r="AB453" t="s">
        <v>680</v>
      </c>
      <c r="AC453" s="30" t="s">
        <v>830</v>
      </c>
      <c r="AD453" t="s">
        <v>831</v>
      </c>
      <c r="AE453" t="s">
        <v>832</v>
      </c>
      <c r="AF453" s="36">
        <v>523537</v>
      </c>
      <c r="AG453" s="36">
        <v>523537</v>
      </c>
      <c r="AH453" s="24"/>
      <c r="AJ453" s="34"/>
      <c r="AK453" t="s">
        <v>923</v>
      </c>
      <c r="AL453" t="s">
        <v>232</v>
      </c>
      <c r="AM453" s="34" t="s">
        <v>925</v>
      </c>
      <c r="AN453" s="34">
        <v>43032</v>
      </c>
      <c r="AO453" s="24">
        <v>12</v>
      </c>
      <c r="AP453" t="s">
        <v>940</v>
      </c>
      <c r="AR453" s="35"/>
      <c r="AS453"/>
      <c r="AT453" s="34"/>
      <c r="AV453" s="34"/>
      <c r="AX453" s="34"/>
      <c r="AY453"/>
      <c r="BA453" s="34"/>
      <c r="BB453"/>
      <c r="BC453" t="s">
        <v>834</v>
      </c>
      <c r="BD453" s="36">
        <v>523537</v>
      </c>
      <c r="BE453" s="36">
        <v>523537</v>
      </c>
      <c r="BF453">
        <v>0</v>
      </c>
      <c r="BG453" s="34">
        <v>43344</v>
      </c>
      <c r="BH453">
        <v>60</v>
      </c>
      <c r="BI453" t="s">
        <v>283</v>
      </c>
      <c r="BJ453" t="s">
        <v>928</v>
      </c>
      <c r="BK453" t="s">
        <v>234</v>
      </c>
      <c r="BL453" t="s">
        <v>194</v>
      </c>
      <c r="BM453" s="8" t="s">
        <v>192</v>
      </c>
      <c r="BN453" t="s">
        <v>189</v>
      </c>
      <c r="BO453" t="s">
        <v>190</v>
      </c>
      <c r="BP453" s="35" t="s">
        <v>726</v>
      </c>
      <c r="BQ453"/>
      <c r="BU453" s="35"/>
      <c r="BV453" s="35"/>
      <c r="BX453"/>
      <c r="CA453" s="35"/>
      <c r="CB453" s="35"/>
      <c r="CC453"/>
      <c r="CG453" s="35"/>
      <c r="CH453" s="35"/>
      <c r="CK453"/>
      <c r="CM453" s="35"/>
      <c r="CN453" s="35"/>
      <c r="CQ453"/>
      <c r="CS453" s="35"/>
      <c r="CT453" s="35"/>
      <c r="CX453"/>
      <c r="CZ453" s="35"/>
      <c r="DD453" s="34"/>
      <c r="DG453" t="s">
        <v>833</v>
      </c>
      <c r="DH453" t="s">
        <v>967</v>
      </c>
      <c r="DI453" t="s">
        <v>233</v>
      </c>
      <c r="DL453" t="s">
        <v>680</v>
      </c>
      <c r="DM453">
        <v>5</v>
      </c>
      <c r="DN453">
        <v>7</v>
      </c>
      <c r="DO453" t="s">
        <v>750</v>
      </c>
      <c r="DQ453" t="s">
        <v>927</v>
      </c>
      <c r="DR453">
        <v>14</v>
      </c>
      <c r="DS453">
        <v>0</v>
      </c>
      <c r="DU453">
        <v>14</v>
      </c>
      <c r="DV453">
        <v>0</v>
      </c>
      <c r="DX453">
        <v>14</v>
      </c>
      <c r="DY453">
        <v>0</v>
      </c>
      <c r="DZ453" t="s">
        <v>246</v>
      </c>
      <c r="EA453" t="s">
        <v>929</v>
      </c>
    </row>
    <row r="454" spans="1:131" x14ac:dyDescent="0.4">
      <c r="A454" s="34">
        <v>43067.305104166669</v>
      </c>
      <c r="B454" s="25">
        <v>42935.69027777778</v>
      </c>
      <c r="D454" s="34"/>
      <c r="E454" s="34" t="s">
        <v>193</v>
      </c>
      <c r="F454" s="34" t="s">
        <v>191</v>
      </c>
      <c r="G454" s="34" t="s">
        <v>100</v>
      </c>
      <c r="H454" t="s">
        <v>279</v>
      </c>
      <c r="I454" t="s">
        <v>243</v>
      </c>
      <c r="J454" t="s">
        <v>712</v>
      </c>
      <c r="K454" t="s">
        <v>713</v>
      </c>
      <c r="L454" t="s">
        <v>711</v>
      </c>
      <c r="M454" s="30">
        <v>2.12</v>
      </c>
      <c r="N454">
        <v>6.5</v>
      </c>
      <c r="P454" s="24" t="str">
        <f>IFERROR(MID(RADataTable[[#This Row],[RATemplate]],1,LEN(RADataTable[[#This Row],[RATemplate]])-8),"RA") &amp; " " &amp; RADataTable[[#This Row],[prop_id0]] &amp; " " &amp; RADataTable[[#This Row],[last0]]</f>
        <v>RA 1751102 Vouga</v>
      </c>
      <c r="T454">
        <v>4</v>
      </c>
      <c r="U454">
        <v>4</v>
      </c>
      <c r="V454" s="34">
        <v>43031.392361111109</v>
      </c>
      <c r="W454">
        <v>1</v>
      </c>
      <c r="X454" s="15" t="str">
        <f>HYPERLINK("https://www.ejacket.nsf.gov/ej/showProposal.do?Continue=Y&amp;ID="&amp;RADataTable[[#This Row],[prop_id0]],"eJ")</f>
        <v>eJ</v>
      </c>
      <c r="Y454" s="15" t="str">
        <f>HYPERLINK("mailto:"&amp;RADataTable[[#This Row],[email]]&amp;"&amp;subject=Your NSF Proposal:  "&amp;RADataTable[[#This Row],[Div]]&amp;" "&amp;RADataTable[[#This Row],[prop_id0]], RADataTable[[#This Row],[email]])</f>
        <v>evouga@cs.utexas.edu</v>
      </c>
      <c r="Z454" s="15" t="str">
        <f>HYPERLINK("mailto:"&amp;RADataTable[[#This Row],[allPIemail]]&amp;"&amp;subject=NSF Proposal:  "&amp;RADataTable[[#This Row],[Div]]&amp;" "&amp;RADataTable[[#This Row],[prop_id0]], "PIs@")</f>
        <v>PIs@</v>
      </c>
      <c r="AA454" t="s">
        <v>245</v>
      </c>
      <c r="AB454" t="s">
        <v>680</v>
      </c>
      <c r="AC454" s="30" t="s">
        <v>830</v>
      </c>
      <c r="AD454" t="s">
        <v>831</v>
      </c>
      <c r="AE454" t="s">
        <v>832</v>
      </c>
      <c r="AF454" s="36">
        <v>523537</v>
      </c>
      <c r="AG454" s="36">
        <v>523537</v>
      </c>
      <c r="AH454" s="24"/>
      <c r="AJ454" s="34"/>
      <c r="AK454" t="s">
        <v>923</v>
      </c>
      <c r="AL454" t="s">
        <v>232</v>
      </c>
      <c r="AM454" s="34" t="s">
        <v>925</v>
      </c>
      <c r="AN454" s="34">
        <v>43032</v>
      </c>
      <c r="AO454" s="24">
        <v>12</v>
      </c>
      <c r="AP454" t="s">
        <v>940</v>
      </c>
      <c r="AR454" s="35"/>
      <c r="AS454"/>
      <c r="AT454" s="34"/>
      <c r="AV454" s="34"/>
      <c r="AX454" s="34"/>
      <c r="AY454"/>
      <c r="BA454" s="34"/>
      <c r="BB454"/>
      <c r="BC454" t="s">
        <v>834</v>
      </c>
      <c r="BD454" s="36">
        <v>523537</v>
      </c>
      <c r="BE454" s="36">
        <v>523537</v>
      </c>
      <c r="BF454">
        <v>0</v>
      </c>
      <c r="BG454" s="34">
        <v>43344</v>
      </c>
      <c r="BH454">
        <v>60</v>
      </c>
      <c r="BI454" t="s">
        <v>283</v>
      </c>
      <c r="BJ454" t="s">
        <v>928</v>
      </c>
      <c r="BK454" t="s">
        <v>234</v>
      </c>
      <c r="BL454" t="s">
        <v>194</v>
      </c>
      <c r="BM454" s="8" t="s">
        <v>192</v>
      </c>
      <c r="BN454" t="s">
        <v>189</v>
      </c>
      <c r="BO454" t="s">
        <v>190</v>
      </c>
      <c r="BP454" s="35" t="s">
        <v>726</v>
      </c>
      <c r="BQ454"/>
      <c r="BU454" s="35"/>
      <c r="BV454" s="35"/>
      <c r="BX454"/>
      <c r="CA454" s="35"/>
      <c r="CB454" s="35"/>
      <c r="CC454"/>
      <c r="CG454" s="35"/>
      <c r="CH454" s="35"/>
      <c r="CK454"/>
      <c r="CM454" s="35"/>
      <c r="CN454" s="35"/>
      <c r="CQ454"/>
      <c r="CS454" s="35"/>
      <c r="CT454" s="35"/>
      <c r="CX454"/>
      <c r="CZ454" s="35"/>
      <c r="DD454" s="34"/>
      <c r="DG454" t="s">
        <v>833</v>
      </c>
      <c r="DH454" t="s">
        <v>967</v>
      </c>
      <c r="DI454" t="s">
        <v>233</v>
      </c>
      <c r="DL454" t="s">
        <v>680</v>
      </c>
      <c r="DM454">
        <v>5</v>
      </c>
      <c r="DN454">
        <v>7</v>
      </c>
      <c r="DO454" t="s">
        <v>750</v>
      </c>
      <c r="DQ454" t="s">
        <v>927</v>
      </c>
      <c r="DR454">
        <v>14</v>
      </c>
      <c r="DS454">
        <v>0</v>
      </c>
      <c r="DU454">
        <v>14</v>
      </c>
      <c r="DV454">
        <v>0</v>
      </c>
      <c r="DX454">
        <v>14</v>
      </c>
      <c r="DY454">
        <v>0</v>
      </c>
      <c r="DZ454" t="s">
        <v>246</v>
      </c>
      <c r="EA454" t="s">
        <v>929</v>
      </c>
    </row>
    <row r="455" spans="1:131" x14ac:dyDescent="0.4">
      <c r="A455" s="34">
        <v>43067.305104166669</v>
      </c>
      <c r="B455" s="25">
        <v>42935.69027777778</v>
      </c>
      <c r="D455" s="34"/>
      <c r="E455" s="34" t="s">
        <v>193</v>
      </c>
      <c r="F455" s="34" t="s">
        <v>191</v>
      </c>
      <c r="G455" s="34" t="s">
        <v>100</v>
      </c>
      <c r="H455" t="s">
        <v>279</v>
      </c>
      <c r="I455" t="s">
        <v>243</v>
      </c>
      <c r="J455" t="s">
        <v>712</v>
      </c>
      <c r="K455" t="s">
        <v>713</v>
      </c>
      <c r="L455" t="s">
        <v>711</v>
      </c>
      <c r="M455" s="30">
        <v>2.12</v>
      </c>
      <c r="N455">
        <v>6.5</v>
      </c>
      <c r="P455" s="24" t="str">
        <f>IFERROR(MID(RADataTable[[#This Row],[RATemplate]],1,LEN(RADataTable[[#This Row],[RATemplate]])-8),"RA") &amp; " " &amp; RADataTable[[#This Row],[prop_id0]] &amp; " " &amp; RADataTable[[#This Row],[last0]]</f>
        <v>RA 1751102 Vouga</v>
      </c>
      <c r="T455">
        <v>4</v>
      </c>
      <c r="U455">
        <v>4</v>
      </c>
      <c r="V455" s="34">
        <v>43031.392361111109</v>
      </c>
      <c r="W455">
        <v>1</v>
      </c>
      <c r="X455" s="15" t="str">
        <f>HYPERLINK("https://www.ejacket.nsf.gov/ej/showProposal.do?Continue=Y&amp;ID="&amp;RADataTable[[#This Row],[prop_id0]],"eJ")</f>
        <v>eJ</v>
      </c>
      <c r="Y455" s="15" t="str">
        <f>HYPERLINK("mailto:"&amp;RADataTable[[#This Row],[email]]&amp;"&amp;subject=Your NSF Proposal:  "&amp;RADataTable[[#This Row],[Div]]&amp;" "&amp;RADataTable[[#This Row],[prop_id0]], RADataTable[[#This Row],[email]])</f>
        <v>evouga@cs.utexas.edu</v>
      </c>
      <c r="Z455" s="15" t="str">
        <f>HYPERLINK("mailto:"&amp;RADataTable[[#This Row],[allPIemail]]&amp;"&amp;subject=NSF Proposal:  "&amp;RADataTable[[#This Row],[Div]]&amp;" "&amp;RADataTable[[#This Row],[prop_id0]], "PIs@")</f>
        <v>PIs@</v>
      </c>
      <c r="AA455" t="s">
        <v>245</v>
      </c>
      <c r="AB455" t="s">
        <v>680</v>
      </c>
      <c r="AC455" s="30" t="s">
        <v>830</v>
      </c>
      <c r="AD455" t="s">
        <v>831</v>
      </c>
      <c r="AE455" t="s">
        <v>832</v>
      </c>
      <c r="AF455" s="36">
        <v>523537</v>
      </c>
      <c r="AG455" s="36">
        <v>523537</v>
      </c>
      <c r="AH455" s="24"/>
      <c r="AJ455" s="34"/>
      <c r="AK455" t="s">
        <v>923</v>
      </c>
      <c r="AL455" t="s">
        <v>232</v>
      </c>
      <c r="AM455" s="34" t="s">
        <v>925</v>
      </c>
      <c r="AN455" s="34">
        <v>43032</v>
      </c>
      <c r="AO455" s="24">
        <v>12</v>
      </c>
      <c r="AP455" t="s">
        <v>940</v>
      </c>
      <c r="AR455" s="35"/>
      <c r="AS455"/>
      <c r="AT455" s="34"/>
      <c r="AV455" s="34"/>
      <c r="AX455" s="34"/>
      <c r="AY455"/>
      <c r="BA455" s="34"/>
      <c r="BB455"/>
      <c r="BC455" t="s">
        <v>834</v>
      </c>
      <c r="BD455" s="36">
        <v>523537</v>
      </c>
      <c r="BE455" s="36">
        <v>523537</v>
      </c>
      <c r="BF455">
        <v>0</v>
      </c>
      <c r="BG455" s="34">
        <v>43344</v>
      </c>
      <c r="BH455">
        <v>60</v>
      </c>
      <c r="BI455" t="s">
        <v>283</v>
      </c>
      <c r="BJ455" t="s">
        <v>928</v>
      </c>
      <c r="BK455" t="s">
        <v>234</v>
      </c>
      <c r="BL455" t="s">
        <v>194</v>
      </c>
      <c r="BM455" s="8" t="s">
        <v>192</v>
      </c>
      <c r="BN455" t="s">
        <v>189</v>
      </c>
      <c r="BO455" t="s">
        <v>190</v>
      </c>
      <c r="BP455" s="35" t="s">
        <v>726</v>
      </c>
      <c r="BQ455"/>
      <c r="BU455" s="35"/>
      <c r="BV455" s="35"/>
      <c r="BX455"/>
      <c r="CA455" s="35"/>
      <c r="CB455" s="35"/>
      <c r="CC455"/>
      <c r="CG455" s="35"/>
      <c r="CH455" s="35"/>
      <c r="CK455"/>
      <c r="CM455" s="35"/>
      <c r="CN455" s="35"/>
      <c r="CQ455"/>
      <c r="CS455" s="35"/>
      <c r="CT455" s="35"/>
      <c r="CX455"/>
      <c r="CZ455" s="35"/>
      <c r="DD455" s="34"/>
      <c r="DG455" t="s">
        <v>833</v>
      </c>
      <c r="DH455" t="s">
        <v>967</v>
      </c>
      <c r="DI455" t="s">
        <v>233</v>
      </c>
      <c r="DL455" t="s">
        <v>680</v>
      </c>
      <c r="DM455">
        <v>5</v>
      </c>
      <c r="DN455">
        <v>7</v>
      </c>
      <c r="DO455" t="s">
        <v>750</v>
      </c>
      <c r="DQ455" t="s">
        <v>927</v>
      </c>
      <c r="DR455">
        <v>14</v>
      </c>
      <c r="DS455">
        <v>0</v>
      </c>
      <c r="DU455">
        <v>14</v>
      </c>
      <c r="DV455">
        <v>0</v>
      </c>
      <c r="DX455">
        <v>14</v>
      </c>
      <c r="DY455">
        <v>0</v>
      </c>
      <c r="DZ455" t="s">
        <v>246</v>
      </c>
      <c r="EA455" t="s">
        <v>929</v>
      </c>
    </row>
    <row r="456" spans="1:131" x14ac:dyDescent="0.4">
      <c r="A456" s="34">
        <v>43067.305104166669</v>
      </c>
      <c r="B456" s="25">
        <v>42935.69027777778</v>
      </c>
      <c r="D456" s="34"/>
      <c r="E456" s="34" t="s">
        <v>193</v>
      </c>
      <c r="F456" s="34" t="s">
        <v>191</v>
      </c>
      <c r="G456" s="34" t="s">
        <v>100</v>
      </c>
      <c r="H456" t="s">
        <v>279</v>
      </c>
      <c r="I456" t="s">
        <v>243</v>
      </c>
      <c r="J456" t="s">
        <v>712</v>
      </c>
      <c r="K456" t="s">
        <v>713</v>
      </c>
      <c r="L456" t="s">
        <v>711</v>
      </c>
      <c r="M456" s="30">
        <v>2.12</v>
      </c>
      <c r="N456">
        <v>6.5</v>
      </c>
      <c r="P456" s="24" t="str">
        <f>IFERROR(MID(RADataTable[[#This Row],[RATemplate]],1,LEN(RADataTable[[#This Row],[RATemplate]])-8),"RA") &amp; " " &amp; RADataTable[[#This Row],[prop_id0]] &amp; " " &amp; RADataTable[[#This Row],[last0]]</f>
        <v>RA 1751102 Vouga</v>
      </c>
      <c r="T456">
        <v>4</v>
      </c>
      <c r="U456">
        <v>4</v>
      </c>
      <c r="V456" s="34">
        <v>43031.392361111109</v>
      </c>
      <c r="W456">
        <v>1</v>
      </c>
      <c r="X456" s="15" t="str">
        <f>HYPERLINK("https://www.ejacket.nsf.gov/ej/showProposal.do?Continue=Y&amp;ID="&amp;RADataTable[[#This Row],[prop_id0]],"eJ")</f>
        <v>eJ</v>
      </c>
      <c r="Y456" s="15" t="str">
        <f>HYPERLINK("mailto:"&amp;RADataTable[[#This Row],[email]]&amp;"&amp;subject=Your NSF Proposal:  "&amp;RADataTable[[#This Row],[Div]]&amp;" "&amp;RADataTable[[#This Row],[prop_id0]], RADataTable[[#This Row],[email]])</f>
        <v>evouga@cs.utexas.edu</v>
      </c>
      <c r="Z456" s="15" t="str">
        <f>HYPERLINK("mailto:"&amp;RADataTable[[#This Row],[allPIemail]]&amp;"&amp;subject=NSF Proposal:  "&amp;RADataTable[[#This Row],[Div]]&amp;" "&amp;RADataTable[[#This Row],[prop_id0]], "PIs@")</f>
        <v>PIs@</v>
      </c>
      <c r="AA456" t="s">
        <v>245</v>
      </c>
      <c r="AB456" t="s">
        <v>680</v>
      </c>
      <c r="AC456" s="30" t="s">
        <v>830</v>
      </c>
      <c r="AD456" t="s">
        <v>831</v>
      </c>
      <c r="AE456" t="s">
        <v>832</v>
      </c>
      <c r="AF456" s="36">
        <v>523537</v>
      </c>
      <c r="AG456" s="36">
        <v>523537</v>
      </c>
      <c r="AH456" s="24"/>
      <c r="AJ456" s="34"/>
      <c r="AK456" t="s">
        <v>923</v>
      </c>
      <c r="AL456" t="s">
        <v>232</v>
      </c>
      <c r="AM456" s="34" t="s">
        <v>925</v>
      </c>
      <c r="AN456" s="34">
        <v>43032</v>
      </c>
      <c r="AO456" s="24">
        <v>12</v>
      </c>
      <c r="AP456" t="s">
        <v>940</v>
      </c>
      <c r="AR456" s="35"/>
      <c r="AS456"/>
      <c r="AT456" s="34"/>
      <c r="AV456" s="34"/>
      <c r="AX456" s="34"/>
      <c r="AY456"/>
      <c r="BA456" s="34"/>
      <c r="BB456"/>
      <c r="BC456" t="s">
        <v>834</v>
      </c>
      <c r="BD456" s="36">
        <v>523537</v>
      </c>
      <c r="BE456" s="36">
        <v>523537</v>
      </c>
      <c r="BF456">
        <v>0</v>
      </c>
      <c r="BG456" s="34">
        <v>43344</v>
      </c>
      <c r="BH456">
        <v>60</v>
      </c>
      <c r="BI456" t="s">
        <v>283</v>
      </c>
      <c r="BJ456" t="s">
        <v>928</v>
      </c>
      <c r="BK456" t="s">
        <v>234</v>
      </c>
      <c r="BL456" t="s">
        <v>194</v>
      </c>
      <c r="BM456" s="8" t="s">
        <v>192</v>
      </c>
      <c r="BN456" t="s">
        <v>189</v>
      </c>
      <c r="BO456" t="s">
        <v>190</v>
      </c>
      <c r="BP456" s="35" t="s">
        <v>726</v>
      </c>
      <c r="BQ456"/>
      <c r="BU456" s="35"/>
      <c r="BV456" s="35"/>
      <c r="BX456"/>
      <c r="CA456" s="35"/>
      <c r="CB456" s="35"/>
      <c r="CC456"/>
      <c r="CG456" s="35"/>
      <c r="CH456" s="35"/>
      <c r="CK456"/>
      <c r="CM456" s="35"/>
      <c r="CN456" s="35"/>
      <c r="CQ456"/>
      <c r="CS456" s="35"/>
      <c r="CT456" s="35"/>
      <c r="CX456"/>
      <c r="CZ456" s="35"/>
      <c r="DD456" s="34"/>
      <c r="DG456" t="s">
        <v>833</v>
      </c>
      <c r="DH456" t="s">
        <v>967</v>
      </c>
      <c r="DI456" t="s">
        <v>233</v>
      </c>
      <c r="DL456" t="s">
        <v>680</v>
      </c>
      <c r="DM456">
        <v>5</v>
      </c>
      <c r="DN456">
        <v>7</v>
      </c>
      <c r="DO456" t="s">
        <v>750</v>
      </c>
      <c r="DQ456" t="s">
        <v>927</v>
      </c>
      <c r="DR456">
        <v>14</v>
      </c>
      <c r="DS456">
        <v>0</v>
      </c>
      <c r="DU456">
        <v>14</v>
      </c>
      <c r="DV456">
        <v>0</v>
      </c>
      <c r="DX456">
        <v>14</v>
      </c>
      <c r="DY456">
        <v>0</v>
      </c>
      <c r="DZ456" t="s">
        <v>246</v>
      </c>
      <c r="EA456" t="s">
        <v>929</v>
      </c>
    </row>
    <row r="457" spans="1:131" x14ac:dyDescent="0.4">
      <c r="A457" s="34">
        <v>43067.305104166669</v>
      </c>
      <c r="B457" s="25">
        <v>42935.69027777778</v>
      </c>
      <c r="D457" s="34"/>
      <c r="E457" s="34" t="s">
        <v>193</v>
      </c>
      <c r="F457" s="34" t="s">
        <v>191</v>
      </c>
      <c r="G457" s="34" t="s">
        <v>100</v>
      </c>
      <c r="H457" t="s">
        <v>279</v>
      </c>
      <c r="I457" t="s">
        <v>243</v>
      </c>
      <c r="J457" t="s">
        <v>712</v>
      </c>
      <c r="K457" t="s">
        <v>713</v>
      </c>
      <c r="L457" t="s">
        <v>711</v>
      </c>
      <c r="M457" s="30">
        <v>2.12</v>
      </c>
      <c r="N457">
        <v>6.5</v>
      </c>
      <c r="P457" s="24" t="str">
        <f>IFERROR(MID(RADataTable[[#This Row],[RATemplate]],1,LEN(RADataTable[[#This Row],[RATemplate]])-8),"RA") &amp; " " &amp; RADataTable[[#This Row],[prop_id0]] &amp; " " &amp; RADataTable[[#This Row],[last0]]</f>
        <v>RA 1751102 Vouga</v>
      </c>
      <c r="T457">
        <v>4</v>
      </c>
      <c r="U457">
        <v>4</v>
      </c>
      <c r="V457" s="34">
        <v>43031.392361111109</v>
      </c>
      <c r="W457">
        <v>1</v>
      </c>
      <c r="X457" s="15" t="str">
        <f>HYPERLINK("https://www.ejacket.nsf.gov/ej/showProposal.do?Continue=Y&amp;ID="&amp;RADataTable[[#This Row],[prop_id0]],"eJ")</f>
        <v>eJ</v>
      </c>
      <c r="Y457" s="15" t="str">
        <f>HYPERLINK("mailto:"&amp;RADataTable[[#This Row],[email]]&amp;"&amp;subject=Your NSF Proposal:  "&amp;RADataTable[[#This Row],[Div]]&amp;" "&amp;RADataTable[[#This Row],[prop_id0]], RADataTable[[#This Row],[email]])</f>
        <v>evouga@cs.utexas.edu</v>
      </c>
      <c r="Z457" s="15" t="str">
        <f>HYPERLINK("mailto:"&amp;RADataTable[[#This Row],[allPIemail]]&amp;"&amp;subject=NSF Proposal:  "&amp;RADataTable[[#This Row],[Div]]&amp;" "&amp;RADataTable[[#This Row],[prop_id0]], "PIs@")</f>
        <v>PIs@</v>
      </c>
      <c r="AA457" t="s">
        <v>245</v>
      </c>
      <c r="AB457" t="s">
        <v>680</v>
      </c>
      <c r="AC457" s="30" t="s">
        <v>830</v>
      </c>
      <c r="AD457" t="s">
        <v>831</v>
      </c>
      <c r="AE457" t="s">
        <v>832</v>
      </c>
      <c r="AF457" s="36">
        <v>523537</v>
      </c>
      <c r="AG457" s="36">
        <v>523537</v>
      </c>
      <c r="AH457" s="24"/>
      <c r="AJ457" s="34"/>
      <c r="AK457" t="s">
        <v>923</v>
      </c>
      <c r="AL457" t="s">
        <v>232</v>
      </c>
      <c r="AM457" s="34" t="s">
        <v>925</v>
      </c>
      <c r="AN457" s="34">
        <v>43032</v>
      </c>
      <c r="AO457" s="24">
        <v>12</v>
      </c>
      <c r="AP457" t="s">
        <v>940</v>
      </c>
      <c r="AR457" s="35"/>
      <c r="AS457"/>
      <c r="AT457" s="34"/>
      <c r="AV457" s="34"/>
      <c r="AX457" s="34"/>
      <c r="AY457"/>
      <c r="BA457" s="34"/>
      <c r="BB457"/>
      <c r="BC457" t="s">
        <v>834</v>
      </c>
      <c r="BD457" s="36">
        <v>523537</v>
      </c>
      <c r="BE457" s="36">
        <v>523537</v>
      </c>
      <c r="BF457">
        <v>0</v>
      </c>
      <c r="BG457" s="34">
        <v>43344</v>
      </c>
      <c r="BH457">
        <v>60</v>
      </c>
      <c r="BI457" t="s">
        <v>283</v>
      </c>
      <c r="BJ457" t="s">
        <v>928</v>
      </c>
      <c r="BK457" t="s">
        <v>234</v>
      </c>
      <c r="BL457" t="s">
        <v>194</v>
      </c>
      <c r="BM457" s="8" t="s">
        <v>192</v>
      </c>
      <c r="BN457" t="s">
        <v>189</v>
      </c>
      <c r="BO457" t="s">
        <v>190</v>
      </c>
      <c r="BP457" s="35" t="s">
        <v>726</v>
      </c>
      <c r="BQ457"/>
      <c r="BU457" s="35"/>
      <c r="BV457" s="35"/>
      <c r="BX457"/>
      <c r="CA457" s="35"/>
      <c r="CB457" s="35"/>
      <c r="CC457"/>
      <c r="CG457" s="35"/>
      <c r="CH457" s="35"/>
      <c r="CK457"/>
      <c r="CM457" s="35"/>
      <c r="CN457" s="35"/>
      <c r="CQ457"/>
      <c r="CS457" s="35"/>
      <c r="CT457" s="35"/>
      <c r="CX457"/>
      <c r="CZ457" s="35"/>
      <c r="DD457" s="34"/>
      <c r="DG457" t="s">
        <v>833</v>
      </c>
      <c r="DH457" t="s">
        <v>967</v>
      </c>
      <c r="DI457" t="s">
        <v>233</v>
      </c>
      <c r="DL457" t="s">
        <v>680</v>
      </c>
      <c r="DM457">
        <v>5</v>
      </c>
      <c r="DN457">
        <v>7</v>
      </c>
      <c r="DO457" t="s">
        <v>750</v>
      </c>
      <c r="DQ457" t="s">
        <v>927</v>
      </c>
      <c r="DR457">
        <v>14</v>
      </c>
      <c r="DS457">
        <v>0</v>
      </c>
      <c r="DU457">
        <v>14</v>
      </c>
      <c r="DV457">
        <v>0</v>
      </c>
      <c r="DX457">
        <v>14</v>
      </c>
      <c r="DY457">
        <v>0</v>
      </c>
      <c r="DZ457" t="s">
        <v>246</v>
      </c>
      <c r="EA457" t="s">
        <v>929</v>
      </c>
    </row>
    <row r="458" spans="1:131" x14ac:dyDescent="0.4">
      <c r="A458" s="34">
        <v>43067.305104166669</v>
      </c>
      <c r="B458" s="25">
        <v>42935.69027777778</v>
      </c>
      <c r="D458" s="34"/>
      <c r="E458" s="34" t="s">
        <v>193</v>
      </c>
      <c r="F458" s="34" t="s">
        <v>191</v>
      </c>
      <c r="G458" s="34" t="s">
        <v>100</v>
      </c>
      <c r="H458" t="s">
        <v>279</v>
      </c>
      <c r="I458" t="s">
        <v>243</v>
      </c>
      <c r="J458" t="s">
        <v>712</v>
      </c>
      <c r="K458" t="s">
        <v>713</v>
      </c>
      <c r="L458" t="s">
        <v>711</v>
      </c>
      <c r="M458" s="30">
        <v>2.12</v>
      </c>
      <c r="N458">
        <v>6.5</v>
      </c>
      <c r="P458" s="24" t="str">
        <f>IFERROR(MID(RADataTable[[#This Row],[RATemplate]],1,LEN(RADataTable[[#This Row],[RATemplate]])-8),"RA") &amp; " " &amp; RADataTable[[#This Row],[prop_id0]] &amp; " " &amp; RADataTable[[#This Row],[last0]]</f>
        <v>RA 1751102 Vouga</v>
      </c>
      <c r="T458">
        <v>4</v>
      </c>
      <c r="U458">
        <v>4</v>
      </c>
      <c r="V458" s="34">
        <v>43031.392361111109</v>
      </c>
      <c r="W458">
        <v>1</v>
      </c>
      <c r="X458" s="15" t="str">
        <f>HYPERLINK("https://www.ejacket.nsf.gov/ej/showProposal.do?Continue=Y&amp;ID="&amp;RADataTable[[#This Row],[prop_id0]],"eJ")</f>
        <v>eJ</v>
      </c>
      <c r="Y458" s="15" t="str">
        <f>HYPERLINK("mailto:"&amp;RADataTable[[#This Row],[email]]&amp;"&amp;subject=Your NSF Proposal:  "&amp;RADataTable[[#This Row],[Div]]&amp;" "&amp;RADataTable[[#This Row],[prop_id0]], RADataTable[[#This Row],[email]])</f>
        <v>evouga@cs.utexas.edu</v>
      </c>
      <c r="Z458" s="15" t="str">
        <f>HYPERLINK("mailto:"&amp;RADataTable[[#This Row],[allPIemail]]&amp;"&amp;subject=NSF Proposal:  "&amp;RADataTable[[#This Row],[Div]]&amp;" "&amp;RADataTable[[#This Row],[prop_id0]], "PIs@")</f>
        <v>PIs@</v>
      </c>
      <c r="AA458" t="s">
        <v>245</v>
      </c>
      <c r="AB458" t="s">
        <v>680</v>
      </c>
      <c r="AC458" s="30" t="s">
        <v>830</v>
      </c>
      <c r="AD458" t="s">
        <v>831</v>
      </c>
      <c r="AE458" t="s">
        <v>832</v>
      </c>
      <c r="AF458" s="36">
        <v>523537</v>
      </c>
      <c r="AG458" s="36">
        <v>523537</v>
      </c>
      <c r="AH458" s="24"/>
      <c r="AJ458" s="34"/>
      <c r="AK458" t="s">
        <v>923</v>
      </c>
      <c r="AL458" t="s">
        <v>232</v>
      </c>
      <c r="AM458" s="34" t="s">
        <v>925</v>
      </c>
      <c r="AN458" s="34">
        <v>43032</v>
      </c>
      <c r="AO458" s="24">
        <v>12</v>
      </c>
      <c r="AP458" t="s">
        <v>940</v>
      </c>
      <c r="AR458" s="35"/>
      <c r="AS458"/>
      <c r="AT458" s="34"/>
      <c r="AV458" s="34"/>
      <c r="AX458" s="34"/>
      <c r="AY458"/>
      <c r="BA458" s="34"/>
      <c r="BB458"/>
      <c r="BC458" t="s">
        <v>834</v>
      </c>
      <c r="BD458" s="36">
        <v>523537</v>
      </c>
      <c r="BE458" s="36">
        <v>523537</v>
      </c>
      <c r="BF458">
        <v>0</v>
      </c>
      <c r="BG458" s="34">
        <v>43344</v>
      </c>
      <c r="BH458">
        <v>60</v>
      </c>
      <c r="BI458" t="s">
        <v>283</v>
      </c>
      <c r="BJ458" t="s">
        <v>928</v>
      </c>
      <c r="BK458" t="s">
        <v>234</v>
      </c>
      <c r="BL458" t="s">
        <v>194</v>
      </c>
      <c r="BM458" s="8" t="s">
        <v>192</v>
      </c>
      <c r="BN458" t="s">
        <v>189</v>
      </c>
      <c r="BO458" t="s">
        <v>190</v>
      </c>
      <c r="BP458" s="35" t="s">
        <v>726</v>
      </c>
      <c r="BQ458"/>
      <c r="BU458" s="35"/>
      <c r="BV458" s="35"/>
      <c r="BX458"/>
      <c r="CA458" s="35"/>
      <c r="CB458" s="35"/>
      <c r="CC458"/>
      <c r="CG458" s="35"/>
      <c r="CH458" s="35"/>
      <c r="CK458"/>
      <c r="CM458" s="35"/>
      <c r="CN458" s="35"/>
      <c r="CQ458"/>
      <c r="CS458" s="35"/>
      <c r="CT458" s="35"/>
      <c r="CX458"/>
      <c r="CZ458" s="35"/>
      <c r="DD458" s="34"/>
      <c r="DG458" t="s">
        <v>833</v>
      </c>
      <c r="DH458" t="s">
        <v>967</v>
      </c>
      <c r="DI458" t="s">
        <v>233</v>
      </c>
      <c r="DL458" t="s">
        <v>680</v>
      </c>
      <c r="DM458">
        <v>5</v>
      </c>
      <c r="DN458">
        <v>7</v>
      </c>
      <c r="DO458" t="s">
        <v>750</v>
      </c>
      <c r="DQ458" t="s">
        <v>927</v>
      </c>
      <c r="DR458">
        <v>14</v>
      </c>
      <c r="DS458">
        <v>0</v>
      </c>
      <c r="DU458">
        <v>14</v>
      </c>
      <c r="DV458">
        <v>0</v>
      </c>
      <c r="DX458">
        <v>14</v>
      </c>
      <c r="DY458">
        <v>0</v>
      </c>
      <c r="DZ458" t="s">
        <v>246</v>
      </c>
      <c r="EA458" t="s">
        <v>929</v>
      </c>
    </row>
    <row r="459" spans="1:131" x14ac:dyDescent="0.4">
      <c r="A459" s="34">
        <v>43067.305104166669</v>
      </c>
      <c r="B459" s="25">
        <v>42935.69027777778</v>
      </c>
      <c r="D459" s="34"/>
      <c r="E459" s="34" t="s">
        <v>193</v>
      </c>
      <c r="F459" s="34" t="s">
        <v>191</v>
      </c>
      <c r="G459" s="34" t="s">
        <v>100</v>
      </c>
      <c r="H459" t="s">
        <v>279</v>
      </c>
      <c r="I459" t="s">
        <v>243</v>
      </c>
      <c r="J459" t="s">
        <v>712</v>
      </c>
      <c r="K459" t="s">
        <v>713</v>
      </c>
      <c r="L459" t="s">
        <v>711</v>
      </c>
      <c r="M459" s="30">
        <v>2.12</v>
      </c>
      <c r="N459">
        <v>6.5</v>
      </c>
      <c r="P459" s="24" t="str">
        <f>IFERROR(MID(RADataTable[[#This Row],[RATemplate]],1,LEN(RADataTable[[#This Row],[RATemplate]])-8),"RA") &amp; " " &amp; RADataTable[[#This Row],[prop_id0]] &amp; " " &amp; RADataTable[[#This Row],[last0]]</f>
        <v>RA 1751102 Vouga</v>
      </c>
      <c r="T459">
        <v>4</v>
      </c>
      <c r="U459">
        <v>4</v>
      </c>
      <c r="V459" s="34">
        <v>43031.392361111109</v>
      </c>
      <c r="W459">
        <v>1</v>
      </c>
      <c r="X459" s="15" t="str">
        <f>HYPERLINK("https://www.ejacket.nsf.gov/ej/showProposal.do?Continue=Y&amp;ID="&amp;RADataTable[[#This Row],[prop_id0]],"eJ")</f>
        <v>eJ</v>
      </c>
      <c r="Y459" s="15" t="str">
        <f>HYPERLINK("mailto:"&amp;RADataTable[[#This Row],[email]]&amp;"&amp;subject=Your NSF Proposal:  "&amp;RADataTable[[#This Row],[Div]]&amp;" "&amp;RADataTable[[#This Row],[prop_id0]], RADataTable[[#This Row],[email]])</f>
        <v>evouga@cs.utexas.edu</v>
      </c>
      <c r="Z459" s="15" t="str">
        <f>HYPERLINK("mailto:"&amp;RADataTable[[#This Row],[allPIemail]]&amp;"&amp;subject=NSF Proposal:  "&amp;RADataTable[[#This Row],[Div]]&amp;" "&amp;RADataTable[[#This Row],[prop_id0]], "PIs@")</f>
        <v>PIs@</v>
      </c>
      <c r="AA459" t="s">
        <v>245</v>
      </c>
      <c r="AB459" t="s">
        <v>680</v>
      </c>
      <c r="AC459" s="30" t="s">
        <v>830</v>
      </c>
      <c r="AD459" t="s">
        <v>831</v>
      </c>
      <c r="AE459" t="s">
        <v>832</v>
      </c>
      <c r="AF459" s="36">
        <v>523537</v>
      </c>
      <c r="AG459" s="36">
        <v>523537</v>
      </c>
      <c r="AH459" s="24"/>
      <c r="AJ459" s="34"/>
      <c r="AK459" t="s">
        <v>923</v>
      </c>
      <c r="AL459" t="s">
        <v>232</v>
      </c>
      <c r="AM459" s="34" t="s">
        <v>925</v>
      </c>
      <c r="AN459" s="34">
        <v>43032</v>
      </c>
      <c r="AO459" s="24">
        <v>12</v>
      </c>
      <c r="AP459" t="s">
        <v>940</v>
      </c>
      <c r="AR459" s="35"/>
      <c r="AS459"/>
      <c r="AT459" s="34"/>
      <c r="AV459" s="34"/>
      <c r="AX459" s="34"/>
      <c r="AY459"/>
      <c r="BA459" s="34"/>
      <c r="BB459"/>
      <c r="BC459" t="s">
        <v>834</v>
      </c>
      <c r="BD459" s="36">
        <v>523537</v>
      </c>
      <c r="BE459" s="36">
        <v>523537</v>
      </c>
      <c r="BF459">
        <v>0</v>
      </c>
      <c r="BG459" s="34">
        <v>43344</v>
      </c>
      <c r="BH459">
        <v>60</v>
      </c>
      <c r="BI459" t="s">
        <v>283</v>
      </c>
      <c r="BJ459" t="s">
        <v>928</v>
      </c>
      <c r="BK459" t="s">
        <v>234</v>
      </c>
      <c r="BL459" t="s">
        <v>194</v>
      </c>
      <c r="BM459" s="8" t="s">
        <v>192</v>
      </c>
      <c r="BN459" t="s">
        <v>189</v>
      </c>
      <c r="BO459" t="s">
        <v>190</v>
      </c>
      <c r="BP459" s="35" t="s">
        <v>726</v>
      </c>
      <c r="BQ459"/>
      <c r="BU459" s="35"/>
      <c r="BV459" s="35"/>
      <c r="BX459"/>
      <c r="CA459" s="35"/>
      <c r="CB459" s="35"/>
      <c r="CC459"/>
      <c r="CG459" s="35"/>
      <c r="CH459" s="35"/>
      <c r="CK459"/>
      <c r="CM459" s="35"/>
      <c r="CN459" s="35"/>
      <c r="CQ459"/>
      <c r="CS459" s="35"/>
      <c r="CT459" s="35"/>
      <c r="CX459"/>
      <c r="CZ459" s="35"/>
      <c r="DD459" s="34"/>
      <c r="DG459" t="s">
        <v>833</v>
      </c>
      <c r="DH459" t="s">
        <v>967</v>
      </c>
      <c r="DI459" t="s">
        <v>233</v>
      </c>
      <c r="DL459" t="s">
        <v>680</v>
      </c>
      <c r="DM459">
        <v>5</v>
      </c>
      <c r="DN459">
        <v>7</v>
      </c>
      <c r="DO459" t="s">
        <v>750</v>
      </c>
      <c r="DQ459" t="s">
        <v>927</v>
      </c>
      <c r="DR459">
        <v>14</v>
      </c>
      <c r="DS459">
        <v>0</v>
      </c>
      <c r="DU459">
        <v>14</v>
      </c>
      <c r="DV459">
        <v>0</v>
      </c>
      <c r="DX459">
        <v>14</v>
      </c>
      <c r="DY459">
        <v>0</v>
      </c>
      <c r="DZ459" t="s">
        <v>246</v>
      </c>
      <c r="EA459" t="s">
        <v>929</v>
      </c>
    </row>
    <row r="460" spans="1:131" x14ac:dyDescent="0.4">
      <c r="A460" s="34">
        <v>43067.305104166669</v>
      </c>
      <c r="B460" s="25">
        <v>42935.69027777778</v>
      </c>
      <c r="D460" s="34"/>
      <c r="E460" s="34" t="s">
        <v>193</v>
      </c>
      <c r="F460" s="34" t="s">
        <v>191</v>
      </c>
      <c r="G460" s="34" t="s">
        <v>100</v>
      </c>
      <c r="H460" t="s">
        <v>279</v>
      </c>
      <c r="I460" t="s">
        <v>243</v>
      </c>
      <c r="J460" t="s">
        <v>712</v>
      </c>
      <c r="K460" t="s">
        <v>713</v>
      </c>
      <c r="L460" t="s">
        <v>711</v>
      </c>
      <c r="M460" s="30">
        <v>2.12</v>
      </c>
      <c r="N460">
        <v>6.5</v>
      </c>
      <c r="P460" s="24" t="str">
        <f>IFERROR(MID(RADataTable[[#This Row],[RATemplate]],1,LEN(RADataTable[[#This Row],[RATemplate]])-8),"RA") &amp; " " &amp; RADataTable[[#This Row],[prop_id0]] &amp; " " &amp; RADataTable[[#This Row],[last0]]</f>
        <v>RA 1751102 Vouga</v>
      </c>
      <c r="T460">
        <v>4</v>
      </c>
      <c r="U460">
        <v>4</v>
      </c>
      <c r="V460" s="34">
        <v>43031.392361111109</v>
      </c>
      <c r="W460">
        <v>1</v>
      </c>
      <c r="X460" s="15" t="str">
        <f>HYPERLINK("https://www.ejacket.nsf.gov/ej/showProposal.do?Continue=Y&amp;ID="&amp;RADataTable[[#This Row],[prop_id0]],"eJ")</f>
        <v>eJ</v>
      </c>
      <c r="Y460" s="15" t="str">
        <f>HYPERLINK("mailto:"&amp;RADataTable[[#This Row],[email]]&amp;"&amp;subject=Your NSF Proposal:  "&amp;RADataTable[[#This Row],[Div]]&amp;" "&amp;RADataTable[[#This Row],[prop_id0]], RADataTable[[#This Row],[email]])</f>
        <v>evouga@cs.utexas.edu</v>
      </c>
      <c r="Z460" s="15" t="str">
        <f>HYPERLINK("mailto:"&amp;RADataTable[[#This Row],[allPIemail]]&amp;"&amp;subject=NSF Proposal:  "&amp;RADataTable[[#This Row],[Div]]&amp;" "&amp;RADataTable[[#This Row],[prop_id0]], "PIs@")</f>
        <v>PIs@</v>
      </c>
      <c r="AA460" t="s">
        <v>245</v>
      </c>
      <c r="AB460" t="s">
        <v>680</v>
      </c>
      <c r="AC460" s="30" t="s">
        <v>830</v>
      </c>
      <c r="AD460" t="s">
        <v>831</v>
      </c>
      <c r="AE460" t="s">
        <v>832</v>
      </c>
      <c r="AF460" s="36">
        <v>523537</v>
      </c>
      <c r="AG460" s="36">
        <v>523537</v>
      </c>
      <c r="AH460" s="24"/>
      <c r="AJ460" s="34"/>
      <c r="AK460" t="s">
        <v>923</v>
      </c>
      <c r="AL460" t="s">
        <v>232</v>
      </c>
      <c r="AM460" s="34" t="s">
        <v>925</v>
      </c>
      <c r="AN460" s="34">
        <v>43032</v>
      </c>
      <c r="AO460" s="24">
        <v>12</v>
      </c>
      <c r="AP460" t="s">
        <v>940</v>
      </c>
      <c r="AR460" s="35"/>
      <c r="AS460"/>
      <c r="AT460" s="34"/>
      <c r="AV460" s="34"/>
      <c r="AX460" s="34"/>
      <c r="AY460"/>
      <c r="BA460" s="34"/>
      <c r="BB460"/>
      <c r="BC460" t="s">
        <v>834</v>
      </c>
      <c r="BD460" s="36">
        <v>523537</v>
      </c>
      <c r="BE460" s="36">
        <v>523537</v>
      </c>
      <c r="BF460">
        <v>0</v>
      </c>
      <c r="BG460" s="34">
        <v>43344</v>
      </c>
      <c r="BH460">
        <v>60</v>
      </c>
      <c r="BI460" t="s">
        <v>283</v>
      </c>
      <c r="BJ460" t="s">
        <v>928</v>
      </c>
      <c r="BK460" t="s">
        <v>234</v>
      </c>
      <c r="BL460" t="s">
        <v>194</v>
      </c>
      <c r="BM460" s="8" t="s">
        <v>192</v>
      </c>
      <c r="BN460" t="s">
        <v>189</v>
      </c>
      <c r="BO460" t="s">
        <v>190</v>
      </c>
      <c r="BP460" s="35" t="s">
        <v>726</v>
      </c>
      <c r="BQ460"/>
      <c r="BU460" s="35"/>
      <c r="BV460" s="35"/>
      <c r="BX460"/>
      <c r="CA460" s="35"/>
      <c r="CB460" s="35"/>
      <c r="CC460"/>
      <c r="CG460" s="35"/>
      <c r="CH460" s="35"/>
      <c r="CK460"/>
      <c r="CM460" s="35"/>
      <c r="CN460" s="35"/>
      <c r="CQ460"/>
      <c r="CS460" s="35"/>
      <c r="CT460" s="35"/>
      <c r="CX460"/>
      <c r="CZ460" s="35"/>
      <c r="DD460" s="34"/>
      <c r="DG460" t="s">
        <v>833</v>
      </c>
      <c r="DH460" t="s">
        <v>967</v>
      </c>
      <c r="DI460" t="s">
        <v>233</v>
      </c>
      <c r="DL460" t="s">
        <v>680</v>
      </c>
      <c r="DM460">
        <v>5</v>
      </c>
      <c r="DN460">
        <v>7</v>
      </c>
      <c r="DO460" t="s">
        <v>750</v>
      </c>
      <c r="DQ460" t="s">
        <v>927</v>
      </c>
      <c r="DR460">
        <v>14</v>
      </c>
      <c r="DS460">
        <v>0</v>
      </c>
      <c r="DU460">
        <v>14</v>
      </c>
      <c r="DV460">
        <v>0</v>
      </c>
      <c r="DX460">
        <v>14</v>
      </c>
      <c r="DY460">
        <v>0</v>
      </c>
      <c r="DZ460" t="s">
        <v>246</v>
      </c>
      <c r="EA460" t="s">
        <v>929</v>
      </c>
    </row>
    <row r="461" spans="1:131" x14ac:dyDescent="0.4">
      <c r="A461" s="34">
        <v>43067.305104166669</v>
      </c>
      <c r="B461" s="25">
        <v>42935.69027777778</v>
      </c>
      <c r="D461" s="34"/>
      <c r="E461" s="34" t="s">
        <v>193</v>
      </c>
      <c r="F461" s="34" t="s">
        <v>191</v>
      </c>
      <c r="G461" s="34" t="s">
        <v>100</v>
      </c>
      <c r="H461" t="s">
        <v>279</v>
      </c>
      <c r="I461" t="s">
        <v>243</v>
      </c>
      <c r="J461" t="s">
        <v>712</v>
      </c>
      <c r="K461" t="s">
        <v>713</v>
      </c>
      <c r="L461" t="s">
        <v>711</v>
      </c>
      <c r="M461" s="30">
        <v>2.12</v>
      </c>
      <c r="N461">
        <v>6.5</v>
      </c>
      <c r="P461" s="24" t="str">
        <f>IFERROR(MID(RADataTable[[#This Row],[RATemplate]],1,LEN(RADataTable[[#This Row],[RATemplate]])-8),"RA") &amp; " " &amp; RADataTable[[#This Row],[prop_id0]] &amp; " " &amp; RADataTable[[#This Row],[last0]]</f>
        <v>RA 1751102 Vouga</v>
      </c>
      <c r="T461">
        <v>4</v>
      </c>
      <c r="U461">
        <v>4</v>
      </c>
      <c r="V461" s="34">
        <v>43031.392361111109</v>
      </c>
      <c r="W461">
        <v>1</v>
      </c>
      <c r="X461" s="15" t="str">
        <f>HYPERLINK("https://www.ejacket.nsf.gov/ej/showProposal.do?Continue=Y&amp;ID="&amp;RADataTable[[#This Row],[prop_id0]],"eJ")</f>
        <v>eJ</v>
      </c>
      <c r="Y461" s="15" t="str">
        <f>HYPERLINK("mailto:"&amp;RADataTable[[#This Row],[email]]&amp;"&amp;subject=Your NSF Proposal:  "&amp;RADataTable[[#This Row],[Div]]&amp;" "&amp;RADataTable[[#This Row],[prop_id0]], RADataTable[[#This Row],[email]])</f>
        <v>evouga@cs.utexas.edu</v>
      </c>
      <c r="Z461" s="15" t="str">
        <f>HYPERLINK("mailto:"&amp;RADataTable[[#This Row],[allPIemail]]&amp;"&amp;subject=NSF Proposal:  "&amp;RADataTable[[#This Row],[Div]]&amp;" "&amp;RADataTable[[#This Row],[prop_id0]], "PIs@")</f>
        <v>PIs@</v>
      </c>
      <c r="AA461" t="s">
        <v>245</v>
      </c>
      <c r="AB461" t="s">
        <v>680</v>
      </c>
      <c r="AC461" s="30" t="s">
        <v>830</v>
      </c>
      <c r="AD461" t="s">
        <v>831</v>
      </c>
      <c r="AE461" t="s">
        <v>832</v>
      </c>
      <c r="AF461" s="36">
        <v>523537</v>
      </c>
      <c r="AG461" s="36">
        <v>523537</v>
      </c>
      <c r="AH461" s="24"/>
      <c r="AJ461" s="34"/>
      <c r="AK461" t="s">
        <v>923</v>
      </c>
      <c r="AL461" t="s">
        <v>232</v>
      </c>
      <c r="AM461" s="34" t="s">
        <v>925</v>
      </c>
      <c r="AN461" s="34">
        <v>43032</v>
      </c>
      <c r="AO461" s="24">
        <v>12</v>
      </c>
      <c r="AP461" t="s">
        <v>940</v>
      </c>
      <c r="AR461" s="35"/>
      <c r="AS461"/>
      <c r="AT461" s="34"/>
      <c r="AV461" s="34"/>
      <c r="AX461" s="34"/>
      <c r="AY461"/>
      <c r="BA461" s="34"/>
      <c r="BB461"/>
      <c r="BC461" t="s">
        <v>834</v>
      </c>
      <c r="BD461" s="36">
        <v>523537</v>
      </c>
      <c r="BE461" s="36">
        <v>523537</v>
      </c>
      <c r="BF461">
        <v>0</v>
      </c>
      <c r="BG461" s="34">
        <v>43344</v>
      </c>
      <c r="BH461">
        <v>60</v>
      </c>
      <c r="BI461" t="s">
        <v>283</v>
      </c>
      <c r="BJ461" t="s">
        <v>928</v>
      </c>
      <c r="BK461" t="s">
        <v>234</v>
      </c>
      <c r="BL461" t="s">
        <v>194</v>
      </c>
      <c r="BM461" s="8" t="s">
        <v>192</v>
      </c>
      <c r="BN461" t="s">
        <v>189</v>
      </c>
      <c r="BO461" t="s">
        <v>190</v>
      </c>
      <c r="BP461" s="35" t="s">
        <v>726</v>
      </c>
      <c r="BQ461"/>
      <c r="BU461" s="35"/>
      <c r="BV461" s="35"/>
      <c r="BX461"/>
      <c r="CA461" s="35"/>
      <c r="CB461" s="35"/>
      <c r="CC461"/>
      <c r="CG461" s="35"/>
      <c r="CH461" s="35"/>
      <c r="CK461"/>
      <c r="CM461" s="35"/>
      <c r="CN461" s="35"/>
      <c r="CQ461"/>
      <c r="CS461" s="35"/>
      <c r="CT461" s="35"/>
      <c r="CX461"/>
      <c r="CZ461" s="35"/>
      <c r="DD461" s="34"/>
      <c r="DG461" t="s">
        <v>833</v>
      </c>
      <c r="DH461" t="s">
        <v>967</v>
      </c>
      <c r="DI461" t="s">
        <v>233</v>
      </c>
      <c r="DL461" t="s">
        <v>680</v>
      </c>
      <c r="DM461">
        <v>5</v>
      </c>
      <c r="DN461">
        <v>7</v>
      </c>
      <c r="DO461" t="s">
        <v>750</v>
      </c>
      <c r="DQ461" t="s">
        <v>927</v>
      </c>
      <c r="DR461">
        <v>14</v>
      </c>
      <c r="DS461">
        <v>0</v>
      </c>
      <c r="DU461">
        <v>14</v>
      </c>
      <c r="DV461">
        <v>0</v>
      </c>
      <c r="DX461">
        <v>14</v>
      </c>
      <c r="DY461">
        <v>0</v>
      </c>
      <c r="DZ461" t="s">
        <v>246</v>
      </c>
      <c r="EA461" t="s">
        <v>929</v>
      </c>
    </row>
    <row r="462" spans="1:131" x14ac:dyDescent="0.4">
      <c r="A462" s="34">
        <v>43067.305104166669</v>
      </c>
      <c r="B462" s="25">
        <v>42935.69027777778</v>
      </c>
      <c r="D462" s="34"/>
      <c r="E462" s="34" t="s">
        <v>193</v>
      </c>
      <c r="F462" s="34" t="s">
        <v>191</v>
      </c>
      <c r="G462" s="34" t="s">
        <v>100</v>
      </c>
      <c r="H462" t="s">
        <v>279</v>
      </c>
      <c r="I462" t="s">
        <v>243</v>
      </c>
      <c r="J462" t="s">
        <v>712</v>
      </c>
      <c r="K462" t="s">
        <v>713</v>
      </c>
      <c r="L462" t="s">
        <v>711</v>
      </c>
      <c r="M462" s="30">
        <v>2.12</v>
      </c>
      <c r="N462">
        <v>6.5</v>
      </c>
      <c r="P462" s="24" t="str">
        <f>IFERROR(MID(RADataTable[[#This Row],[RATemplate]],1,LEN(RADataTable[[#This Row],[RATemplate]])-8),"RA") &amp; " " &amp; RADataTable[[#This Row],[prop_id0]] &amp; " " &amp; RADataTable[[#This Row],[last0]]</f>
        <v>RA 1751102 Vouga</v>
      </c>
      <c r="T462">
        <v>4</v>
      </c>
      <c r="U462">
        <v>4</v>
      </c>
      <c r="V462" s="34">
        <v>43031.392361111109</v>
      </c>
      <c r="W462">
        <v>1</v>
      </c>
      <c r="X462" s="15" t="str">
        <f>HYPERLINK("https://www.ejacket.nsf.gov/ej/showProposal.do?Continue=Y&amp;ID="&amp;RADataTable[[#This Row],[prop_id0]],"eJ")</f>
        <v>eJ</v>
      </c>
      <c r="Y462" s="15" t="str">
        <f>HYPERLINK("mailto:"&amp;RADataTable[[#This Row],[email]]&amp;"&amp;subject=Your NSF Proposal:  "&amp;RADataTable[[#This Row],[Div]]&amp;" "&amp;RADataTable[[#This Row],[prop_id0]], RADataTable[[#This Row],[email]])</f>
        <v>evouga@cs.utexas.edu</v>
      </c>
      <c r="Z462" s="15" t="str">
        <f>HYPERLINK("mailto:"&amp;RADataTable[[#This Row],[allPIemail]]&amp;"&amp;subject=NSF Proposal:  "&amp;RADataTable[[#This Row],[Div]]&amp;" "&amp;RADataTable[[#This Row],[prop_id0]], "PIs@")</f>
        <v>PIs@</v>
      </c>
      <c r="AA462" t="s">
        <v>245</v>
      </c>
      <c r="AB462" t="s">
        <v>680</v>
      </c>
      <c r="AC462" s="30" t="s">
        <v>830</v>
      </c>
      <c r="AD462" t="s">
        <v>831</v>
      </c>
      <c r="AE462" t="s">
        <v>832</v>
      </c>
      <c r="AF462" s="36">
        <v>523537</v>
      </c>
      <c r="AG462" s="36">
        <v>523537</v>
      </c>
      <c r="AH462" s="24"/>
      <c r="AJ462" s="34"/>
      <c r="AK462" t="s">
        <v>923</v>
      </c>
      <c r="AL462" t="s">
        <v>232</v>
      </c>
      <c r="AM462" s="34" t="s">
        <v>925</v>
      </c>
      <c r="AN462" s="34">
        <v>43032</v>
      </c>
      <c r="AO462" s="24">
        <v>12</v>
      </c>
      <c r="AP462" t="s">
        <v>940</v>
      </c>
      <c r="AR462" s="35"/>
      <c r="AS462"/>
      <c r="AT462" s="34"/>
      <c r="AV462" s="34"/>
      <c r="AX462" s="34"/>
      <c r="AY462"/>
      <c r="BA462" s="34"/>
      <c r="BB462"/>
      <c r="BC462" t="s">
        <v>834</v>
      </c>
      <c r="BD462" s="36">
        <v>523537</v>
      </c>
      <c r="BE462" s="36">
        <v>523537</v>
      </c>
      <c r="BF462">
        <v>0</v>
      </c>
      <c r="BG462" s="34">
        <v>43344</v>
      </c>
      <c r="BH462">
        <v>60</v>
      </c>
      <c r="BI462" t="s">
        <v>283</v>
      </c>
      <c r="BJ462" t="s">
        <v>928</v>
      </c>
      <c r="BK462" t="s">
        <v>234</v>
      </c>
      <c r="BL462" t="s">
        <v>194</v>
      </c>
      <c r="BM462" s="8" t="s">
        <v>192</v>
      </c>
      <c r="BN462" t="s">
        <v>189</v>
      </c>
      <c r="BO462" t="s">
        <v>190</v>
      </c>
      <c r="BP462" s="35" t="s">
        <v>726</v>
      </c>
      <c r="BQ462"/>
      <c r="BU462" s="35"/>
      <c r="BV462" s="35"/>
      <c r="BX462"/>
      <c r="CA462" s="35"/>
      <c r="CB462" s="35"/>
      <c r="CC462"/>
      <c r="CG462" s="35"/>
      <c r="CH462" s="35"/>
      <c r="CK462"/>
      <c r="CM462" s="35"/>
      <c r="CN462" s="35"/>
      <c r="CQ462"/>
      <c r="CS462" s="35"/>
      <c r="CT462" s="35"/>
      <c r="CX462"/>
      <c r="CZ462" s="35"/>
      <c r="DD462" s="34"/>
      <c r="DG462" t="s">
        <v>833</v>
      </c>
      <c r="DH462" t="s">
        <v>967</v>
      </c>
      <c r="DI462" t="s">
        <v>233</v>
      </c>
      <c r="DL462" t="s">
        <v>680</v>
      </c>
      <c r="DM462">
        <v>5</v>
      </c>
      <c r="DN462">
        <v>7</v>
      </c>
      <c r="DO462" t="s">
        <v>750</v>
      </c>
      <c r="DQ462" t="s">
        <v>927</v>
      </c>
      <c r="DR462">
        <v>14</v>
      </c>
      <c r="DS462">
        <v>0</v>
      </c>
      <c r="DU462">
        <v>14</v>
      </c>
      <c r="DV462">
        <v>0</v>
      </c>
      <c r="DX462">
        <v>14</v>
      </c>
      <c r="DY462">
        <v>0</v>
      </c>
      <c r="DZ462" t="s">
        <v>246</v>
      </c>
      <c r="EA462" t="s">
        <v>929</v>
      </c>
    </row>
    <row r="463" spans="1:131" x14ac:dyDescent="0.4">
      <c r="A463" s="34">
        <v>43067.305104166669</v>
      </c>
      <c r="B463" s="25">
        <v>42935.69027777778</v>
      </c>
      <c r="D463" s="34"/>
      <c r="E463" s="34" t="s">
        <v>193</v>
      </c>
      <c r="F463" s="34" t="s">
        <v>191</v>
      </c>
      <c r="G463" s="34" t="s">
        <v>100</v>
      </c>
      <c r="H463" t="s">
        <v>279</v>
      </c>
      <c r="I463" t="s">
        <v>243</v>
      </c>
      <c r="J463" t="s">
        <v>712</v>
      </c>
      <c r="K463" t="s">
        <v>713</v>
      </c>
      <c r="L463" t="s">
        <v>711</v>
      </c>
      <c r="M463" s="30">
        <v>2.12</v>
      </c>
      <c r="N463">
        <v>6.5</v>
      </c>
      <c r="P463" s="24" t="str">
        <f>IFERROR(MID(RADataTable[[#This Row],[RATemplate]],1,LEN(RADataTable[[#This Row],[RATemplate]])-8),"RA") &amp; " " &amp; RADataTable[[#This Row],[prop_id0]] &amp; " " &amp; RADataTable[[#This Row],[last0]]</f>
        <v>RA 1751102 Vouga</v>
      </c>
      <c r="T463">
        <v>4</v>
      </c>
      <c r="U463">
        <v>4</v>
      </c>
      <c r="V463" s="34">
        <v>43031.392361111109</v>
      </c>
      <c r="W463">
        <v>1</v>
      </c>
      <c r="X463" s="15" t="str">
        <f>HYPERLINK("https://www.ejacket.nsf.gov/ej/showProposal.do?Continue=Y&amp;ID="&amp;RADataTable[[#This Row],[prop_id0]],"eJ")</f>
        <v>eJ</v>
      </c>
      <c r="Y463" s="15" t="str">
        <f>HYPERLINK("mailto:"&amp;RADataTable[[#This Row],[email]]&amp;"&amp;subject=Your NSF Proposal:  "&amp;RADataTable[[#This Row],[Div]]&amp;" "&amp;RADataTable[[#This Row],[prop_id0]], RADataTable[[#This Row],[email]])</f>
        <v>evouga@cs.utexas.edu</v>
      </c>
      <c r="Z463" s="15" t="str">
        <f>HYPERLINK("mailto:"&amp;RADataTable[[#This Row],[allPIemail]]&amp;"&amp;subject=NSF Proposal:  "&amp;RADataTable[[#This Row],[Div]]&amp;" "&amp;RADataTable[[#This Row],[prop_id0]], "PIs@")</f>
        <v>PIs@</v>
      </c>
      <c r="AA463" t="s">
        <v>245</v>
      </c>
      <c r="AB463" t="s">
        <v>680</v>
      </c>
      <c r="AC463" s="30" t="s">
        <v>830</v>
      </c>
      <c r="AD463" t="s">
        <v>831</v>
      </c>
      <c r="AE463" t="s">
        <v>832</v>
      </c>
      <c r="AF463" s="36">
        <v>523537</v>
      </c>
      <c r="AG463" s="36">
        <v>523537</v>
      </c>
      <c r="AH463" s="24"/>
      <c r="AJ463" s="34"/>
      <c r="AK463" t="s">
        <v>923</v>
      </c>
      <c r="AL463" t="s">
        <v>232</v>
      </c>
      <c r="AM463" s="34" t="s">
        <v>925</v>
      </c>
      <c r="AN463" s="34">
        <v>43032</v>
      </c>
      <c r="AO463" s="24">
        <v>12</v>
      </c>
      <c r="AP463" t="s">
        <v>940</v>
      </c>
      <c r="AR463" s="35"/>
      <c r="AS463"/>
      <c r="AT463" s="34"/>
      <c r="AV463" s="34"/>
      <c r="AX463" s="34"/>
      <c r="AY463"/>
      <c r="BA463" s="34"/>
      <c r="BB463"/>
      <c r="BC463" t="s">
        <v>834</v>
      </c>
      <c r="BD463" s="36">
        <v>523537</v>
      </c>
      <c r="BE463" s="36">
        <v>523537</v>
      </c>
      <c r="BF463">
        <v>0</v>
      </c>
      <c r="BG463" s="34">
        <v>43344</v>
      </c>
      <c r="BH463">
        <v>60</v>
      </c>
      <c r="BI463" t="s">
        <v>283</v>
      </c>
      <c r="BJ463" t="s">
        <v>928</v>
      </c>
      <c r="BK463" t="s">
        <v>234</v>
      </c>
      <c r="BL463" t="s">
        <v>194</v>
      </c>
      <c r="BM463" s="8" t="s">
        <v>192</v>
      </c>
      <c r="BN463" t="s">
        <v>189</v>
      </c>
      <c r="BO463" t="s">
        <v>190</v>
      </c>
      <c r="BP463" s="35" t="s">
        <v>726</v>
      </c>
      <c r="BQ463"/>
      <c r="BU463" s="35"/>
      <c r="BV463" s="35"/>
      <c r="BX463"/>
      <c r="CA463" s="35"/>
      <c r="CB463" s="35"/>
      <c r="CC463"/>
      <c r="CG463" s="35"/>
      <c r="CH463" s="35"/>
      <c r="CK463"/>
      <c r="CM463" s="35"/>
      <c r="CN463" s="35"/>
      <c r="CQ463"/>
      <c r="CS463" s="35"/>
      <c r="CT463" s="35"/>
      <c r="CX463"/>
      <c r="CZ463" s="35"/>
      <c r="DD463" s="34"/>
      <c r="DG463" t="s">
        <v>833</v>
      </c>
      <c r="DH463" t="s">
        <v>967</v>
      </c>
      <c r="DI463" t="s">
        <v>233</v>
      </c>
      <c r="DL463" t="s">
        <v>680</v>
      </c>
      <c r="DM463">
        <v>5</v>
      </c>
      <c r="DN463">
        <v>7</v>
      </c>
      <c r="DO463" t="s">
        <v>750</v>
      </c>
      <c r="DQ463" t="s">
        <v>927</v>
      </c>
      <c r="DR463">
        <v>14</v>
      </c>
      <c r="DS463">
        <v>0</v>
      </c>
      <c r="DU463">
        <v>14</v>
      </c>
      <c r="DV463">
        <v>0</v>
      </c>
      <c r="DX463">
        <v>14</v>
      </c>
      <c r="DY463">
        <v>0</v>
      </c>
      <c r="DZ463" t="s">
        <v>246</v>
      </c>
      <c r="EA463" t="s">
        <v>929</v>
      </c>
    </row>
    <row r="464" spans="1:131" x14ac:dyDescent="0.4">
      <c r="A464" s="34">
        <v>43067.305104166669</v>
      </c>
      <c r="B464" s="25">
        <v>42935.69027777778</v>
      </c>
      <c r="D464" s="34"/>
      <c r="E464" s="34" t="s">
        <v>193</v>
      </c>
      <c r="F464" s="34" t="s">
        <v>191</v>
      </c>
      <c r="G464" s="34" t="s">
        <v>100</v>
      </c>
      <c r="H464" t="s">
        <v>279</v>
      </c>
      <c r="I464" t="s">
        <v>243</v>
      </c>
      <c r="J464" t="s">
        <v>712</v>
      </c>
      <c r="K464" t="s">
        <v>713</v>
      </c>
      <c r="L464" t="s">
        <v>711</v>
      </c>
      <c r="M464" s="30">
        <v>2.12</v>
      </c>
      <c r="N464">
        <v>6.5</v>
      </c>
      <c r="P464" s="24" t="str">
        <f>IFERROR(MID(RADataTable[[#This Row],[RATemplate]],1,LEN(RADataTable[[#This Row],[RATemplate]])-8),"RA") &amp; " " &amp; RADataTable[[#This Row],[prop_id0]] &amp; " " &amp; RADataTable[[#This Row],[last0]]</f>
        <v>RA 1751102 Vouga</v>
      </c>
      <c r="T464">
        <v>4</v>
      </c>
      <c r="U464">
        <v>4</v>
      </c>
      <c r="V464" s="34">
        <v>43031.392361111109</v>
      </c>
      <c r="W464">
        <v>1</v>
      </c>
      <c r="X464" s="15" t="str">
        <f>HYPERLINK("https://www.ejacket.nsf.gov/ej/showProposal.do?Continue=Y&amp;ID="&amp;RADataTable[[#This Row],[prop_id0]],"eJ")</f>
        <v>eJ</v>
      </c>
      <c r="Y464" s="15" t="str">
        <f>HYPERLINK("mailto:"&amp;RADataTable[[#This Row],[email]]&amp;"&amp;subject=Your NSF Proposal:  "&amp;RADataTable[[#This Row],[Div]]&amp;" "&amp;RADataTable[[#This Row],[prop_id0]], RADataTable[[#This Row],[email]])</f>
        <v>evouga@cs.utexas.edu</v>
      </c>
      <c r="Z464" s="15" t="str">
        <f>HYPERLINK("mailto:"&amp;RADataTable[[#This Row],[allPIemail]]&amp;"&amp;subject=NSF Proposal:  "&amp;RADataTable[[#This Row],[Div]]&amp;" "&amp;RADataTable[[#This Row],[prop_id0]], "PIs@")</f>
        <v>PIs@</v>
      </c>
      <c r="AA464" t="s">
        <v>245</v>
      </c>
      <c r="AB464" t="s">
        <v>680</v>
      </c>
      <c r="AC464" s="30" t="s">
        <v>830</v>
      </c>
      <c r="AD464" t="s">
        <v>831</v>
      </c>
      <c r="AE464" t="s">
        <v>832</v>
      </c>
      <c r="AF464" s="36">
        <v>523537</v>
      </c>
      <c r="AG464" s="36">
        <v>523537</v>
      </c>
      <c r="AH464" s="24"/>
      <c r="AJ464" s="34"/>
      <c r="AK464" t="s">
        <v>923</v>
      </c>
      <c r="AL464" t="s">
        <v>232</v>
      </c>
      <c r="AM464" s="34" t="s">
        <v>925</v>
      </c>
      <c r="AN464" s="34">
        <v>43032</v>
      </c>
      <c r="AO464" s="24">
        <v>12</v>
      </c>
      <c r="AP464" t="s">
        <v>940</v>
      </c>
      <c r="AR464" s="35"/>
      <c r="AS464"/>
      <c r="AT464" s="34"/>
      <c r="AV464" s="34"/>
      <c r="AX464" s="34"/>
      <c r="AY464"/>
      <c r="BA464" s="34"/>
      <c r="BB464"/>
      <c r="BC464" t="s">
        <v>834</v>
      </c>
      <c r="BD464" s="36">
        <v>523537</v>
      </c>
      <c r="BE464" s="36">
        <v>523537</v>
      </c>
      <c r="BF464">
        <v>0</v>
      </c>
      <c r="BG464" s="34">
        <v>43344</v>
      </c>
      <c r="BH464">
        <v>60</v>
      </c>
      <c r="BI464" t="s">
        <v>283</v>
      </c>
      <c r="BJ464" t="s">
        <v>928</v>
      </c>
      <c r="BK464" t="s">
        <v>234</v>
      </c>
      <c r="BL464" t="s">
        <v>194</v>
      </c>
      <c r="BM464" s="8" t="s">
        <v>192</v>
      </c>
      <c r="BN464" t="s">
        <v>189</v>
      </c>
      <c r="BO464" t="s">
        <v>190</v>
      </c>
      <c r="BP464" s="35" t="s">
        <v>726</v>
      </c>
      <c r="BQ464"/>
      <c r="BU464" s="35"/>
      <c r="BV464" s="35"/>
      <c r="BX464"/>
      <c r="CA464" s="35"/>
      <c r="CB464" s="35"/>
      <c r="CC464"/>
      <c r="CG464" s="35"/>
      <c r="CH464" s="35"/>
      <c r="CK464"/>
      <c r="CM464" s="35"/>
      <c r="CN464" s="35"/>
      <c r="CQ464"/>
      <c r="CS464" s="35"/>
      <c r="CT464" s="35"/>
      <c r="CX464"/>
      <c r="CZ464" s="35"/>
      <c r="DD464" s="34"/>
      <c r="DG464" t="s">
        <v>833</v>
      </c>
      <c r="DH464" t="s">
        <v>967</v>
      </c>
      <c r="DI464" t="s">
        <v>233</v>
      </c>
      <c r="DL464" t="s">
        <v>680</v>
      </c>
      <c r="DM464">
        <v>5</v>
      </c>
      <c r="DN464">
        <v>7</v>
      </c>
      <c r="DO464" t="s">
        <v>750</v>
      </c>
      <c r="DQ464" t="s">
        <v>927</v>
      </c>
      <c r="DR464">
        <v>14</v>
      </c>
      <c r="DS464">
        <v>0</v>
      </c>
      <c r="DU464">
        <v>14</v>
      </c>
      <c r="DV464">
        <v>0</v>
      </c>
      <c r="DX464">
        <v>14</v>
      </c>
      <c r="DY464">
        <v>0</v>
      </c>
      <c r="DZ464" t="s">
        <v>246</v>
      </c>
      <c r="EA464" t="s">
        <v>929</v>
      </c>
    </row>
    <row r="465" spans="1:131" x14ac:dyDescent="0.4">
      <c r="A465" s="34">
        <v>43067.305104166669</v>
      </c>
      <c r="B465" s="25">
        <v>42935.69027777778</v>
      </c>
      <c r="D465" s="34"/>
      <c r="E465" s="34" t="s">
        <v>193</v>
      </c>
      <c r="F465" s="34" t="s">
        <v>191</v>
      </c>
      <c r="G465" s="34" t="s">
        <v>100</v>
      </c>
      <c r="H465" t="s">
        <v>279</v>
      </c>
      <c r="I465" t="s">
        <v>243</v>
      </c>
      <c r="J465" t="s">
        <v>712</v>
      </c>
      <c r="K465" t="s">
        <v>713</v>
      </c>
      <c r="L465" t="s">
        <v>711</v>
      </c>
      <c r="M465" s="30">
        <v>2.12</v>
      </c>
      <c r="N465">
        <v>6.5</v>
      </c>
      <c r="P465" s="24" t="str">
        <f>IFERROR(MID(RADataTable[[#This Row],[RATemplate]],1,LEN(RADataTable[[#This Row],[RATemplate]])-8),"RA") &amp; " " &amp; RADataTable[[#This Row],[prop_id0]] &amp; " " &amp; RADataTable[[#This Row],[last0]]</f>
        <v>RA 1751102 Vouga</v>
      </c>
      <c r="T465">
        <v>4</v>
      </c>
      <c r="U465">
        <v>4</v>
      </c>
      <c r="V465" s="34">
        <v>43031.392361111109</v>
      </c>
      <c r="W465">
        <v>1</v>
      </c>
      <c r="X465" s="15" t="str">
        <f>HYPERLINK("https://www.ejacket.nsf.gov/ej/showProposal.do?Continue=Y&amp;ID="&amp;RADataTable[[#This Row],[prop_id0]],"eJ")</f>
        <v>eJ</v>
      </c>
      <c r="Y465" s="15" t="str">
        <f>HYPERLINK("mailto:"&amp;RADataTable[[#This Row],[email]]&amp;"&amp;subject=Your NSF Proposal:  "&amp;RADataTable[[#This Row],[Div]]&amp;" "&amp;RADataTable[[#This Row],[prop_id0]], RADataTable[[#This Row],[email]])</f>
        <v>evouga@cs.utexas.edu</v>
      </c>
      <c r="Z465" s="15" t="str">
        <f>HYPERLINK("mailto:"&amp;RADataTable[[#This Row],[allPIemail]]&amp;"&amp;subject=NSF Proposal:  "&amp;RADataTable[[#This Row],[Div]]&amp;" "&amp;RADataTable[[#This Row],[prop_id0]], "PIs@")</f>
        <v>PIs@</v>
      </c>
      <c r="AA465" t="s">
        <v>245</v>
      </c>
      <c r="AB465" t="s">
        <v>680</v>
      </c>
      <c r="AC465" s="30" t="s">
        <v>830</v>
      </c>
      <c r="AD465" t="s">
        <v>831</v>
      </c>
      <c r="AE465" t="s">
        <v>832</v>
      </c>
      <c r="AF465" s="36">
        <v>523537</v>
      </c>
      <c r="AG465" s="36">
        <v>523537</v>
      </c>
      <c r="AH465" s="24"/>
      <c r="AJ465" s="34"/>
      <c r="AK465" t="s">
        <v>923</v>
      </c>
      <c r="AL465" t="s">
        <v>232</v>
      </c>
      <c r="AM465" s="34" t="s">
        <v>925</v>
      </c>
      <c r="AN465" s="34">
        <v>43032</v>
      </c>
      <c r="AO465" s="24">
        <v>12</v>
      </c>
      <c r="AP465" t="s">
        <v>940</v>
      </c>
      <c r="AR465" s="35"/>
      <c r="AS465"/>
      <c r="AT465" s="34"/>
      <c r="AV465" s="34"/>
      <c r="AX465" s="34"/>
      <c r="AY465"/>
      <c r="BA465" s="34"/>
      <c r="BB465"/>
      <c r="BC465" t="s">
        <v>834</v>
      </c>
      <c r="BD465" s="36">
        <v>523537</v>
      </c>
      <c r="BE465" s="36">
        <v>523537</v>
      </c>
      <c r="BF465">
        <v>0</v>
      </c>
      <c r="BG465" s="34">
        <v>43344</v>
      </c>
      <c r="BH465">
        <v>60</v>
      </c>
      <c r="BI465" t="s">
        <v>283</v>
      </c>
      <c r="BJ465" t="s">
        <v>928</v>
      </c>
      <c r="BK465" t="s">
        <v>234</v>
      </c>
      <c r="BL465" t="s">
        <v>194</v>
      </c>
      <c r="BM465" s="8" t="s">
        <v>192</v>
      </c>
      <c r="BN465" t="s">
        <v>189</v>
      </c>
      <c r="BO465" t="s">
        <v>190</v>
      </c>
      <c r="BP465" s="35" t="s">
        <v>726</v>
      </c>
      <c r="BQ465"/>
      <c r="BU465" s="35"/>
      <c r="BV465" s="35"/>
      <c r="BX465"/>
      <c r="CA465" s="35"/>
      <c r="CB465" s="35"/>
      <c r="CC465"/>
      <c r="CG465" s="35"/>
      <c r="CH465" s="35"/>
      <c r="CK465"/>
      <c r="CM465" s="35"/>
      <c r="CN465" s="35"/>
      <c r="CQ465"/>
      <c r="CS465" s="35"/>
      <c r="CT465" s="35"/>
      <c r="CX465"/>
      <c r="CZ465" s="35"/>
      <c r="DD465" s="34"/>
      <c r="DG465" t="s">
        <v>833</v>
      </c>
      <c r="DH465" t="s">
        <v>967</v>
      </c>
      <c r="DI465" t="s">
        <v>233</v>
      </c>
      <c r="DL465" t="s">
        <v>680</v>
      </c>
      <c r="DM465">
        <v>5</v>
      </c>
      <c r="DN465">
        <v>7</v>
      </c>
      <c r="DO465" t="s">
        <v>750</v>
      </c>
      <c r="DQ465" t="s">
        <v>927</v>
      </c>
      <c r="DR465">
        <v>14</v>
      </c>
      <c r="DS465">
        <v>0</v>
      </c>
      <c r="DU465">
        <v>14</v>
      </c>
      <c r="DV465">
        <v>0</v>
      </c>
      <c r="DX465">
        <v>14</v>
      </c>
      <c r="DY465">
        <v>0</v>
      </c>
      <c r="DZ465" t="s">
        <v>246</v>
      </c>
      <c r="EA465" t="s">
        <v>929</v>
      </c>
    </row>
    <row r="466" spans="1:131" x14ac:dyDescent="0.4">
      <c r="A466" s="34">
        <v>43067.305104166669</v>
      </c>
      <c r="B466" s="25">
        <v>42935.69027777778</v>
      </c>
      <c r="D466" s="34"/>
      <c r="E466" s="34" t="s">
        <v>193</v>
      </c>
      <c r="F466" s="34" t="s">
        <v>191</v>
      </c>
      <c r="G466" s="34" t="s">
        <v>100</v>
      </c>
      <c r="H466" t="s">
        <v>279</v>
      </c>
      <c r="I466" t="s">
        <v>243</v>
      </c>
      <c r="J466" t="s">
        <v>712</v>
      </c>
      <c r="K466" t="s">
        <v>713</v>
      </c>
      <c r="L466" t="s">
        <v>711</v>
      </c>
      <c r="M466" s="30">
        <v>2.12</v>
      </c>
      <c r="N466">
        <v>6.5</v>
      </c>
      <c r="P466" s="24" t="str">
        <f>IFERROR(MID(RADataTable[[#This Row],[RATemplate]],1,LEN(RADataTable[[#This Row],[RATemplate]])-8),"RA") &amp; " " &amp; RADataTable[[#This Row],[prop_id0]] &amp; " " &amp; RADataTable[[#This Row],[last0]]</f>
        <v>RA 1751102 Vouga</v>
      </c>
      <c r="T466">
        <v>4</v>
      </c>
      <c r="U466">
        <v>4</v>
      </c>
      <c r="V466" s="34">
        <v>43031.392361111109</v>
      </c>
      <c r="W466">
        <v>1</v>
      </c>
      <c r="X466" s="15" t="str">
        <f>HYPERLINK("https://www.ejacket.nsf.gov/ej/showProposal.do?Continue=Y&amp;ID="&amp;RADataTable[[#This Row],[prop_id0]],"eJ")</f>
        <v>eJ</v>
      </c>
      <c r="Y466" s="15" t="str">
        <f>HYPERLINK("mailto:"&amp;RADataTable[[#This Row],[email]]&amp;"&amp;subject=Your NSF Proposal:  "&amp;RADataTable[[#This Row],[Div]]&amp;" "&amp;RADataTable[[#This Row],[prop_id0]], RADataTable[[#This Row],[email]])</f>
        <v>evouga@cs.utexas.edu</v>
      </c>
      <c r="Z466" s="15" t="str">
        <f>HYPERLINK("mailto:"&amp;RADataTable[[#This Row],[allPIemail]]&amp;"&amp;subject=NSF Proposal:  "&amp;RADataTable[[#This Row],[Div]]&amp;" "&amp;RADataTable[[#This Row],[prop_id0]], "PIs@")</f>
        <v>PIs@</v>
      </c>
      <c r="AA466" t="s">
        <v>245</v>
      </c>
      <c r="AB466" t="s">
        <v>680</v>
      </c>
      <c r="AC466" s="30" t="s">
        <v>830</v>
      </c>
      <c r="AD466" t="s">
        <v>831</v>
      </c>
      <c r="AE466" t="s">
        <v>832</v>
      </c>
      <c r="AF466" s="36">
        <v>523537</v>
      </c>
      <c r="AG466" s="36">
        <v>523537</v>
      </c>
      <c r="AH466" s="24"/>
      <c r="AJ466" s="34"/>
      <c r="AK466" t="s">
        <v>923</v>
      </c>
      <c r="AL466" t="s">
        <v>232</v>
      </c>
      <c r="AM466" s="34" t="s">
        <v>925</v>
      </c>
      <c r="AN466" s="34">
        <v>43032</v>
      </c>
      <c r="AO466" s="24">
        <v>12</v>
      </c>
      <c r="AP466" t="s">
        <v>940</v>
      </c>
      <c r="AR466" s="35"/>
      <c r="AS466"/>
      <c r="AT466" s="34"/>
      <c r="AV466" s="34"/>
      <c r="AX466" s="34"/>
      <c r="AY466"/>
      <c r="BA466" s="34"/>
      <c r="BB466"/>
      <c r="BC466" t="s">
        <v>834</v>
      </c>
      <c r="BD466" s="36">
        <v>523537</v>
      </c>
      <c r="BE466" s="36">
        <v>523537</v>
      </c>
      <c r="BF466">
        <v>0</v>
      </c>
      <c r="BG466" s="34">
        <v>43344</v>
      </c>
      <c r="BH466">
        <v>60</v>
      </c>
      <c r="BI466" t="s">
        <v>283</v>
      </c>
      <c r="BJ466" t="s">
        <v>928</v>
      </c>
      <c r="BK466" t="s">
        <v>234</v>
      </c>
      <c r="BL466" t="s">
        <v>194</v>
      </c>
      <c r="BM466" s="8" t="s">
        <v>192</v>
      </c>
      <c r="BN466" t="s">
        <v>189</v>
      </c>
      <c r="BO466" t="s">
        <v>190</v>
      </c>
      <c r="BP466" s="35" t="s">
        <v>726</v>
      </c>
      <c r="BQ466"/>
      <c r="BU466" s="35"/>
      <c r="BV466" s="35"/>
      <c r="BX466"/>
      <c r="CA466" s="35"/>
      <c r="CB466" s="35"/>
      <c r="CC466"/>
      <c r="CG466" s="35"/>
      <c r="CH466" s="35"/>
      <c r="CK466"/>
      <c r="CM466" s="35"/>
      <c r="CN466" s="35"/>
      <c r="CQ466"/>
      <c r="CS466" s="35"/>
      <c r="CT466" s="35"/>
      <c r="CX466"/>
      <c r="CZ466" s="35"/>
      <c r="DD466" s="34"/>
      <c r="DG466" t="s">
        <v>833</v>
      </c>
      <c r="DH466" t="s">
        <v>967</v>
      </c>
      <c r="DI466" t="s">
        <v>233</v>
      </c>
      <c r="DL466" t="s">
        <v>680</v>
      </c>
      <c r="DM466">
        <v>5</v>
      </c>
      <c r="DN466">
        <v>7</v>
      </c>
      <c r="DO466" t="s">
        <v>750</v>
      </c>
      <c r="DQ466" t="s">
        <v>927</v>
      </c>
      <c r="DR466">
        <v>14</v>
      </c>
      <c r="DS466">
        <v>0</v>
      </c>
      <c r="DU466">
        <v>14</v>
      </c>
      <c r="DV466">
        <v>0</v>
      </c>
      <c r="DX466">
        <v>14</v>
      </c>
      <c r="DY466">
        <v>0</v>
      </c>
      <c r="DZ466" t="s">
        <v>246</v>
      </c>
      <c r="EA466" t="s">
        <v>929</v>
      </c>
    </row>
    <row r="467" spans="1:131" x14ac:dyDescent="0.4">
      <c r="A467" s="34">
        <v>43067.305104166669</v>
      </c>
      <c r="B467" s="25">
        <v>42935.69027777778</v>
      </c>
      <c r="D467" s="34"/>
      <c r="E467" s="34" t="s">
        <v>193</v>
      </c>
      <c r="F467" s="34" t="s">
        <v>191</v>
      </c>
      <c r="G467" s="34" t="s">
        <v>100</v>
      </c>
      <c r="H467" t="s">
        <v>279</v>
      </c>
      <c r="I467" t="s">
        <v>243</v>
      </c>
      <c r="J467" t="s">
        <v>712</v>
      </c>
      <c r="K467" t="s">
        <v>713</v>
      </c>
      <c r="L467" t="s">
        <v>711</v>
      </c>
      <c r="M467" s="30">
        <v>2.12</v>
      </c>
      <c r="N467">
        <v>6.5</v>
      </c>
      <c r="P467" s="24" t="str">
        <f>IFERROR(MID(RADataTable[[#This Row],[RATemplate]],1,LEN(RADataTable[[#This Row],[RATemplate]])-8),"RA") &amp; " " &amp; RADataTable[[#This Row],[prop_id0]] &amp; " " &amp; RADataTable[[#This Row],[last0]]</f>
        <v>RA 1751102 Vouga</v>
      </c>
      <c r="T467">
        <v>4</v>
      </c>
      <c r="U467">
        <v>4</v>
      </c>
      <c r="V467" s="34">
        <v>43031.392361111109</v>
      </c>
      <c r="W467">
        <v>1</v>
      </c>
      <c r="X467" s="15" t="str">
        <f>HYPERLINK("https://www.ejacket.nsf.gov/ej/showProposal.do?Continue=Y&amp;ID="&amp;RADataTable[[#This Row],[prop_id0]],"eJ")</f>
        <v>eJ</v>
      </c>
      <c r="Y467" s="15" t="str">
        <f>HYPERLINK("mailto:"&amp;RADataTable[[#This Row],[email]]&amp;"&amp;subject=Your NSF Proposal:  "&amp;RADataTable[[#This Row],[Div]]&amp;" "&amp;RADataTable[[#This Row],[prop_id0]], RADataTable[[#This Row],[email]])</f>
        <v>evouga@cs.utexas.edu</v>
      </c>
      <c r="Z467" s="15" t="str">
        <f>HYPERLINK("mailto:"&amp;RADataTable[[#This Row],[allPIemail]]&amp;"&amp;subject=NSF Proposal:  "&amp;RADataTable[[#This Row],[Div]]&amp;" "&amp;RADataTable[[#This Row],[prop_id0]], "PIs@")</f>
        <v>PIs@</v>
      </c>
      <c r="AA467" t="s">
        <v>245</v>
      </c>
      <c r="AB467" t="s">
        <v>680</v>
      </c>
      <c r="AC467" s="30" t="s">
        <v>830</v>
      </c>
      <c r="AD467" t="s">
        <v>831</v>
      </c>
      <c r="AE467" t="s">
        <v>832</v>
      </c>
      <c r="AF467" s="36">
        <v>523537</v>
      </c>
      <c r="AG467" s="36">
        <v>523537</v>
      </c>
      <c r="AH467" s="24"/>
      <c r="AJ467" s="34"/>
      <c r="AK467" t="s">
        <v>923</v>
      </c>
      <c r="AL467" t="s">
        <v>232</v>
      </c>
      <c r="AM467" s="34" t="s">
        <v>925</v>
      </c>
      <c r="AN467" s="34">
        <v>43032</v>
      </c>
      <c r="AO467" s="24">
        <v>12</v>
      </c>
      <c r="AP467" t="s">
        <v>940</v>
      </c>
      <c r="AR467" s="35"/>
      <c r="AS467"/>
      <c r="AT467" s="34"/>
      <c r="AV467" s="34"/>
      <c r="AX467" s="34"/>
      <c r="AY467"/>
      <c r="BA467" s="34"/>
      <c r="BB467"/>
      <c r="BC467" t="s">
        <v>834</v>
      </c>
      <c r="BD467" s="36">
        <v>523537</v>
      </c>
      <c r="BE467" s="36">
        <v>523537</v>
      </c>
      <c r="BF467">
        <v>0</v>
      </c>
      <c r="BG467" s="34">
        <v>43344</v>
      </c>
      <c r="BH467">
        <v>60</v>
      </c>
      <c r="BI467" t="s">
        <v>283</v>
      </c>
      <c r="BJ467" t="s">
        <v>928</v>
      </c>
      <c r="BK467" t="s">
        <v>234</v>
      </c>
      <c r="BL467" t="s">
        <v>194</v>
      </c>
      <c r="BM467" s="8" t="s">
        <v>192</v>
      </c>
      <c r="BN467" t="s">
        <v>189</v>
      </c>
      <c r="BO467" t="s">
        <v>190</v>
      </c>
      <c r="BP467" s="35" t="s">
        <v>726</v>
      </c>
      <c r="BQ467"/>
      <c r="BU467" s="35"/>
      <c r="BV467" s="35"/>
      <c r="BX467"/>
      <c r="CA467" s="35"/>
      <c r="CB467" s="35"/>
      <c r="CC467"/>
      <c r="CG467" s="35"/>
      <c r="CH467" s="35"/>
      <c r="CK467"/>
      <c r="CM467" s="35"/>
      <c r="CN467" s="35"/>
      <c r="CQ467"/>
      <c r="CS467" s="35"/>
      <c r="CT467" s="35"/>
      <c r="CX467"/>
      <c r="CZ467" s="35"/>
      <c r="DD467" s="34"/>
      <c r="DG467" t="s">
        <v>833</v>
      </c>
      <c r="DH467" t="s">
        <v>967</v>
      </c>
      <c r="DI467" t="s">
        <v>233</v>
      </c>
      <c r="DL467" t="s">
        <v>680</v>
      </c>
      <c r="DM467">
        <v>5</v>
      </c>
      <c r="DN467">
        <v>7</v>
      </c>
      <c r="DO467" t="s">
        <v>750</v>
      </c>
      <c r="DQ467" t="s">
        <v>927</v>
      </c>
      <c r="DR467">
        <v>14</v>
      </c>
      <c r="DS467">
        <v>0</v>
      </c>
      <c r="DU467">
        <v>14</v>
      </c>
      <c r="DV467">
        <v>0</v>
      </c>
      <c r="DX467">
        <v>14</v>
      </c>
      <c r="DY467">
        <v>0</v>
      </c>
      <c r="DZ467" t="s">
        <v>246</v>
      </c>
      <c r="EA467" t="s">
        <v>929</v>
      </c>
    </row>
    <row r="468" spans="1:131" x14ac:dyDescent="0.4">
      <c r="A468" s="34">
        <v>43067.305104166669</v>
      </c>
      <c r="B468" s="25">
        <v>42956.472222222219</v>
      </c>
      <c r="D468" s="34"/>
      <c r="E468" s="34" t="s">
        <v>193</v>
      </c>
      <c r="F468" s="34" t="s">
        <v>191</v>
      </c>
      <c r="G468" s="34" t="s">
        <v>100</v>
      </c>
      <c r="H468" t="s">
        <v>856</v>
      </c>
      <c r="I468" t="s">
        <v>243</v>
      </c>
      <c r="J468" t="s">
        <v>857</v>
      </c>
      <c r="K468" t="s">
        <v>713</v>
      </c>
      <c r="L468" t="s">
        <v>855</v>
      </c>
      <c r="M468" s="30">
        <v>3.04</v>
      </c>
      <c r="N468">
        <v>5</v>
      </c>
      <c r="P468" s="24" t="str">
        <f>IFERROR(MID(RADataTable[[#This Row],[RATemplate]],1,LEN(RADataTable[[#This Row],[RATemplate]])-8),"RA") &amp; " " &amp; RADataTable[[#This Row],[prop_id0]] &amp; " " &amp; RADataTable[[#This Row],[last0]]</f>
        <v>RA 1755702 Charkhgard</v>
      </c>
      <c r="T468">
        <v>3</v>
      </c>
      <c r="U468">
        <v>3</v>
      </c>
      <c r="V468" s="34">
        <v>43031.770833333336</v>
      </c>
      <c r="W468">
        <v>1</v>
      </c>
      <c r="X468" s="15" t="str">
        <f>HYPERLINK("https://www.ejacket.nsf.gov/ej/showProposal.do?Continue=Y&amp;ID="&amp;RADataTable[[#This Row],[prop_id0]],"eJ")</f>
        <v>eJ</v>
      </c>
      <c r="Y468" s="15" t="str">
        <f>HYPERLINK("mailto:"&amp;RADataTable[[#This Row],[email]]&amp;"&amp;subject=Your NSF Proposal:  "&amp;RADataTable[[#This Row],[Div]]&amp;" "&amp;RADataTable[[#This Row],[prop_id0]], RADataTable[[#This Row],[email]])</f>
        <v>hcharkhgard@usf.edu</v>
      </c>
      <c r="Z468" s="15" t="str">
        <f>HYPERLINK("mailto:"&amp;RADataTable[[#This Row],[allPIemail]]&amp;"&amp;subject=NSF Proposal:  "&amp;RADataTable[[#This Row],[Div]]&amp;" "&amp;RADataTable[[#This Row],[prop_id0]], "PIs@")</f>
        <v>PIs@</v>
      </c>
      <c r="AA468" t="s">
        <v>245</v>
      </c>
      <c r="AB468" t="s">
        <v>685</v>
      </c>
      <c r="AC468" s="30" t="s">
        <v>864</v>
      </c>
      <c r="AD468" t="s">
        <v>865</v>
      </c>
      <c r="AE468" t="s">
        <v>866</v>
      </c>
      <c r="AF468" s="36">
        <v>172682</v>
      </c>
      <c r="AG468" s="36">
        <v>172682</v>
      </c>
      <c r="AH468" s="24"/>
      <c r="AJ468" s="34"/>
      <c r="AK468" t="s">
        <v>923</v>
      </c>
      <c r="AL468" t="s">
        <v>287</v>
      </c>
      <c r="AM468" s="34" t="s">
        <v>925</v>
      </c>
      <c r="AN468" s="34">
        <v>43032</v>
      </c>
      <c r="AO468" s="24">
        <v>4</v>
      </c>
      <c r="AP468" t="s">
        <v>977</v>
      </c>
      <c r="AR468" s="35"/>
      <c r="AS468"/>
      <c r="AT468" s="34"/>
      <c r="AV468" s="34"/>
      <c r="AX468" s="34"/>
      <c r="AY468"/>
      <c r="BA468" s="34"/>
      <c r="BB468"/>
      <c r="BC468" t="s">
        <v>870</v>
      </c>
      <c r="BD468" s="36">
        <v>172682</v>
      </c>
      <c r="BE468" s="36">
        <v>172682</v>
      </c>
      <c r="BF468">
        <v>0</v>
      </c>
      <c r="BG468" s="34">
        <v>43221</v>
      </c>
      <c r="BH468">
        <v>24</v>
      </c>
      <c r="BI468" t="s">
        <v>974</v>
      </c>
      <c r="BJ468" t="s">
        <v>975</v>
      </c>
      <c r="BK468" t="s">
        <v>234</v>
      </c>
      <c r="BL468" t="s">
        <v>194</v>
      </c>
      <c r="BM468" s="8" t="s">
        <v>192</v>
      </c>
      <c r="BN468" t="s">
        <v>189</v>
      </c>
      <c r="BO468" t="s">
        <v>190</v>
      </c>
      <c r="BP468" s="35" t="s">
        <v>861</v>
      </c>
      <c r="BQ468"/>
      <c r="BU468" s="35"/>
      <c r="BV468" s="35"/>
      <c r="BX468"/>
      <c r="CA468" s="35"/>
      <c r="CB468" s="35"/>
      <c r="CC468"/>
      <c r="CG468" s="35"/>
      <c r="CH468" s="35"/>
      <c r="CK468"/>
      <c r="CM468" s="35"/>
      <c r="CN468" s="35"/>
      <c r="CQ468"/>
      <c r="CS468" s="35"/>
      <c r="CT468" s="35"/>
      <c r="CX468"/>
      <c r="CZ468" s="35"/>
      <c r="DD468" s="34"/>
      <c r="DG468" t="s">
        <v>868</v>
      </c>
      <c r="DH468" t="s">
        <v>978</v>
      </c>
      <c r="DI468" t="s">
        <v>286</v>
      </c>
      <c r="DL468" t="s">
        <v>685</v>
      </c>
      <c r="DM468">
        <v>5</v>
      </c>
      <c r="DN468">
        <v>5</v>
      </c>
      <c r="DO468" t="s">
        <v>869</v>
      </c>
      <c r="DQ468" t="s">
        <v>927</v>
      </c>
      <c r="DR468">
        <v>14</v>
      </c>
      <c r="DS468">
        <v>0</v>
      </c>
      <c r="DU468">
        <v>14</v>
      </c>
      <c r="DV468">
        <v>0</v>
      </c>
      <c r="DX468">
        <v>14</v>
      </c>
      <c r="DY468">
        <v>0</v>
      </c>
      <c r="DZ468" t="s">
        <v>246</v>
      </c>
      <c r="EA468" t="s">
        <v>929</v>
      </c>
    </row>
    <row r="469" spans="1:131" x14ac:dyDescent="0.4">
      <c r="A469" s="34">
        <v>43067.305104166669</v>
      </c>
      <c r="B469" s="25">
        <v>42956.472222222219</v>
      </c>
      <c r="D469" s="34"/>
      <c r="E469" s="34" t="s">
        <v>193</v>
      </c>
      <c r="F469" s="34" t="s">
        <v>191</v>
      </c>
      <c r="G469" s="34" t="s">
        <v>100</v>
      </c>
      <c r="H469" t="s">
        <v>856</v>
      </c>
      <c r="I469" t="s">
        <v>243</v>
      </c>
      <c r="J469" t="s">
        <v>857</v>
      </c>
      <c r="K469" t="s">
        <v>713</v>
      </c>
      <c r="L469" t="s">
        <v>855</v>
      </c>
      <c r="M469" s="30">
        <v>3.04</v>
      </c>
      <c r="N469">
        <v>5</v>
      </c>
      <c r="P469" s="24" t="str">
        <f>IFERROR(MID(RADataTable[[#This Row],[RATemplate]],1,LEN(RADataTable[[#This Row],[RATemplate]])-8),"RA") &amp; " " &amp; RADataTable[[#This Row],[prop_id0]] &amp; " " &amp; RADataTable[[#This Row],[last0]]</f>
        <v>RA 1755702 Charkhgard</v>
      </c>
      <c r="T469">
        <v>3</v>
      </c>
      <c r="U469">
        <v>3</v>
      </c>
      <c r="V469" s="34">
        <v>43031.770833333336</v>
      </c>
      <c r="W469">
        <v>1</v>
      </c>
      <c r="X469" s="15" t="str">
        <f>HYPERLINK("https://www.ejacket.nsf.gov/ej/showProposal.do?Continue=Y&amp;ID="&amp;RADataTable[[#This Row],[prop_id0]],"eJ")</f>
        <v>eJ</v>
      </c>
      <c r="Y469" s="15" t="str">
        <f>HYPERLINK("mailto:"&amp;RADataTable[[#This Row],[email]]&amp;"&amp;subject=Your NSF Proposal:  "&amp;RADataTable[[#This Row],[Div]]&amp;" "&amp;RADataTable[[#This Row],[prop_id0]], RADataTable[[#This Row],[email]])</f>
        <v>hcharkhgard@usf.edu</v>
      </c>
      <c r="Z469" s="15" t="str">
        <f>HYPERLINK("mailto:"&amp;RADataTable[[#This Row],[allPIemail]]&amp;"&amp;subject=NSF Proposal:  "&amp;RADataTable[[#This Row],[Div]]&amp;" "&amp;RADataTable[[#This Row],[prop_id0]], "PIs@")</f>
        <v>PIs@</v>
      </c>
      <c r="AA469" t="s">
        <v>245</v>
      </c>
      <c r="AB469" t="s">
        <v>685</v>
      </c>
      <c r="AC469" s="30" t="s">
        <v>864</v>
      </c>
      <c r="AD469" t="s">
        <v>865</v>
      </c>
      <c r="AE469" t="s">
        <v>866</v>
      </c>
      <c r="AF469" s="36">
        <v>172682</v>
      </c>
      <c r="AG469" s="36">
        <v>172682</v>
      </c>
      <c r="AH469" s="24"/>
      <c r="AJ469" s="34"/>
      <c r="AK469" t="s">
        <v>923</v>
      </c>
      <c r="AL469" t="s">
        <v>287</v>
      </c>
      <c r="AM469" s="34" t="s">
        <v>925</v>
      </c>
      <c r="AN469" s="34">
        <v>43032</v>
      </c>
      <c r="AO469" s="24">
        <v>4</v>
      </c>
      <c r="AP469" t="s">
        <v>977</v>
      </c>
      <c r="AR469" s="35"/>
      <c r="AS469"/>
      <c r="AT469" s="34"/>
      <c r="AV469" s="34"/>
      <c r="AX469" s="34"/>
      <c r="AY469"/>
      <c r="BA469" s="34"/>
      <c r="BB469"/>
      <c r="BC469" t="s">
        <v>870</v>
      </c>
      <c r="BD469" s="36">
        <v>172682</v>
      </c>
      <c r="BE469" s="36">
        <v>172682</v>
      </c>
      <c r="BF469">
        <v>0</v>
      </c>
      <c r="BG469" s="34">
        <v>43221</v>
      </c>
      <c r="BH469">
        <v>24</v>
      </c>
      <c r="BI469" t="s">
        <v>974</v>
      </c>
      <c r="BJ469" t="s">
        <v>975</v>
      </c>
      <c r="BK469" t="s">
        <v>234</v>
      </c>
      <c r="BL469" t="s">
        <v>194</v>
      </c>
      <c r="BM469" s="8" t="s">
        <v>192</v>
      </c>
      <c r="BN469" t="s">
        <v>189</v>
      </c>
      <c r="BO469" t="s">
        <v>190</v>
      </c>
      <c r="BP469" s="35" t="s">
        <v>861</v>
      </c>
      <c r="BQ469"/>
      <c r="BU469" s="35"/>
      <c r="BV469" s="35"/>
      <c r="BX469"/>
      <c r="CA469" s="35"/>
      <c r="CB469" s="35"/>
      <c r="CC469"/>
      <c r="CG469" s="35"/>
      <c r="CH469" s="35"/>
      <c r="CK469"/>
      <c r="CM469" s="35"/>
      <c r="CN469" s="35"/>
      <c r="CQ469"/>
      <c r="CS469" s="35"/>
      <c r="CT469" s="35"/>
      <c r="CX469"/>
      <c r="CZ469" s="35"/>
      <c r="DD469" s="34"/>
      <c r="DG469" t="s">
        <v>868</v>
      </c>
      <c r="DH469" t="s">
        <v>978</v>
      </c>
      <c r="DI469" t="s">
        <v>286</v>
      </c>
      <c r="DL469" t="s">
        <v>685</v>
      </c>
      <c r="DM469">
        <v>5</v>
      </c>
      <c r="DN469">
        <v>5</v>
      </c>
      <c r="DO469" t="s">
        <v>869</v>
      </c>
      <c r="DQ469" t="s">
        <v>927</v>
      </c>
      <c r="DR469">
        <v>14</v>
      </c>
      <c r="DS469">
        <v>0</v>
      </c>
      <c r="DU469">
        <v>14</v>
      </c>
      <c r="DV469">
        <v>0</v>
      </c>
      <c r="DX469">
        <v>14</v>
      </c>
      <c r="DY469">
        <v>0</v>
      </c>
      <c r="DZ469" t="s">
        <v>246</v>
      </c>
      <c r="EA469" t="s">
        <v>929</v>
      </c>
    </row>
    <row r="470" spans="1:131" x14ac:dyDescent="0.4">
      <c r="A470" s="34">
        <v>43067.305104166669</v>
      </c>
      <c r="B470" s="25">
        <v>42956.472222222219</v>
      </c>
      <c r="D470" s="34"/>
      <c r="E470" s="34" t="s">
        <v>193</v>
      </c>
      <c r="F470" s="34" t="s">
        <v>191</v>
      </c>
      <c r="G470" s="34" t="s">
        <v>100</v>
      </c>
      <c r="H470" t="s">
        <v>856</v>
      </c>
      <c r="I470" t="s">
        <v>243</v>
      </c>
      <c r="J470" t="s">
        <v>857</v>
      </c>
      <c r="K470" t="s">
        <v>713</v>
      </c>
      <c r="L470" t="s">
        <v>855</v>
      </c>
      <c r="M470" s="30">
        <v>3.04</v>
      </c>
      <c r="N470">
        <v>5</v>
      </c>
      <c r="P470" s="24" t="str">
        <f>IFERROR(MID(RADataTable[[#This Row],[RATemplate]],1,LEN(RADataTable[[#This Row],[RATemplate]])-8),"RA") &amp; " " &amp; RADataTable[[#This Row],[prop_id0]] &amp; " " &amp; RADataTable[[#This Row],[last0]]</f>
        <v>RA 1755702 Charkhgard</v>
      </c>
      <c r="T470">
        <v>3</v>
      </c>
      <c r="U470">
        <v>3</v>
      </c>
      <c r="V470" s="34">
        <v>43031.770833333336</v>
      </c>
      <c r="W470">
        <v>1</v>
      </c>
      <c r="X470" s="15" t="str">
        <f>HYPERLINK("https://www.ejacket.nsf.gov/ej/showProposal.do?Continue=Y&amp;ID="&amp;RADataTable[[#This Row],[prop_id0]],"eJ")</f>
        <v>eJ</v>
      </c>
      <c r="Y470" s="15" t="str">
        <f>HYPERLINK("mailto:"&amp;RADataTable[[#This Row],[email]]&amp;"&amp;subject=Your NSF Proposal:  "&amp;RADataTable[[#This Row],[Div]]&amp;" "&amp;RADataTable[[#This Row],[prop_id0]], RADataTable[[#This Row],[email]])</f>
        <v>hcharkhgard@usf.edu</v>
      </c>
      <c r="Z470" s="15" t="str">
        <f>HYPERLINK("mailto:"&amp;RADataTable[[#This Row],[allPIemail]]&amp;"&amp;subject=NSF Proposal:  "&amp;RADataTable[[#This Row],[Div]]&amp;" "&amp;RADataTable[[#This Row],[prop_id0]], "PIs@")</f>
        <v>PIs@</v>
      </c>
      <c r="AA470" t="s">
        <v>245</v>
      </c>
      <c r="AB470" t="s">
        <v>685</v>
      </c>
      <c r="AC470" s="30" t="s">
        <v>864</v>
      </c>
      <c r="AD470" t="s">
        <v>865</v>
      </c>
      <c r="AE470" t="s">
        <v>866</v>
      </c>
      <c r="AF470" s="36">
        <v>172682</v>
      </c>
      <c r="AG470" s="36">
        <v>172682</v>
      </c>
      <c r="AH470" s="24"/>
      <c r="AJ470" s="34"/>
      <c r="AK470" t="s">
        <v>923</v>
      </c>
      <c r="AL470" t="s">
        <v>287</v>
      </c>
      <c r="AM470" s="34" t="s">
        <v>925</v>
      </c>
      <c r="AN470" s="34">
        <v>43032</v>
      </c>
      <c r="AO470" s="24">
        <v>4</v>
      </c>
      <c r="AP470" t="s">
        <v>977</v>
      </c>
      <c r="AR470" s="35"/>
      <c r="AS470"/>
      <c r="AT470" s="34"/>
      <c r="AV470" s="34"/>
      <c r="AX470" s="34"/>
      <c r="AY470"/>
      <c r="BA470" s="34"/>
      <c r="BB470"/>
      <c r="BC470" t="s">
        <v>870</v>
      </c>
      <c r="BD470" s="36">
        <v>172682</v>
      </c>
      <c r="BE470" s="36">
        <v>172682</v>
      </c>
      <c r="BF470">
        <v>0</v>
      </c>
      <c r="BG470" s="34">
        <v>43221</v>
      </c>
      <c r="BH470">
        <v>24</v>
      </c>
      <c r="BI470" t="s">
        <v>974</v>
      </c>
      <c r="BJ470" t="s">
        <v>975</v>
      </c>
      <c r="BK470" t="s">
        <v>234</v>
      </c>
      <c r="BL470" t="s">
        <v>194</v>
      </c>
      <c r="BM470" s="8" t="s">
        <v>192</v>
      </c>
      <c r="BN470" t="s">
        <v>189</v>
      </c>
      <c r="BO470" t="s">
        <v>190</v>
      </c>
      <c r="BP470" s="35" t="s">
        <v>861</v>
      </c>
      <c r="BQ470"/>
      <c r="BU470" s="35"/>
      <c r="BV470" s="35"/>
      <c r="BX470"/>
      <c r="CA470" s="35"/>
      <c r="CB470" s="35"/>
      <c r="CC470"/>
      <c r="CG470" s="35"/>
      <c r="CH470" s="35"/>
      <c r="CK470"/>
      <c r="CM470" s="35"/>
      <c r="CN470" s="35"/>
      <c r="CQ470"/>
      <c r="CS470" s="35"/>
      <c r="CT470" s="35"/>
      <c r="CX470"/>
      <c r="CZ470" s="35"/>
      <c r="DD470" s="34"/>
      <c r="DG470" t="s">
        <v>868</v>
      </c>
      <c r="DH470" t="s">
        <v>978</v>
      </c>
      <c r="DI470" t="s">
        <v>286</v>
      </c>
      <c r="DL470" t="s">
        <v>685</v>
      </c>
      <c r="DM470">
        <v>5</v>
      </c>
      <c r="DN470">
        <v>5</v>
      </c>
      <c r="DO470" t="s">
        <v>869</v>
      </c>
      <c r="DQ470" t="s">
        <v>927</v>
      </c>
      <c r="DR470">
        <v>14</v>
      </c>
      <c r="DS470">
        <v>0</v>
      </c>
      <c r="DU470">
        <v>14</v>
      </c>
      <c r="DV470">
        <v>0</v>
      </c>
      <c r="DX470">
        <v>14</v>
      </c>
      <c r="DY470">
        <v>0</v>
      </c>
      <c r="DZ470" t="s">
        <v>246</v>
      </c>
      <c r="EA470" t="s">
        <v>929</v>
      </c>
    </row>
    <row r="471" spans="1:131" x14ac:dyDescent="0.4">
      <c r="A471" s="34">
        <v>43067.305104166669</v>
      </c>
      <c r="B471" s="25">
        <v>42956.472222222219</v>
      </c>
      <c r="D471" s="34"/>
      <c r="E471" s="34" t="s">
        <v>193</v>
      </c>
      <c r="F471" s="34" t="s">
        <v>191</v>
      </c>
      <c r="G471" s="34" t="s">
        <v>100</v>
      </c>
      <c r="H471" t="s">
        <v>856</v>
      </c>
      <c r="I471" t="s">
        <v>243</v>
      </c>
      <c r="J471" t="s">
        <v>857</v>
      </c>
      <c r="K471" t="s">
        <v>713</v>
      </c>
      <c r="L471" t="s">
        <v>855</v>
      </c>
      <c r="M471" s="30">
        <v>3.04</v>
      </c>
      <c r="N471">
        <v>5</v>
      </c>
      <c r="P471" s="24" t="str">
        <f>IFERROR(MID(RADataTable[[#This Row],[RATemplate]],1,LEN(RADataTable[[#This Row],[RATemplate]])-8),"RA") &amp; " " &amp; RADataTable[[#This Row],[prop_id0]] &amp; " " &amp; RADataTable[[#This Row],[last0]]</f>
        <v>RA 1755702 Charkhgard</v>
      </c>
      <c r="T471">
        <v>3</v>
      </c>
      <c r="U471">
        <v>3</v>
      </c>
      <c r="V471" s="34">
        <v>43031.770833333336</v>
      </c>
      <c r="W471">
        <v>1</v>
      </c>
      <c r="X471" s="15" t="str">
        <f>HYPERLINK("https://www.ejacket.nsf.gov/ej/showProposal.do?Continue=Y&amp;ID="&amp;RADataTable[[#This Row],[prop_id0]],"eJ")</f>
        <v>eJ</v>
      </c>
      <c r="Y471" s="15" t="str">
        <f>HYPERLINK("mailto:"&amp;RADataTable[[#This Row],[email]]&amp;"&amp;subject=Your NSF Proposal:  "&amp;RADataTable[[#This Row],[Div]]&amp;" "&amp;RADataTable[[#This Row],[prop_id0]], RADataTable[[#This Row],[email]])</f>
        <v>hcharkhgard@usf.edu</v>
      </c>
      <c r="Z471" s="15" t="str">
        <f>HYPERLINK("mailto:"&amp;RADataTable[[#This Row],[allPIemail]]&amp;"&amp;subject=NSF Proposal:  "&amp;RADataTable[[#This Row],[Div]]&amp;" "&amp;RADataTable[[#This Row],[prop_id0]], "PIs@")</f>
        <v>PIs@</v>
      </c>
      <c r="AA471" t="s">
        <v>245</v>
      </c>
      <c r="AB471" t="s">
        <v>685</v>
      </c>
      <c r="AC471" s="30" t="s">
        <v>864</v>
      </c>
      <c r="AD471" t="s">
        <v>865</v>
      </c>
      <c r="AE471" t="s">
        <v>866</v>
      </c>
      <c r="AF471" s="36">
        <v>172682</v>
      </c>
      <c r="AG471" s="36">
        <v>172682</v>
      </c>
      <c r="AH471" s="24"/>
      <c r="AJ471" s="34"/>
      <c r="AK471" t="s">
        <v>923</v>
      </c>
      <c r="AL471" t="s">
        <v>287</v>
      </c>
      <c r="AM471" s="34" t="s">
        <v>925</v>
      </c>
      <c r="AN471" s="34">
        <v>43032</v>
      </c>
      <c r="AO471" s="24">
        <v>4</v>
      </c>
      <c r="AP471" t="s">
        <v>977</v>
      </c>
      <c r="AR471" s="35"/>
      <c r="AS471"/>
      <c r="AT471" s="34"/>
      <c r="AV471" s="34"/>
      <c r="AX471" s="34"/>
      <c r="AY471"/>
      <c r="BA471" s="34"/>
      <c r="BB471"/>
      <c r="BC471" t="s">
        <v>870</v>
      </c>
      <c r="BD471" s="36">
        <v>172682</v>
      </c>
      <c r="BE471" s="36">
        <v>172682</v>
      </c>
      <c r="BF471">
        <v>0</v>
      </c>
      <c r="BG471" s="34">
        <v>43221</v>
      </c>
      <c r="BH471">
        <v>24</v>
      </c>
      <c r="BI471" t="s">
        <v>974</v>
      </c>
      <c r="BJ471" t="s">
        <v>975</v>
      </c>
      <c r="BK471" t="s">
        <v>234</v>
      </c>
      <c r="BL471" t="s">
        <v>194</v>
      </c>
      <c r="BM471" s="8" t="s">
        <v>192</v>
      </c>
      <c r="BN471" t="s">
        <v>189</v>
      </c>
      <c r="BO471" t="s">
        <v>190</v>
      </c>
      <c r="BP471" s="35" t="s">
        <v>861</v>
      </c>
      <c r="BQ471"/>
      <c r="BU471" s="35"/>
      <c r="BV471" s="35"/>
      <c r="BX471"/>
      <c r="CA471" s="35"/>
      <c r="CB471" s="35"/>
      <c r="CC471"/>
      <c r="CG471" s="35"/>
      <c r="CH471" s="35"/>
      <c r="CK471"/>
      <c r="CM471" s="35"/>
      <c r="CN471" s="35"/>
      <c r="CQ471"/>
      <c r="CS471" s="35"/>
      <c r="CT471" s="35"/>
      <c r="CX471"/>
      <c r="CZ471" s="35"/>
      <c r="DD471" s="34"/>
      <c r="DG471" t="s">
        <v>868</v>
      </c>
      <c r="DH471" t="s">
        <v>978</v>
      </c>
      <c r="DI471" t="s">
        <v>286</v>
      </c>
      <c r="DL471" t="s">
        <v>685</v>
      </c>
      <c r="DM471">
        <v>5</v>
      </c>
      <c r="DN471">
        <v>5</v>
      </c>
      <c r="DO471" t="s">
        <v>869</v>
      </c>
      <c r="DQ471" t="s">
        <v>927</v>
      </c>
      <c r="DR471">
        <v>14</v>
      </c>
      <c r="DS471">
        <v>0</v>
      </c>
      <c r="DU471">
        <v>14</v>
      </c>
      <c r="DV471">
        <v>0</v>
      </c>
      <c r="DX471">
        <v>14</v>
      </c>
      <c r="DY471">
        <v>0</v>
      </c>
      <c r="DZ471" t="s">
        <v>246</v>
      </c>
      <c r="EA471" t="s">
        <v>929</v>
      </c>
    </row>
    <row r="472" spans="1:131" x14ac:dyDescent="0.4">
      <c r="A472" s="34">
        <v>43067.305104166669</v>
      </c>
      <c r="B472" s="25">
        <v>42956.472222222219</v>
      </c>
      <c r="D472" s="34"/>
      <c r="E472" s="34" t="s">
        <v>193</v>
      </c>
      <c r="F472" s="34" t="s">
        <v>191</v>
      </c>
      <c r="G472" s="34" t="s">
        <v>100</v>
      </c>
      <c r="H472" t="s">
        <v>856</v>
      </c>
      <c r="I472" t="s">
        <v>243</v>
      </c>
      <c r="J472" t="s">
        <v>857</v>
      </c>
      <c r="K472" t="s">
        <v>713</v>
      </c>
      <c r="L472" t="s">
        <v>855</v>
      </c>
      <c r="M472" s="30">
        <v>3.04</v>
      </c>
      <c r="N472">
        <v>5</v>
      </c>
      <c r="P472" s="24" t="str">
        <f>IFERROR(MID(RADataTable[[#This Row],[RATemplate]],1,LEN(RADataTable[[#This Row],[RATemplate]])-8),"RA") &amp; " " &amp; RADataTable[[#This Row],[prop_id0]] &amp; " " &amp; RADataTable[[#This Row],[last0]]</f>
        <v>RA 1755702 Charkhgard</v>
      </c>
      <c r="T472">
        <v>3</v>
      </c>
      <c r="U472">
        <v>3</v>
      </c>
      <c r="V472" s="34">
        <v>43031.770833333336</v>
      </c>
      <c r="W472">
        <v>1</v>
      </c>
      <c r="X472" s="15" t="str">
        <f>HYPERLINK("https://www.ejacket.nsf.gov/ej/showProposal.do?Continue=Y&amp;ID="&amp;RADataTable[[#This Row],[prop_id0]],"eJ")</f>
        <v>eJ</v>
      </c>
      <c r="Y472" s="15" t="str">
        <f>HYPERLINK("mailto:"&amp;RADataTable[[#This Row],[email]]&amp;"&amp;subject=Your NSF Proposal:  "&amp;RADataTable[[#This Row],[Div]]&amp;" "&amp;RADataTable[[#This Row],[prop_id0]], RADataTable[[#This Row],[email]])</f>
        <v>hcharkhgard@usf.edu</v>
      </c>
      <c r="Z472" s="15" t="str">
        <f>HYPERLINK("mailto:"&amp;RADataTable[[#This Row],[allPIemail]]&amp;"&amp;subject=NSF Proposal:  "&amp;RADataTable[[#This Row],[Div]]&amp;" "&amp;RADataTable[[#This Row],[prop_id0]], "PIs@")</f>
        <v>PIs@</v>
      </c>
      <c r="AA472" t="s">
        <v>245</v>
      </c>
      <c r="AB472" t="s">
        <v>685</v>
      </c>
      <c r="AC472" s="30" t="s">
        <v>864</v>
      </c>
      <c r="AD472" t="s">
        <v>865</v>
      </c>
      <c r="AE472" t="s">
        <v>866</v>
      </c>
      <c r="AF472" s="36">
        <v>172682</v>
      </c>
      <c r="AG472" s="36">
        <v>172682</v>
      </c>
      <c r="AH472" s="24"/>
      <c r="AJ472" s="34"/>
      <c r="AK472" t="s">
        <v>923</v>
      </c>
      <c r="AL472" t="s">
        <v>287</v>
      </c>
      <c r="AM472" s="34" t="s">
        <v>925</v>
      </c>
      <c r="AN472" s="34">
        <v>43032</v>
      </c>
      <c r="AO472" s="24">
        <v>4</v>
      </c>
      <c r="AP472" t="s">
        <v>977</v>
      </c>
      <c r="AR472" s="35"/>
      <c r="AS472"/>
      <c r="AT472" s="34"/>
      <c r="AV472" s="34"/>
      <c r="AX472" s="34"/>
      <c r="AY472"/>
      <c r="BA472" s="34"/>
      <c r="BB472"/>
      <c r="BC472" t="s">
        <v>870</v>
      </c>
      <c r="BD472" s="36">
        <v>172682</v>
      </c>
      <c r="BE472" s="36">
        <v>172682</v>
      </c>
      <c r="BF472">
        <v>0</v>
      </c>
      <c r="BG472" s="34">
        <v>43221</v>
      </c>
      <c r="BH472">
        <v>24</v>
      </c>
      <c r="BI472" t="s">
        <v>974</v>
      </c>
      <c r="BJ472" t="s">
        <v>975</v>
      </c>
      <c r="BK472" t="s">
        <v>234</v>
      </c>
      <c r="BL472" t="s">
        <v>194</v>
      </c>
      <c r="BM472" s="8" t="s">
        <v>192</v>
      </c>
      <c r="BN472" t="s">
        <v>189</v>
      </c>
      <c r="BO472" t="s">
        <v>190</v>
      </c>
      <c r="BP472" s="35" t="s">
        <v>861</v>
      </c>
      <c r="BQ472"/>
      <c r="BU472" s="35"/>
      <c r="BV472" s="35"/>
      <c r="BX472"/>
      <c r="CA472" s="35"/>
      <c r="CB472" s="35"/>
      <c r="CC472"/>
      <c r="CG472" s="35"/>
      <c r="CH472" s="35"/>
      <c r="CK472"/>
      <c r="CM472" s="35"/>
      <c r="CN472" s="35"/>
      <c r="CQ472"/>
      <c r="CS472" s="35"/>
      <c r="CT472" s="35"/>
      <c r="CX472"/>
      <c r="CZ472" s="35"/>
      <c r="DD472" s="34"/>
      <c r="DG472" t="s">
        <v>868</v>
      </c>
      <c r="DH472" t="s">
        <v>978</v>
      </c>
      <c r="DI472" t="s">
        <v>286</v>
      </c>
      <c r="DL472" t="s">
        <v>685</v>
      </c>
      <c r="DM472">
        <v>5</v>
      </c>
      <c r="DN472">
        <v>5</v>
      </c>
      <c r="DO472" t="s">
        <v>869</v>
      </c>
      <c r="DQ472" t="s">
        <v>927</v>
      </c>
      <c r="DR472">
        <v>14</v>
      </c>
      <c r="DS472">
        <v>0</v>
      </c>
      <c r="DU472">
        <v>14</v>
      </c>
      <c r="DV472">
        <v>0</v>
      </c>
      <c r="DX472">
        <v>14</v>
      </c>
      <c r="DY472">
        <v>0</v>
      </c>
      <c r="DZ472" t="s">
        <v>246</v>
      </c>
      <c r="EA472" t="s">
        <v>929</v>
      </c>
    </row>
    <row r="473" spans="1:131" x14ac:dyDescent="0.4">
      <c r="A473" s="34">
        <v>43067.305104166669</v>
      </c>
      <c r="B473" s="25">
        <v>42956.472222222219</v>
      </c>
      <c r="D473" s="34"/>
      <c r="E473" s="34" t="s">
        <v>193</v>
      </c>
      <c r="F473" s="34" t="s">
        <v>191</v>
      </c>
      <c r="G473" s="34" t="s">
        <v>100</v>
      </c>
      <c r="H473" t="s">
        <v>856</v>
      </c>
      <c r="I473" t="s">
        <v>243</v>
      </c>
      <c r="J473" t="s">
        <v>857</v>
      </c>
      <c r="K473" t="s">
        <v>713</v>
      </c>
      <c r="L473" t="s">
        <v>855</v>
      </c>
      <c r="M473" s="30">
        <v>3.04</v>
      </c>
      <c r="N473">
        <v>5</v>
      </c>
      <c r="P473" s="24" t="str">
        <f>IFERROR(MID(RADataTable[[#This Row],[RATemplate]],1,LEN(RADataTable[[#This Row],[RATemplate]])-8),"RA") &amp; " " &amp; RADataTable[[#This Row],[prop_id0]] &amp; " " &amp; RADataTable[[#This Row],[last0]]</f>
        <v>RA 1755702 Charkhgard</v>
      </c>
      <c r="T473">
        <v>3</v>
      </c>
      <c r="U473">
        <v>3</v>
      </c>
      <c r="V473" s="34">
        <v>43031.770833333336</v>
      </c>
      <c r="W473">
        <v>1</v>
      </c>
      <c r="X473" s="15" t="str">
        <f>HYPERLINK("https://www.ejacket.nsf.gov/ej/showProposal.do?Continue=Y&amp;ID="&amp;RADataTable[[#This Row],[prop_id0]],"eJ")</f>
        <v>eJ</v>
      </c>
      <c r="Y473" s="15" t="str">
        <f>HYPERLINK("mailto:"&amp;RADataTable[[#This Row],[email]]&amp;"&amp;subject=Your NSF Proposal:  "&amp;RADataTable[[#This Row],[Div]]&amp;" "&amp;RADataTable[[#This Row],[prop_id0]], RADataTable[[#This Row],[email]])</f>
        <v>hcharkhgard@usf.edu</v>
      </c>
      <c r="Z473" s="15" t="str">
        <f>HYPERLINK("mailto:"&amp;RADataTable[[#This Row],[allPIemail]]&amp;"&amp;subject=NSF Proposal:  "&amp;RADataTable[[#This Row],[Div]]&amp;" "&amp;RADataTable[[#This Row],[prop_id0]], "PIs@")</f>
        <v>PIs@</v>
      </c>
      <c r="AA473" t="s">
        <v>245</v>
      </c>
      <c r="AB473" t="s">
        <v>685</v>
      </c>
      <c r="AC473" s="30" t="s">
        <v>864</v>
      </c>
      <c r="AD473" t="s">
        <v>865</v>
      </c>
      <c r="AE473" t="s">
        <v>866</v>
      </c>
      <c r="AF473" s="36">
        <v>172682</v>
      </c>
      <c r="AG473" s="36">
        <v>172682</v>
      </c>
      <c r="AH473" s="24"/>
      <c r="AJ473" s="34"/>
      <c r="AK473" t="s">
        <v>923</v>
      </c>
      <c r="AL473" t="s">
        <v>287</v>
      </c>
      <c r="AM473" s="34" t="s">
        <v>925</v>
      </c>
      <c r="AN473" s="34">
        <v>43032</v>
      </c>
      <c r="AO473" s="24">
        <v>4</v>
      </c>
      <c r="AP473" t="s">
        <v>977</v>
      </c>
      <c r="AR473" s="35"/>
      <c r="AS473"/>
      <c r="AT473" s="34"/>
      <c r="AV473" s="34"/>
      <c r="AX473" s="34"/>
      <c r="AY473"/>
      <c r="BA473" s="34"/>
      <c r="BB473"/>
      <c r="BC473" t="s">
        <v>870</v>
      </c>
      <c r="BD473" s="36">
        <v>172682</v>
      </c>
      <c r="BE473" s="36">
        <v>172682</v>
      </c>
      <c r="BF473">
        <v>0</v>
      </c>
      <c r="BG473" s="34">
        <v>43221</v>
      </c>
      <c r="BH473">
        <v>24</v>
      </c>
      <c r="BI473" t="s">
        <v>974</v>
      </c>
      <c r="BJ473" t="s">
        <v>975</v>
      </c>
      <c r="BK473" t="s">
        <v>234</v>
      </c>
      <c r="BL473" t="s">
        <v>194</v>
      </c>
      <c r="BM473" s="8" t="s">
        <v>192</v>
      </c>
      <c r="BN473" t="s">
        <v>189</v>
      </c>
      <c r="BO473" t="s">
        <v>190</v>
      </c>
      <c r="BP473" s="35" t="s">
        <v>861</v>
      </c>
      <c r="BQ473"/>
      <c r="BU473" s="35"/>
      <c r="BV473" s="35"/>
      <c r="BX473"/>
      <c r="CA473" s="35"/>
      <c r="CB473" s="35"/>
      <c r="CC473"/>
      <c r="CG473" s="35"/>
      <c r="CH473" s="35"/>
      <c r="CK473"/>
      <c r="CM473" s="35"/>
      <c r="CN473" s="35"/>
      <c r="CQ473"/>
      <c r="CS473" s="35"/>
      <c r="CT473" s="35"/>
      <c r="CX473"/>
      <c r="CZ473" s="35"/>
      <c r="DD473" s="34"/>
      <c r="DG473" t="s">
        <v>868</v>
      </c>
      <c r="DH473" t="s">
        <v>978</v>
      </c>
      <c r="DI473" t="s">
        <v>286</v>
      </c>
      <c r="DL473" t="s">
        <v>685</v>
      </c>
      <c r="DM473">
        <v>5</v>
      </c>
      <c r="DN473">
        <v>5</v>
      </c>
      <c r="DO473" t="s">
        <v>869</v>
      </c>
      <c r="DQ473" t="s">
        <v>927</v>
      </c>
      <c r="DR473">
        <v>14</v>
      </c>
      <c r="DS473">
        <v>0</v>
      </c>
      <c r="DU473">
        <v>14</v>
      </c>
      <c r="DV473">
        <v>0</v>
      </c>
      <c r="DX473">
        <v>14</v>
      </c>
      <c r="DY473">
        <v>0</v>
      </c>
      <c r="DZ473" t="s">
        <v>246</v>
      </c>
      <c r="EA473" t="s">
        <v>929</v>
      </c>
    </row>
    <row r="474" spans="1:131" x14ac:dyDescent="0.4">
      <c r="A474" s="34">
        <v>43067.305104166669</v>
      </c>
      <c r="B474" s="25">
        <v>42956.472222222219</v>
      </c>
      <c r="D474" s="34"/>
      <c r="E474" s="34" t="s">
        <v>193</v>
      </c>
      <c r="F474" s="34" t="s">
        <v>191</v>
      </c>
      <c r="G474" s="34" t="s">
        <v>100</v>
      </c>
      <c r="H474" t="s">
        <v>856</v>
      </c>
      <c r="I474" t="s">
        <v>243</v>
      </c>
      <c r="J474" t="s">
        <v>857</v>
      </c>
      <c r="K474" t="s">
        <v>713</v>
      </c>
      <c r="L474" t="s">
        <v>855</v>
      </c>
      <c r="M474" s="30">
        <v>3.04</v>
      </c>
      <c r="N474">
        <v>5</v>
      </c>
      <c r="P474" s="24" t="str">
        <f>IFERROR(MID(RADataTable[[#This Row],[RATemplate]],1,LEN(RADataTable[[#This Row],[RATemplate]])-8),"RA") &amp; " " &amp; RADataTable[[#This Row],[prop_id0]] &amp; " " &amp; RADataTable[[#This Row],[last0]]</f>
        <v>RA 1755702 Charkhgard</v>
      </c>
      <c r="T474">
        <v>3</v>
      </c>
      <c r="U474">
        <v>3</v>
      </c>
      <c r="V474" s="34">
        <v>43031.770833333336</v>
      </c>
      <c r="W474">
        <v>1</v>
      </c>
      <c r="X474" s="15" t="str">
        <f>HYPERLINK("https://www.ejacket.nsf.gov/ej/showProposal.do?Continue=Y&amp;ID="&amp;RADataTable[[#This Row],[prop_id0]],"eJ")</f>
        <v>eJ</v>
      </c>
      <c r="Y474" s="15" t="str">
        <f>HYPERLINK("mailto:"&amp;RADataTable[[#This Row],[email]]&amp;"&amp;subject=Your NSF Proposal:  "&amp;RADataTable[[#This Row],[Div]]&amp;" "&amp;RADataTable[[#This Row],[prop_id0]], RADataTable[[#This Row],[email]])</f>
        <v>hcharkhgard@usf.edu</v>
      </c>
      <c r="Z474" s="15" t="str">
        <f>HYPERLINK("mailto:"&amp;RADataTable[[#This Row],[allPIemail]]&amp;"&amp;subject=NSF Proposal:  "&amp;RADataTable[[#This Row],[Div]]&amp;" "&amp;RADataTable[[#This Row],[prop_id0]], "PIs@")</f>
        <v>PIs@</v>
      </c>
      <c r="AA474" t="s">
        <v>245</v>
      </c>
      <c r="AB474" t="s">
        <v>685</v>
      </c>
      <c r="AC474" s="30" t="s">
        <v>864</v>
      </c>
      <c r="AD474" t="s">
        <v>865</v>
      </c>
      <c r="AE474" t="s">
        <v>866</v>
      </c>
      <c r="AF474" s="36">
        <v>172682</v>
      </c>
      <c r="AG474" s="36">
        <v>172682</v>
      </c>
      <c r="AH474" s="24"/>
      <c r="AJ474" s="34"/>
      <c r="AK474" t="s">
        <v>923</v>
      </c>
      <c r="AL474" t="s">
        <v>287</v>
      </c>
      <c r="AM474" s="34" t="s">
        <v>925</v>
      </c>
      <c r="AN474" s="34">
        <v>43032</v>
      </c>
      <c r="AO474" s="24">
        <v>4</v>
      </c>
      <c r="AP474" t="s">
        <v>977</v>
      </c>
      <c r="AR474" s="35"/>
      <c r="AS474"/>
      <c r="AT474" s="34"/>
      <c r="AV474" s="34"/>
      <c r="AX474" s="34"/>
      <c r="AY474"/>
      <c r="BA474" s="34"/>
      <c r="BB474"/>
      <c r="BC474" t="s">
        <v>870</v>
      </c>
      <c r="BD474" s="36">
        <v>172682</v>
      </c>
      <c r="BE474" s="36">
        <v>172682</v>
      </c>
      <c r="BF474">
        <v>0</v>
      </c>
      <c r="BG474" s="34">
        <v>43221</v>
      </c>
      <c r="BH474">
        <v>24</v>
      </c>
      <c r="BI474" t="s">
        <v>974</v>
      </c>
      <c r="BJ474" t="s">
        <v>975</v>
      </c>
      <c r="BK474" t="s">
        <v>234</v>
      </c>
      <c r="BL474" t="s">
        <v>194</v>
      </c>
      <c r="BM474" s="8" t="s">
        <v>192</v>
      </c>
      <c r="BN474" t="s">
        <v>189</v>
      </c>
      <c r="BO474" t="s">
        <v>190</v>
      </c>
      <c r="BP474" s="35" t="s">
        <v>861</v>
      </c>
      <c r="BQ474"/>
      <c r="BU474" s="35"/>
      <c r="BV474" s="35"/>
      <c r="BX474"/>
      <c r="CA474" s="35"/>
      <c r="CB474" s="35"/>
      <c r="CC474"/>
      <c r="CG474" s="35"/>
      <c r="CH474" s="35"/>
      <c r="CK474"/>
      <c r="CM474" s="35"/>
      <c r="CN474" s="35"/>
      <c r="CQ474"/>
      <c r="CS474" s="35"/>
      <c r="CT474" s="35"/>
      <c r="CX474"/>
      <c r="CZ474" s="35"/>
      <c r="DD474" s="34"/>
      <c r="DG474" t="s">
        <v>868</v>
      </c>
      <c r="DH474" t="s">
        <v>978</v>
      </c>
      <c r="DI474" t="s">
        <v>286</v>
      </c>
      <c r="DL474" t="s">
        <v>685</v>
      </c>
      <c r="DM474">
        <v>5</v>
      </c>
      <c r="DN474">
        <v>5</v>
      </c>
      <c r="DO474" t="s">
        <v>869</v>
      </c>
      <c r="DQ474" t="s">
        <v>927</v>
      </c>
      <c r="DR474">
        <v>14</v>
      </c>
      <c r="DS474">
        <v>0</v>
      </c>
      <c r="DU474">
        <v>14</v>
      </c>
      <c r="DV474">
        <v>0</v>
      </c>
      <c r="DX474">
        <v>14</v>
      </c>
      <c r="DY474">
        <v>0</v>
      </c>
      <c r="DZ474" t="s">
        <v>246</v>
      </c>
      <c r="EA474" t="s">
        <v>929</v>
      </c>
    </row>
    <row r="475" spans="1:131" x14ac:dyDescent="0.4">
      <c r="A475" s="34">
        <v>43067.305104166669</v>
      </c>
      <c r="B475" s="25">
        <v>42956.472222222219</v>
      </c>
      <c r="D475" s="34"/>
      <c r="E475" s="34" t="s">
        <v>193</v>
      </c>
      <c r="F475" s="34" t="s">
        <v>191</v>
      </c>
      <c r="G475" s="34" t="s">
        <v>100</v>
      </c>
      <c r="H475" t="s">
        <v>856</v>
      </c>
      <c r="I475" t="s">
        <v>243</v>
      </c>
      <c r="J475" t="s">
        <v>857</v>
      </c>
      <c r="K475" t="s">
        <v>713</v>
      </c>
      <c r="L475" t="s">
        <v>855</v>
      </c>
      <c r="M475" s="30">
        <v>3.04</v>
      </c>
      <c r="N475">
        <v>5</v>
      </c>
      <c r="P475" s="24" t="str">
        <f>IFERROR(MID(RADataTable[[#This Row],[RATemplate]],1,LEN(RADataTable[[#This Row],[RATemplate]])-8),"RA") &amp; " " &amp; RADataTable[[#This Row],[prop_id0]] &amp; " " &amp; RADataTable[[#This Row],[last0]]</f>
        <v>RA 1755702 Charkhgard</v>
      </c>
      <c r="T475">
        <v>3</v>
      </c>
      <c r="U475">
        <v>3</v>
      </c>
      <c r="V475" s="34">
        <v>43031.770833333336</v>
      </c>
      <c r="W475">
        <v>1</v>
      </c>
      <c r="X475" s="15" t="str">
        <f>HYPERLINK("https://www.ejacket.nsf.gov/ej/showProposal.do?Continue=Y&amp;ID="&amp;RADataTable[[#This Row],[prop_id0]],"eJ")</f>
        <v>eJ</v>
      </c>
      <c r="Y475" s="15" t="str">
        <f>HYPERLINK("mailto:"&amp;RADataTable[[#This Row],[email]]&amp;"&amp;subject=Your NSF Proposal:  "&amp;RADataTable[[#This Row],[Div]]&amp;" "&amp;RADataTable[[#This Row],[prop_id0]], RADataTable[[#This Row],[email]])</f>
        <v>hcharkhgard@usf.edu</v>
      </c>
      <c r="Z475" s="15" t="str">
        <f>HYPERLINK("mailto:"&amp;RADataTable[[#This Row],[allPIemail]]&amp;"&amp;subject=NSF Proposal:  "&amp;RADataTable[[#This Row],[Div]]&amp;" "&amp;RADataTable[[#This Row],[prop_id0]], "PIs@")</f>
        <v>PIs@</v>
      </c>
      <c r="AA475" t="s">
        <v>245</v>
      </c>
      <c r="AB475" t="s">
        <v>685</v>
      </c>
      <c r="AC475" s="30" t="s">
        <v>864</v>
      </c>
      <c r="AD475" t="s">
        <v>865</v>
      </c>
      <c r="AE475" t="s">
        <v>866</v>
      </c>
      <c r="AF475" s="36">
        <v>172682</v>
      </c>
      <c r="AG475" s="36">
        <v>172682</v>
      </c>
      <c r="AH475" s="24"/>
      <c r="AJ475" s="34"/>
      <c r="AK475" t="s">
        <v>923</v>
      </c>
      <c r="AL475" t="s">
        <v>287</v>
      </c>
      <c r="AM475" s="34" t="s">
        <v>925</v>
      </c>
      <c r="AN475" s="34">
        <v>43032</v>
      </c>
      <c r="AO475" s="24">
        <v>4</v>
      </c>
      <c r="AP475" t="s">
        <v>977</v>
      </c>
      <c r="AR475" s="35"/>
      <c r="AS475"/>
      <c r="AT475" s="34"/>
      <c r="AV475" s="34"/>
      <c r="AX475" s="34"/>
      <c r="AY475"/>
      <c r="BA475" s="34"/>
      <c r="BB475"/>
      <c r="BC475" t="s">
        <v>870</v>
      </c>
      <c r="BD475" s="36">
        <v>172682</v>
      </c>
      <c r="BE475" s="36">
        <v>172682</v>
      </c>
      <c r="BF475">
        <v>0</v>
      </c>
      <c r="BG475" s="34">
        <v>43221</v>
      </c>
      <c r="BH475">
        <v>24</v>
      </c>
      <c r="BI475" t="s">
        <v>974</v>
      </c>
      <c r="BJ475" t="s">
        <v>975</v>
      </c>
      <c r="BK475" t="s">
        <v>234</v>
      </c>
      <c r="BL475" t="s">
        <v>194</v>
      </c>
      <c r="BM475" s="8" t="s">
        <v>192</v>
      </c>
      <c r="BN475" t="s">
        <v>189</v>
      </c>
      <c r="BO475" t="s">
        <v>190</v>
      </c>
      <c r="BP475" s="35" t="s">
        <v>861</v>
      </c>
      <c r="BQ475"/>
      <c r="BU475" s="35"/>
      <c r="BV475" s="35"/>
      <c r="BX475"/>
      <c r="CA475" s="35"/>
      <c r="CB475" s="35"/>
      <c r="CC475"/>
      <c r="CG475" s="35"/>
      <c r="CH475" s="35"/>
      <c r="CK475"/>
      <c r="CM475" s="35"/>
      <c r="CN475" s="35"/>
      <c r="CQ475"/>
      <c r="CS475" s="35"/>
      <c r="CT475" s="35"/>
      <c r="CX475"/>
      <c r="CZ475" s="35"/>
      <c r="DD475" s="34"/>
      <c r="DG475" t="s">
        <v>868</v>
      </c>
      <c r="DH475" t="s">
        <v>978</v>
      </c>
      <c r="DI475" t="s">
        <v>286</v>
      </c>
      <c r="DL475" t="s">
        <v>685</v>
      </c>
      <c r="DM475">
        <v>5</v>
      </c>
      <c r="DN475">
        <v>5</v>
      </c>
      <c r="DO475" t="s">
        <v>869</v>
      </c>
      <c r="DQ475" t="s">
        <v>927</v>
      </c>
      <c r="DR475">
        <v>14</v>
      </c>
      <c r="DS475">
        <v>0</v>
      </c>
      <c r="DU475">
        <v>14</v>
      </c>
      <c r="DV475">
        <v>0</v>
      </c>
      <c r="DX475">
        <v>14</v>
      </c>
      <c r="DY475">
        <v>0</v>
      </c>
      <c r="DZ475" t="s">
        <v>246</v>
      </c>
      <c r="EA475" t="s">
        <v>929</v>
      </c>
    </row>
    <row r="476" spans="1:131" x14ac:dyDescent="0.4">
      <c r="A476" s="34">
        <v>43067.305104166669</v>
      </c>
      <c r="B476" s="25">
        <v>42956.472222222219</v>
      </c>
      <c r="D476" s="34"/>
      <c r="E476" s="34" t="s">
        <v>193</v>
      </c>
      <c r="F476" s="34" t="s">
        <v>191</v>
      </c>
      <c r="G476" s="34" t="s">
        <v>100</v>
      </c>
      <c r="H476" t="s">
        <v>856</v>
      </c>
      <c r="I476" t="s">
        <v>243</v>
      </c>
      <c r="J476" t="s">
        <v>857</v>
      </c>
      <c r="K476" t="s">
        <v>713</v>
      </c>
      <c r="L476" t="s">
        <v>855</v>
      </c>
      <c r="M476" s="30">
        <v>3.04</v>
      </c>
      <c r="N476">
        <v>5</v>
      </c>
      <c r="P476" s="24" t="str">
        <f>IFERROR(MID(RADataTable[[#This Row],[RATemplate]],1,LEN(RADataTable[[#This Row],[RATemplate]])-8),"RA") &amp; " " &amp; RADataTable[[#This Row],[prop_id0]] &amp; " " &amp; RADataTable[[#This Row],[last0]]</f>
        <v>RA 1755702 Charkhgard</v>
      </c>
      <c r="T476">
        <v>3</v>
      </c>
      <c r="U476">
        <v>3</v>
      </c>
      <c r="V476" s="34">
        <v>43031.770833333336</v>
      </c>
      <c r="W476">
        <v>1</v>
      </c>
      <c r="X476" s="15" t="str">
        <f>HYPERLINK("https://www.ejacket.nsf.gov/ej/showProposal.do?Continue=Y&amp;ID="&amp;RADataTable[[#This Row],[prop_id0]],"eJ")</f>
        <v>eJ</v>
      </c>
      <c r="Y476" s="15" t="str">
        <f>HYPERLINK("mailto:"&amp;RADataTable[[#This Row],[email]]&amp;"&amp;subject=Your NSF Proposal:  "&amp;RADataTable[[#This Row],[Div]]&amp;" "&amp;RADataTable[[#This Row],[prop_id0]], RADataTable[[#This Row],[email]])</f>
        <v>hcharkhgard@usf.edu</v>
      </c>
      <c r="Z476" s="15" t="str">
        <f>HYPERLINK("mailto:"&amp;RADataTable[[#This Row],[allPIemail]]&amp;"&amp;subject=NSF Proposal:  "&amp;RADataTable[[#This Row],[Div]]&amp;" "&amp;RADataTable[[#This Row],[prop_id0]], "PIs@")</f>
        <v>PIs@</v>
      </c>
      <c r="AA476" t="s">
        <v>245</v>
      </c>
      <c r="AB476" t="s">
        <v>685</v>
      </c>
      <c r="AC476" s="30" t="s">
        <v>864</v>
      </c>
      <c r="AD476" t="s">
        <v>865</v>
      </c>
      <c r="AE476" t="s">
        <v>866</v>
      </c>
      <c r="AF476" s="36">
        <v>172682</v>
      </c>
      <c r="AG476" s="36">
        <v>172682</v>
      </c>
      <c r="AH476" s="24"/>
      <c r="AJ476" s="34"/>
      <c r="AK476" t="s">
        <v>923</v>
      </c>
      <c r="AL476" t="s">
        <v>287</v>
      </c>
      <c r="AM476" s="34" t="s">
        <v>925</v>
      </c>
      <c r="AN476" s="34">
        <v>43032</v>
      </c>
      <c r="AO476" s="24">
        <v>4</v>
      </c>
      <c r="AP476" t="s">
        <v>977</v>
      </c>
      <c r="AR476" s="35"/>
      <c r="AS476"/>
      <c r="AT476" s="34"/>
      <c r="AV476" s="34"/>
      <c r="AX476" s="34"/>
      <c r="AY476"/>
      <c r="BA476" s="34"/>
      <c r="BB476"/>
      <c r="BC476" t="s">
        <v>870</v>
      </c>
      <c r="BD476" s="36">
        <v>172682</v>
      </c>
      <c r="BE476" s="36">
        <v>172682</v>
      </c>
      <c r="BF476">
        <v>0</v>
      </c>
      <c r="BG476" s="34">
        <v>43221</v>
      </c>
      <c r="BH476">
        <v>24</v>
      </c>
      <c r="BI476" t="s">
        <v>974</v>
      </c>
      <c r="BJ476" t="s">
        <v>975</v>
      </c>
      <c r="BK476" t="s">
        <v>234</v>
      </c>
      <c r="BL476" t="s">
        <v>194</v>
      </c>
      <c r="BM476" s="8" t="s">
        <v>192</v>
      </c>
      <c r="BN476" t="s">
        <v>189</v>
      </c>
      <c r="BO476" t="s">
        <v>190</v>
      </c>
      <c r="BP476" s="35" t="s">
        <v>861</v>
      </c>
      <c r="BQ476"/>
      <c r="BU476" s="35"/>
      <c r="BV476" s="35"/>
      <c r="BX476"/>
      <c r="CA476" s="35"/>
      <c r="CB476" s="35"/>
      <c r="CC476"/>
      <c r="CG476" s="35"/>
      <c r="CH476" s="35"/>
      <c r="CK476"/>
      <c r="CM476" s="35"/>
      <c r="CN476" s="35"/>
      <c r="CQ476"/>
      <c r="CS476" s="35"/>
      <c r="CT476" s="35"/>
      <c r="CX476"/>
      <c r="CZ476" s="35"/>
      <c r="DD476" s="34"/>
      <c r="DG476" t="s">
        <v>868</v>
      </c>
      <c r="DH476" t="s">
        <v>978</v>
      </c>
      <c r="DI476" t="s">
        <v>286</v>
      </c>
      <c r="DL476" t="s">
        <v>685</v>
      </c>
      <c r="DM476">
        <v>5</v>
      </c>
      <c r="DN476">
        <v>5</v>
      </c>
      <c r="DO476" t="s">
        <v>869</v>
      </c>
      <c r="DQ476" t="s">
        <v>927</v>
      </c>
      <c r="DR476">
        <v>14</v>
      </c>
      <c r="DS476">
        <v>0</v>
      </c>
      <c r="DU476">
        <v>14</v>
      </c>
      <c r="DV476">
        <v>0</v>
      </c>
      <c r="DX476">
        <v>14</v>
      </c>
      <c r="DY476">
        <v>0</v>
      </c>
      <c r="DZ476" t="s">
        <v>246</v>
      </c>
      <c r="EA476" t="s">
        <v>929</v>
      </c>
    </row>
    <row r="477" spans="1:131" x14ac:dyDescent="0.4">
      <c r="A477" s="34">
        <v>43067.305104166669</v>
      </c>
      <c r="B477" s="25">
        <v>42956.472222222219</v>
      </c>
      <c r="D477" s="34"/>
      <c r="E477" s="34" t="s">
        <v>193</v>
      </c>
      <c r="F477" s="34" t="s">
        <v>191</v>
      </c>
      <c r="G477" s="34" t="s">
        <v>100</v>
      </c>
      <c r="H477" t="s">
        <v>856</v>
      </c>
      <c r="I477" t="s">
        <v>243</v>
      </c>
      <c r="J477" t="s">
        <v>857</v>
      </c>
      <c r="K477" t="s">
        <v>713</v>
      </c>
      <c r="L477" t="s">
        <v>855</v>
      </c>
      <c r="M477" s="30">
        <v>3.04</v>
      </c>
      <c r="N477">
        <v>5</v>
      </c>
      <c r="P477" s="24" t="str">
        <f>IFERROR(MID(RADataTable[[#This Row],[RATemplate]],1,LEN(RADataTable[[#This Row],[RATemplate]])-8),"RA") &amp; " " &amp; RADataTable[[#This Row],[prop_id0]] &amp; " " &amp; RADataTable[[#This Row],[last0]]</f>
        <v>RA 1755702 Charkhgard</v>
      </c>
      <c r="T477">
        <v>3</v>
      </c>
      <c r="U477">
        <v>3</v>
      </c>
      <c r="V477" s="34">
        <v>43031.770833333336</v>
      </c>
      <c r="W477">
        <v>1</v>
      </c>
      <c r="X477" s="15" t="str">
        <f>HYPERLINK("https://www.ejacket.nsf.gov/ej/showProposal.do?Continue=Y&amp;ID="&amp;RADataTable[[#This Row],[prop_id0]],"eJ")</f>
        <v>eJ</v>
      </c>
      <c r="Y477" s="15" t="str">
        <f>HYPERLINK("mailto:"&amp;RADataTable[[#This Row],[email]]&amp;"&amp;subject=Your NSF Proposal:  "&amp;RADataTable[[#This Row],[Div]]&amp;" "&amp;RADataTable[[#This Row],[prop_id0]], RADataTable[[#This Row],[email]])</f>
        <v>hcharkhgard@usf.edu</v>
      </c>
      <c r="Z477" s="15" t="str">
        <f>HYPERLINK("mailto:"&amp;RADataTable[[#This Row],[allPIemail]]&amp;"&amp;subject=NSF Proposal:  "&amp;RADataTable[[#This Row],[Div]]&amp;" "&amp;RADataTable[[#This Row],[prop_id0]], "PIs@")</f>
        <v>PIs@</v>
      </c>
      <c r="AA477" t="s">
        <v>245</v>
      </c>
      <c r="AB477" t="s">
        <v>685</v>
      </c>
      <c r="AC477" s="30" t="s">
        <v>864</v>
      </c>
      <c r="AD477" t="s">
        <v>865</v>
      </c>
      <c r="AE477" t="s">
        <v>866</v>
      </c>
      <c r="AF477" s="36">
        <v>172682</v>
      </c>
      <c r="AG477" s="36">
        <v>172682</v>
      </c>
      <c r="AH477" s="24"/>
      <c r="AJ477" s="34"/>
      <c r="AK477" t="s">
        <v>923</v>
      </c>
      <c r="AL477" t="s">
        <v>287</v>
      </c>
      <c r="AM477" s="34" t="s">
        <v>925</v>
      </c>
      <c r="AN477" s="34">
        <v>43032</v>
      </c>
      <c r="AO477" s="24">
        <v>4</v>
      </c>
      <c r="AP477" t="s">
        <v>977</v>
      </c>
      <c r="AR477" s="35"/>
      <c r="AS477"/>
      <c r="AT477" s="34"/>
      <c r="AV477" s="34"/>
      <c r="AX477" s="34"/>
      <c r="AY477"/>
      <c r="BA477" s="34"/>
      <c r="BB477"/>
      <c r="BC477" t="s">
        <v>870</v>
      </c>
      <c r="BD477" s="36">
        <v>172682</v>
      </c>
      <c r="BE477" s="36">
        <v>172682</v>
      </c>
      <c r="BF477">
        <v>0</v>
      </c>
      <c r="BG477" s="34">
        <v>43221</v>
      </c>
      <c r="BH477">
        <v>24</v>
      </c>
      <c r="BI477" t="s">
        <v>974</v>
      </c>
      <c r="BJ477" t="s">
        <v>975</v>
      </c>
      <c r="BK477" t="s">
        <v>234</v>
      </c>
      <c r="BL477" t="s">
        <v>194</v>
      </c>
      <c r="BM477" s="8" t="s">
        <v>192</v>
      </c>
      <c r="BN477" t="s">
        <v>189</v>
      </c>
      <c r="BO477" t="s">
        <v>190</v>
      </c>
      <c r="BP477" s="35" t="s">
        <v>861</v>
      </c>
      <c r="BQ477"/>
      <c r="BU477" s="35"/>
      <c r="BV477" s="35"/>
      <c r="BX477"/>
      <c r="CA477" s="35"/>
      <c r="CB477" s="35"/>
      <c r="CC477"/>
      <c r="CG477" s="35"/>
      <c r="CH477" s="35"/>
      <c r="CK477"/>
      <c r="CM477" s="35"/>
      <c r="CN477" s="35"/>
      <c r="CQ477"/>
      <c r="CS477" s="35"/>
      <c r="CT477" s="35"/>
      <c r="CX477"/>
      <c r="CZ477" s="35"/>
      <c r="DD477" s="34"/>
      <c r="DG477" t="s">
        <v>868</v>
      </c>
      <c r="DH477" t="s">
        <v>978</v>
      </c>
      <c r="DI477" t="s">
        <v>286</v>
      </c>
      <c r="DL477" t="s">
        <v>685</v>
      </c>
      <c r="DM477">
        <v>5</v>
      </c>
      <c r="DN477">
        <v>5</v>
      </c>
      <c r="DO477" t="s">
        <v>869</v>
      </c>
      <c r="DQ477" t="s">
        <v>927</v>
      </c>
      <c r="DR477">
        <v>14</v>
      </c>
      <c r="DS477">
        <v>0</v>
      </c>
      <c r="DU477">
        <v>14</v>
      </c>
      <c r="DV477">
        <v>0</v>
      </c>
      <c r="DX477">
        <v>14</v>
      </c>
      <c r="DY477">
        <v>0</v>
      </c>
      <c r="DZ477" t="s">
        <v>246</v>
      </c>
      <c r="EA477" t="s">
        <v>929</v>
      </c>
    </row>
    <row r="478" spans="1:131" x14ac:dyDescent="0.4">
      <c r="A478" s="34">
        <v>43067.305104166669</v>
      </c>
      <c r="B478" s="25">
        <v>42956.472222222219</v>
      </c>
      <c r="D478" s="34"/>
      <c r="E478" s="34" t="s">
        <v>193</v>
      </c>
      <c r="F478" s="34" t="s">
        <v>191</v>
      </c>
      <c r="G478" s="34" t="s">
        <v>100</v>
      </c>
      <c r="H478" t="s">
        <v>856</v>
      </c>
      <c r="I478" t="s">
        <v>243</v>
      </c>
      <c r="J478" t="s">
        <v>857</v>
      </c>
      <c r="K478" t="s">
        <v>713</v>
      </c>
      <c r="L478" t="s">
        <v>855</v>
      </c>
      <c r="M478" s="30">
        <v>3.04</v>
      </c>
      <c r="N478">
        <v>5</v>
      </c>
      <c r="P478" s="24" t="str">
        <f>IFERROR(MID(RADataTable[[#This Row],[RATemplate]],1,LEN(RADataTable[[#This Row],[RATemplate]])-8),"RA") &amp; " " &amp; RADataTable[[#This Row],[prop_id0]] &amp; " " &amp; RADataTable[[#This Row],[last0]]</f>
        <v>RA 1755702 Charkhgard</v>
      </c>
      <c r="T478">
        <v>3</v>
      </c>
      <c r="U478">
        <v>3</v>
      </c>
      <c r="V478" s="34">
        <v>43031.770833333336</v>
      </c>
      <c r="W478">
        <v>1</v>
      </c>
      <c r="X478" s="15" t="str">
        <f>HYPERLINK("https://www.ejacket.nsf.gov/ej/showProposal.do?Continue=Y&amp;ID="&amp;RADataTable[[#This Row],[prop_id0]],"eJ")</f>
        <v>eJ</v>
      </c>
      <c r="Y478" s="15" t="str">
        <f>HYPERLINK("mailto:"&amp;RADataTable[[#This Row],[email]]&amp;"&amp;subject=Your NSF Proposal:  "&amp;RADataTable[[#This Row],[Div]]&amp;" "&amp;RADataTable[[#This Row],[prop_id0]], RADataTable[[#This Row],[email]])</f>
        <v>hcharkhgard@usf.edu</v>
      </c>
      <c r="Z478" s="15" t="str">
        <f>HYPERLINK("mailto:"&amp;RADataTable[[#This Row],[allPIemail]]&amp;"&amp;subject=NSF Proposal:  "&amp;RADataTable[[#This Row],[Div]]&amp;" "&amp;RADataTable[[#This Row],[prop_id0]], "PIs@")</f>
        <v>PIs@</v>
      </c>
      <c r="AA478" t="s">
        <v>245</v>
      </c>
      <c r="AB478" t="s">
        <v>685</v>
      </c>
      <c r="AC478" s="30" t="s">
        <v>864</v>
      </c>
      <c r="AD478" t="s">
        <v>865</v>
      </c>
      <c r="AE478" t="s">
        <v>866</v>
      </c>
      <c r="AF478" s="36">
        <v>172682</v>
      </c>
      <c r="AG478" s="36">
        <v>172682</v>
      </c>
      <c r="AH478" s="24"/>
      <c r="AJ478" s="34"/>
      <c r="AK478" t="s">
        <v>923</v>
      </c>
      <c r="AL478" t="s">
        <v>287</v>
      </c>
      <c r="AM478" s="34" t="s">
        <v>925</v>
      </c>
      <c r="AN478" s="34">
        <v>43032</v>
      </c>
      <c r="AO478" s="24">
        <v>4</v>
      </c>
      <c r="AP478" t="s">
        <v>977</v>
      </c>
      <c r="AR478" s="35"/>
      <c r="AS478"/>
      <c r="AT478" s="34"/>
      <c r="AV478" s="34"/>
      <c r="AX478" s="34"/>
      <c r="AY478"/>
      <c r="BA478" s="34"/>
      <c r="BB478"/>
      <c r="BC478" t="s">
        <v>870</v>
      </c>
      <c r="BD478" s="36">
        <v>172682</v>
      </c>
      <c r="BE478" s="36">
        <v>172682</v>
      </c>
      <c r="BF478">
        <v>0</v>
      </c>
      <c r="BG478" s="34">
        <v>43221</v>
      </c>
      <c r="BH478">
        <v>24</v>
      </c>
      <c r="BI478" t="s">
        <v>974</v>
      </c>
      <c r="BJ478" t="s">
        <v>975</v>
      </c>
      <c r="BK478" t="s">
        <v>234</v>
      </c>
      <c r="BL478" t="s">
        <v>194</v>
      </c>
      <c r="BM478" s="8" t="s">
        <v>192</v>
      </c>
      <c r="BN478" t="s">
        <v>189</v>
      </c>
      <c r="BO478" t="s">
        <v>190</v>
      </c>
      <c r="BP478" s="35" t="s">
        <v>861</v>
      </c>
      <c r="BQ478"/>
      <c r="BU478" s="35"/>
      <c r="BV478" s="35"/>
      <c r="BX478"/>
      <c r="CA478" s="35"/>
      <c r="CB478" s="35"/>
      <c r="CC478"/>
      <c r="CG478" s="35"/>
      <c r="CH478" s="35"/>
      <c r="CK478"/>
      <c r="CM478" s="35"/>
      <c r="CN478" s="35"/>
      <c r="CQ478"/>
      <c r="CS478" s="35"/>
      <c r="CT478" s="35"/>
      <c r="CX478"/>
      <c r="CZ478" s="35"/>
      <c r="DD478" s="34"/>
      <c r="DG478" t="s">
        <v>868</v>
      </c>
      <c r="DH478" t="s">
        <v>978</v>
      </c>
      <c r="DI478" t="s">
        <v>286</v>
      </c>
      <c r="DL478" t="s">
        <v>685</v>
      </c>
      <c r="DM478">
        <v>5</v>
      </c>
      <c r="DN478">
        <v>5</v>
      </c>
      <c r="DO478" t="s">
        <v>869</v>
      </c>
      <c r="DQ478" t="s">
        <v>927</v>
      </c>
      <c r="DR478">
        <v>14</v>
      </c>
      <c r="DS478">
        <v>0</v>
      </c>
      <c r="DU478">
        <v>14</v>
      </c>
      <c r="DV478">
        <v>0</v>
      </c>
      <c r="DX478">
        <v>14</v>
      </c>
      <c r="DY478">
        <v>0</v>
      </c>
      <c r="DZ478" t="s">
        <v>246</v>
      </c>
      <c r="EA478" t="s">
        <v>929</v>
      </c>
    </row>
    <row r="479" spans="1:131" x14ac:dyDescent="0.4">
      <c r="A479" s="34">
        <v>43067.305104166669</v>
      </c>
      <c r="B479" s="25">
        <v>42956.472222222219</v>
      </c>
      <c r="D479" s="34"/>
      <c r="E479" s="34" t="s">
        <v>193</v>
      </c>
      <c r="F479" s="34" t="s">
        <v>191</v>
      </c>
      <c r="G479" s="34" t="s">
        <v>100</v>
      </c>
      <c r="H479" t="s">
        <v>856</v>
      </c>
      <c r="I479" t="s">
        <v>243</v>
      </c>
      <c r="J479" t="s">
        <v>857</v>
      </c>
      <c r="K479" t="s">
        <v>713</v>
      </c>
      <c r="L479" t="s">
        <v>855</v>
      </c>
      <c r="M479" s="30">
        <v>3.04</v>
      </c>
      <c r="N479">
        <v>5</v>
      </c>
      <c r="P479" s="24" t="str">
        <f>IFERROR(MID(RADataTable[[#This Row],[RATemplate]],1,LEN(RADataTable[[#This Row],[RATemplate]])-8),"RA") &amp; " " &amp; RADataTable[[#This Row],[prop_id0]] &amp; " " &amp; RADataTable[[#This Row],[last0]]</f>
        <v>RA 1755702 Charkhgard</v>
      </c>
      <c r="T479">
        <v>3</v>
      </c>
      <c r="U479">
        <v>3</v>
      </c>
      <c r="V479" s="34">
        <v>43031.770833333336</v>
      </c>
      <c r="W479">
        <v>1</v>
      </c>
      <c r="X479" s="15" t="str">
        <f>HYPERLINK("https://www.ejacket.nsf.gov/ej/showProposal.do?Continue=Y&amp;ID="&amp;RADataTable[[#This Row],[prop_id0]],"eJ")</f>
        <v>eJ</v>
      </c>
      <c r="Y479" s="15" t="str">
        <f>HYPERLINK("mailto:"&amp;RADataTable[[#This Row],[email]]&amp;"&amp;subject=Your NSF Proposal:  "&amp;RADataTable[[#This Row],[Div]]&amp;" "&amp;RADataTable[[#This Row],[prop_id0]], RADataTable[[#This Row],[email]])</f>
        <v>hcharkhgard@usf.edu</v>
      </c>
      <c r="Z479" s="15" t="str">
        <f>HYPERLINK("mailto:"&amp;RADataTable[[#This Row],[allPIemail]]&amp;"&amp;subject=NSF Proposal:  "&amp;RADataTable[[#This Row],[Div]]&amp;" "&amp;RADataTable[[#This Row],[prop_id0]], "PIs@")</f>
        <v>PIs@</v>
      </c>
      <c r="AA479" t="s">
        <v>245</v>
      </c>
      <c r="AB479" t="s">
        <v>685</v>
      </c>
      <c r="AC479" s="30" t="s">
        <v>864</v>
      </c>
      <c r="AD479" t="s">
        <v>865</v>
      </c>
      <c r="AE479" t="s">
        <v>866</v>
      </c>
      <c r="AF479" s="36">
        <v>172682</v>
      </c>
      <c r="AG479" s="36">
        <v>172682</v>
      </c>
      <c r="AH479" s="24"/>
      <c r="AJ479" s="34"/>
      <c r="AK479" t="s">
        <v>923</v>
      </c>
      <c r="AL479" t="s">
        <v>287</v>
      </c>
      <c r="AM479" s="34" t="s">
        <v>925</v>
      </c>
      <c r="AN479" s="34">
        <v>43032</v>
      </c>
      <c r="AO479" s="24">
        <v>4</v>
      </c>
      <c r="AP479" t="s">
        <v>977</v>
      </c>
      <c r="AR479" s="35"/>
      <c r="AS479"/>
      <c r="AT479" s="34"/>
      <c r="AV479" s="34"/>
      <c r="AX479" s="34"/>
      <c r="AY479"/>
      <c r="BA479" s="34"/>
      <c r="BB479"/>
      <c r="BC479" t="s">
        <v>870</v>
      </c>
      <c r="BD479" s="36">
        <v>172682</v>
      </c>
      <c r="BE479" s="36">
        <v>172682</v>
      </c>
      <c r="BF479">
        <v>0</v>
      </c>
      <c r="BG479" s="34">
        <v>43221</v>
      </c>
      <c r="BH479">
        <v>24</v>
      </c>
      <c r="BI479" t="s">
        <v>974</v>
      </c>
      <c r="BJ479" t="s">
        <v>975</v>
      </c>
      <c r="BK479" t="s">
        <v>234</v>
      </c>
      <c r="BL479" t="s">
        <v>194</v>
      </c>
      <c r="BM479" s="8" t="s">
        <v>192</v>
      </c>
      <c r="BN479" t="s">
        <v>189</v>
      </c>
      <c r="BO479" t="s">
        <v>190</v>
      </c>
      <c r="BP479" s="35" t="s">
        <v>861</v>
      </c>
      <c r="BQ479"/>
      <c r="BU479" s="35"/>
      <c r="BV479" s="35"/>
      <c r="BX479"/>
      <c r="CA479" s="35"/>
      <c r="CB479" s="35"/>
      <c r="CC479"/>
      <c r="CG479" s="35"/>
      <c r="CH479" s="35"/>
      <c r="CK479"/>
      <c r="CM479" s="35"/>
      <c r="CN479" s="35"/>
      <c r="CQ479"/>
      <c r="CS479" s="35"/>
      <c r="CT479" s="35"/>
      <c r="CX479"/>
      <c r="CZ479" s="35"/>
      <c r="DD479" s="34"/>
      <c r="DG479" t="s">
        <v>868</v>
      </c>
      <c r="DH479" t="s">
        <v>978</v>
      </c>
      <c r="DI479" t="s">
        <v>286</v>
      </c>
      <c r="DL479" t="s">
        <v>685</v>
      </c>
      <c r="DM479">
        <v>5</v>
      </c>
      <c r="DN479">
        <v>5</v>
      </c>
      <c r="DO479" t="s">
        <v>869</v>
      </c>
      <c r="DQ479" t="s">
        <v>927</v>
      </c>
      <c r="DR479">
        <v>14</v>
      </c>
      <c r="DS479">
        <v>0</v>
      </c>
      <c r="DU479">
        <v>14</v>
      </c>
      <c r="DV479">
        <v>0</v>
      </c>
      <c r="DX479">
        <v>14</v>
      </c>
      <c r="DY479">
        <v>0</v>
      </c>
      <c r="DZ479" t="s">
        <v>246</v>
      </c>
      <c r="EA479" t="s">
        <v>929</v>
      </c>
    </row>
    <row r="480" spans="1:131" x14ac:dyDescent="0.4">
      <c r="A480" s="34">
        <v>43067.305104166669</v>
      </c>
      <c r="B480" s="25">
        <v>42956.472222222219</v>
      </c>
      <c r="D480" s="34"/>
      <c r="E480" s="34" t="s">
        <v>193</v>
      </c>
      <c r="F480" s="34" t="s">
        <v>191</v>
      </c>
      <c r="G480" s="34" t="s">
        <v>100</v>
      </c>
      <c r="H480" t="s">
        <v>856</v>
      </c>
      <c r="I480" t="s">
        <v>243</v>
      </c>
      <c r="J480" t="s">
        <v>857</v>
      </c>
      <c r="K480" t="s">
        <v>713</v>
      </c>
      <c r="L480" t="s">
        <v>855</v>
      </c>
      <c r="M480" s="30">
        <v>3.04</v>
      </c>
      <c r="N480">
        <v>5</v>
      </c>
      <c r="P480" s="24" t="str">
        <f>IFERROR(MID(RADataTable[[#This Row],[RATemplate]],1,LEN(RADataTable[[#This Row],[RATemplate]])-8),"RA") &amp; " " &amp; RADataTable[[#This Row],[prop_id0]] &amp; " " &amp; RADataTable[[#This Row],[last0]]</f>
        <v>RA 1755702 Charkhgard</v>
      </c>
      <c r="T480">
        <v>3</v>
      </c>
      <c r="U480">
        <v>3</v>
      </c>
      <c r="V480" s="34">
        <v>43031.770833333336</v>
      </c>
      <c r="W480">
        <v>1</v>
      </c>
      <c r="X480" s="15" t="str">
        <f>HYPERLINK("https://www.ejacket.nsf.gov/ej/showProposal.do?Continue=Y&amp;ID="&amp;RADataTable[[#This Row],[prop_id0]],"eJ")</f>
        <v>eJ</v>
      </c>
      <c r="Y480" s="15" t="str">
        <f>HYPERLINK("mailto:"&amp;RADataTable[[#This Row],[email]]&amp;"&amp;subject=Your NSF Proposal:  "&amp;RADataTable[[#This Row],[Div]]&amp;" "&amp;RADataTable[[#This Row],[prop_id0]], RADataTable[[#This Row],[email]])</f>
        <v>hcharkhgard@usf.edu</v>
      </c>
      <c r="Z480" s="15" t="str">
        <f>HYPERLINK("mailto:"&amp;RADataTable[[#This Row],[allPIemail]]&amp;"&amp;subject=NSF Proposal:  "&amp;RADataTable[[#This Row],[Div]]&amp;" "&amp;RADataTable[[#This Row],[prop_id0]], "PIs@")</f>
        <v>PIs@</v>
      </c>
      <c r="AA480" t="s">
        <v>245</v>
      </c>
      <c r="AB480" t="s">
        <v>685</v>
      </c>
      <c r="AC480" s="30" t="s">
        <v>864</v>
      </c>
      <c r="AD480" t="s">
        <v>865</v>
      </c>
      <c r="AE480" t="s">
        <v>866</v>
      </c>
      <c r="AF480" s="36">
        <v>172682</v>
      </c>
      <c r="AG480" s="36">
        <v>172682</v>
      </c>
      <c r="AH480" s="24"/>
      <c r="AJ480" s="34"/>
      <c r="AK480" t="s">
        <v>923</v>
      </c>
      <c r="AL480" t="s">
        <v>287</v>
      </c>
      <c r="AM480" s="34" t="s">
        <v>925</v>
      </c>
      <c r="AN480" s="34">
        <v>43032</v>
      </c>
      <c r="AO480" s="24">
        <v>4</v>
      </c>
      <c r="AP480" t="s">
        <v>977</v>
      </c>
      <c r="AR480" s="35"/>
      <c r="AS480"/>
      <c r="AT480" s="34"/>
      <c r="AV480" s="34"/>
      <c r="AX480" s="34"/>
      <c r="AY480"/>
      <c r="BA480" s="34"/>
      <c r="BB480"/>
      <c r="BC480" t="s">
        <v>870</v>
      </c>
      <c r="BD480" s="36">
        <v>172682</v>
      </c>
      <c r="BE480" s="36">
        <v>172682</v>
      </c>
      <c r="BF480">
        <v>0</v>
      </c>
      <c r="BG480" s="34">
        <v>43221</v>
      </c>
      <c r="BH480">
        <v>24</v>
      </c>
      <c r="BI480" t="s">
        <v>974</v>
      </c>
      <c r="BJ480" t="s">
        <v>975</v>
      </c>
      <c r="BK480" t="s">
        <v>234</v>
      </c>
      <c r="BL480" t="s">
        <v>194</v>
      </c>
      <c r="BM480" s="8" t="s">
        <v>192</v>
      </c>
      <c r="BN480" t="s">
        <v>189</v>
      </c>
      <c r="BO480" t="s">
        <v>190</v>
      </c>
      <c r="BP480" s="35" t="s">
        <v>861</v>
      </c>
      <c r="BQ480"/>
      <c r="BU480" s="35"/>
      <c r="BV480" s="35"/>
      <c r="BX480"/>
      <c r="CA480" s="35"/>
      <c r="CB480" s="35"/>
      <c r="CC480"/>
      <c r="CG480" s="35"/>
      <c r="CH480" s="35"/>
      <c r="CK480"/>
      <c r="CM480" s="35"/>
      <c r="CN480" s="35"/>
      <c r="CQ480"/>
      <c r="CS480" s="35"/>
      <c r="CT480" s="35"/>
      <c r="CX480"/>
      <c r="CZ480" s="35"/>
      <c r="DD480" s="34"/>
      <c r="DG480" t="s">
        <v>868</v>
      </c>
      <c r="DH480" t="s">
        <v>978</v>
      </c>
      <c r="DI480" t="s">
        <v>286</v>
      </c>
      <c r="DL480" t="s">
        <v>685</v>
      </c>
      <c r="DM480">
        <v>5</v>
      </c>
      <c r="DN480">
        <v>5</v>
      </c>
      <c r="DO480" t="s">
        <v>869</v>
      </c>
      <c r="DQ480" t="s">
        <v>927</v>
      </c>
      <c r="DR480">
        <v>14</v>
      </c>
      <c r="DS480">
        <v>0</v>
      </c>
      <c r="DU480">
        <v>14</v>
      </c>
      <c r="DV480">
        <v>0</v>
      </c>
      <c r="DX480">
        <v>14</v>
      </c>
      <c r="DY480">
        <v>0</v>
      </c>
      <c r="DZ480" t="s">
        <v>246</v>
      </c>
      <c r="EA480" t="s">
        <v>929</v>
      </c>
    </row>
    <row r="481" spans="1:131" x14ac:dyDescent="0.4">
      <c r="A481" s="34">
        <v>43067.305104166669</v>
      </c>
      <c r="B481" s="25">
        <v>42956.472222222219</v>
      </c>
      <c r="D481" s="34"/>
      <c r="E481" s="34" t="s">
        <v>193</v>
      </c>
      <c r="F481" s="34" t="s">
        <v>191</v>
      </c>
      <c r="G481" s="34" t="s">
        <v>100</v>
      </c>
      <c r="H481" t="s">
        <v>856</v>
      </c>
      <c r="I481" t="s">
        <v>243</v>
      </c>
      <c r="J481" t="s">
        <v>857</v>
      </c>
      <c r="K481" t="s">
        <v>713</v>
      </c>
      <c r="L481" t="s">
        <v>855</v>
      </c>
      <c r="M481" s="30">
        <v>3.04</v>
      </c>
      <c r="N481">
        <v>5</v>
      </c>
      <c r="P481" s="24" t="str">
        <f>IFERROR(MID(RADataTable[[#This Row],[RATemplate]],1,LEN(RADataTable[[#This Row],[RATemplate]])-8),"RA") &amp; " " &amp; RADataTable[[#This Row],[prop_id0]] &amp; " " &amp; RADataTable[[#This Row],[last0]]</f>
        <v>RA 1755702 Charkhgard</v>
      </c>
      <c r="T481">
        <v>3</v>
      </c>
      <c r="U481">
        <v>3</v>
      </c>
      <c r="V481" s="34">
        <v>43031.770833333336</v>
      </c>
      <c r="W481">
        <v>1</v>
      </c>
      <c r="X481" s="15" t="str">
        <f>HYPERLINK("https://www.ejacket.nsf.gov/ej/showProposal.do?Continue=Y&amp;ID="&amp;RADataTable[[#This Row],[prop_id0]],"eJ")</f>
        <v>eJ</v>
      </c>
      <c r="Y481" s="15" t="str">
        <f>HYPERLINK("mailto:"&amp;RADataTable[[#This Row],[email]]&amp;"&amp;subject=Your NSF Proposal:  "&amp;RADataTable[[#This Row],[Div]]&amp;" "&amp;RADataTable[[#This Row],[prop_id0]], RADataTable[[#This Row],[email]])</f>
        <v>hcharkhgard@usf.edu</v>
      </c>
      <c r="Z481" s="15" t="str">
        <f>HYPERLINK("mailto:"&amp;RADataTable[[#This Row],[allPIemail]]&amp;"&amp;subject=NSF Proposal:  "&amp;RADataTable[[#This Row],[Div]]&amp;" "&amp;RADataTable[[#This Row],[prop_id0]], "PIs@")</f>
        <v>PIs@</v>
      </c>
      <c r="AA481" t="s">
        <v>245</v>
      </c>
      <c r="AB481" t="s">
        <v>685</v>
      </c>
      <c r="AC481" s="30" t="s">
        <v>864</v>
      </c>
      <c r="AD481" t="s">
        <v>865</v>
      </c>
      <c r="AE481" t="s">
        <v>866</v>
      </c>
      <c r="AF481" s="36">
        <v>172682</v>
      </c>
      <c r="AG481" s="36">
        <v>172682</v>
      </c>
      <c r="AH481" s="24"/>
      <c r="AJ481" s="34"/>
      <c r="AK481" t="s">
        <v>923</v>
      </c>
      <c r="AL481" t="s">
        <v>287</v>
      </c>
      <c r="AM481" s="34" t="s">
        <v>925</v>
      </c>
      <c r="AN481" s="34">
        <v>43032</v>
      </c>
      <c r="AO481" s="24">
        <v>4</v>
      </c>
      <c r="AP481" t="s">
        <v>977</v>
      </c>
      <c r="AR481" s="35"/>
      <c r="AS481"/>
      <c r="AT481" s="34"/>
      <c r="AV481" s="34"/>
      <c r="AX481" s="34"/>
      <c r="AY481"/>
      <c r="BA481" s="34"/>
      <c r="BB481"/>
      <c r="BC481" t="s">
        <v>870</v>
      </c>
      <c r="BD481" s="36">
        <v>172682</v>
      </c>
      <c r="BE481" s="36">
        <v>172682</v>
      </c>
      <c r="BF481">
        <v>0</v>
      </c>
      <c r="BG481" s="34">
        <v>43221</v>
      </c>
      <c r="BH481">
        <v>24</v>
      </c>
      <c r="BI481" t="s">
        <v>974</v>
      </c>
      <c r="BJ481" t="s">
        <v>975</v>
      </c>
      <c r="BK481" t="s">
        <v>234</v>
      </c>
      <c r="BL481" t="s">
        <v>194</v>
      </c>
      <c r="BM481" s="8" t="s">
        <v>192</v>
      </c>
      <c r="BN481" t="s">
        <v>189</v>
      </c>
      <c r="BO481" t="s">
        <v>190</v>
      </c>
      <c r="BP481" s="35" t="s">
        <v>861</v>
      </c>
      <c r="BQ481"/>
      <c r="BU481" s="35"/>
      <c r="BV481" s="35"/>
      <c r="BX481"/>
      <c r="CA481" s="35"/>
      <c r="CB481" s="35"/>
      <c r="CC481"/>
      <c r="CG481" s="35"/>
      <c r="CH481" s="35"/>
      <c r="CK481"/>
      <c r="CM481" s="35"/>
      <c r="CN481" s="35"/>
      <c r="CQ481"/>
      <c r="CS481" s="35"/>
      <c r="CT481" s="35"/>
      <c r="CX481"/>
      <c r="CZ481" s="35"/>
      <c r="DD481" s="34"/>
      <c r="DG481" t="s">
        <v>868</v>
      </c>
      <c r="DH481" t="s">
        <v>978</v>
      </c>
      <c r="DI481" t="s">
        <v>286</v>
      </c>
      <c r="DL481" t="s">
        <v>685</v>
      </c>
      <c r="DM481">
        <v>5</v>
      </c>
      <c r="DN481">
        <v>5</v>
      </c>
      <c r="DO481" t="s">
        <v>869</v>
      </c>
      <c r="DQ481" t="s">
        <v>927</v>
      </c>
      <c r="DR481">
        <v>14</v>
      </c>
      <c r="DS481">
        <v>0</v>
      </c>
      <c r="DU481">
        <v>14</v>
      </c>
      <c r="DV481">
        <v>0</v>
      </c>
      <c r="DX481">
        <v>14</v>
      </c>
      <c r="DY481">
        <v>0</v>
      </c>
      <c r="DZ481" t="s">
        <v>246</v>
      </c>
      <c r="EA481" t="s">
        <v>929</v>
      </c>
    </row>
    <row r="482" spans="1:131" x14ac:dyDescent="0.4">
      <c r="A482" s="34">
        <v>43067.305104166669</v>
      </c>
      <c r="B482" s="25">
        <v>42956.472222222219</v>
      </c>
      <c r="D482" s="34"/>
      <c r="E482" s="34" t="s">
        <v>193</v>
      </c>
      <c r="F482" s="34" t="s">
        <v>191</v>
      </c>
      <c r="G482" s="34" t="s">
        <v>100</v>
      </c>
      <c r="H482" t="s">
        <v>856</v>
      </c>
      <c r="I482" t="s">
        <v>243</v>
      </c>
      <c r="J482" t="s">
        <v>857</v>
      </c>
      <c r="K482" t="s">
        <v>713</v>
      </c>
      <c r="L482" t="s">
        <v>855</v>
      </c>
      <c r="M482" s="30">
        <v>3.04</v>
      </c>
      <c r="N482">
        <v>5</v>
      </c>
      <c r="P482" s="24" t="str">
        <f>IFERROR(MID(RADataTable[[#This Row],[RATemplate]],1,LEN(RADataTable[[#This Row],[RATemplate]])-8),"RA") &amp; " " &amp; RADataTable[[#This Row],[prop_id0]] &amp; " " &amp; RADataTable[[#This Row],[last0]]</f>
        <v>RA 1755702 Charkhgard</v>
      </c>
      <c r="T482">
        <v>3</v>
      </c>
      <c r="U482">
        <v>3</v>
      </c>
      <c r="V482" s="34">
        <v>43031.770833333336</v>
      </c>
      <c r="W482">
        <v>1</v>
      </c>
      <c r="X482" s="15" t="str">
        <f>HYPERLINK("https://www.ejacket.nsf.gov/ej/showProposal.do?Continue=Y&amp;ID="&amp;RADataTable[[#This Row],[prop_id0]],"eJ")</f>
        <v>eJ</v>
      </c>
      <c r="Y482" s="15" t="str">
        <f>HYPERLINK("mailto:"&amp;RADataTable[[#This Row],[email]]&amp;"&amp;subject=Your NSF Proposal:  "&amp;RADataTable[[#This Row],[Div]]&amp;" "&amp;RADataTable[[#This Row],[prop_id0]], RADataTable[[#This Row],[email]])</f>
        <v>hcharkhgard@usf.edu</v>
      </c>
      <c r="Z482" s="15" t="str">
        <f>HYPERLINK("mailto:"&amp;RADataTable[[#This Row],[allPIemail]]&amp;"&amp;subject=NSF Proposal:  "&amp;RADataTable[[#This Row],[Div]]&amp;" "&amp;RADataTable[[#This Row],[prop_id0]], "PIs@")</f>
        <v>PIs@</v>
      </c>
      <c r="AA482" t="s">
        <v>245</v>
      </c>
      <c r="AB482" t="s">
        <v>685</v>
      </c>
      <c r="AC482" s="30" t="s">
        <v>864</v>
      </c>
      <c r="AD482" t="s">
        <v>865</v>
      </c>
      <c r="AE482" t="s">
        <v>866</v>
      </c>
      <c r="AF482" s="36">
        <v>172682</v>
      </c>
      <c r="AG482" s="36">
        <v>172682</v>
      </c>
      <c r="AH482" s="24"/>
      <c r="AJ482" s="34"/>
      <c r="AK482" t="s">
        <v>923</v>
      </c>
      <c r="AL482" t="s">
        <v>287</v>
      </c>
      <c r="AM482" s="34" t="s">
        <v>925</v>
      </c>
      <c r="AN482" s="34">
        <v>43032</v>
      </c>
      <c r="AO482" s="24">
        <v>4</v>
      </c>
      <c r="AP482" t="s">
        <v>977</v>
      </c>
      <c r="AR482" s="35"/>
      <c r="AS482"/>
      <c r="AT482" s="34"/>
      <c r="AV482" s="34"/>
      <c r="AX482" s="34"/>
      <c r="AY482"/>
      <c r="BA482" s="34"/>
      <c r="BB482"/>
      <c r="BC482" t="s">
        <v>870</v>
      </c>
      <c r="BD482" s="36">
        <v>172682</v>
      </c>
      <c r="BE482" s="36">
        <v>172682</v>
      </c>
      <c r="BF482">
        <v>0</v>
      </c>
      <c r="BG482" s="34">
        <v>43221</v>
      </c>
      <c r="BH482">
        <v>24</v>
      </c>
      <c r="BI482" t="s">
        <v>974</v>
      </c>
      <c r="BJ482" t="s">
        <v>975</v>
      </c>
      <c r="BK482" t="s">
        <v>234</v>
      </c>
      <c r="BL482" t="s">
        <v>194</v>
      </c>
      <c r="BM482" s="8" t="s">
        <v>192</v>
      </c>
      <c r="BN482" t="s">
        <v>189</v>
      </c>
      <c r="BO482" t="s">
        <v>190</v>
      </c>
      <c r="BP482" s="35" t="s">
        <v>861</v>
      </c>
      <c r="BQ482"/>
      <c r="BU482" s="35"/>
      <c r="BV482" s="35"/>
      <c r="BX482"/>
      <c r="CA482" s="35"/>
      <c r="CB482" s="35"/>
      <c r="CC482"/>
      <c r="CG482" s="35"/>
      <c r="CH482" s="35"/>
      <c r="CK482"/>
      <c r="CM482" s="35"/>
      <c r="CN482" s="35"/>
      <c r="CQ482"/>
      <c r="CS482" s="35"/>
      <c r="CT482" s="35"/>
      <c r="CX482"/>
      <c r="CZ482" s="35"/>
      <c r="DD482" s="34"/>
      <c r="DG482" t="s">
        <v>868</v>
      </c>
      <c r="DH482" t="s">
        <v>978</v>
      </c>
      <c r="DI482" t="s">
        <v>286</v>
      </c>
      <c r="DL482" t="s">
        <v>685</v>
      </c>
      <c r="DM482">
        <v>5</v>
      </c>
      <c r="DN482">
        <v>5</v>
      </c>
      <c r="DO482" t="s">
        <v>869</v>
      </c>
      <c r="DQ482" t="s">
        <v>927</v>
      </c>
      <c r="DR482">
        <v>14</v>
      </c>
      <c r="DS482">
        <v>0</v>
      </c>
      <c r="DU482">
        <v>14</v>
      </c>
      <c r="DV482">
        <v>0</v>
      </c>
      <c r="DX482">
        <v>14</v>
      </c>
      <c r="DY482">
        <v>0</v>
      </c>
      <c r="DZ482" t="s">
        <v>246</v>
      </c>
      <c r="EA482" t="s">
        <v>929</v>
      </c>
    </row>
    <row r="483" spans="1:131" x14ac:dyDescent="0.4">
      <c r="A483" s="34">
        <v>43067.305104166669</v>
      </c>
      <c r="B483" s="25">
        <v>42956.472222222219</v>
      </c>
      <c r="D483" s="34"/>
      <c r="E483" s="34" t="s">
        <v>193</v>
      </c>
      <c r="F483" s="34" t="s">
        <v>191</v>
      </c>
      <c r="G483" s="34" t="s">
        <v>100</v>
      </c>
      <c r="H483" t="s">
        <v>856</v>
      </c>
      <c r="I483" t="s">
        <v>243</v>
      </c>
      <c r="J483" t="s">
        <v>857</v>
      </c>
      <c r="K483" t="s">
        <v>713</v>
      </c>
      <c r="L483" t="s">
        <v>855</v>
      </c>
      <c r="M483" s="30">
        <v>3.04</v>
      </c>
      <c r="N483">
        <v>5</v>
      </c>
      <c r="P483" s="24" t="str">
        <f>IFERROR(MID(RADataTable[[#This Row],[RATemplate]],1,LEN(RADataTable[[#This Row],[RATemplate]])-8),"RA") &amp; " " &amp; RADataTable[[#This Row],[prop_id0]] &amp; " " &amp; RADataTable[[#This Row],[last0]]</f>
        <v>RA 1755702 Charkhgard</v>
      </c>
      <c r="T483">
        <v>3</v>
      </c>
      <c r="U483">
        <v>3</v>
      </c>
      <c r="V483" s="34">
        <v>43031.770833333336</v>
      </c>
      <c r="W483">
        <v>1</v>
      </c>
      <c r="X483" s="15" t="str">
        <f>HYPERLINK("https://www.ejacket.nsf.gov/ej/showProposal.do?Continue=Y&amp;ID="&amp;RADataTable[[#This Row],[prop_id0]],"eJ")</f>
        <v>eJ</v>
      </c>
      <c r="Y483" s="15" t="str">
        <f>HYPERLINK("mailto:"&amp;RADataTable[[#This Row],[email]]&amp;"&amp;subject=Your NSF Proposal:  "&amp;RADataTable[[#This Row],[Div]]&amp;" "&amp;RADataTable[[#This Row],[prop_id0]], RADataTable[[#This Row],[email]])</f>
        <v>hcharkhgard@usf.edu</v>
      </c>
      <c r="Z483" s="15" t="str">
        <f>HYPERLINK("mailto:"&amp;RADataTable[[#This Row],[allPIemail]]&amp;"&amp;subject=NSF Proposal:  "&amp;RADataTable[[#This Row],[Div]]&amp;" "&amp;RADataTable[[#This Row],[prop_id0]], "PIs@")</f>
        <v>PIs@</v>
      </c>
      <c r="AA483" t="s">
        <v>245</v>
      </c>
      <c r="AB483" t="s">
        <v>685</v>
      </c>
      <c r="AC483" s="30" t="s">
        <v>864</v>
      </c>
      <c r="AD483" t="s">
        <v>865</v>
      </c>
      <c r="AE483" t="s">
        <v>866</v>
      </c>
      <c r="AF483" s="36">
        <v>172682</v>
      </c>
      <c r="AG483" s="36">
        <v>172682</v>
      </c>
      <c r="AH483" s="24"/>
      <c r="AJ483" s="34"/>
      <c r="AK483" t="s">
        <v>923</v>
      </c>
      <c r="AL483" t="s">
        <v>287</v>
      </c>
      <c r="AM483" s="34" t="s">
        <v>925</v>
      </c>
      <c r="AN483" s="34">
        <v>43032</v>
      </c>
      <c r="AO483" s="24">
        <v>4</v>
      </c>
      <c r="AP483" t="s">
        <v>977</v>
      </c>
      <c r="AR483" s="35"/>
      <c r="AS483"/>
      <c r="AT483" s="34"/>
      <c r="AV483" s="34"/>
      <c r="AX483" s="34"/>
      <c r="AY483"/>
      <c r="BA483" s="34"/>
      <c r="BB483"/>
      <c r="BC483" t="s">
        <v>870</v>
      </c>
      <c r="BD483" s="36">
        <v>172682</v>
      </c>
      <c r="BE483" s="36">
        <v>172682</v>
      </c>
      <c r="BF483">
        <v>0</v>
      </c>
      <c r="BG483" s="34">
        <v>43221</v>
      </c>
      <c r="BH483">
        <v>24</v>
      </c>
      <c r="BI483" t="s">
        <v>974</v>
      </c>
      <c r="BJ483" t="s">
        <v>975</v>
      </c>
      <c r="BK483" t="s">
        <v>234</v>
      </c>
      <c r="BL483" t="s">
        <v>194</v>
      </c>
      <c r="BM483" s="8" t="s">
        <v>192</v>
      </c>
      <c r="BN483" t="s">
        <v>189</v>
      </c>
      <c r="BO483" t="s">
        <v>190</v>
      </c>
      <c r="BP483" s="35" t="s">
        <v>861</v>
      </c>
      <c r="BQ483"/>
      <c r="BU483" s="35"/>
      <c r="BV483" s="35"/>
      <c r="BX483"/>
      <c r="CA483" s="35"/>
      <c r="CB483" s="35"/>
      <c r="CC483"/>
      <c r="CG483" s="35"/>
      <c r="CH483" s="35"/>
      <c r="CK483"/>
      <c r="CM483" s="35"/>
      <c r="CN483" s="35"/>
      <c r="CQ483"/>
      <c r="CS483" s="35"/>
      <c r="CT483" s="35"/>
      <c r="CX483"/>
      <c r="CZ483" s="35"/>
      <c r="DD483" s="34"/>
      <c r="DG483" t="s">
        <v>868</v>
      </c>
      <c r="DH483" t="s">
        <v>978</v>
      </c>
      <c r="DI483" t="s">
        <v>286</v>
      </c>
      <c r="DL483" t="s">
        <v>685</v>
      </c>
      <c r="DM483">
        <v>5</v>
      </c>
      <c r="DN483">
        <v>5</v>
      </c>
      <c r="DO483" t="s">
        <v>869</v>
      </c>
      <c r="DQ483" t="s">
        <v>927</v>
      </c>
      <c r="DR483">
        <v>14</v>
      </c>
      <c r="DS483">
        <v>0</v>
      </c>
      <c r="DU483">
        <v>14</v>
      </c>
      <c r="DV483">
        <v>0</v>
      </c>
      <c r="DX483">
        <v>14</v>
      </c>
      <c r="DY483">
        <v>0</v>
      </c>
      <c r="DZ483" t="s">
        <v>246</v>
      </c>
      <c r="EA483" t="s">
        <v>929</v>
      </c>
    </row>
    <row r="484" spans="1:131" x14ac:dyDescent="0.4">
      <c r="A484" s="34">
        <v>43067.305104166669</v>
      </c>
      <c r="B484" s="25">
        <v>42956.472222222219</v>
      </c>
      <c r="D484" s="34"/>
      <c r="E484" s="34" t="s">
        <v>193</v>
      </c>
      <c r="F484" s="34" t="s">
        <v>191</v>
      </c>
      <c r="G484" s="34" t="s">
        <v>100</v>
      </c>
      <c r="H484" t="s">
        <v>856</v>
      </c>
      <c r="I484" t="s">
        <v>243</v>
      </c>
      <c r="J484" t="s">
        <v>857</v>
      </c>
      <c r="K484" t="s">
        <v>713</v>
      </c>
      <c r="L484" t="s">
        <v>855</v>
      </c>
      <c r="M484" s="30">
        <v>3.04</v>
      </c>
      <c r="N484">
        <v>5</v>
      </c>
      <c r="P484" s="24" t="str">
        <f>IFERROR(MID(RADataTable[[#This Row],[RATemplate]],1,LEN(RADataTable[[#This Row],[RATemplate]])-8),"RA") &amp; " " &amp; RADataTable[[#This Row],[prop_id0]] &amp; " " &amp; RADataTable[[#This Row],[last0]]</f>
        <v>RA 1755702 Charkhgard</v>
      </c>
      <c r="T484">
        <v>3</v>
      </c>
      <c r="U484">
        <v>3</v>
      </c>
      <c r="V484" s="34">
        <v>43031.770833333336</v>
      </c>
      <c r="W484">
        <v>1</v>
      </c>
      <c r="X484" s="15" t="str">
        <f>HYPERLINK("https://www.ejacket.nsf.gov/ej/showProposal.do?Continue=Y&amp;ID="&amp;RADataTable[[#This Row],[prop_id0]],"eJ")</f>
        <v>eJ</v>
      </c>
      <c r="Y484" s="15" t="str">
        <f>HYPERLINK("mailto:"&amp;RADataTable[[#This Row],[email]]&amp;"&amp;subject=Your NSF Proposal:  "&amp;RADataTable[[#This Row],[Div]]&amp;" "&amp;RADataTable[[#This Row],[prop_id0]], RADataTable[[#This Row],[email]])</f>
        <v>hcharkhgard@usf.edu</v>
      </c>
      <c r="Z484" s="15" t="str">
        <f>HYPERLINK("mailto:"&amp;RADataTable[[#This Row],[allPIemail]]&amp;"&amp;subject=NSF Proposal:  "&amp;RADataTable[[#This Row],[Div]]&amp;" "&amp;RADataTable[[#This Row],[prop_id0]], "PIs@")</f>
        <v>PIs@</v>
      </c>
      <c r="AA484" t="s">
        <v>245</v>
      </c>
      <c r="AB484" t="s">
        <v>685</v>
      </c>
      <c r="AC484" s="30" t="s">
        <v>864</v>
      </c>
      <c r="AD484" t="s">
        <v>865</v>
      </c>
      <c r="AE484" t="s">
        <v>866</v>
      </c>
      <c r="AF484" s="36">
        <v>172682</v>
      </c>
      <c r="AG484" s="36">
        <v>172682</v>
      </c>
      <c r="AH484" s="24"/>
      <c r="AJ484" s="34"/>
      <c r="AK484" t="s">
        <v>923</v>
      </c>
      <c r="AL484" t="s">
        <v>287</v>
      </c>
      <c r="AM484" s="34" t="s">
        <v>925</v>
      </c>
      <c r="AN484" s="34">
        <v>43032</v>
      </c>
      <c r="AO484" s="24">
        <v>4</v>
      </c>
      <c r="AP484" t="s">
        <v>977</v>
      </c>
      <c r="AR484" s="35"/>
      <c r="AS484"/>
      <c r="AT484" s="34"/>
      <c r="AV484" s="34"/>
      <c r="AX484" s="34"/>
      <c r="AY484"/>
      <c r="BA484" s="34"/>
      <c r="BB484"/>
      <c r="BC484" t="s">
        <v>870</v>
      </c>
      <c r="BD484" s="36">
        <v>172682</v>
      </c>
      <c r="BE484" s="36">
        <v>172682</v>
      </c>
      <c r="BF484">
        <v>0</v>
      </c>
      <c r="BG484" s="34">
        <v>43221</v>
      </c>
      <c r="BH484">
        <v>24</v>
      </c>
      <c r="BI484" t="s">
        <v>974</v>
      </c>
      <c r="BJ484" t="s">
        <v>975</v>
      </c>
      <c r="BK484" t="s">
        <v>234</v>
      </c>
      <c r="BL484" t="s">
        <v>194</v>
      </c>
      <c r="BM484" s="8" t="s">
        <v>192</v>
      </c>
      <c r="BN484" t="s">
        <v>189</v>
      </c>
      <c r="BO484" t="s">
        <v>190</v>
      </c>
      <c r="BP484" s="35" t="s">
        <v>861</v>
      </c>
      <c r="BQ484"/>
      <c r="BU484" s="35"/>
      <c r="BV484" s="35"/>
      <c r="BX484"/>
      <c r="CA484" s="35"/>
      <c r="CB484" s="35"/>
      <c r="CC484"/>
      <c r="CG484" s="35"/>
      <c r="CH484" s="35"/>
      <c r="CK484"/>
      <c r="CM484" s="35"/>
      <c r="CN484" s="35"/>
      <c r="CQ484"/>
      <c r="CS484" s="35"/>
      <c r="CT484" s="35"/>
      <c r="CX484"/>
      <c r="CZ484" s="35"/>
      <c r="DD484" s="34"/>
      <c r="DG484" t="s">
        <v>868</v>
      </c>
      <c r="DH484" t="s">
        <v>978</v>
      </c>
      <c r="DI484" t="s">
        <v>286</v>
      </c>
      <c r="DL484" t="s">
        <v>685</v>
      </c>
      <c r="DM484">
        <v>5</v>
      </c>
      <c r="DN484">
        <v>5</v>
      </c>
      <c r="DO484" t="s">
        <v>869</v>
      </c>
      <c r="DQ484" t="s">
        <v>927</v>
      </c>
      <c r="DR484">
        <v>14</v>
      </c>
      <c r="DS484">
        <v>0</v>
      </c>
      <c r="DU484">
        <v>14</v>
      </c>
      <c r="DV484">
        <v>0</v>
      </c>
      <c r="DX484">
        <v>14</v>
      </c>
      <c r="DY484">
        <v>0</v>
      </c>
      <c r="DZ484" t="s">
        <v>246</v>
      </c>
      <c r="EA484" t="s">
        <v>929</v>
      </c>
    </row>
    <row r="485" spans="1:131" x14ac:dyDescent="0.4">
      <c r="A485" s="34">
        <v>43067.305104166669</v>
      </c>
      <c r="B485" s="25">
        <v>42956.472222222219</v>
      </c>
      <c r="D485" s="34"/>
      <c r="E485" s="34" t="s">
        <v>193</v>
      </c>
      <c r="F485" s="34" t="s">
        <v>191</v>
      </c>
      <c r="G485" s="34" t="s">
        <v>100</v>
      </c>
      <c r="H485" t="s">
        <v>856</v>
      </c>
      <c r="I485" t="s">
        <v>243</v>
      </c>
      <c r="J485" t="s">
        <v>857</v>
      </c>
      <c r="K485" t="s">
        <v>713</v>
      </c>
      <c r="L485" t="s">
        <v>855</v>
      </c>
      <c r="M485" s="30">
        <v>3.04</v>
      </c>
      <c r="N485">
        <v>5</v>
      </c>
      <c r="P485" s="24" t="str">
        <f>IFERROR(MID(RADataTable[[#This Row],[RATemplate]],1,LEN(RADataTable[[#This Row],[RATemplate]])-8),"RA") &amp; " " &amp; RADataTable[[#This Row],[prop_id0]] &amp; " " &amp; RADataTable[[#This Row],[last0]]</f>
        <v>RA 1755702 Charkhgard</v>
      </c>
      <c r="T485">
        <v>3</v>
      </c>
      <c r="U485">
        <v>3</v>
      </c>
      <c r="V485" s="34">
        <v>43031.770833333336</v>
      </c>
      <c r="W485">
        <v>1</v>
      </c>
      <c r="X485" s="15" t="str">
        <f>HYPERLINK("https://www.ejacket.nsf.gov/ej/showProposal.do?Continue=Y&amp;ID="&amp;RADataTable[[#This Row],[prop_id0]],"eJ")</f>
        <v>eJ</v>
      </c>
      <c r="Y485" s="15" t="str">
        <f>HYPERLINK("mailto:"&amp;RADataTable[[#This Row],[email]]&amp;"&amp;subject=Your NSF Proposal:  "&amp;RADataTable[[#This Row],[Div]]&amp;" "&amp;RADataTable[[#This Row],[prop_id0]], RADataTable[[#This Row],[email]])</f>
        <v>hcharkhgard@usf.edu</v>
      </c>
      <c r="Z485" s="15" t="str">
        <f>HYPERLINK("mailto:"&amp;RADataTable[[#This Row],[allPIemail]]&amp;"&amp;subject=NSF Proposal:  "&amp;RADataTable[[#This Row],[Div]]&amp;" "&amp;RADataTable[[#This Row],[prop_id0]], "PIs@")</f>
        <v>PIs@</v>
      </c>
      <c r="AA485" t="s">
        <v>245</v>
      </c>
      <c r="AB485" t="s">
        <v>685</v>
      </c>
      <c r="AC485" s="30" t="s">
        <v>864</v>
      </c>
      <c r="AD485" t="s">
        <v>865</v>
      </c>
      <c r="AE485" t="s">
        <v>866</v>
      </c>
      <c r="AF485" s="36">
        <v>172682</v>
      </c>
      <c r="AG485" s="36">
        <v>172682</v>
      </c>
      <c r="AH485" s="24"/>
      <c r="AJ485" s="34"/>
      <c r="AK485" t="s">
        <v>923</v>
      </c>
      <c r="AL485" t="s">
        <v>287</v>
      </c>
      <c r="AM485" s="34" t="s">
        <v>925</v>
      </c>
      <c r="AN485" s="34">
        <v>43032</v>
      </c>
      <c r="AO485" s="24">
        <v>4</v>
      </c>
      <c r="AP485" t="s">
        <v>977</v>
      </c>
      <c r="AR485" s="35"/>
      <c r="AS485"/>
      <c r="AT485" s="34"/>
      <c r="AV485" s="34"/>
      <c r="AX485" s="34"/>
      <c r="AY485"/>
      <c r="BA485" s="34"/>
      <c r="BB485"/>
      <c r="BC485" t="s">
        <v>870</v>
      </c>
      <c r="BD485" s="36">
        <v>172682</v>
      </c>
      <c r="BE485" s="36">
        <v>172682</v>
      </c>
      <c r="BF485">
        <v>0</v>
      </c>
      <c r="BG485" s="34">
        <v>43221</v>
      </c>
      <c r="BH485">
        <v>24</v>
      </c>
      <c r="BI485" t="s">
        <v>974</v>
      </c>
      <c r="BJ485" t="s">
        <v>975</v>
      </c>
      <c r="BK485" t="s">
        <v>234</v>
      </c>
      <c r="BL485" t="s">
        <v>194</v>
      </c>
      <c r="BM485" s="8" t="s">
        <v>192</v>
      </c>
      <c r="BN485" t="s">
        <v>189</v>
      </c>
      <c r="BO485" t="s">
        <v>190</v>
      </c>
      <c r="BP485" s="35" t="s">
        <v>861</v>
      </c>
      <c r="BQ485"/>
      <c r="BU485" s="35"/>
      <c r="BV485" s="35"/>
      <c r="BX485"/>
      <c r="CA485" s="35"/>
      <c r="CB485" s="35"/>
      <c r="CC485"/>
      <c r="CG485" s="35"/>
      <c r="CH485" s="35"/>
      <c r="CK485"/>
      <c r="CM485" s="35"/>
      <c r="CN485" s="35"/>
      <c r="CQ485"/>
      <c r="CS485" s="35"/>
      <c r="CT485" s="35"/>
      <c r="CX485"/>
      <c r="CZ485" s="35"/>
      <c r="DD485" s="34"/>
      <c r="DG485" t="s">
        <v>868</v>
      </c>
      <c r="DH485" t="s">
        <v>978</v>
      </c>
      <c r="DI485" t="s">
        <v>286</v>
      </c>
      <c r="DL485" t="s">
        <v>685</v>
      </c>
      <c r="DM485">
        <v>5</v>
      </c>
      <c r="DN485">
        <v>5</v>
      </c>
      <c r="DO485" t="s">
        <v>869</v>
      </c>
      <c r="DQ485" t="s">
        <v>927</v>
      </c>
      <c r="DR485">
        <v>14</v>
      </c>
      <c r="DS485">
        <v>0</v>
      </c>
      <c r="DU485">
        <v>14</v>
      </c>
      <c r="DV485">
        <v>0</v>
      </c>
      <c r="DX485">
        <v>14</v>
      </c>
      <c r="DY485">
        <v>0</v>
      </c>
      <c r="DZ485" t="s">
        <v>246</v>
      </c>
      <c r="EA485" t="s">
        <v>929</v>
      </c>
    </row>
    <row r="486" spans="1:131" x14ac:dyDescent="0.4">
      <c r="A486" s="34">
        <v>43067.305104166669</v>
      </c>
      <c r="B486" s="25">
        <v>42956.472222222219</v>
      </c>
      <c r="D486" s="34"/>
      <c r="E486" s="34" t="s">
        <v>193</v>
      </c>
      <c r="F486" s="34" t="s">
        <v>191</v>
      </c>
      <c r="G486" s="34" t="s">
        <v>100</v>
      </c>
      <c r="H486" t="s">
        <v>856</v>
      </c>
      <c r="I486" t="s">
        <v>243</v>
      </c>
      <c r="J486" t="s">
        <v>857</v>
      </c>
      <c r="K486" t="s">
        <v>713</v>
      </c>
      <c r="L486" t="s">
        <v>855</v>
      </c>
      <c r="M486" s="30">
        <v>3.04</v>
      </c>
      <c r="N486">
        <v>5</v>
      </c>
      <c r="P486" s="24" t="str">
        <f>IFERROR(MID(RADataTable[[#This Row],[RATemplate]],1,LEN(RADataTable[[#This Row],[RATemplate]])-8),"RA") &amp; " " &amp; RADataTable[[#This Row],[prop_id0]] &amp; " " &amp; RADataTable[[#This Row],[last0]]</f>
        <v>RA 1755702 Charkhgard</v>
      </c>
      <c r="T486">
        <v>3</v>
      </c>
      <c r="U486">
        <v>3</v>
      </c>
      <c r="V486" s="34">
        <v>43031.770833333336</v>
      </c>
      <c r="W486">
        <v>1</v>
      </c>
      <c r="X486" s="15" t="str">
        <f>HYPERLINK("https://www.ejacket.nsf.gov/ej/showProposal.do?Continue=Y&amp;ID="&amp;RADataTable[[#This Row],[prop_id0]],"eJ")</f>
        <v>eJ</v>
      </c>
      <c r="Y486" s="15" t="str">
        <f>HYPERLINK("mailto:"&amp;RADataTable[[#This Row],[email]]&amp;"&amp;subject=Your NSF Proposal:  "&amp;RADataTable[[#This Row],[Div]]&amp;" "&amp;RADataTable[[#This Row],[prop_id0]], RADataTable[[#This Row],[email]])</f>
        <v>hcharkhgard@usf.edu</v>
      </c>
      <c r="Z486" s="15" t="str">
        <f>HYPERLINK("mailto:"&amp;RADataTable[[#This Row],[allPIemail]]&amp;"&amp;subject=NSF Proposal:  "&amp;RADataTable[[#This Row],[Div]]&amp;" "&amp;RADataTable[[#This Row],[prop_id0]], "PIs@")</f>
        <v>PIs@</v>
      </c>
      <c r="AA486" t="s">
        <v>245</v>
      </c>
      <c r="AB486" t="s">
        <v>685</v>
      </c>
      <c r="AC486" s="30" t="s">
        <v>864</v>
      </c>
      <c r="AD486" t="s">
        <v>865</v>
      </c>
      <c r="AE486" t="s">
        <v>866</v>
      </c>
      <c r="AF486" s="36">
        <v>172682</v>
      </c>
      <c r="AG486" s="36">
        <v>172682</v>
      </c>
      <c r="AH486" s="24"/>
      <c r="AJ486" s="34"/>
      <c r="AK486" t="s">
        <v>923</v>
      </c>
      <c r="AL486" t="s">
        <v>287</v>
      </c>
      <c r="AM486" s="34" t="s">
        <v>925</v>
      </c>
      <c r="AN486" s="34">
        <v>43032</v>
      </c>
      <c r="AO486" s="24">
        <v>4</v>
      </c>
      <c r="AP486" t="s">
        <v>977</v>
      </c>
      <c r="AR486" s="35"/>
      <c r="AS486"/>
      <c r="AT486" s="34"/>
      <c r="AV486" s="34"/>
      <c r="AX486" s="34"/>
      <c r="AY486"/>
      <c r="BA486" s="34"/>
      <c r="BB486"/>
      <c r="BC486" t="s">
        <v>870</v>
      </c>
      <c r="BD486" s="36">
        <v>172682</v>
      </c>
      <c r="BE486" s="36">
        <v>172682</v>
      </c>
      <c r="BF486">
        <v>0</v>
      </c>
      <c r="BG486" s="34">
        <v>43221</v>
      </c>
      <c r="BH486">
        <v>24</v>
      </c>
      <c r="BI486" t="s">
        <v>974</v>
      </c>
      <c r="BJ486" t="s">
        <v>975</v>
      </c>
      <c r="BK486" t="s">
        <v>234</v>
      </c>
      <c r="BL486" t="s">
        <v>194</v>
      </c>
      <c r="BM486" s="8" t="s">
        <v>192</v>
      </c>
      <c r="BN486" t="s">
        <v>189</v>
      </c>
      <c r="BO486" t="s">
        <v>190</v>
      </c>
      <c r="BP486" s="35" t="s">
        <v>861</v>
      </c>
      <c r="BQ486"/>
      <c r="BU486" s="35"/>
      <c r="BV486" s="35"/>
      <c r="BX486"/>
      <c r="CA486" s="35"/>
      <c r="CB486" s="35"/>
      <c r="CC486"/>
      <c r="CG486" s="35"/>
      <c r="CH486" s="35"/>
      <c r="CK486"/>
      <c r="CM486" s="35"/>
      <c r="CN486" s="35"/>
      <c r="CQ486"/>
      <c r="CS486" s="35"/>
      <c r="CT486" s="35"/>
      <c r="CX486"/>
      <c r="CZ486" s="35"/>
      <c r="DD486" s="34"/>
      <c r="DG486" t="s">
        <v>868</v>
      </c>
      <c r="DH486" t="s">
        <v>978</v>
      </c>
      <c r="DI486" t="s">
        <v>286</v>
      </c>
      <c r="DL486" t="s">
        <v>685</v>
      </c>
      <c r="DM486">
        <v>5</v>
      </c>
      <c r="DN486">
        <v>5</v>
      </c>
      <c r="DO486" t="s">
        <v>869</v>
      </c>
      <c r="DQ486" t="s">
        <v>927</v>
      </c>
      <c r="DR486">
        <v>14</v>
      </c>
      <c r="DS486">
        <v>0</v>
      </c>
      <c r="DU486">
        <v>14</v>
      </c>
      <c r="DV486">
        <v>0</v>
      </c>
      <c r="DX486">
        <v>14</v>
      </c>
      <c r="DY486">
        <v>0</v>
      </c>
      <c r="DZ486" t="s">
        <v>246</v>
      </c>
      <c r="EA486" t="s">
        <v>929</v>
      </c>
    </row>
    <row r="487" spans="1:131" x14ac:dyDescent="0.4">
      <c r="A487" s="34">
        <v>43067.305104166669</v>
      </c>
      <c r="B487" s="25">
        <v>42956.472222222219</v>
      </c>
      <c r="D487" s="34"/>
      <c r="E487" s="34" t="s">
        <v>193</v>
      </c>
      <c r="F487" s="34" t="s">
        <v>191</v>
      </c>
      <c r="G487" s="34" t="s">
        <v>100</v>
      </c>
      <c r="H487" t="s">
        <v>856</v>
      </c>
      <c r="I487" t="s">
        <v>243</v>
      </c>
      <c r="J487" t="s">
        <v>857</v>
      </c>
      <c r="K487" t="s">
        <v>713</v>
      </c>
      <c r="L487" t="s">
        <v>855</v>
      </c>
      <c r="M487" s="30">
        <v>3.04</v>
      </c>
      <c r="N487">
        <v>5</v>
      </c>
      <c r="P487" s="24" t="str">
        <f>IFERROR(MID(RADataTable[[#This Row],[RATemplate]],1,LEN(RADataTable[[#This Row],[RATemplate]])-8),"RA") &amp; " " &amp; RADataTable[[#This Row],[prop_id0]] &amp; " " &amp; RADataTable[[#This Row],[last0]]</f>
        <v>RA 1755702 Charkhgard</v>
      </c>
      <c r="T487">
        <v>3</v>
      </c>
      <c r="U487">
        <v>3</v>
      </c>
      <c r="V487" s="34">
        <v>43031.770833333336</v>
      </c>
      <c r="W487">
        <v>1</v>
      </c>
      <c r="X487" s="15" t="str">
        <f>HYPERLINK("https://www.ejacket.nsf.gov/ej/showProposal.do?Continue=Y&amp;ID="&amp;RADataTable[[#This Row],[prop_id0]],"eJ")</f>
        <v>eJ</v>
      </c>
      <c r="Y487" s="15" t="str">
        <f>HYPERLINK("mailto:"&amp;RADataTable[[#This Row],[email]]&amp;"&amp;subject=Your NSF Proposal:  "&amp;RADataTable[[#This Row],[Div]]&amp;" "&amp;RADataTable[[#This Row],[prop_id0]], RADataTable[[#This Row],[email]])</f>
        <v>hcharkhgard@usf.edu</v>
      </c>
      <c r="Z487" s="15" t="str">
        <f>HYPERLINK("mailto:"&amp;RADataTable[[#This Row],[allPIemail]]&amp;"&amp;subject=NSF Proposal:  "&amp;RADataTable[[#This Row],[Div]]&amp;" "&amp;RADataTable[[#This Row],[prop_id0]], "PIs@")</f>
        <v>PIs@</v>
      </c>
      <c r="AA487" t="s">
        <v>245</v>
      </c>
      <c r="AB487" t="s">
        <v>685</v>
      </c>
      <c r="AC487" s="30" t="s">
        <v>864</v>
      </c>
      <c r="AD487" t="s">
        <v>865</v>
      </c>
      <c r="AE487" t="s">
        <v>866</v>
      </c>
      <c r="AF487" s="36">
        <v>172682</v>
      </c>
      <c r="AG487" s="36">
        <v>172682</v>
      </c>
      <c r="AH487" s="24"/>
      <c r="AJ487" s="34"/>
      <c r="AK487" t="s">
        <v>923</v>
      </c>
      <c r="AL487" t="s">
        <v>287</v>
      </c>
      <c r="AM487" s="34" t="s">
        <v>925</v>
      </c>
      <c r="AN487" s="34">
        <v>43032</v>
      </c>
      <c r="AO487" s="24">
        <v>4</v>
      </c>
      <c r="AP487" t="s">
        <v>977</v>
      </c>
      <c r="AR487" s="35"/>
      <c r="AS487"/>
      <c r="AT487" s="34"/>
      <c r="AV487" s="34"/>
      <c r="AX487" s="34"/>
      <c r="AY487"/>
      <c r="BA487" s="34"/>
      <c r="BB487"/>
      <c r="BC487" t="s">
        <v>870</v>
      </c>
      <c r="BD487" s="36">
        <v>172682</v>
      </c>
      <c r="BE487" s="36">
        <v>172682</v>
      </c>
      <c r="BF487">
        <v>0</v>
      </c>
      <c r="BG487" s="34">
        <v>43221</v>
      </c>
      <c r="BH487">
        <v>24</v>
      </c>
      <c r="BI487" t="s">
        <v>974</v>
      </c>
      <c r="BJ487" t="s">
        <v>975</v>
      </c>
      <c r="BK487" t="s">
        <v>234</v>
      </c>
      <c r="BL487" t="s">
        <v>194</v>
      </c>
      <c r="BM487" s="8" t="s">
        <v>192</v>
      </c>
      <c r="BN487" t="s">
        <v>189</v>
      </c>
      <c r="BO487" t="s">
        <v>190</v>
      </c>
      <c r="BP487" s="35" t="s">
        <v>861</v>
      </c>
      <c r="BQ487"/>
      <c r="BU487" s="35"/>
      <c r="BV487" s="35"/>
      <c r="BX487"/>
      <c r="CA487" s="35"/>
      <c r="CB487" s="35"/>
      <c r="CC487"/>
      <c r="CG487" s="35"/>
      <c r="CH487" s="35"/>
      <c r="CK487"/>
      <c r="CM487" s="35"/>
      <c r="CN487" s="35"/>
      <c r="CQ487"/>
      <c r="CS487" s="35"/>
      <c r="CT487" s="35"/>
      <c r="CX487"/>
      <c r="CZ487" s="35"/>
      <c r="DD487" s="34"/>
      <c r="DG487" t="s">
        <v>868</v>
      </c>
      <c r="DH487" t="s">
        <v>978</v>
      </c>
      <c r="DI487" t="s">
        <v>286</v>
      </c>
      <c r="DL487" t="s">
        <v>685</v>
      </c>
      <c r="DM487">
        <v>5</v>
      </c>
      <c r="DN487">
        <v>5</v>
      </c>
      <c r="DO487" t="s">
        <v>869</v>
      </c>
      <c r="DQ487" t="s">
        <v>927</v>
      </c>
      <c r="DR487">
        <v>14</v>
      </c>
      <c r="DS487">
        <v>0</v>
      </c>
      <c r="DU487">
        <v>14</v>
      </c>
      <c r="DV487">
        <v>0</v>
      </c>
      <c r="DX487">
        <v>14</v>
      </c>
      <c r="DY487">
        <v>0</v>
      </c>
      <c r="DZ487" t="s">
        <v>246</v>
      </c>
      <c r="EA487" t="s">
        <v>929</v>
      </c>
    </row>
    <row r="488" spans="1:131" x14ac:dyDescent="0.4">
      <c r="A488" s="34">
        <v>43067.305104166669</v>
      </c>
      <c r="B488" s="25">
        <v>42956.472222222219</v>
      </c>
      <c r="D488" s="34"/>
      <c r="E488" s="34" t="s">
        <v>193</v>
      </c>
      <c r="F488" s="34" t="s">
        <v>191</v>
      </c>
      <c r="G488" s="34" t="s">
        <v>100</v>
      </c>
      <c r="H488" t="s">
        <v>856</v>
      </c>
      <c r="I488" t="s">
        <v>243</v>
      </c>
      <c r="J488" t="s">
        <v>857</v>
      </c>
      <c r="K488" t="s">
        <v>713</v>
      </c>
      <c r="L488" t="s">
        <v>855</v>
      </c>
      <c r="M488" s="30">
        <v>3.04</v>
      </c>
      <c r="N488">
        <v>5</v>
      </c>
      <c r="P488" s="24" t="str">
        <f>IFERROR(MID(RADataTable[[#This Row],[RATemplate]],1,LEN(RADataTable[[#This Row],[RATemplate]])-8),"RA") &amp; " " &amp; RADataTable[[#This Row],[prop_id0]] &amp; " " &amp; RADataTable[[#This Row],[last0]]</f>
        <v>RA 1755702 Charkhgard</v>
      </c>
      <c r="T488">
        <v>3</v>
      </c>
      <c r="U488">
        <v>3</v>
      </c>
      <c r="V488" s="34">
        <v>43031.770833333336</v>
      </c>
      <c r="W488">
        <v>1</v>
      </c>
      <c r="X488" s="15" t="str">
        <f>HYPERLINK("https://www.ejacket.nsf.gov/ej/showProposal.do?Continue=Y&amp;ID="&amp;RADataTable[[#This Row],[prop_id0]],"eJ")</f>
        <v>eJ</v>
      </c>
      <c r="Y488" s="15" t="str">
        <f>HYPERLINK("mailto:"&amp;RADataTable[[#This Row],[email]]&amp;"&amp;subject=Your NSF Proposal:  "&amp;RADataTable[[#This Row],[Div]]&amp;" "&amp;RADataTable[[#This Row],[prop_id0]], RADataTable[[#This Row],[email]])</f>
        <v>hcharkhgard@usf.edu</v>
      </c>
      <c r="Z488" s="15" t="str">
        <f>HYPERLINK("mailto:"&amp;RADataTable[[#This Row],[allPIemail]]&amp;"&amp;subject=NSF Proposal:  "&amp;RADataTable[[#This Row],[Div]]&amp;" "&amp;RADataTable[[#This Row],[prop_id0]], "PIs@")</f>
        <v>PIs@</v>
      </c>
      <c r="AA488" t="s">
        <v>245</v>
      </c>
      <c r="AB488" t="s">
        <v>685</v>
      </c>
      <c r="AC488" s="30" t="s">
        <v>864</v>
      </c>
      <c r="AD488" t="s">
        <v>865</v>
      </c>
      <c r="AE488" t="s">
        <v>866</v>
      </c>
      <c r="AF488" s="36">
        <v>172682</v>
      </c>
      <c r="AG488" s="36">
        <v>172682</v>
      </c>
      <c r="AH488" s="24"/>
      <c r="AJ488" s="34"/>
      <c r="AK488" t="s">
        <v>923</v>
      </c>
      <c r="AL488" t="s">
        <v>287</v>
      </c>
      <c r="AM488" s="34" t="s">
        <v>925</v>
      </c>
      <c r="AN488" s="34">
        <v>43032</v>
      </c>
      <c r="AO488" s="24">
        <v>4</v>
      </c>
      <c r="AP488" t="s">
        <v>977</v>
      </c>
      <c r="AR488" s="35"/>
      <c r="AS488"/>
      <c r="AT488" s="34"/>
      <c r="AV488" s="34"/>
      <c r="AX488" s="34"/>
      <c r="AY488"/>
      <c r="BA488" s="34"/>
      <c r="BB488"/>
      <c r="BC488" t="s">
        <v>870</v>
      </c>
      <c r="BD488" s="36">
        <v>172682</v>
      </c>
      <c r="BE488" s="36">
        <v>172682</v>
      </c>
      <c r="BF488">
        <v>0</v>
      </c>
      <c r="BG488" s="34">
        <v>43221</v>
      </c>
      <c r="BH488">
        <v>24</v>
      </c>
      <c r="BI488" t="s">
        <v>974</v>
      </c>
      <c r="BJ488" t="s">
        <v>975</v>
      </c>
      <c r="BK488" t="s">
        <v>234</v>
      </c>
      <c r="BL488" t="s">
        <v>194</v>
      </c>
      <c r="BM488" s="8" t="s">
        <v>192</v>
      </c>
      <c r="BN488" t="s">
        <v>189</v>
      </c>
      <c r="BO488" t="s">
        <v>190</v>
      </c>
      <c r="BP488" s="35" t="s">
        <v>861</v>
      </c>
      <c r="BQ488"/>
      <c r="BU488" s="35"/>
      <c r="BV488" s="35"/>
      <c r="BX488"/>
      <c r="CA488" s="35"/>
      <c r="CB488" s="35"/>
      <c r="CC488"/>
      <c r="CG488" s="35"/>
      <c r="CH488" s="35"/>
      <c r="CK488"/>
      <c r="CM488" s="35"/>
      <c r="CN488" s="35"/>
      <c r="CQ488"/>
      <c r="CS488" s="35"/>
      <c r="CT488" s="35"/>
      <c r="CX488"/>
      <c r="CZ488" s="35"/>
      <c r="DD488" s="34"/>
      <c r="DG488" t="s">
        <v>868</v>
      </c>
      <c r="DH488" t="s">
        <v>978</v>
      </c>
      <c r="DI488" t="s">
        <v>286</v>
      </c>
      <c r="DL488" t="s">
        <v>685</v>
      </c>
      <c r="DM488">
        <v>5</v>
      </c>
      <c r="DN488">
        <v>5</v>
      </c>
      <c r="DO488" t="s">
        <v>869</v>
      </c>
      <c r="DQ488" t="s">
        <v>927</v>
      </c>
      <c r="DR488">
        <v>14</v>
      </c>
      <c r="DS488">
        <v>0</v>
      </c>
      <c r="DU488">
        <v>14</v>
      </c>
      <c r="DV488">
        <v>0</v>
      </c>
      <c r="DX488">
        <v>14</v>
      </c>
      <c r="DY488">
        <v>0</v>
      </c>
      <c r="DZ488" t="s">
        <v>246</v>
      </c>
      <c r="EA488" t="s">
        <v>929</v>
      </c>
    </row>
    <row r="489" spans="1:131" x14ac:dyDescent="0.4">
      <c r="A489" s="34">
        <v>43067.305104166669</v>
      </c>
      <c r="B489" s="25">
        <v>42956.472222222219</v>
      </c>
      <c r="D489" s="34"/>
      <c r="E489" s="34" t="s">
        <v>193</v>
      </c>
      <c r="F489" s="34" t="s">
        <v>191</v>
      </c>
      <c r="G489" s="34" t="s">
        <v>100</v>
      </c>
      <c r="H489" t="s">
        <v>856</v>
      </c>
      <c r="I489" t="s">
        <v>243</v>
      </c>
      <c r="J489" t="s">
        <v>857</v>
      </c>
      <c r="K489" t="s">
        <v>713</v>
      </c>
      <c r="L489" t="s">
        <v>855</v>
      </c>
      <c r="M489" s="30">
        <v>3.04</v>
      </c>
      <c r="N489">
        <v>5</v>
      </c>
      <c r="P489" s="24" t="str">
        <f>IFERROR(MID(RADataTable[[#This Row],[RATemplate]],1,LEN(RADataTable[[#This Row],[RATemplate]])-8),"RA") &amp; " " &amp; RADataTable[[#This Row],[prop_id0]] &amp; " " &amp; RADataTable[[#This Row],[last0]]</f>
        <v>RA 1755702 Charkhgard</v>
      </c>
      <c r="T489">
        <v>3</v>
      </c>
      <c r="U489">
        <v>3</v>
      </c>
      <c r="V489" s="34">
        <v>43031.770833333336</v>
      </c>
      <c r="W489">
        <v>1</v>
      </c>
      <c r="X489" s="15" t="str">
        <f>HYPERLINK("https://www.ejacket.nsf.gov/ej/showProposal.do?Continue=Y&amp;ID="&amp;RADataTable[[#This Row],[prop_id0]],"eJ")</f>
        <v>eJ</v>
      </c>
      <c r="Y489" s="15" t="str">
        <f>HYPERLINK("mailto:"&amp;RADataTable[[#This Row],[email]]&amp;"&amp;subject=Your NSF Proposal:  "&amp;RADataTable[[#This Row],[Div]]&amp;" "&amp;RADataTable[[#This Row],[prop_id0]], RADataTable[[#This Row],[email]])</f>
        <v>hcharkhgard@usf.edu</v>
      </c>
      <c r="Z489" s="15" t="str">
        <f>HYPERLINK("mailto:"&amp;RADataTable[[#This Row],[allPIemail]]&amp;"&amp;subject=NSF Proposal:  "&amp;RADataTable[[#This Row],[Div]]&amp;" "&amp;RADataTable[[#This Row],[prop_id0]], "PIs@")</f>
        <v>PIs@</v>
      </c>
      <c r="AA489" t="s">
        <v>245</v>
      </c>
      <c r="AB489" t="s">
        <v>685</v>
      </c>
      <c r="AC489" s="30" t="s">
        <v>864</v>
      </c>
      <c r="AD489" t="s">
        <v>865</v>
      </c>
      <c r="AE489" t="s">
        <v>866</v>
      </c>
      <c r="AF489" s="36">
        <v>172682</v>
      </c>
      <c r="AG489" s="36">
        <v>172682</v>
      </c>
      <c r="AH489" s="24"/>
      <c r="AJ489" s="34"/>
      <c r="AK489" t="s">
        <v>923</v>
      </c>
      <c r="AL489" t="s">
        <v>287</v>
      </c>
      <c r="AM489" s="34" t="s">
        <v>925</v>
      </c>
      <c r="AN489" s="34">
        <v>43032</v>
      </c>
      <c r="AO489" s="24">
        <v>4</v>
      </c>
      <c r="AP489" t="s">
        <v>977</v>
      </c>
      <c r="AR489" s="35"/>
      <c r="AS489"/>
      <c r="AT489" s="34"/>
      <c r="AV489" s="34"/>
      <c r="AX489" s="34"/>
      <c r="AY489"/>
      <c r="BA489" s="34"/>
      <c r="BB489"/>
      <c r="BC489" t="s">
        <v>870</v>
      </c>
      <c r="BD489" s="36">
        <v>172682</v>
      </c>
      <c r="BE489" s="36">
        <v>172682</v>
      </c>
      <c r="BF489">
        <v>0</v>
      </c>
      <c r="BG489" s="34">
        <v>43221</v>
      </c>
      <c r="BH489">
        <v>24</v>
      </c>
      <c r="BI489" t="s">
        <v>974</v>
      </c>
      <c r="BJ489" t="s">
        <v>975</v>
      </c>
      <c r="BK489" t="s">
        <v>234</v>
      </c>
      <c r="BL489" t="s">
        <v>194</v>
      </c>
      <c r="BM489" s="8" t="s">
        <v>192</v>
      </c>
      <c r="BN489" t="s">
        <v>189</v>
      </c>
      <c r="BO489" t="s">
        <v>190</v>
      </c>
      <c r="BP489" s="35" t="s">
        <v>861</v>
      </c>
      <c r="BQ489"/>
      <c r="BU489" s="35"/>
      <c r="BV489" s="35"/>
      <c r="BX489"/>
      <c r="CA489" s="35"/>
      <c r="CB489" s="35"/>
      <c r="CC489"/>
      <c r="CG489" s="35"/>
      <c r="CH489" s="35"/>
      <c r="CK489"/>
      <c r="CM489" s="35"/>
      <c r="CN489" s="35"/>
      <c r="CQ489"/>
      <c r="CS489" s="35"/>
      <c r="CT489" s="35"/>
      <c r="CX489"/>
      <c r="CZ489" s="35"/>
      <c r="DD489" s="34"/>
      <c r="DG489" t="s">
        <v>868</v>
      </c>
      <c r="DH489" t="s">
        <v>978</v>
      </c>
      <c r="DI489" t="s">
        <v>286</v>
      </c>
      <c r="DL489" t="s">
        <v>685</v>
      </c>
      <c r="DM489">
        <v>5</v>
      </c>
      <c r="DN489">
        <v>5</v>
      </c>
      <c r="DO489" t="s">
        <v>869</v>
      </c>
      <c r="DQ489" t="s">
        <v>927</v>
      </c>
      <c r="DR489">
        <v>14</v>
      </c>
      <c r="DS489">
        <v>0</v>
      </c>
      <c r="DU489">
        <v>14</v>
      </c>
      <c r="DV489">
        <v>0</v>
      </c>
      <c r="DX489">
        <v>14</v>
      </c>
      <c r="DY489">
        <v>0</v>
      </c>
      <c r="DZ489" t="s">
        <v>246</v>
      </c>
      <c r="EA489" t="s">
        <v>929</v>
      </c>
    </row>
    <row r="490" spans="1:131" x14ac:dyDescent="0.4">
      <c r="A490" s="34">
        <v>43067.305104166669</v>
      </c>
      <c r="B490" s="25">
        <v>42956.472222222219</v>
      </c>
      <c r="D490" s="34"/>
      <c r="E490" s="34" t="s">
        <v>193</v>
      </c>
      <c r="F490" s="34" t="s">
        <v>191</v>
      </c>
      <c r="G490" s="34" t="s">
        <v>100</v>
      </c>
      <c r="H490" t="s">
        <v>856</v>
      </c>
      <c r="I490" t="s">
        <v>243</v>
      </c>
      <c r="J490" t="s">
        <v>857</v>
      </c>
      <c r="K490" t="s">
        <v>713</v>
      </c>
      <c r="L490" t="s">
        <v>855</v>
      </c>
      <c r="M490" s="30">
        <v>3.04</v>
      </c>
      <c r="N490">
        <v>5</v>
      </c>
      <c r="P490" s="24" t="str">
        <f>IFERROR(MID(RADataTable[[#This Row],[RATemplate]],1,LEN(RADataTable[[#This Row],[RATemplate]])-8),"RA") &amp; " " &amp; RADataTable[[#This Row],[prop_id0]] &amp; " " &amp; RADataTable[[#This Row],[last0]]</f>
        <v>RA 1755702 Charkhgard</v>
      </c>
      <c r="T490">
        <v>3</v>
      </c>
      <c r="U490">
        <v>3</v>
      </c>
      <c r="V490" s="34">
        <v>43031.770833333336</v>
      </c>
      <c r="W490">
        <v>1</v>
      </c>
      <c r="X490" s="15" t="str">
        <f>HYPERLINK("https://www.ejacket.nsf.gov/ej/showProposal.do?Continue=Y&amp;ID="&amp;RADataTable[[#This Row],[prop_id0]],"eJ")</f>
        <v>eJ</v>
      </c>
      <c r="Y490" s="15" t="str">
        <f>HYPERLINK("mailto:"&amp;RADataTable[[#This Row],[email]]&amp;"&amp;subject=Your NSF Proposal:  "&amp;RADataTable[[#This Row],[Div]]&amp;" "&amp;RADataTable[[#This Row],[prop_id0]], RADataTable[[#This Row],[email]])</f>
        <v>hcharkhgard@usf.edu</v>
      </c>
      <c r="Z490" s="15" t="str">
        <f>HYPERLINK("mailto:"&amp;RADataTable[[#This Row],[allPIemail]]&amp;"&amp;subject=NSF Proposal:  "&amp;RADataTable[[#This Row],[Div]]&amp;" "&amp;RADataTable[[#This Row],[prop_id0]], "PIs@")</f>
        <v>PIs@</v>
      </c>
      <c r="AA490" t="s">
        <v>245</v>
      </c>
      <c r="AB490" t="s">
        <v>685</v>
      </c>
      <c r="AC490" s="30" t="s">
        <v>864</v>
      </c>
      <c r="AD490" t="s">
        <v>865</v>
      </c>
      <c r="AE490" t="s">
        <v>866</v>
      </c>
      <c r="AF490" s="36">
        <v>172682</v>
      </c>
      <c r="AG490" s="36">
        <v>172682</v>
      </c>
      <c r="AH490" s="24"/>
      <c r="AJ490" s="34"/>
      <c r="AK490" t="s">
        <v>923</v>
      </c>
      <c r="AL490" t="s">
        <v>287</v>
      </c>
      <c r="AM490" s="34" t="s">
        <v>925</v>
      </c>
      <c r="AN490" s="34">
        <v>43032</v>
      </c>
      <c r="AO490" s="24">
        <v>4</v>
      </c>
      <c r="AP490" t="s">
        <v>977</v>
      </c>
      <c r="AR490" s="35"/>
      <c r="AS490"/>
      <c r="AT490" s="34"/>
      <c r="AV490" s="34"/>
      <c r="AX490" s="34"/>
      <c r="AY490"/>
      <c r="BA490" s="34"/>
      <c r="BB490"/>
      <c r="BC490" t="s">
        <v>870</v>
      </c>
      <c r="BD490" s="36">
        <v>172682</v>
      </c>
      <c r="BE490" s="36">
        <v>172682</v>
      </c>
      <c r="BF490">
        <v>0</v>
      </c>
      <c r="BG490" s="34">
        <v>43221</v>
      </c>
      <c r="BH490">
        <v>24</v>
      </c>
      <c r="BI490" t="s">
        <v>974</v>
      </c>
      <c r="BJ490" t="s">
        <v>975</v>
      </c>
      <c r="BK490" t="s">
        <v>234</v>
      </c>
      <c r="BL490" t="s">
        <v>194</v>
      </c>
      <c r="BM490" s="8" t="s">
        <v>192</v>
      </c>
      <c r="BN490" t="s">
        <v>189</v>
      </c>
      <c r="BO490" t="s">
        <v>190</v>
      </c>
      <c r="BP490" s="35" t="s">
        <v>861</v>
      </c>
      <c r="BQ490"/>
      <c r="BU490" s="35"/>
      <c r="BV490" s="35"/>
      <c r="BX490"/>
      <c r="CA490" s="35"/>
      <c r="CB490" s="35"/>
      <c r="CC490"/>
      <c r="CG490" s="35"/>
      <c r="CH490" s="35"/>
      <c r="CK490"/>
      <c r="CM490" s="35"/>
      <c r="CN490" s="35"/>
      <c r="CQ490"/>
      <c r="CS490" s="35"/>
      <c r="CT490" s="35"/>
      <c r="CX490"/>
      <c r="CZ490" s="35"/>
      <c r="DD490" s="34"/>
      <c r="DG490" t="s">
        <v>868</v>
      </c>
      <c r="DH490" t="s">
        <v>978</v>
      </c>
      <c r="DI490" t="s">
        <v>286</v>
      </c>
      <c r="DL490" t="s">
        <v>685</v>
      </c>
      <c r="DM490">
        <v>5</v>
      </c>
      <c r="DN490">
        <v>5</v>
      </c>
      <c r="DO490" t="s">
        <v>869</v>
      </c>
      <c r="DQ490" t="s">
        <v>927</v>
      </c>
      <c r="DR490">
        <v>14</v>
      </c>
      <c r="DS490">
        <v>0</v>
      </c>
      <c r="DU490">
        <v>14</v>
      </c>
      <c r="DV490">
        <v>0</v>
      </c>
      <c r="DX490">
        <v>14</v>
      </c>
      <c r="DY490">
        <v>0</v>
      </c>
      <c r="DZ490" t="s">
        <v>246</v>
      </c>
      <c r="EA490" t="s">
        <v>929</v>
      </c>
    </row>
    <row r="491" spans="1:131" x14ac:dyDescent="0.4">
      <c r="A491" s="34">
        <v>43067.305104166669</v>
      </c>
      <c r="B491" s="25">
        <v>42956.472222222219</v>
      </c>
      <c r="D491" s="34"/>
      <c r="E491" s="34" t="s">
        <v>193</v>
      </c>
      <c r="F491" s="34" t="s">
        <v>191</v>
      </c>
      <c r="G491" s="34" t="s">
        <v>100</v>
      </c>
      <c r="H491" t="s">
        <v>856</v>
      </c>
      <c r="I491" t="s">
        <v>243</v>
      </c>
      <c r="J491" t="s">
        <v>857</v>
      </c>
      <c r="K491" t="s">
        <v>713</v>
      </c>
      <c r="L491" t="s">
        <v>855</v>
      </c>
      <c r="M491" s="30">
        <v>3.04</v>
      </c>
      <c r="N491">
        <v>5</v>
      </c>
      <c r="P491" s="24" t="str">
        <f>IFERROR(MID(RADataTable[[#This Row],[RATemplate]],1,LEN(RADataTable[[#This Row],[RATemplate]])-8),"RA") &amp; " " &amp; RADataTable[[#This Row],[prop_id0]] &amp; " " &amp; RADataTable[[#This Row],[last0]]</f>
        <v>RA 1755702 Charkhgard</v>
      </c>
      <c r="T491">
        <v>3</v>
      </c>
      <c r="U491">
        <v>3</v>
      </c>
      <c r="V491" s="34">
        <v>43031.770833333336</v>
      </c>
      <c r="W491">
        <v>1</v>
      </c>
      <c r="X491" s="15" t="str">
        <f>HYPERLINK("https://www.ejacket.nsf.gov/ej/showProposal.do?Continue=Y&amp;ID="&amp;RADataTable[[#This Row],[prop_id0]],"eJ")</f>
        <v>eJ</v>
      </c>
      <c r="Y491" s="15" t="str">
        <f>HYPERLINK("mailto:"&amp;RADataTable[[#This Row],[email]]&amp;"&amp;subject=Your NSF Proposal:  "&amp;RADataTable[[#This Row],[Div]]&amp;" "&amp;RADataTable[[#This Row],[prop_id0]], RADataTable[[#This Row],[email]])</f>
        <v>hcharkhgard@usf.edu</v>
      </c>
      <c r="Z491" s="15" t="str">
        <f>HYPERLINK("mailto:"&amp;RADataTable[[#This Row],[allPIemail]]&amp;"&amp;subject=NSF Proposal:  "&amp;RADataTable[[#This Row],[Div]]&amp;" "&amp;RADataTable[[#This Row],[prop_id0]], "PIs@")</f>
        <v>PIs@</v>
      </c>
      <c r="AA491" t="s">
        <v>245</v>
      </c>
      <c r="AB491" t="s">
        <v>685</v>
      </c>
      <c r="AC491" s="30" t="s">
        <v>864</v>
      </c>
      <c r="AD491" t="s">
        <v>865</v>
      </c>
      <c r="AE491" t="s">
        <v>866</v>
      </c>
      <c r="AF491" s="36">
        <v>172682</v>
      </c>
      <c r="AG491" s="36">
        <v>172682</v>
      </c>
      <c r="AH491" s="24"/>
      <c r="AJ491" s="34"/>
      <c r="AK491" t="s">
        <v>923</v>
      </c>
      <c r="AL491" t="s">
        <v>287</v>
      </c>
      <c r="AM491" s="34" t="s">
        <v>925</v>
      </c>
      <c r="AN491" s="34">
        <v>43032</v>
      </c>
      <c r="AO491" s="24">
        <v>4</v>
      </c>
      <c r="AP491" t="s">
        <v>977</v>
      </c>
      <c r="AR491" s="35"/>
      <c r="AS491"/>
      <c r="AT491" s="34"/>
      <c r="AV491" s="34"/>
      <c r="AX491" s="34"/>
      <c r="AY491"/>
      <c r="BA491" s="34"/>
      <c r="BB491"/>
      <c r="BC491" t="s">
        <v>870</v>
      </c>
      <c r="BD491" s="36">
        <v>172682</v>
      </c>
      <c r="BE491" s="36">
        <v>172682</v>
      </c>
      <c r="BF491">
        <v>0</v>
      </c>
      <c r="BG491" s="34">
        <v>43221</v>
      </c>
      <c r="BH491">
        <v>24</v>
      </c>
      <c r="BI491" t="s">
        <v>974</v>
      </c>
      <c r="BJ491" t="s">
        <v>975</v>
      </c>
      <c r="BK491" t="s">
        <v>234</v>
      </c>
      <c r="BL491" t="s">
        <v>194</v>
      </c>
      <c r="BM491" s="8" t="s">
        <v>192</v>
      </c>
      <c r="BN491" t="s">
        <v>189</v>
      </c>
      <c r="BO491" t="s">
        <v>190</v>
      </c>
      <c r="BP491" s="35" t="s">
        <v>861</v>
      </c>
      <c r="BQ491"/>
      <c r="BU491" s="35"/>
      <c r="BV491" s="35"/>
      <c r="BX491"/>
      <c r="CA491" s="35"/>
      <c r="CB491" s="35"/>
      <c r="CC491"/>
      <c r="CG491" s="35"/>
      <c r="CH491" s="35"/>
      <c r="CK491"/>
      <c r="CM491" s="35"/>
      <c r="CN491" s="35"/>
      <c r="CQ491"/>
      <c r="CS491" s="35"/>
      <c r="CT491" s="35"/>
      <c r="CX491"/>
      <c r="CZ491" s="35"/>
      <c r="DD491" s="34"/>
      <c r="DG491" t="s">
        <v>868</v>
      </c>
      <c r="DH491" t="s">
        <v>978</v>
      </c>
      <c r="DI491" t="s">
        <v>286</v>
      </c>
      <c r="DL491" t="s">
        <v>685</v>
      </c>
      <c r="DM491">
        <v>5</v>
      </c>
      <c r="DN491">
        <v>5</v>
      </c>
      <c r="DO491" t="s">
        <v>869</v>
      </c>
      <c r="DQ491" t="s">
        <v>927</v>
      </c>
      <c r="DR491">
        <v>14</v>
      </c>
      <c r="DS491">
        <v>0</v>
      </c>
      <c r="DU491">
        <v>14</v>
      </c>
      <c r="DV491">
        <v>0</v>
      </c>
      <c r="DX491">
        <v>14</v>
      </c>
      <c r="DY491">
        <v>0</v>
      </c>
      <c r="DZ491" t="s">
        <v>246</v>
      </c>
      <c r="EA491" t="s">
        <v>929</v>
      </c>
    </row>
    <row r="492" spans="1:131" x14ac:dyDescent="0.4">
      <c r="A492" s="34">
        <v>43067.305104166669</v>
      </c>
      <c r="B492" s="25">
        <v>42956.472222222219</v>
      </c>
      <c r="D492" s="34"/>
      <c r="E492" s="34" t="s">
        <v>193</v>
      </c>
      <c r="F492" s="34" t="s">
        <v>191</v>
      </c>
      <c r="G492" s="34" t="s">
        <v>100</v>
      </c>
      <c r="H492" t="s">
        <v>856</v>
      </c>
      <c r="I492" t="s">
        <v>243</v>
      </c>
      <c r="J492" t="s">
        <v>857</v>
      </c>
      <c r="K492" t="s">
        <v>713</v>
      </c>
      <c r="L492" t="s">
        <v>855</v>
      </c>
      <c r="M492" s="30">
        <v>3.04</v>
      </c>
      <c r="N492">
        <v>5</v>
      </c>
      <c r="P492" s="24" t="str">
        <f>IFERROR(MID(RADataTable[[#This Row],[RATemplate]],1,LEN(RADataTable[[#This Row],[RATemplate]])-8),"RA") &amp; " " &amp; RADataTable[[#This Row],[prop_id0]] &amp; " " &amp; RADataTable[[#This Row],[last0]]</f>
        <v>RA 1755702 Charkhgard</v>
      </c>
      <c r="T492">
        <v>3</v>
      </c>
      <c r="U492">
        <v>3</v>
      </c>
      <c r="V492" s="34">
        <v>43031.770833333336</v>
      </c>
      <c r="W492">
        <v>1</v>
      </c>
      <c r="X492" s="15" t="str">
        <f>HYPERLINK("https://www.ejacket.nsf.gov/ej/showProposal.do?Continue=Y&amp;ID="&amp;RADataTable[[#This Row],[prop_id0]],"eJ")</f>
        <v>eJ</v>
      </c>
      <c r="Y492" s="15" t="str">
        <f>HYPERLINK("mailto:"&amp;RADataTable[[#This Row],[email]]&amp;"&amp;subject=Your NSF Proposal:  "&amp;RADataTable[[#This Row],[Div]]&amp;" "&amp;RADataTable[[#This Row],[prop_id0]], RADataTable[[#This Row],[email]])</f>
        <v>hcharkhgard@usf.edu</v>
      </c>
      <c r="Z492" s="15" t="str">
        <f>HYPERLINK("mailto:"&amp;RADataTable[[#This Row],[allPIemail]]&amp;"&amp;subject=NSF Proposal:  "&amp;RADataTable[[#This Row],[Div]]&amp;" "&amp;RADataTable[[#This Row],[prop_id0]], "PIs@")</f>
        <v>PIs@</v>
      </c>
      <c r="AA492" t="s">
        <v>245</v>
      </c>
      <c r="AB492" t="s">
        <v>685</v>
      </c>
      <c r="AC492" s="30" t="s">
        <v>864</v>
      </c>
      <c r="AD492" t="s">
        <v>865</v>
      </c>
      <c r="AE492" t="s">
        <v>866</v>
      </c>
      <c r="AF492" s="36">
        <v>172682</v>
      </c>
      <c r="AG492" s="36">
        <v>172682</v>
      </c>
      <c r="AH492" s="24"/>
      <c r="AJ492" s="34"/>
      <c r="AK492" t="s">
        <v>923</v>
      </c>
      <c r="AL492" t="s">
        <v>287</v>
      </c>
      <c r="AM492" s="34" t="s">
        <v>925</v>
      </c>
      <c r="AN492" s="34">
        <v>43032</v>
      </c>
      <c r="AO492" s="24">
        <v>4</v>
      </c>
      <c r="AP492" t="s">
        <v>977</v>
      </c>
      <c r="AR492" s="35"/>
      <c r="AS492"/>
      <c r="AT492" s="34"/>
      <c r="AV492" s="34"/>
      <c r="AX492" s="34"/>
      <c r="AY492"/>
      <c r="BA492" s="34"/>
      <c r="BB492"/>
      <c r="BC492" t="s">
        <v>870</v>
      </c>
      <c r="BD492" s="36">
        <v>172682</v>
      </c>
      <c r="BE492" s="36">
        <v>172682</v>
      </c>
      <c r="BF492">
        <v>0</v>
      </c>
      <c r="BG492" s="34">
        <v>43221</v>
      </c>
      <c r="BH492">
        <v>24</v>
      </c>
      <c r="BI492" t="s">
        <v>974</v>
      </c>
      <c r="BJ492" t="s">
        <v>975</v>
      </c>
      <c r="BK492" t="s">
        <v>234</v>
      </c>
      <c r="BL492" t="s">
        <v>194</v>
      </c>
      <c r="BM492" s="8" t="s">
        <v>192</v>
      </c>
      <c r="BN492" t="s">
        <v>189</v>
      </c>
      <c r="BO492" t="s">
        <v>190</v>
      </c>
      <c r="BP492" s="35" t="s">
        <v>861</v>
      </c>
      <c r="BQ492"/>
      <c r="BU492" s="35"/>
      <c r="BV492" s="35"/>
      <c r="BX492"/>
      <c r="CA492" s="35"/>
      <c r="CB492" s="35"/>
      <c r="CC492"/>
      <c r="CG492" s="35"/>
      <c r="CH492" s="35"/>
      <c r="CK492"/>
      <c r="CM492" s="35"/>
      <c r="CN492" s="35"/>
      <c r="CQ492"/>
      <c r="CS492" s="35"/>
      <c r="CT492" s="35"/>
      <c r="CX492"/>
      <c r="CZ492" s="35"/>
      <c r="DD492" s="34"/>
      <c r="DG492" t="s">
        <v>868</v>
      </c>
      <c r="DH492" t="s">
        <v>978</v>
      </c>
      <c r="DI492" t="s">
        <v>286</v>
      </c>
      <c r="DL492" t="s">
        <v>685</v>
      </c>
      <c r="DM492">
        <v>5</v>
      </c>
      <c r="DN492">
        <v>5</v>
      </c>
      <c r="DO492" t="s">
        <v>869</v>
      </c>
      <c r="DQ492" t="s">
        <v>927</v>
      </c>
      <c r="DR492">
        <v>14</v>
      </c>
      <c r="DS492">
        <v>0</v>
      </c>
      <c r="DU492">
        <v>14</v>
      </c>
      <c r="DV492">
        <v>0</v>
      </c>
      <c r="DX492">
        <v>14</v>
      </c>
      <c r="DY492">
        <v>0</v>
      </c>
      <c r="DZ492" t="s">
        <v>246</v>
      </c>
      <c r="EA492" t="s">
        <v>929</v>
      </c>
    </row>
    <row r="493" spans="1:131" x14ac:dyDescent="0.4">
      <c r="A493" s="34">
        <v>43067.305104166669</v>
      </c>
      <c r="B493" s="25">
        <v>42956.472222222219</v>
      </c>
      <c r="D493" s="34"/>
      <c r="E493" s="34" t="s">
        <v>193</v>
      </c>
      <c r="F493" s="34" t="s">
        <v>191</v>
      </c>
      <c r="G493" s="34" t="s">
        <v>100</v>
      </c>
      <c r="H493" t="s">
        <v>856</v>
      </c>
      <c r="I493" t="s">
        <v>243</v>
      </c>
      <c r="J493" t="s">
        <v>857</v>
      </c>
      <c r="K493" t="s">
        <v>713</v>
      </c>
      <c r="L493" t="s">
        <v>855</v>
      </c>
      <c r="M493" s="30">
        <v>3.04</v>
      </c>
      <c r="N493">
        <v>5</v>
      </c>
      <c r="P493" s="24" t="str">
        <f>IFERROR(MID(RADataTable[[#This Row],[RATemplate]],1,LEN(RADataTable[[#This Row],[RATemplate]])-8),"RA") &amp; " " &amp; RADataTable[[#This Row],[prop_id0]] &amp; " " &amp; RADataTable[[#This Row],[last0]]</f>
        <v>RA 1755702 Charkhgard</v>
      </c>
      <c r="T493">
        <v>3</v>
      </c>
      <c r="U493">
        <v>3</v>
      </c>
      <c r="V493" s="34">
        <v>43031.770833333336</v>
      </c>
      <c r="W493">
        <v>1</v>
      </c>
      <c r="X493" s="15" t="str">
        <f>HYPERLINK("https://www.ejacket.nsf.gov/ej/showProposal.do?Continue=Y&amp;ID="&amp;RADataTable[[#This Row],[prop_id0]],"eJ")</f>
        <v>eJ</v>
      </c>
      <c r="Y493" s="15" t="str">
        <f>HYPERLINK("mailto:"&amp;RADataTable[[#This Row],[email]]&amp;"&amp;subject=Your NSF Proposal:  "&amp;RADataTable[[#This Row],[Div]]&amp;" "&amp;RADataTable[[#This Row],[prop_id0]], RADataTable[[#This Row],[email]])</f>
        <v>hcharkhgard@usf.edu</v>
      </c>
      <c r="Z493" s="15" t="str">
        <f>HYPERLINK("mailto:"&amp;RADataTable[[#This Row],[allPIemail]]&amp;"&amp;subject=NSF Proposal:  "&amp;RADataTable[[#This Row],[Div]]&amp;" "&amp;RADataTable[[#This Row],[prop_id0]], "PIs@")</f>
        <v>PIs@</v>
      </c>
      <c r="AA493" t="s">
        <v>245</v>
      </c>
      <c r="AB493" t="s">
        <v>685</v>
      </c>
      <c r="AC493" s="30" t="s">
        <v>864</v>
      </c>
      <c r="AD493" t="s">
        <v>865</v>
      </c>
      <c r="AE493" t="s">
        <v>866</v>
      </c>
      <c r="AF493" s="36">
        <v>172682</v>
      </c>
      <c r="AG493" s="36">
        <v>172682</v>
      </c>
      <c r="AH493" s="24"/>
      <c r="AJ493" s="34"/>
      <c r="AK493" t="s">
        <v>923</v>
      </c>
      <c r="AL493" t="s">
        <v>287</v>
      </c>
      <c r="AM493" s="34" t="s">
        <v>925</v>
      </c>
      <c r="AN493" s="34">
        <v>43032</v>
      </c>
      <c r="AO493" s="24">
        <v>4</v>
      </c>
      <c r="AP493" t="s">
        <v>977</v>
      </c>
      <c r="AR493" s="35"/>
      <c r="AS493"/>
      <c r="AT493" s="34"/>
      <c r="AV493" s="34"/>
      <c r="AX493" s="34"/>
      <c r="AY493"/>
      <c r="BA493" s="34"/>
      <c r="BB493"/>
      <c r="BC493" t="s">
        <v>870</v>
      </c>
      <c r="BD493" s="36">
        <v>172682</v>
      </c>
      <c r="BE493" s="36">
        <v>172682</v>
      </c>
      <c r="BF493">
        <v>0</v>
      </c>
      <c r="BG493" s="34">
        <v>43221</v>
      </c>
      <c r="BH493">
        <v>24</v>
      </c>
      <c r="BI493" t="s">
        <v>974</v>
      </c>
      <c r="BJ493" t="s">
        <v>975</v>
      </c>
      <c r="BK493" t="s">
        <v>234</v>
      </c>
      <c r="BL493" t="s">
        <v>194</v>
      </c>
      <c r="BM493" s="8" t="s">
        <v>192</v>
      </c>
      <c r="BN493" t="s">
        <v>189</v>
      </c>
      <c r="BO493" t="s">
        <v>190</v>
      </c>
      <c r="BP493" s="35" t="s">
        <v>861</v>
      </c>
      <c r="BQ493"/>
      <c r="BU493" s="35"/>
      <c r="BV493" s="35"/>
      <c r="BX493"/>
      <c r="CA493" s="35"/>
      <c r="CB493" s="35"/>
      <c r="CC493"/>
      <c r="CG493" s="35"/>
      <c r="CH493" s="35"/>
      <c r="CK493"/>
      <c r="CM493" s="35"/>
      <c r="CN493" s="35"/>
      <c r="CQ493"/>
      <c r="CS493" s="35"/>
      <c r="CT493" s="35"/>
      <c r="CX493"/>
      <c r="CZ493" s="35"/>
      <c r="DD493" s="34"/>
      <c r="DG493" t="s">
        <v>868</v>
      </c>
      <c r="DH493" t="s">
        <v>978</v>
      </c>
      <c r="DI493" t="s">
        <v>286</v>
      </c>
      <c r="DL493" t="s">
        <v>685</v>
      </c>
      <c r="DM493">
        <v>5</v>
      </c>
      <c r="DN493">
        <v>5</v>
      </c>
      <c r="DO493" t="s">
        <v>869</v>
      </c>
      <c r="DQ493" t="s">
        <v>927</v>
      </c>
      <c r="DR493">
        <v>14</v>
      </c>
      <c r="DS493">
        <v>0</v>
      </c>
      <c r="DU493">
        <v>14</v>
      </c>
      <c r="DV493">
        <v>0</v>
      </c>
      <c r="DX493">
        <v>14</v>
      </c>
      <c r="DY493">
        <v>0</v>
      </c>
      <c r="DZ493" t="s">
        <v>246</v>
      </c>
      <c r="EA493" t="s">
        <v>929</v>
      </c>
    </row>
    <row r="494" spans="1:131" x14ac:dyDescent="0.4">
      <c r="A494" s="34">
        <v>43067.305104166669</v>
      </c>
      <c r="B494" s="25">
        <v>42956.472222222219</v>
      </c>
      <c r="D494" s="34"/>
      <c r="E494" s="34" t="s">
        <v>193</v>
      </c>
      <c r="F494" s="34" t="s">
        <v>191</v>
      </c>
      <c r="G494" s="34" t="s">
        <v>100</v>
      </c>
      <c r="H494" t="s">
        <v>856</v>
      </c>
      <c r="I494" t="s">
        <v>243</v>
      </c>
      <c r="J494" t="s">
        <v>857</v>
      </c>
      <c r="K494" t="s">
        <v>713</v>
      </c>
      <c r="L494" t="s">
        <v>855</v>
      </c>
      <c r="M494" s="30">
        <v>3.04</v>
      </c>
      <c r="N494">
        <v>5</v>
      </c>
      <c r="P494" s="24" t="str">
        <f>IFERROR(MID(RADataTable[[#This Row],[RATemplate]],1,LEN(RADataTable[[#This Row],[RATemplate]])-8),"RA") &amp; " " &amp; RADataTable[[#This Row],[prop_id0]] &amp; " " &amp; RADataTable[[#This Row],[last0]]</f>
        <v>RA 1755702 Charkhgard</v>
      </c>
      <c r="T494">
        <v>3</v>
      </c>
      <c r="U494">
        <v>3</v>
      </c>
      <c r="V494" s="34">
        <v>43031.770833333336</v>
      </c>
      <c r="W494">
        <v>1</v>
      </c>
      <c r="X494" s="15" t="str">
        <f>HYPERLINK("https://www.ejacket.nsf.gov/ej/showProposal.do?Continue=Y&amp;ID="&amp;RADataTable[[#This Row],[prop_id0]],"eJ")</f>
        <v>eJ</v>
      </c>
      <c r="Y494" s="15" t="str">
        <f>HYPERLINK("mailto:"&amp;RADataTable[[#This Row],[email]]&amp;"&amp;subject=Your NSF Proposal:  "&amp;RADataTable[[#This Row],[Div]]&amp;" "&amp;RADataTable[[#This Row],[prop_id0]], RADataTable[[#This Row],[email]])</f>
        <v>hcharkhgard@usf.edu</v>
      </c>
      <c r="Z494" s="15" t="str">
        <f>HYPERLINK("mailto:"&amp;RADataTable[[#This Row],[allPIemail]]&amp;"&amp;subject=NSF Proposal:  "&amp;RADataTable[[#This Row],[Div]]&amp;" "&amp;RADataTable[[#This Row],[prop_id0]], "PIs@")</f>
        <v>PIs@</v>
      </c>
      <c r="AA494" t="s">
        <v>245</v>
      </c>
      <c r="AB494" t="s">
        <v>685</v>
      </c>
      <c r="AC494" s="30" t="s">
        <v>864</v>
      </c>
      <c r="AD494" t="s">
        <v>865</v>
      </c>
      <c r="AE494" t="s">
        <v>866</v>
      </c>
      <c r="AF494" s="36">
        <v>172682</v>
      </c>
      <c r="AG494" s="36">
        <v>172682</v>
      </c>
      <c r="AH494" s="24"/>
      <c r="AJ494" s="34"/>
      <c r="AK494" t="s">
        <v>923</v>
      </c>
      <c r="AL494" t="s">
        <v>287</v>
      </c>
      <c r="AM494" s="34" t="s">
        <v>925</v>
      </c>
      <c r="AN494" s="34">
        <v>43032</v>
      </c>
      <c r="AO494" s="24">
        <v>4</v>
      </c>
      <c r="AP494" t="s">
        <v>977</v>
      </c>
      <c r="AR494" s="35"/>
      <c r="AS494"/>
      <c r="AT494" s="34"/>
      <c r="AV494" s="34"/>
      <c r="AX494" s="34"/>
      <c r="AY494"/>
      <c r="BA494" s="34"/>
      <c r="BB494"/>
      <c r="BC494" t="s">
        <v>870</v>
      </c>
      <c r="BD494" s="36">
        <v>172682</v>
      </c>
      <c r="BE494" s="36">
        <v>172682</v>
      </c>
      <c r="BF494">
        <v>0</v>
      </c>
      <c r="BG494" s="34">
        <v>43221</v>
      </c>
      <c r="BH494">
        <v>24</v>
      </c>
      <c r="BI494" t="s">
        <v>974</v>
      </c>
      <c r="BJ494" t="s">
        <v>975</v>
      </c>
      <c r="BK494" t="s">
        <v>234</v>
      </c>
      <c r="BL494" t="s">
        <v>194</v>
      </c>
      <c r="BM494" s="8" t="s">
        <v>192</v>
      </c>
      <c r="BN494" t="s">
        <v>189</v>
      </c>
      <c r="BO494" t="s">
        <v>190</v>
      </c>
      <c r="BP494" s="35" t="s">
        <v>861</v>
      </c>
      <c r="BQ494"/>
      <c r="BU494" s="35"/>
      <c r="BV494" s="35"/>
      <c r="BX494"/>
      <c r="CA494" s="35"/>
      <c r="CB494" s="35"/>
      <c r="CC494"/>
      <c r="CG494" s="35"/>
      <c r="CH494" s="35"/>
      <c r="CK494"/>
      <c r="CM494" s="35"/>
      <c r="CN494" s="35"/>
      <c r="CQ494"/>
      <c r="CS494" s="35"/>
      <c r="CT494" s="35"/>
      <c r="CX494"/>
      <c r="CZ494" s="35"/>
      <c r="DD494" s="34"/>
      <c r="DG494" t="s">
        <v>868</v>
      </c>
      <c r="DH494" t="s">
        <v>978</v>
      </c>
      <c r="DI494" t="s">
        <v>286</v>
      </c>
      <c r="DL494" t="s">
        <v>685</v>
      </c>
      <c r="DM494">
        <v>5</v>
      </c>
      <c r="DN494">
        <v>5</v>
      </c>
      <c r="DO494" t="s">
        <v>869</v>
      </c>
      <c r="DQ494" t="s">
        <v>927</v>
      </c>
      <c r="DR494">
        <v>14</v>
      </c>
      <c r="DS494">
        <v>0</v>
      </c>
      <c r="DU494">
        <v>14</v>
      </c>
      <c r="DV494">
        <v>0</v>
      </c>
      <c r="DX494">
        <v>14</v>
      </c>
      <c r="DY494">
        <v>0</v>
      </c>
      <c r="DZ494" t="s">
        <v>246</v>
      </c>
      <c r="EA494" t="s">
        <v>929</v>
      </c>
    </row>
    <row r="495" spans="1:131" x14ac:dyDescent="0.4">
      <c r="A495" s="34">
        <v>43067.305104166669</v>
      </c>
      <c r="B495" s="25">
        <v>42956.472222222219</v>
      </c>
      <c r="D495" s="34"/>
      <c r="E495" s="34" t="s">
        <v>193</v>
      </c>
      <c r="F495" s="34" t="s">
        <v>191</v>
      </c>
      <c r="G495" s="34" t="s">
        <v>100</v>
      </c>
      <c r="H495" t="s">
        <v>856</v>
      </c>
      <c r="I495" t="s">
        <v>243</v>
      </c>
      <c r="J495" t="s">
        <v>857</v>
      </c>
      <c r="K495" t="s">
        <v>713</v>
      </c>
      <c r="L495" t="s">
        <v>855</v>
      </c>
      <c r="M495" s="30">
        <v>3.04</v>
      </c>
      <c r="N495">
        <v>5</v>
      </c>
      <c r="P495" s="24" t="str">
        <f>IFERROR(MID(RADataTable[[#This Row],[RATemplate]],1,LEN(RADataTable[[#This Row],[RATemplate]])-8),"RA") &amp; " " &amp; RADataTable[[#This Row],[prop_id0]] &amp; " " &amp; RADataTable[[#This Row],[last0]]</f>
        <v>RA 1755702 Charkhgard</v>
      </c>
      <c r="T495">
        <v>3</v>
      </c>
      <c r="U495">
        <v>3</v>
      </c>
      <c r="V495" s="34">
        <v>43031.770833333336</v>
      </c>
      <c r="W495">
        <v>1</v>
      </c>
      <c r="X495" s="15" t="str">
        <f>HYPERLINK("https://www.ejacket.nsf.gov/ej/showProposal.do?Continue=Y&amp;ID="&amp;RADataTable[[#This Row],[prop_id0]],"eJ")</f>
        <v>eJ</v>
      </c>
      <c r="Y495" s="15" t="str">
        <f>HYPERLINK("mailto:"&amp;RADataTable[[#This Row],[email]]&amp;"&amp;subject=Your NSF Proposal:  "&amp;RADataTable[[#This Row],[Div]]&amp;" "&amp;RADataTable[[#This Row],[prop_id0]], RADataTable[[#This Row],[email]])</f>
        <v>hcharkhgard@usf.edu</v>
      </c>
      <c r="Z495" s="15" t="str">
        <f>HYPERLINK("mailto:"&amp;RADataTable[[#This Row],[allPIemail]]&amp;"&amp;subject=NSF Proposal:  "&amp;RADataTable[[#This Row],[Div]]&amp;" "&amp;RADataTable[[#This Row],[prop_id0]], "PIs@")</f>
        <v>PIs@</v>
      </c>
      <c r="AA495" t="s">
        <v>245</v>
      </c>
      <c r="AB495" t="s">
        <v>685</v>
      </c>
      <c r="AC495" s="30" t="s">
        <v>864</v>
      </c>
      <c r="AD495" t="s">
        <v>865</v>
      </c>
      <c r="AE495" t="s">
        <v>866</v>
      </c>
      <c r="AF495" s="36">
        <v>172682</v>
      </c>
      <c r="AG495" s="36">
        <v>172682</v>
      </c>
      <c r="AH495" s="24"/>
      <c r="AJ495" s="34"/>
      <c r="AK495" t="s">
        <v>923</v>
      </c>
      <c r="AL495" t="s">
        <v>287</v>
      </c>
      <c r="AM495" s="34" t="s">
        <v>925</v>
      </c>
      <c r="AN495" s="34">
        <v>43032</v>
      </c>
      <c r="AO495" s="24">
        <v>4</v>
      </c>
      <c r="AP495" t="s">
        <v>977</v>
      </c>
      <c r="AR495" s="35"/>
      <c r="AS495"/>
      <c r="AT495" s="34"/>
      <c r="AV495" s="34"/>
      <c r="AX495" s="34"/>
      <c r="AY495"/>
      <c r="BA495" s="34"/>
      <c r="BB495"/>
      <c r="BC495" t="s">
        <v>870</v>
      </c>
      <c r="BD495" s="36">
        <v>172682</v>
      </c>
      <c r="BE495" s="36">
        <v>172682</v>
      </c>
      <c r="BF495">
        <v>0</v>
      </c>
      <c r="BG495" s="34">
        <v>43221</v>
      </c>
      <c r="BH495">
        <v>24</v>
      </c>
      <c r="BI495" t="s">
        <v>974</v>
      </c>
      <c r="BJ495" t="s">
        <v>975</v>
      </c>
      <c r="BK495" t="s">
        <v>234</v>
      </c>
      <c r="BL495" t="s">
        <v>194</v>
      </c>
      <c r="BM495" s="8" t="s">
        <v>192</v>
      </c>
      <c r="BN495" t="s">
        <v>189</v>
      </c>
      <c r="BO495" t="s">
        <v>190</v>
      </c>
      <c r="BP495" s="35" t="s">
        <v>861</v>
      </c>
      <c r="BQ495"/>
      <c r="BU495" s="35"/>
      <c r="BV495" s="35"/>
      <c r="BX495"/>
      <c r="CA495" s="35"/>
      <c r="CB495" s="35"/>
      <c r="CC495"/>
      <c r="CG495" s="35"/>
      <c r="CH495" s="35"/>
      <c r="CK495"/>
      <c r="CM495" s="35"/>
      <c r="CN495" s="35"/>
      <c r="CQ495"/>
      <c r="CS495" s="35"/>
      <c r="CT495" s="35"/>
      <c r="CX495"/>
      <c r="CZ495" s="35"/>
      <c r="DD495" s="34"/>
      <c r="DG495" t="s">
        <v>868</v>
      </c>
      <c r="DH495" t="s">
        <v>978</v>
      </c>
      <c r="DI495" t="s">
        <v>286</v>
      </c>
      <c r="DL495" t="s">
        <v>685</v>
      </c>
      <c r="DM495">
        <v>5</v>
      </c>
      <c r="DN495">
        <v>5</v>
      </c>
      <c r="DO495" t="s">
        <v>869</v>
      </c>
      <c r="DQ495" t="s">
        <v>927</v>
      </c>
      <c r="DR495">
        <v>14</v>
      </c>
      <c r="DS495">
        <v>0</v>
      </c>
      <c r="DU495">
        <v>14</v>
      </c>
      <c r="DV495">
        <v>0</v>
      </c>
      <c r="DX495">
        <v>14</v>
      </c>
      <c r="DY495">
        <v>0</v>
      </c>
      <c r="DZ495" t="s">
        <v>246</v>
      </c>
      <c r="EA495" t="s">
        <v>929</v>
      </c>
    </row>
    <row r="496" spans="1:131" x14ac:dyDescent="0.4">
      <c r="A496" s="34">
        <v>43067.305104166669</v>
      </c>
      <c r="B496" s="25">
        <v>42956.472222222219</v>
      </c>
      <c r="D496" s="34"/>
      <c r="E496" s="34" t="s">
        <v>193</v>
      </c>
      <c r="F496" s="34" t="s">
        <v>191</v>
      </c>
      <c r="G496" s="34" t="s">
        <v>100</v>
      </c>
      <c r="H496" t="s">
        <v>856</v>
      </c>
      <c r="I496" t="s">
        <v>243</v>
      </c>
      <c r="J496" t="s">
        <v>857</v>
      </c>
      <c r="K496" t="s">
        <v>713</v>
      </c>
      <c r="L496" t="s">
        <v>855</v>
      </c>
      <c r="M496" s="30">
        <v>3.04</v>
      </c>
      <c r="N496">
        <v>5</v>
      </c>
      <c r="P496" s="24" t="str">
        <f>IFERROR(MID(RADataTable[[#This Row],[RATemplate]],1,LEN(RADataTable[[#This Row],[RATemplate]])-8),"RA") &amp; " " &amp; RADataTable[[#This Row],[prop_id0]] &amp; " " &amp; RADataTable[[#This Row],[last0]]</f>
        <v>RA 1755702 Charkhgard</v>
      </c>
      <c r="T496">
        <v>3</v>
      </c>
      <c r="U496">
        <v>3</v>
      </c>
      <c r="V496" s="34">
        <v>43031.770833333336</v>
      </c>
      <c r="W496">
        <v>1</v>
      </c>
      <c r="X496" s="15" t="str">
        <f>HYPERLINK("https://www.ejacket.nsf.gov/ej/showProposal.do?Continue=Y&amp;ID="&amp;RADataTable[[#This Row],[prop_id0]],"eJ")</f>
        <v>eJ</v>
      </c>
      <c r="Y496" s="15" t="str">
        <f>HYPERLINK("mailto:"&amp;RADataTable[[#This Row],[email]]&amp;"&amp;subject=Your NSF Proposal:  "&amp;RADataTable[[#This Row],[Div]]&amp;" "&amp;RADataTable[[#This Row],[prop_id0]], RADataTable[[#This Row],[email]])</f>
        <v>hcharkhgard@usf.edu</v>
      </c>
      <c r="Z496" s="15" t="str">
        <f>HYPERLINK("mailto:"&amp;RADataTable[[#This Row],[allPIemail]]&amp;"&amp;subject=NSF Proposal:  "&amp;RADataTable[[#This Row],[Div]]&amp;" "&amp;RADataTable[[#This Row],[prop_id0]], "PIs@")</f>
        <v>PIs@</v>
      </c>
      <c r="AA496" t="s">
        <v>245</v>
      </c>
      <c r="AB496" t="s">
        <v>685</v>
      </c>
      <c r="AC496" s="30" t="s">
        <v>864</v>
      </c>
      <c r="AD496" t="s">
        <v>865</v>
      </c>
      <c r="AE496" t="s">
        <v>866</v>
      </c>
      <c r="AF496" s="36">
        <v>172682</v>
      </c>
      <c r="AG496" s="36">
        <v>172682</v>
      </c>
      <c r="AH496" s="24"/>
      <c r="AJ496" s="34"/>
      <c r="AK496" t="s">
        <v>923</v>
      </c>
      <c r="AL496" t="s">
        <v>287</v>
      </c>
      <c r="AM496" s="34" t="s">
        <v>925</v>
      </c>
      <c r="AN496" s="34">
        <v>43032</v>
      </c>
      <c r="AO496" s="24">
        <v>4</v>
      </c>
      <c r="AP496" t="s">
        <v>977</v>
      </c>
      <c r="AR496" s="35"/>
      <c r="AS496"/>
      <c r="AT496" s="34"/>
      <c r="AV496" s="34"/>
      <c r="AX496" s="34"/>
      <c r="AY496"/>
      <c r="BA496" s="34"/>
      <c r="BB496"/>
      <c r="BC496" t="s">
        <v>870</v>
      </c>
      <c r="BD496" s="36">
        <v>172682</v>
      </c>
      <c r="BE496" s="36">
        <v>172682</v>
      </c>
      <c r="BF496">
        <v>0</v>
      </c>
      <c r="BG496" s="34">
        <v>43221</v>
      </c>
      <c r="BH496">
        <v>24</v>
      </c>
      <c r="BI496" t="s">
        <v>974</v>
      </c>
      <c r="BJ496" t="s">
        <v>975</v>
      </c>
      <c r="BK496" t="s">
        <v>234</v>
      </c>
      <c r="BL496" t="s">
        <v>194</v>
      </c>
      <c r="BM496" s="8" t="s">
        <v>192</v>
      </c>
      <c r="BN496" t="s">
        <v>189</v>
      </c>
      <c r="BO496" t="s">
        <v>190</v>
      </c>
      <c r="BP496" s="35" t="s">
        <v>861</v>
      </c>
      <c r="BQ496"/>
      <c r="BU496" s="35"/>
      <c r="BV496" s="35"/>
      <c r="BX496"/>
      <c r="CA496" s="35"/>
      <c r="CB496" s="35"/>
      <c r="CC496"/>
      <c r="CG496" s="35"/>
      <c r="CH496" s="35"/>
      <c r="CK496"/>
      <c r="CM496" s="35"/>
      <c r="CN496" s="35"/>
      <c r="CQ496"/>
      <c r="CS496" s="35"/>
      <c r="CT496" s="35"/>
      <c r="CX496"/>
      <c r="CZ496" s="35"/>
      <c r="DD496" s="34"/>
      <c r="DG496" t="s">
        <v>868</v>
      </c>
      <c r="DH496" t="s">
        <v>978</v>
      </c>
      <c r="DI496" t="s">
        <v>286</v>
      </c>
      <c r="DL496" t="s">
        <v>685</v>
      </c>
      <c r="DM496">
        <v>5</v>
      </c>
      <c r="DN496">
        <v>5</v>
      </c>
      <c r="DO496" t="s">
        <v>869</v>
      </c>
      <c r="DQ496" t="s">
        <v>927</v>
      </c>
      <c r="DR496">
        <v>14</v>
      </c>
      <c r="DS496">
        <v>0</v>
      </c>
      <c r="DU496">
        <v>14</v>
      </c>
      <c r="DV496">
        <v>0</v>
      </c>
      <c r="DX496">
        <v>14</v>
      </c>
      <c r="DY496">
        <v>0</v>
      </c>
      <c r="DZ496" t="s">
        <v>246</v>
      </c>
      <c r="EA496" t="s">
        <v>929</v>
      </c>
    </row>
    <row r="497" spans="1:131" x14ac:dyDescent="0.4">
      <c r="A497" s="34">
        <v>43067.305104166669</v>
      </c>
      <c r="B497" s="25">
        <v>42956.472222222219</v>
      </c>
      <c r="D497" s="34"/>
      <c r="E497" s="34" t="s">
        <v>193</v>
      </c>
      <c r="F497" s="34" t="s">
        <v>191</v>
      </c>
      <c r="G497" s="34" t="s">
        <v>100</v>
      </c>
      <c r="H497" t="s">
        <v>856</v>
      </c>
      <c r="I497" t="s">
        <v>243</v>
      </c>
      <c r="J497" t="s">
        <v>857</v>
      </c>
      <c r="K497" t="s">
        <v>713</v>
      </c>
      <c r="L497" t="s">
        <v>855</v>
      </c>
      <c r="M497" s="30">
        <v>3.04</v>
      </c>
      <c r="N497">
        <v>5</v>
      </c>
      <c r="P497" s="24" t="str">
        <f>IFERROR(MID(RADataTable[[#This Row],[RATemplate]],1,LEN(RADataTable[[#This Row],[RATemplate]])-8),"RA") &amp; " " &amp; RADataTable[[#This Row],[prop_id0]] &amp; " " &amp; RADataTable[[#This Row],[last0]]</f>
        <v>RA 1755702 Charkhgard</v>
      </c>
      <c r="T497">
        <v>3</v>
      </c>
      <c r="U497">
        <v>3</v>
      </c>
      <c r="V497" s="34">
        <v>43031.770833333336</v>
      </c>
      <c r="W497">
        <v>1</v>
      </c>
      <c r="X497" s="15" t="str">
        <f>HYPERLINK("https://www.ejacket.nsf.gov/ej/showProposal.do?Continue=Y&amp;ID="&amp;RADataTable[[#This Row],[prop_id0]],"eJ")</f>
        <v>eJ</v>
      </c>
      <c r="Y497" s="15" t="str">
        <f>HYPERLINK("mailto:"&amp;RADataTable[[#This Row],[email]]&amp;"&amp;subject=Your NSF Proposal:  "&amp;RADataTable[[#This Row],[Div]]&amp;" "&amp;RADataTable[[#This Row],[prop_id0]], RADataTable[[#This Row],[email]])</f>
        <v>hcharkhgard@usf.edu</v>
      </c>
      <c r="Z497" s="15" t="str">
        <f>HYPERLINK("mailto:"&amp;RADataTable[[#This Row],[allPIemail]]&amp;"&amp;subject=NSF Proposal:  "&amp;RADataTable[[#This Row],[Div]]&amp;" "&amp;RADataTable[[#This Row],[prop_id0]], "PIs@")</f>
        <v>PIs@</v>
      </c>
      <c r="AA497" t="s">
        <v>245</v>
      </c>
      <c r="AB497" t="s">
        <v>685</v>
      </c>
      <c r="AC497" s="30" t="s">
        <v>864</v>
      </c>
      <c r="AD497" t="s">
        <v>865</v>
      </c>
      <c r="AE497" t="s">
        <v>866</v>
      </c>
      <c r="AF497" s="36">
        <v>172682</v>
      </c>
      <c r="AG497" s="36">
        <v>172682</v>
      </c>
      <c r="AH497" s="24"/>
      <c r="AJ497" s="34"/>
      <c r="AK497" t="s">
        <v>923</v>
      </c>
      <c r="AL497" t="s">
        <v>287</v>
      </c>
      <c r="AM497" s="34" t="s">
        <v>925</v>
      </c>
      <c r="AN497" s="34">
        <v>43032</v>
      </c>
      <c r="AO497" s="24">
        <v>4</v>
      </c>
      <c r="AP497" t="s">
        <v>977</v>
      </c>
      <c r="AR497" s="35"/>
      <c r="AS497"/>
      <c r="AT497" s="34"/>
      <c r="AV497" s="34"/>
      <c r="AX497" s="34"/>
      <c r="AY497"/>
      <c r="BA497" s="34"/>
      <c r="BB497"/>
      <c r="BC497" t="s">
        <v>870</v>
      </c>
      <c r="BD497" s="36">
        <v>172682</v>
      </c>
      <c r="BE497" s="36">
        <v>172682</v>
      </c>
      <c r="BF497">
        <v>0</v>
      </c>
      <c r="BG497" s="34">
        <v>43221</v>
      </c>
      <c r="BH497">
        <v>24</v>
      </c>
      <c r="BI497" t="s">
        <v>974</v>
      </c>
      <c r="BJ497" t="s">
        <v>975</v>
      </c>
      <c r="BK497" t="s">
        <v>234</v>
      </c>
      <c r="BL497" t="s">
        <v>194</v>
      </c>
      <c r="BM497" s="8" t="s">
        <v>192</v>
      </c>
      <c r="BN497" t="s">
        <v>189</v>
      </c>
      <c r="BO497" t="s">
        <v>190</v>
      </c>
      <c r="BP497" s="35" t="s">
        <v>861</v>
      </c>
      <c r="BQ497"/>
      <c r="BU497" s="35"/>
      <c r="BV497" s="35"/>
      <c r="BX497"/>
      <c r="CA497" s="35"/>
      <c r="CB497" s="35"/>
      <c r="CC497"/>
      <c r="CG497" s="35"/>
      <c r="CH497" s="35"/>
      <c r="CK497"/>
      <c r="CM497" s="35"/>
      <c r="CN497" s="35"/>
      <c r="CQ497"/>
      <c r="CS497" s="35"/>
      <c r="CT497" s="35"/>
      <c r="CX497"/>
      <c r="CZ497" s="35"/>
      <c r="DD497" s="34"/>
      <c r="DG497" t="s">
        <v>868</v>
      </c>
      <c r="DH497" t="s">
        <v>978</v>
      </c>
      <c r="DI497" t="s">
        <v>286</v>
      </c>
      <c r="DL497" t="s">
        <v>685</v>
      </c>
      <c r="DM497">
        <v>5</v>
      </c>
      <c r="DN497">
        <v>5</v>
      </c>
      <c r="DO497" t="s">
        <v>869</v>
      </c>
      <c r="DQ497" t="s">
        <v>927</v>
      </c>
      <c r="DR497">
        <v>14</v>
      </c>
      <c r="DS497">
        <v>0</v>
      </c>
      <c r="DU497">
        <v>14</v>
      </c>
      <c r="DV497">
        <v>0</v>
      </c>
      <c r="DX497">
        <v>14</v>
      </c>
      <c r="DY497">
        <v>0</v>
      </c>
      <c r="DZ497" t="s">
        <v>246</v>
      </c>
      <c r="EA497" t="s">
        <v>929</v>
      </c>
    </row>
    <row r="498" spans="1:131" x14ac:dyDescent="0.4">
      <c r="A498" s="34">
        <v>43067.305104166669</v>
      </c>
      <c r="B498" s="25">
        <v>42956.472222222219</v>
      </c>
      <c r="D498" s="34"/>
      <c r="E498" s="34" t="s">
        <v>193</v>
      </c>
      <c r="F498" s="34" t="s">
        <v>191</v>
      </c>
      <c r="G498" s="34" t="s">
        <v>100</v>
      </c>
      <c r="H498" t="s">
        <v>856</v>
      </c>
      <c r="I498" t="s">
        <v>243</v>
      </c>
      <c r="J498" t="s">
        <v>857</v>
      </c>
      <c r="K498" t="s">
        <v>713</v>
      </c>
      <c r="L498" t="s">
        <v>855</v>
      </c>
      <c r="M498" s="30">
        <v>3.04</v>
      </c>
      <c r="N498">
        <v>5</v>
      </c>
      <c r="P498" s="24" t="str">
        <f>IFERROR(MID(RADataTable[[#This Row],[RATemplate]],1,LEN(RADataTable[[#This Row],[RATemplate]])-8),"RA") &amp; " " &amp; RADataTable[[#This Row],[prop_id0]] &amp; " " &amp; RADataTable[[#This Row],[last0]]</f>
        <v>RA 1755702 Charkhgard</v>
      </c>
      <c r="T498">
        <v>3</v>
      </c>
      <c r="U498">
        <v>3</v>
      </c>
      <c r="V498" s="34">
        <v>43031.770833333336</v>
      </c>
      <c r="W498">
        <v>1</v>
      </c>
      <c r="X498" s="15" t="str">
        <f>HYPERLINK("https://www.ejacket.nsf.gov/ej/showProposal.do?Continue=Y&amp;ID="&amp;RADataTable[[#This Row],[prop_id0]],"eJ")</f>
        <v>eJ</v>
      </c>
      <c r="Y498" s="15" t="str">
        <f>HYPERLINK("mailto:"&amp;RADataTable[[#This Row],[email]]&amp;"&amp;subject=Your NSF Proposal:  "&amp;RADataTable[[#This Row],[Div]]&amp;" "&amp;RADataTable[[#This Row],[prop_id0]], RADataTable[[#This Row],[email]])</f>
        <v>hcharkhgard@usf.edu</v>
      </c>
      <c r="Z498" s="15" t="str">
        <f>HYPERLINK("mailto:"&amp;RADataTable[[#This Row],[allPIemail]]&amp;"&amp;subject=NSF Proposal:  "&amp;RADataTable[[#This Row],[Div]]&amp;" "&amp;RADataTable[[#This Row],[prop_id0]], "PIs@")</f>
        <v>PIs@</v>
      </c>
      <c r="AA498" t="s">
        <v>245</v>
      </c>
      <c r="AB498" t="s">
        <v>685</v>
      </c>
      <c r="AC498" s="30" t="s">
        <v>864</v>
      </c>
      <c r="AD498" t="s">
        <v>865</v>
      </c>
      <c r="AE498" t="s">
        <v>866</v>
      </c>
      <c r="AF498" s="36">
        <v>172682</v>
      </c>
      <c r="AG498" s="36">
        <v>172682</v>
      </c>
      <c r="AH498" s="24"/>
      <c r="AJ498" s="34"/>
      <c r="AK498" t="s">
        <v>923</v>
      </c>
      <c r="AL498" t="s">
        <v>287</v>
      </c>
      <c r="AM498" s="34" t="s">
        <v>925</v>
      </c>
      <c r="AN498" s="34">
        <v>43032</v>
      </c>
      <c r="AO498" s="24">
        <v>4</v>
      </c>
      <c r="AP498" t="s">
        <v>977</v>
      </c>
      <c r="AR498" s="35"/>
      <c r="AS498"/>
      <c r="AT498" s="34"/>
      <c r="AV498" s="34"/>
      <c r="AX498" s="34"/>
      <c r="AY498"/>
      <c r="BA498" s="34"/>
      <c r="BB498"/>
      <c r="BC498" t="s">
        <v>870</v>
      </c>
      <c r="BD498" s="36">
        <v>172682</v>
      </c>
      <c r="BE498" s="36">
        <v>172682</v>
      </c>
      <c r="BF498">
        <v>0</v>
      </c>
      <c r="BG498" s="34">
        <v>43221</v>
      </c>
      <c r="BH498">
        <v>24</v>
      </c>
      <c r="BI498" t="s">
        <v>974</v>
      </c>
      <c r="BJ498" t="s">
        <v>975</v>
      </c>
      <c r="BK498" t="s">
        <v>234</v>
      </c>
      <c r="BL498" t="s">
        <v>194</v>
      </c>
      <c r="BM498" s="8" t="s">
        <v>192</v>
      </c>
      <c r="BN498" t="s">
        <v>189</v>
      </c>
      <c r="BO498" t="s">
        <v>190</v>
      </c>
      <c r="BP498" s="35" t="s">
        <v>861</v>
      </c>
      <c r="BQ498"/>
      <c r="BU498" s="35"/>
      <c r="BV498" s="35"/>
      <c r="BX498"/>
      <c r="CA498" s="35"/>
      <c r="CB498" s="35"/>
      <c r="CC498"/>
      <c r="CG498" s="35"/>
      <c r="CH498" s="35"/>
      <c r="CK498"/>
      <c r="CM498" s="35"/>
      <c r="CN498" s="35"/>
      <c r="CQ498"/>
      <c r="CS498" s="35"/>
      <c r="CT498" s="35"/>
      <c r="CX498"/>
      <c r="CZ498" s="35"/>
      <c r="DD498" s="34"/>
      <c r="DG498" t="s">
        <v>868</v>
      </c>
      <c r="DH498" t="s">
        <v>978</v>
      </c>
      <c r="DI498" t="s">
        <v>286</v>
      </c>
      <c r="DL498" t="s">
        <v>685</v>
      </c>
      <c r="DM498">
        <v>5</v>
      </c>
      <c r="DN498">
        <v>5</v>
      </c>
      <c r="DO498" t="s">
        <v>869</v>
      </c>
      <c r="DQ498" t="s">
        <v>927</v>
      </c>
      <c r="DR498">
        <v>14</v>
      </c>
      <c r="DS498">
        <v>0</v>
      </c>
      <c r="DU498">
        <v>14</v>
      </c>
      <c r="DV498">
        <v>0</v>
      </c>
      <c r="DX498">
        <v>14</v>
      </c>
      <c r="DY498">
        <v>0</v>
      </c>
      <c r="DZ498" t="s">
        <v>246</v>
      </c>
      <c r="EA498" t="s">
        <v>929</v>
      </c>
    </row>
    <row r="499" spans="1:131" x14ac:dyDescent="0.4">
      <c r="A499" s="34">
        <v>43067.305104166669</v>
      </c>
      <c r="B499" s="25">
        <v>42933.547222222223</v>
      </c>
      <c r="D499" s="34"/>
      <c r="E499" s="34" t="s">
        <v>193</v>
      </c>
      <c r="F499" s="34" t="s">
        <v>191</v>
      </c>
      <c r="G499" s="34" t="s">
        <v>100</v>
      </c>
      <c r="H499" t="s">
        <v>279</v>
      </c>
      <c r="I499" t="s">
        <v>243</v>
      </c>
      <c r="J499" t="s">
        <v>712</v>
      </c>
      <c r="K499" t="s">
        <v>713</v>
      </c>
      <c r="L499" t="s">
        <v>711</v>
      </c>
      <c r="M499" s="30">
        <v>3.13</v>
      </c>
      <c r="N499">
        <v>6.25</v>
      </c>
      <c r="P499" s="24" t="str">
        <f>IFERROR(MID(RADataTable[[#This Row],[RATemplate]],1,LEN(RADataTable[[#This Row],[RATemplate]])-8),"RA") &amp; " " &amp; RADataTable[[#This Row],[prop_id0]] &amp; " " &amp; RADataTable[[#This Row],[last0]]</f>
        <v>RA 1749385 Wang</v>
      </c>
      <c r="T499">
        <v>4</v>
      </c>
      <c r="U499">
        <v>4</v>
      </c>
      <c r="V499" s="34">
        <v>43030.179166666669</v>
      </c>
      <c r="W499">
        <v>1</v>
      </c>
      <c r="X499" s="15" t="str">
        <f>HYPERLINK("https://www.ejacket.nsf.gov/ej/showProposal.do?Continue=Y&amp;ID="&amp;RADataTable[[#This Row],[prop_id0]],"eJ")</f>
        <v>eJ</v>
      </c>
      <c r="Y499" s="15" t="str">
        <f>HYPERLINK("mailto:"&amp;RADataTable[[#This Row],[email]]&amp;"&amp;subject=Your NSF Proposal:  "&amp;RADataTable[[#This Row],[Div]]&amp;" "&amp;RADataTable[[#This Row],[prop_id0]], RADataTable[[#This Row],[email]])</f>
        <v>haitao.wang@usu.edu</v>
      </c>
      <c r="Z499" s="15" t="str">
        <f>HYPERLINK("mailto:"&amp;RADataTable[[#This Row],[allPIemail]]&amp;"&amp;subject=NSF Proposal:  "&amp;RADataTable[[#This Row],[Div]]&amp;" "&amp;RADataTable[[#This Row],[prop_id0]], "PIs@")</f>
        <v>PIs@</v>
      </c>
      <c r="AA499" t="s">
        <v>245</v>
      </c>
      <c r="AB499" t="s">
        <v>662</v>
      </c>
      <c r="AC499" s="30" t="s">
        <v>721</v>
      </c>
      <c r="AD499" t="s">
        <v>722</v>
      </c>
      <c r="AE499" t="s">
        <v>723</v>
      </c>
      <c r="AF499" s="36">
        <v>524898</v>
      </c>
      <c r="AG499" s="36">
        <v>524898</v>
      </c>
      <c r="AH499" s="24"/>
      <c r="AJ499" s="34"/>
      <c r="AK499" t="s">
        <v>923</v>
      </c>
      <c r="AL499" t="s">
        <v>287</v>
      </c>
      <c r="AM499" s="34" t="s">
        <v>925</v>
      </c>
      <c r="AN499" s="34">
        <v>43032</v>
      </c>
      <c r="AO499" s="24">
        <v>13</v>
      </c>
      <c r="AP499" t="s">
        <v>931</v>
      </c>
      <c r="AR499" s="35"/>
      <c r="AS499"/>
      <c r="AT499" s="34"/>
      <c r="AV499" s="34"/>
      <c r="AX499" s="34"/>
      <c r="AY499"/>
      <c r="BA499" s="34"/>
      <c r="BB499"/>
      <c r="BC499" t="s">
        <v>728</v>
      </c>
      <c r="BD499" s="36">
        <v>524898</v>
      </c>
      <c r="BE499" s="36">
        <v>524898</v>
      </c>
      <c r="BF499">
        <v>0</v>
      </c>
      <c r="BG499" s="34">
        <v>43221</v>
      </c>
      <c r="BH499">
        <v>60</v>
      </c>
      <c r="BI499" t="s">
        <v>283</v>
      </c>
      <c r="BJ499" t="s">
        <v>928</v>
      </c>
      <c r="BK499" t="s">
        <v>234</v>
      </c>
      <c r="BL499" t="s">
        <v>194</v>
      </c>
      <c r="BM499" s="8" t="s">
        <v>192</v>
      </c>
      <c r="BN499" t="s">
        <v>189</v>
      </c>
      <c r="BO499" t="s">
        <v>190</v>
      </c>
      <c r="BP499" s="35" t="s">
        <v>726</v>
      </c>
      <c r="BQ499"/>
      <c r="BU499" s="35"/>
      <c r="BV499" s="35"/>
      <c r="BX499"/>
      <c r="CA499" s="35"/>
      <c r="CB499" s="35"/>
      <c r="CC499"/>
      <c r="CG499" s="35"/>
      <c r="CH499" s="35"/>
      <c r="CK499"/>
      <c r="CM499" s="35"/>
      <c r="CN499" s="35"/>
      <c r="CQ499"/>
      <c r="CS499" s="35"/>
      <c r="CT499" s="35"/>
      <c r="CX499"/>
      <c r="CZ499" s="35"/>
      <c r="DD499" s="34"/>
      <c r="DG499" t="s">
        <v>725</v>
      </c>
      <c r="DH499" t="s">
        <v>932</v>
      </c>
      <c r="DI499" t="s">
        <v>286</v>
      </c>
      <c r="DL499" t="s">
        <v>662</v>
      </c>
      <c r="DM499">
        <v>4</v>
      </c>
      <c r="DN499">
        <v>9</v>
      </c>
      <c r="DO499" t="s">
        <v>727</v>
      </c>
      <c r="DQ499" t="s">
        <v>927</v>
      </c>
      <c r="DR499">
        <v>14</v>
      </c>
      <c r="DS499">
        <v>0</v>
      </c>
      <c r="DU499">
        <v>14</v>
      </c>
      <c r="DV499">
        <v>0</v>
      </c>
      <c r="DX499">
        <v>14</v>
      </c>
      <c r="DY499">
        <v>0</v>
      </c>
      <c r="DZ499" t="s">
        <v>246</v>
      </c>
      <c r="EA499" t="s">
        <v>929</v>
      </c>
    </row>
    <row r="500" spans="1:131" x14ac:dyDescent="0.4">
      <c r="A500" s="34">
        <v>43067.305104166669</v>
      </c>
      <c r="B500" s="25">
        <v>42933.547222222223</v>
      </c>
      <c r="D500" s="34"/>
      <c r="E500" s="34" t="s">
        <v>193</v>
      </c>
      <c r="F500" s="34" t="s">
        <v>191</v>
      </c>
      <c r="G500" s="34" t="s">
        <v>100</v>
      </c>
      <c r="H500" t="s">
        <v>279</v>
      </c>
      <c r="I500" t="s">
        <v>243</v>
      </c>
      <c r="J500" t="s">
        <v>712</v>
      </c>
      <c r="K500" t="s">
        <v>713</v>
      </c>
      <c r="L500" t="s">
        <v>711</v>
      </c>
      <c r="M500" s="30">
        <v>3.13</v>
      </c>
      <c r="N500">
        <v>6.25</v>
      </c>
      <c r="P500" s="24" t="str">
        <f>IFERROR(MID(RADataTable[[#This Row],[RATemplate]],1,LEN(RADataTable[[#This Row],[RATemplate]])-8),"RA") &amp; " " &amp; RADataTable[[#This Row],[prop_id0]] &amp; " " &amp; RADataTable[[#This Row],[last0]]</f>
        <v>RA 1749385 Wang</v>
      </c>
      <c r="T500">
        <v>4</v>
      </c>
      <c r="U500">
        <v>4</v>
      </c>
      <c r="V500" s="34">
        <v>43030.179166666669</v>
      </c>
      <c r="W500">
        <v>1</v>
      </c>
      <c r="X500" s="15" t="str">
        <f>HYPERLINK("https://www.ejacket.nsf.gov/ej/showProposal.do?Continue=Y&amp;ID="&amp;RADataTable[[#This Row],[prop_id0]],"eJ")</f>
        <v>eJ</v>
      </c>
      <c r="Y500" s="15" t="str">
        <f>HYPERLINK("mailto:"&amp;RADataTable[[#This Row],[email]]&amp;"&amp;subject=Your NSF Proposal:  "&amp;RADataTable[[#This Row],[Div]]&amp;" "&amp;RADataTable[[#This Row],[prop_id0]], RADataTable[[#This Row],[email]])</f>
        <v>haitao.wang@usu.edu</v>
      </c>
      <c r="Z500" s="15" t="str">
        <f>HYPERLINK("mailto:"&amp;RADataTable[[#This Row],[allPIemail]]&amp;"&amp;subject=NSF Proposal:  "&amp;RADataTable[[#This Row],[Div]]&amp;" "&amp;RADataTable[[#This Row],[prop_id0]], "PIs@")</f>
        <v>PIs@</v>
      </c>
      <c r="AA500" t="s">
        <v>245</v>
      </c>
      <c r="AB500" t="s">
        <v>662</v>
      </c>
      <c r="AC500" s="30" t="s">
        <v>721</v>
      </c>
      <c r="AD500" t="s">
        <v>722</v>
      </c>
      <c r="AE500" t="s">
        <v>723</v>
      </c>
      <c r="AF500" s="36">
        <v>524898</v>
      </c>
      <c r="AG500" s="36">
        <v>524898</v>
      </c>
      <c r="AH500" s="24"/>
      <c r="AJ500" s="34"/>
      <c r="AK500" t="s">
        <v>923</v>
      </c>
      <c r="AL500" t="s">
        <v>287</v>
      </c>
      <c r="AM500" s="34" t="s">
        <v>925</v>
      </c>
      <c r="AN500" s="34">
        <v>43032</v>
      </c>
      <c r="AO500" s="24">
        <v>13</v>
      </c>
      <c r="AP500" t="s">
        <v>931</v>
      </c>
      <c r="AR500" s="35"/>
      <c r="AS500"/>
      <c r="AT500" s="34"/>
      <c r="AV500" s="34"/>
      <c r="AX500" s="34"/>
      <c r="AY500"/>
      <c r="BA500" s="34"/>
      <c r="BB500"/>
      <c r="BC500" t="s">
        <v>728</v>
      </c>
      <c r="BD500" s="36">
        <v>524898</v>
      </c>
      <c r="BE500" s="36">
        <v>524898</v>
      </c>
      <c r="BF500">
        <v>0</v>
      </c>
      <c r="BG500" s="34">
        <v>43221</v>
      </c>
      <c r="BH500">
        <v>60</v>
      </c>
      <c r="BI500" t="s">
        <v>283</v>
      </c>
      <c r="BJ500" t="s">
        <v>928</v>
      </c>
      <c r="BK500" t="s">
        <v>234</v>
      </c>
      <c r="BL500" t="s">
        <v>194</v>
      </c>
      <c r="BM500" s="8" t="s">
        <v>192</v>
      </c>
      <c r="BN500" t="s">
        <v>189</v>
      </c>
      <c r="BO500" t="s">
        <v>190</v>
      </c>
      <c r="BP500" s="35" t="s">
        <v>726</v>
      </c>
      <c r="BQ500"/>
      <c r="BU500" s="35"/>
      <c r="BV500" s="35"/>
      <c r="BX500"/>
      <c r="CA500" s="35"/>
      <c r="CB500" s="35"/>
      <c r="CC500"/>
      <c r="CG500" s="35"/>
      <c r="CH500" s="35"/>
      <c r="CK500"/>
      <c r="CM500" s="35"/>
      <c r="CN500" s="35"/>
      <c r="CQ500"/>
      <c r="CS500" s="35"/>
      <c r="CT500" s="35"/>
      <c r="CX500"/>
      <c r="CZ500" s="35"/>
      <c r="DD500" s="34"/>
      <c r="DG500" t="s">
        <v>725</v>
      </c>
      <c r="DH500" t="s">
        <v>932</v>
      </c>
      <c r="DI500" t="s">
        <v>286</v>
      </c>
      <c r="DL500" t="s">
        <v>662</v>
      </c>
      <c r="DM500">
        <v>4</v>
      </c>
      <c r="DN500">
        <v>9</v>
      </c>
      <c r="DO500" t="s">
        <v>727</v>
      </c>
      <c r="DQ500" t="s">
        <v>927</v>
      </c>
      <c r="DR500">
        <v>14</v>
      </c>
      <c r="DS500">
        <v>0</v>
      </c>
      <c r="DU500">
        <v>14</v>
      </c>
      <c r="DV500">
        <v>0</v>
      </c>
      <c r="DX500">
        <v>14</v>
      </c>
      <c r="DY500">
        <v>0</v>
      </c>
      <c r="DZ500" t="s">
        <v>246</v>
      </c>
      <c r="EA500" t="s">
        <v>929</v>
      </c>
    </row>
    <row r="501" spans="1:131" x14ac:dyDescent="0.4">
      <c r="A501" s="34">
        <v>43067.305104166669</v>
      </c>
      <c r="B501" s="25">
        <v>42933.547222222223</v>
      </c>
      <c r="D501" s="34"/>
      <c r="E501" s="34" t="s">
        <v>193</v>
      </c>
      <c r="F501" s="34" t="s">
        <v>191</v>
      </c>
      <c r="G501" s="34" t="s">
        <v>100</v>
      </c>
      <c r="H501" t="s">
        <v>279</v>
      </c>
      <c r="I501" t="s">
        <v>243</v>
      </c>
      <c r="J501" t="s">
        <v>712</v>
      </c>
      <c r="K501" t="s">
        <v>713</v>
      </c>
      <c r="L501" t="s">
        <v>711</v>
      </c>
      <c r="M501" s="30">
        <v>3.13</v>
      </c>
      <c r="N501">
        <v>6.25</v>
      </c>
      <c r="P501" s="24" t="str">
        <f>IFERROR(MID(RADataTable[[#This Row],[RATemplate]],1,LEN(RADataTable[[#This Row],[RATemplate]])-8),"RA") &amp; " " &amp; RADataTable[[#This Row],[prop_id0]] &amp; " " &amp; RADataTable[[#This Row],[last0]]</f>
        <v>RA 1749385 Wang</v>
      </c>
      <c r="T501">
        <v>4</v>
      </c>
      <c r="U501">
        <v>4</v>
      </c>
      <c r="V501" s="34">
        <v>43030.179166666669</v>
      </c>
      <c r="W501">
        <v>1</v>
      </c>
      <c r="X501" s="15" t="str">
        <f>HYPERLINK("https://www.ejacket.nsf.gov/ej/showProposal.do?Continue=Y&amp;ID="&amp;RADataTable[[#This Row],[prop_id0]],"eJ")</f>
        <v>eJ</v>
      </c>
      <c r="Y501" s="15" t="str">
        <f>HYPERLINK("mailto:"&amp;RADataTable[[#This Row],[email]]&amp;"&amp;subject=Your NSF Proposal:  "&amp;RADataTable[[#This Row],[Div]]&amp;" "&amp;RADataTable[[#This Row],[prop_id0]], RADataTable[[#This Row],[email]])</f>
        <v>haitao.wang@usu.edu</v>
      </c>
      <c r="Z501" s="15" t="str">
        <f>HYPERLINK("mailto:"&amp;RADataTable[[#This Row],[allPIemail]]&amp;"&amp;subject=NSF Proposal:  "&amp;RADataTable[[#This Row],[Div]]&amp;" "&amp;RADataTable[[#This Row],[prop_id0]], "PIs@")</f>
        <v>PIs@</v>
      </c>
      <c r="AA501" t="s">
        <v>245</v>
      </c>
      <c r="AB501" t="s">
        <v>662</v>
      </c>
      <c r="AC501" s="30" t="s">
        <v>721</v>
      </c>
      <c r="AD501" t="s">
        <v>722</v>
      </c>
      <c r="AE501" t="s">
        <v>723</v>
      </c>
      <c r="AF501" s="36">
        <v>524898</v>
      </c>
      <c r="AG501" s="36">
        <v>524898</v>
      </c>
      <c r="AH501" s="24"/>
      <c r="AJ501" s="34"/>
      <c r="AK501" t="s">
        <v>923</v>
      </c>
      <c r="AL501" t="s">
        <v>287</v>
      </c>
      <c r="AM501" s="34" t="s">
        <v>925</v>
      </c>
      <c r="AN501" s="34">
        <v>43032</v>
      </c>
      <c r="AO501" s="24">
        <v>13</v>
      </c>
      <c r="AP501" t="s">
        <v>931</v>
      </c>
      <c r="AR501" s="35"/>
      <c r="AS501"/>
      <c r="AT501" s="34"/>
      <c r="AV501" s="34"/>
      <c r="AX501" s="34"/>
      <c r="AY501"/>
      <c r="BA501" s="34"/>
      <c r="BB501"/>
      <c r="BC501" t="s">
        <v>728</v>
      </c>
      <c r="BD501" s="36">
        <v>524898</v>
      </c>
      <c r="BE501" s="36">
        <v>524898</v>
      </c>
      <c r="BF501">
        <v>0</v>
      </c>
      <c r="BG501" s="34">
        <v>43221</v>
      </c>
      <c r="BH501">
        <v>60</v>
      </c>
      <c r="BI501" t="s">
        <v>283</v>
      </c>
      <c r="BJ501" t="s">
        <v>928</v>
      </c>
      <c r="BK501" t="s">
        <v>234</v>
      </c>
      <c r="BL501" t="s">
        <v>194</v>
      </c>
      <c r="BM501" s="8" t="s">
        <v>192</v>
      </c>
      <c r="BN501" t="s">
        <v>189</v>
      </c>
      <c r="BO501" t="s">
        <v>190</v>
      </c>
      <c r="BP501" s="35" t="s">
        <v>726</v>
      </c>
      <c r="BQ501"/>
      <c r="BU501" s="35"/>
      <c r="BV501" s="35"/>
      <c r="BX501"/>
      <c r="CA501" s="35"/>
      <c r="CB501" s="35"/>
      <c r="CC501"/>
      <c r="CG501" s="35"/>
      <c r="CH501" s="35"/>
      <c r="CK501"/>
      <c r="CM501" s="35"/>
      <c r="CN501" s="35"/>
      <c r="CQ501"/>
      <c r="CS501" s="35"/>
      <c r="CT501" s="35"/>
      <c r="CX501"/>
      <c r="CZ501" s="35"/>
      <c r="DD501" s="34"/>
      <c r="DG501" t="s">
        <v>725</v>
      </c>
      <c r="DH501" t="s">
        <v>932</v>
      </c>
      <c r="DI501" t="s">
        <v>286</v>
      </c>
      <c r="DL501" t="s">
        <v>662</v>
      </c>
      <c r="DM501">
        <v>4</v>
      </c>
      <c r="DN501">
        <v>9</v>
      </c>
      <c r="DO501" t="s">
        <v>727</v>
      </c>
      <c r="DQ501" t="s">
        <v>927</v>
      </c>
      <c r="DR501">
        <v>14</v>
      </c>
      <c r="DS501">
        <v>0</v>
      </c>
      <c r="DU501">
        <v>14</v>
      </c>
      <c r="DV501">
        <v>0</v>
      </c>
      <c r="DX501">
        <v>14</v>
      </c>
      <c r="DY501">
        <v>0</v>
      </c>
      <c r="DZ501" t="s">
        <v>246</v>
      </c>
      <c r="EA501" t="s">
        <v>929</v>
      </c>
    </row>
    <row r="502" spans="1:131" x14ac:dyDescent="0.4">
      <c r="A502" s="34">
        <v>43067.305104166669</v>
      </c>
      <c r="B502" s="25">
        <v>42933.547222222223</v>
      </c>
      <c r="D502" s="34"/>
      <c r="E502" s="34" t="s">
        <v>193</v>
      </c>
      <c r="F502" s="34" t="s">
        <v>191</v>
      </c>
      <c r="G502" s="34" t="s">
        <v>100</v>
      </c>
      <c r="H502" t="s">
        <v>279</v>
      </c>
      <c r="I502" t="s">
        <v>243</v>
      </c>
      <c r="J502" t="s">
        <v>712</v>
      </c>
      <c r="K502" t="s">
        <v>713</v>
      </c>
      <c r="L502" t="s">
        <v>711</v>
      </c>
      <c r="M502" s="30">
        <v>3.13</v>
      </c>
      <c r="N502">
        <v>6.25</v>
      </c>
      <c r="P502" s="24" t="str">
        <f>IFERROR(MID(RADataTable[[#This Row],[RATemplate]],1,LEN(RADataTable[[#This Row],[RATemplate]])-8),"RA") &amp; " " &amp; RADataTable[[#This Row],[prop_id0]] &amp; " " &amp; RADataTable[[#This Row],[last0]]</f>
        <v>RA 1749385 Wang</v>
      </c>
      <c r="T502">
        <v>4</v>
      </c>
      <c r="U502">
        <v>4</v>
      </c>
      <c r="V502" s="34">
        <v>43030.179166666669</v>
      </c>
      <c r="W502">
        <v>1</v>
      </c>
      <c r="X502" s="15" t="str">
        <f>HYPERLINK("https://www.ejacket.nsf.gov/ej/showProposal.do?Continue=Y&amp;ID="&amp;RADataTable[[#This Row],[prop_id0]],"eJ")</f>
        <v>eJ</v>
      </c>
      <c r="Y502" s="15" t="str">
        <f>HYPERLINK("mailto:"&amp;RADataTable[[#This Row],[email]]&amp;"&amp;subject=Your NSF Proposal:  "&amp;RADataTable[[#This Row],[Div]]&amp;" "&amp;RADataTable[[#This Row],[prop_id0]], RADataTable[[#This Row],[email]])</f>
        <v>haitao.wang@usu.edu</v>
      </c>
      <c r="Z502" s="15" t="str">
        <f>HYPERLINK("mailto:"&amp;RADataTable[[#This Row],[allPIemail]]&amp;"&amp;subject=NSF Proposal:  "&amp;RADataTable[[#This Row],[Div]]&amp;" "&amp;RADataTable[[#This Row],[prop_id0]], "PIs@")</f>
        <v>PIs@</v>
      </c>
      <c r="AA502" t="s">
        <v>245</v>
      </c>
      <c r="AB502" t="s">
        <v>662</v>
      </c>
      <c r="AC502" s="30" t="s">
        <v>721</v>
      </c>
      <c r="AD502" t="s">
        <v>722</v>
      </c>
      <c r="AE502" t="s">
        <v>723</v>
      </c>
      <c r="AF502" s="36">
        <v>524898</v>
      </c>
      <c r="AG502" s="36">
        <v>524898</v>
      </c>
      <c r="AH502" s="24"/>
      <c r="AJ502" s="34"/>
      <c r="AK502" t="s">
        <v>923</v>
      </c>
      <c r="AL502" t="s">
        <v>287</v>
      </c>
      <c r="AM502" s="34" t="s">
        <v>925</v>
      </c>
      <c r="AN502" s="34">
        <v>43032</v>
      </c>
      <c r="AO502" s="24">
        <v>13</v>
      </c>
      <c r="AP502" t="s">
        <v>931</v>
      </c>
      <c r="AR502" s="35"/>
      <c r="AS502"/>
      <c r="AT502" s="34"/>
      <c r="AV502" s="34"/>
      <c r="AX502" s="34"/>
      <c r="AY502"/>
      <c r="BA502" s="34"/>
      <c r="BB502"/>
      <c r="BC502" t="s">
        <v>728</v>
      </c>
      <c r="BD502" s="36">
        <v>524898</v>
      </c>
      <c r="BE502" s="36">
        <v>524898</v>
      </c>
      <c r="BF502">
        <v>0</v>
      </c>
      <c r="BG502" s="34">
        <v>43221</v>
      </c>
      <c r="BH502">
        <v>60</v>
      </c>
      <c r="BI502" t="s">
        <v>283</v>
      </c>
      <c r="BJ502" t="s">
        <v>928</v>
      </c>
      <c r="BK502" t="s">
        <v>234</v>
      </c>
      <c r="BL502" t="s">
        <v>194</v>
      </c>
      <c r="BM502" s="8" t="s">
        <v>192</v>
      </c>
      <c r="BN502" t="s">
        <v>189</v>
      </c>
      <c r="BO502" t="s">
        <v>190</v>
      </c>
      <c r="BP502" s="35" t="s">
        <v>726</v>
      </c>
      <c r="BQ502"/>
      <c r="BU502" s="35"/>
      <c r="BV502" s="35"/>
      <c r="BX502"/>
      <c r="CA502" s="35"/>
      <c r="CB502" s="35"/>
      <c r="CC502"/>
      <c r="CG502" s="35"/>
      <c r="CH502" s="35"/>
      <c r="CK502"/>
      <c r="CM502" s="35"/>
      <c r="CN502" s="35"/>
      <c r="CQ502"/>
      <c r="CS502" s="35"/>
      <c r="CT502" s="35"/>
      <c r="CX502"/>
      <c r="CZ502" s="35"/>
      <c r="DD502" s="34"/>
      <c r="DG502" t="s">
        <v>725</v>
      </c>
      <c r="DH502" t="s">
        <v>932</v>
      </c>
      <c r="DI502" t="s">
        <v>286</v>
      </c>
      <c r="DL502" t="s">
        <v>662</v>
      </c>
      <c r="DM502">
        <v>4</v>
      </c>
      <c r="DN502">
        <v>9</v>
      </c>
      <c r="DO502" t="s">
        <v>727</v>
      </c>
      <c r="DQ502" t="s">
        <v>927</v>
      </c>
      <c r="DR502">
        <v>14</v>
      </c>
      <c r="DS502">
        <v>0</v>
      </c>
      <c r="DU502">
        <v>14</v>
      </c>
      <c r="DV502">
        <v>0</v>
      </c>
      <c r="DX502">
        <v>14</v>
      </c>
      <c r="DY502">
        <v>0</v>
      </c>
      <c r="DZ502" t="s">
        <v>246</v>
      </c>
      <c r="EA502" t="s">
        <v>929</v>
      </c>
    </row>
    <row r="503" spans="1:131" x14ac:dyDescent="0.4">
      <c r="A503" s="34">
        <v>43067.305104166669</v>
      </c>
      <c r="B503" s="25">
        <v>42933.547222222223</v>
      </c>
      <c r="D503" s="34"/>
      <c r="E503" s="34" t="s">
        <v>193</v>
      </c>
      <c r="F503" s="34" t="s">
        <v>191</v>
      </c>
      <c r="G503" s="34" t="s">
        <v>100</v>
      </c>
      <c r="H503" t="s">
        <v>279</v>
      </c>
      <c r="I503" t="s">
        <v>243</v>
      </c>
      <c r="J503" t="s">
        <v>712</v>
      </c>
      <c r="K503" t="s">
        <v>713</v>
      </c>
      <c r="L503" t="s">
        <v>711</v>
      </c>
      <c r="M503" s="30">
        <v>3.13</v>
      </c>
      <c r="N503">
        <v>6.25</v>
      </c>
      <c r="P503" s="24" t="str">
        <f>IFERROR(MID(RADataTable[[#This Row],[RATemplate]],1,LEN(RADataTable[[#This Row],[RATemplate]])-8),"RA") &amp; " " &amp; RADataTable[[#This Row],[prop_id0]] &amp; " " &amp; RADataTable[[#This Row],[last0]]</f>
        <v>RA 1749385 Wang</v>
      </c>
      <c r="T503">
        <v>4</v>
      </c>
      <c r="U503">
        <v>4</v>
      </c>
      <c r="V503" s="34">
        <v>43030.179166666669</v>
      </c>
      <c r="W503">
        <v>1</v>
      </c>
      <c r="X503" s="15" t="str">
        <f>HYPERLINK("https://www.ejacket.nsf.gov/ej/showProposal.do?Continue=Y&amp;ID="&amp;RADataTable[[#This Row],[prop_id0]],"eJ")</f>
        <v>eJ</v>
      </c>
      <c r="Y503" s="15" t="str">
        <f>HYPERLINK("mailto:"&amp;RADataTable[[#This Row],[email]]&amp;"&amp;subject=Your NSF Proposal:  "&amp;RADataTable[[#This Row],[Div]]&amp;" "&amp;RADataTable[[#This Row],[prop_id0]], RADataTable[[#This Row],[email]])</f>
        <v>haitao.wang@usu.edu</v>
      </c>
      <c r="Z503" s="15" t="str">
        <f>HYPERLINK("mailto:"&amp;RADataTable[[#This Row],[allPIemail]]&amp;"&amp;subject=NSF Proposal:  "&amp;RADataTable[[#This Row],[Div]]&amp;" "&amp;RADataTable[[#This Row],[prop_id0]], "PIs@")</f>
        <v>PIs@</v>
      </c>
      <c r="AA503" t="s">
        <v>245</v>
      </c>
      <c r="AB503" t="s">
        <v>662</v>
      </c>
      <c r="AC503" s="30" t="s">
        <v>721</v>
      </c>
      <c r="AD503" t="s">
        <v>722</v>
      </c>
      <c r="AE503" t="s">
        <v>723</v>
      </c>
      <c r="AF503" s="36">
        <v>524898</v>
      </c>
      <c r="AG503" s="36">
        <v>524898</v>
      </c>
      <c r="AH503" s="24"/>
      <c r="AJ503" s="34"/>
      <c r="AK503" t="s">
        <v>923</v>
      </c>
      <c r="AL503" t="s">
        <v>287</v>
      </c>
      <c r="AM503" s="34" t="s">
        <v>925</v>
      </c>
      <c r="AN503" s="34">
        <v>43032</v>
      </c>
      <c r="AO503" s="24">
        <v>13</v>
      </c>
      <c r="AP503" t="s">
        <v>931</v>
      </c>
      <c r="AR503" s="35"/>
      <c r="AS503"/>
      <c r="AT503" s="34"/>
      <c r="AV503" s="34"/>
      <c r="AX503" s="34"/>
      <c r="AY503"/>
      <c r="BA503" s="34"/>
      <c r="BB503"/>
      <c r="BC503" t="s">
        <v>728</v>
      </c>
      <c r="BD503" s="36">
        <v>524898</v>
      </c>
      <c r="BE503" s="36">
        <v>524898</v>
      </c>
      <c r="BF503">
        <v>0</v>
      </c>
      <c r="BG503" s="34">
        <v>43221</v>
      </c>
      <c r="BH503">
        <v>60</v>
      </c>
      <c r="BI503" t="s">
        <v>283</v>
      </c>
      <c r="BJ503" t="s">
        <v>928</v>
      </c>
      <c r="BK503" t="s">
        <v>234</v>
      </c>
      <c r="BL503" t="s">
        <v>194</v>
      </c>
      <c r="BM503" s="8" t="s">
        <v>192</v>
      </c>
      <c r="BN503" t="s">
        <v>189</v>
      </c>
      <c r="BO503" t="s">
        <v>190</v>
      </c>
      <c r="BP503" s="35" t="s">
        <v>726</v>
      </c>
      <c r="BQ503"/>
      <c r="BU503" s="35"/>
      <c r="BV503" s="35"/>
      <c r="BX503"/>
      <c r="CA503" s="35"/>
      <c r="CB503" s="35"/>
      <c r="CC503"/>
      <c r="CG503" s="35"/>
      <c r="CH503" s="35"/>
      <c r="CK503"/>
      <c r="CM503" s="35"/>
      <c r="CN503" s="35"/>
      <c r="CQ503"/>
      <c r="CS503" s="35"/>
      <c r="CT503" s="35"/>
      <c r="CX503"/>
      <c r="CZ503" s="35"/>
      <c r="DD503" s="34"/>
      <c r="DG503" t="s">
        <v>725</v>
      </c>
      <c r="DH503" t="s">
        <v>932</v>
      </c>
      <c r="DI503" t="s">
        <v>286</v>
      </c>
      <c r="DL503" t="s">
        <v>662</v>
      </c>
      <c r="DM503">
        <v>4</v>
      </c>
      <c r="DN503">
        <v>9</v>
      </c>
      <c r="DO503" t="s">
        <v>727</v>
      </c>
      <c r="DQ503" t="s">
        <v>927</v>
      </c>
      <c r="DR503">
        <v>14</v>
      </c>
      <c r="DS503">
        <v>0</v>
      </c>
      <c r="DU503">
        <v>14</v>
      </c>
      <c r="DV503">
        <v>0</v>
      </c>
      <c r="DX503">
        <v>14</v>
      </c>
      <c r="DY503">
        <v>0</v>
      </c>
      <c r="DZ503" t="s">
        <v>246</v>
      </c>
      <c r="EA503" t="s">
        <v>929</v>
      </c>
    </row>
    <row r="504" spans="1:131" x14ac:dyDescent="0.4">
      <c r="A504" s="34">
        <v>43067.305104166669</v>
      </c>
      <c r="B504" s="25">
        <v>42933.547222222223</v>
      </c>
      <c r="D504" s="34"/>
      <c r="E504" s="34" t="s">
        <v>193</v>
      </c>
      <c r="F504" s="34" t="s">
        <v>191</v>
      </c>
      <c r="G504" s="34" t="s">
        <v>100</v>
      </c>
      <c r="H504" t="s">
        <v>279</v>
      </c>
      <c r="I504" t="s">
        <v>243</v>
      </c>
      <c r="J504" t="s">
        <v>712</v>
      </c>
      <c r="K504" t="s">
        <v>713</v>
      </c>
      <c r="L504" t="s">
        <v>711</v>
      </c>
      <c r="M504" s="30">
        <v>3.13</v>
      </c>
      <c r="N504">
        <v>6.25</v>
      </c>
      <c r="P504" s="24" t="str">
        <f>IFERROR(MID(RADataTable[[#This Row],[RATemplate]],1,LEN(RADataTable[[#This Row],[RATemplate]])-8),"RA") &amp; " " &amp; RADataTable[[#This Row],[prop_id0]] &amp; " " &amp; RADataTable[[#This Row],[last0]]</f>
        <v>RA 1749385 Wang</v>
      </c>
      <c r="T504">
        <v>4</v>
      </c>
      <c r="U504">
        <v>4</v>
      </c>
      <c r="V504" s="34">
        <v>43030.179166666669</v>
      </c>
      <c r="W504">
        <v>1</v>
      </c>
      <c r="X504" s="15" t="str">
        <f>HYPERLINK("https://www.ejacket.nsf.gov/ej/showProposal.do?Continue=Y&amp;ID="&amp;RADataTable[[#This Row],[prop_id0]],"eJ")</f>
        <v>eJ</v>
      </c>
      <c r="Y504" s="15" t="str">
        <f>HYPERLINK("mailto:"&amp;RADataTable[[#This Row],[email]]&amp;"&amp;subject=Your NSF Proposal:  "&amp;RADataTable[[#This Row],[Div]]&amp;" "&amp;RADataTable[[#This Row],[prop_id0]], RADataTable[[#This Row],[email]])</f>
        <v>haitao.wang@usu.edu</v>
      </c>
      <c r="Z504" s="15" t="str">
        <f>HYPERLINK("mailto:"&amp;RADataTable[[#This Row],[allPIemail]]&amp;"&amp;subject=NSF Proposal:  "&amp;RADataTable[[#This Row],[Div]]&amp;" "&amp;RADataTable[[#This Row],[prop_id0]], "PIs@")</f>
        <v>PIs@</v>
      </c>
      <c r="AA504" t="s">
        <v>245</v>
      </c>
      <c r="AB504" t="s">
        <v>662</v>
      </c>
      <c r="AC504" s="30" t="s">
        <v>721</v>
      </c>
      <c r="AD504" t="s">
        <v>722</v>
      </c>
      <c r="AE504" t="s">
        <v>723</v>
      </c>
      <c r="AF504" s="36">
        <v>524898</v>
      </c>
      <c r="AG504" s="36">
        <v>524898</v>
      </c>
      <c r="AH504" s="24"/>
      <c r="AJ504" s="34"/>
      <c r="AK504" t="s">
        <v>923</v>
      </c>
      <c r="AL504" t="s">
        <v>287</v>
      </c>
      <c r="AM504" s="34" t="s">
        <v>925</v>
      </c>
      <c r="AN504" s="34">
        <v>43032</v>
      </c>
      <c r="AO504" s="24">
        <v>13</v>
      </c>
      <c r="AP504" t="s">
        <v>931</v>
      </c>
      <c r="AR504" s="35"/>
      <c r="AS504"/>
      <c r="AT504" s="34"/>
      <c r="AV504" s="34"/>
      <c r="AX504" s="34"/>
      <c r="AY504"/>
      <c r="BA504" s="34"/>
      <c r="BB504"/>
      <c r="BC504" t="s">
        <v>728</v>
      </c>
      <c r="BD504" s="36">
        <v>524898</v>
      </c>
      <c r="BE504" s="36">
        <v>524898</v>
      </c>
      <c r="BF504">
        <v>0</v>
      </c>
      <c r="BG504" s="34">
        <v>43221</v>
      </c>
      <c r="BH504">
        <v>60</v>
      </c>
      <c r="BI504" t="s">
        <v>283</v>
      </c>
      <c r="BJ504" t="s">
        <v>928</v>
      </c>
      <c r="BK504" t="s">
        <v>234</v>
      </c>
      <c r="BL504" t="s">
        <v>194</v>
      </c>
      <c r="BM504" s="8" t="s">
        <v>192</v>
      </c>
      <c r="BN504" t="s">
        <v>189</v>
      </c>
      <c r="BO504" t="s">
        <v>190</v>
      </c>
      <c r="BP504" s="35" t="s">
        <v>726</v>
      </c>
      <c r="BQ504"/>
      <c r="BU504" s="35"/>
      <c r="BV504" s="35"/>
      <c r="BX504"/>
      <c r="CA504" s="35"/>
      <c r="CB504" s="35"/>
      <c r="CC504"/>
      <c r="CG504" s="35"/>
      <c r="CH504" s="35"/>
      <c r="CK504"/>
      <c r="CM504" s="35"/>
      <c r="CN504" s="35"/>
      <c r="CQ504"/>
      <c r="CS504" s="35"/>
      <c r="CT504" s="35"/>
      <c r="CX504"/>
      <c r="CZ504" s="35"/>
      <c r="DD504" s="34"/>
      <c r="DG504" t="s">
        <v>725</v>
      </c>
      <c r="DH504" t="s">
        <v>932</v>
      </c>
      <c r="DI504" t="s">
        <v>286</v>
      </c>
      <c r="DL504" t="s">
        <v>662</v>
      </c>
      <c r="DM504">
        <v>4</v>
      </c>
      <c r="DN504">
        <v>9</v>
      </c>
      <c r="DO504" t="s">
        <v>727</v>
      </c>
      <c r="DQ504" t="s">
        <v>927</v>
      </c>
      <c r="DR504">
        <v>14</v>
      </c>
      <c r="DS504">
        <v>0</v>
      </c>
      <c r="DU504">
        <v>14</v>
      </c>
      <c r="DV504">
        <v>0</v>
      </c>
      <c r="DX504">
        <v>14</v>
      </c>
      <c r="DY504">
        <v>0</v>
      </c>
      <c r="DZ504" t="s">
        <v>246</v>
      </c>
      <c r="EA504" t="s">
        <v>929</v>
      </c>
    </row>
    <row r="505" spans="1:131" x14ac:dyDescent="0.4">
      <c r="A505" s="34">
        <v>43067.305104166669</v>
      </c>
      <c r="B505" s="25">
        <v>42933.547222222223</v>
      </c>
      <c r="D505" s="34"/>
      <c r="E505" s="34" t="s">
        <v>193</v>
      </c>
      <c r="F505" s="34" t="s">
        <v>191</v>
      </c>
      <c r="G505" s="34" t="s">
        <v>100</v>
      </c>
      <c r="H505" t="s">
        <v>279</v>
      </c>
      <c r="I505" t="s">
        <v>243</v>
      </c>
      <c r="J505" t="s">
        <v>712</v>
      </c>
      <c r="K505" t="s">
        <v>713</v>
      </c>
      <c r="L505" t="s">
        <v>711</v>
      </c>
      <c r="M505" s="30">
        <v>3.13</v>
      </c>
      <c r="N505">
        <v>6.25</v>
      </c>
      <c r="P505" s="24" t="str">
        <f>IFERROR(MID(RADataTable[[#This Row],[RATemplate]],1,LEN(RADataTable[[#This Row],[RATemplate]])-8),"RA") &amp; " " &amp; RADataTable[[#This Row],[prop_id0]] &amp; " " &amp; RADataTable[[#This Row],[last0]]</f>
        <v>RA 1749385 Wang</v>
      </c>
      <c r="T505">
        <v>4</v>
      </c>
      <c r="U505">
        <v>4</v>
      </c>
      <c r="V505" s="34">
        <v>43030.179166666669</v>
      </c>
      <c r="W505">
        <v>1</v>
      </c>
      <c r="X505" s="15" t="str">
        <f>HYPERLINK("https://www.ejacket.nsf.gov/ej/showProposal.do?Continue=Y&amp;ID="&amp;RADataTable[[#This Row],[prop_id0]],"eJ")</f>
        <v>eJ</v>
      </c>
      <c r="Y505" s="15" t="str">
        <f>HYPERLINK("mailto:"&amp;RADataTable[[#This Row],[email]]&amp;"&amp;subject=Your NSF Proposal:  "&amp;RADataTable[[#This Row],[Div]]&amp;" "&amp;RADataTable[[#This Row],[prop_id0]], RADataTable[[#This Row],[email]])</f>
        <v>haitao.wang@usu.edu</v>
      </c>
      <c r="Z505" s="15" t="str">
        <f>HYPERLINK("mailto:"&amp;RADataTable[[#This Row],[allPIemail]]&amp;"&amp;subject=NSF Proposal:  "&amp;RADataTable[[#This Row],[Div]]&amp;" "&amp;RADataTable[[#This Row],[prop_id0]], "PIs@")</f>
        <v>PIs@</v>
      </c>
      <c r="AA505" t="s">
        <v>245</v>
      </c>
      <c r="AB505" t="s">
        <v>662</v>
      </c>
      <c r="AC505" s="30" t="s">
        <v>721</v>
      </c>
      <c r="AD505" t="s">
        <v>722</v>
      </c>
      <c r="AE505" t="s">
        <v>723</v>
      </c>
      <c r="AF505" s="36">
        <v>524898</v>
      </c>
      <c r="AG505" s="36">
        <v>524898</v>
      </c>
      <c r="AH505" s="24"/>
      <c r="AJ505" s="34"/>
      <c r="AK505" t="s">
        <v>923</v>
      </c>
      <c r="AL505" t="s">
        <v>287</v>
      </c>
      <c r="AM505" s="34" t="s">
        <v>925</v>
      </c>
      <c r="AN505" s="34">
        <v>43032</v>
      </c>
      <c r="AO505" s="24">
        <v>13</v>
      </c>
      <c r="AP505" t="s">
        <v>931</v>
      </c>
      <c r="AR505" s="35"/>
      <c r="AS505"/>
      <c r="AT505" s="34"/>
      <c r="AV505" s="34"/>
      <c r="AX505" s="34"/>
      <c r="AY505"/>
      <c r="BA505" s="34"/>
      <c r="BB505"/>
      <c r="BC505" t="s">
        <v>728</v>
      </c>
      <c r="BD505" s="36">
        <v>524898</v>
      </c>
      <c r="BE505" s="36">
        <v>524898</v>
      </c>
      <c r="BF505">
        <v>0</v>
      </c>
      <c r="BG505" s="34">
        <v>43221</v>
      </c>
      <c r="BH505">
        <v>60</v>
      </c>
      <c r="BI505" t="s">
        <v>283</v>
      </c>
      <c r="BJ505" t="s">
        <v>928</v>
      </c>
      <c r="BK505" t="s">
        <v>234</v>
      </c>
      <c r="BL505" t="s">
        <v>194</v>
      </c>
      <c r="BM505" s="8" t="s">
        <v>192</v>
      </c>
      <c r="BN505" t="s">
        <v>189</v>
      </c>
      <c r="BO505" t="s">
        <v>190</v>
      </c>
      <c r="BP505" s="35" t="s">
        <v>726</v>
      </c>
      <c r="BQ505"/>
      <c r="BU505" s="35"/>
      <c r="BV505" s="35"/>
      <c r="BX505"/>
      <c r="CA505" s="35"/>
      <c r="CB505" s="35"/>
      <c r="CC505"/>
      <c r="CG505" s="35"/>
      <c r="CH505" s="35"/>
      <c r="CK505"/>
      <c r="CM505" s="35"/>
      <c r="CN505" s="35"/>
      <c r="CQ505"/>
      <c r="CS505" s="35"/>
      <c r="CT505" s="35"/>
      <c r="CX505"/>
      <c r="CZ505" s="35"/>
      <c r="DD505" s="34"/>
      <c r="DG505" t="s">
        <v>725</v>
      </c>
      <c r="DH505" t="s">
        <v>932</v>
      </c>
      <c r="DI505" t="s">
        <v>286</v>
      </c>
      <c r="DL505" t="s">
        <v>662</v>
      </c>
      <c r="DM505">
        <v>4</v>
      </c>
      <c r="DN505">
        <v>9</v>
      </c>
      <c r="DO505" t="s">
        <v>727</v>
      </c>
      <c r="DQ505" t="s">
        <v>927</v>
      </c>
      <c r="DR505">
        <v>14</v>
      </c>
      <c r="DS505">
        <v>0</v>
      </c>
      <c r="DU505">
        <v>14</v>
      </c>
      <c r="DV505">
        <v>0</v>
      </c>
      <c r="DX505">
        <v>14</v>
      </c>
      <c r="DY505">
        <v>0</v>
      </c>
      <c r="DZ505" t="s">
        <v>246</v>
      </c>
      <c r="EA505" t="s">
        <v>929</v>
      </c>
    </row>
    <row r="506" spans="1:131" x14ac:dyDescent="0.4">
      <c r="A506" s="34">
        <v>43067.305104166669</v>
      </c>
      <c r="B506" s="25">
        <v>42933.547222222223</v>
      </c>
      <c r="D506" s="34"/>
      <c r="E506" s="34" t="s">
        <v>193</v>
      </c>
      <c r="F506" s="34" t="s">
        <v>191</v>
      </c>
      <c r="G506" s="34" t="s">
        <v>100</v>
      </c>
      <c r="H506" t="s">
        <v>279</v>
      </c>
      <c r="I506" t="s">
        <v>243</v>
      </c>
      <c r="J506" t="s">
        <v>712</v>
      </c>
      <c r="K506" t="s">
        <v>713</v>
      </c>
      <c r="L506" t="s">
        <v>711</v>
      </c>
      <c r="M506" s="30">
        <v>3.13</v>
      </c>
      <c r="N506">
        <v>6.25</v>
      </c>
      <c r="P506" s="24" t="str">
        <f>IFERROR(MID(RADataTable[[#This Row],[RATemplate]],1,LEN(RADataTable[[#This Row],[RATemplate]])-8),"RA") &amp; " " &amp; RADataTable[[#This Row],[prop_id0]] &amp; " " &amp; RADataTable[[#This Row],[last0]]</f>
        <v>RA 1749385 Wang</v>
      </c>
      <c r="T506">
        <v>4</v>
      </c>
      <c r="U506">
        <v>4</v>
      </c>
      <c r="V506" s="34">
        <v>43030.179166666669</v>
      </c>
      <c r="W506">
        <v>1</v>
      </c>
      <c r="X506" s="15" t="str">
        <f>HYPERLINK("https://www.ejacket.nsf.gov/ej/showProposal.do?Continue=Y&amp;ID="&amp;RADataTable[[#This Row],[prop_id0]],"eJ")</f>
        <v>eJ</v>
      </c>
      <c r="Y506" s="15" t="str">
        <f>HYPERLINK("mailto:"&amp;RADataTable[[#This Row],[email]]&amp;"&amp;subject=Your NSF Proposal:  "&amp;RADataTable[[#This Row],[Div]]&amp;" "&amp;RADataTable[[#This Row],[prop_id0]], RADataTable[[#This Row],[email]])</f>
        <v>haitao.wang@usu.edu</v>
      </c>
      <c r="Z506" s="15" t="str">
        <f>HYPERLINK("mailto:"&amp;RADataTable[[#This Row],[allPIemail]]&amp;"&amp;subject=NSF Proposal:  "&amp;RADataTable[[#This Row],[Div]]&amp;" "&amp;RADataTable[[#This Row],[prop_id0]], "PIs@")</f>
        <v>PIs@</v>
      </c>
      <c r="AA506" t="s">
        <v>245</v>
      </c>
      <c r="AB506" t="s">
        <v>662</v>
      </c>
      <c r="AC506" s="30" t="s">
        <v>721</v>
      </c>
      <c r="AD506" t="s">
        <v>722</v>
      </c>
      <c r="AE506" t="s">
        <v>723</v>
      </c>
      <c r="AF506" s="36">
        <v>524898</v>
      </c>
      <c r="AG506" s="36">
        <v>524898</v>
      </c>
      <c r="AH506" s="24"/>
      <c r="AJ506" s="34"/>
      <c r="AK506" t="s">
        <v>923</v>
      </c>
      <c r="AL506" t="s">
        <v>287</v>
      </c>
      <c r="AM506" s="34" t="s">
        <v>925</v>
      </c>
      <c r="AN506" s="34">
        <v>43032</v>
      </c>
      <c r="AO506" s="24">
        <v>13</v>
      </c>
      <c r="AP506" t="s">
        <v>931</v>
      </c>
      <c r="AR506" s="35"/>
      <c r="AS506"/>
      <c r="AT506" s="34"/>
      <c r="AV506" s="34"/>
      <c r="AX506" s="34"/>
      <c r="AY506"/>
      <c r="BA506" s="34"/>
      <c r="BB506"/>
      <c r="BC506" t="s">
        <v>728</v>
      </c>
      <c r="BD506" s="36">
        <v>524898</v>
      </c>
      <c r="BE506" s="36">
        <v>524898</v>
      </c>
      <c r="BF506">
        <v>0</v>
      </c>
      <c r="BG506" s="34">
        <v>43221</v>
      </c>
      <c r="BH506">
        <v>60</v>
      </c>
      <c r="BI506" t="s">
        <v>283</v>
      </c>
      <c r="BJ506" t="s">
        <v>928</v>
      </c>
      <c r="BK506" t="s">
        <v>234</v>
      </c>
      <c r="BL506" t="s">
        <v>194</v>
      </c>
      <c r="BM506" s="8" t="s">
        <v>192</v>
      </c>
      <c r="BN506" t="s">
        <v>189</v>
      </c>
      <c r="BO506" t="s">
        <v>190</v>
      </c>
      <c r="BP506" s="35" t="s">
        <v>726</v>
      </c>
      <c r="BQ506"/>
      <c r="BU506" s="35"/>
      <c r="BV506" s="35"/>
      <c r="BX506"/>
      <c r="CA506" s="35"/>
      <c r="CB506" s="35"/>
      <c r="CC506"/>
      <c r="CG506" s="35"/>
      <c r="CH506" s="35"/>
      <c r="CK506"/>
      <c r="CM506" s="35"/>
      <c r="CN506" s="35"/>
      <c r="CQ506"/>
      <c r="CS506" s="35"/>
      <c r="CT506" s="35"/>
      <c r="CX506"/>
      <c r="CZ506" s="35"/>
      <c r="DD506" s="34"/>
      <c r="DG506" t="s">
        <v>725</v>
      </c>
      <c r="DH506" t="s">
        <v>932</v>
      </c>
      <c r="DI506" t="s">
        <v>286</v>
      </c>
      <c r="DL506" t="s">
        <v>662</v>
      </c>
      <c r="DM506">
        <v>4</v>
      </c>
      <c r="DN506">
        <v>9</v>
      </c>
      <c r="DO506" t="s">
        <v>727</v>
      </c>
      <c r="DQ506" t="s">
        <v>927</v>
      </c>
      <c r="DR506">
        <v>14</v>
      </c>
      <c r="DS506">
        <v>0</v>
      </c>
      <c r="DU506">
        <v>14</v>
      </c>
      <c r="DV506">
        <v>0</v>
      </c>
      <c r="DX506">
        <v>14</v>
      </c>
      <c r="DY506">
        <v>0</v>
      </c>
      <c r="DZ506" t="s">
        <v>246</v>
      </c>
      <c r="EA506" t="s">
        <v>929</v>
      </c>
    </row>
    <row r="507" spans="1:131" x14ac:dyDescent="0.4">
      <c r="A507" s="34">
        <v>43067.305104166669</v>
      </c>
      <c r="B507" s="25">
        <v>42933.547222222223</v>
      </c>
      <c r="D507" s="34"/>
      <c r="E507" s="34" t="s">
        <v>193</v>
      </c>
      <c r="F507" s="34" t="s">
        <v>191</v>
      </c>
      <c r="G507" s="34" t="s">
        <v>100</v>
      </c>
      <c r="H507" t="s">
        <v>279</v>
      </c>
      <c r="I507" t="s">
        <v>243</v>
      </c>
      <c r="J507" t="s">
        <v>712</v>
      </c>
      <c r="K507" t="s">
        <v>713</v>
      </c>
      <c r="L507" t="s">
        <v>711</v>
      </c>
      <c r="M507" s="30">
        <v>3.13</v>
      </c>
      <c r="N507">
        <v>6.25</v>
      </c>
      <c r="P507" s="24" t="str">
        <f>IFERROR(MID(RADataTable[[#This Row],[RATemplate]],1,LEN(RADataTable[[#This Row],[RATemplate]])-8),"RA") &amp; " " &amp; RADataTable[[#This Row],[prop_id0]] &amp; " " &amp; RADataTable[[#This Row],[last0]]</f>
        <v>RA 1749385 Wang</v>
      </c>
      <c r="T507">
        <v>4</v>
      </c>
      <c r="U507">
        <v>4</v>
      </c>
      <c r="V507" s="34">
        <v>43030.179166666669</v>
      </c>
      <c r="W507">
        <v>1</v>
      </c>
      <c r="X507" s="15" t="str">
        <f>HYPERLINK("https://www.ejacket.nsf.gov/ej/showProposal.do?Continue=Y&amp;ID="&amp;RADataTable[[#This Row],[prop_id0]],"eJ")</f>
        <v>eJ</v>
      </c>
      <c r="Y507" s="15" t="str">
        <f>HYPERLINK("mailto:"&amp;RADataTable[[#This Row],[email]]&amp;"&amp;subject=Your NSF Proposal:  "&amp;RADataTable[[#This Row],[Div]]&amp;" "&amp;RADataTable[[#This Row],[prop_id0]], RADataTable[[#This Row],[email]])</f>
        <v>haitao.wang@usu.edu</v>
      </c>
      <c r="Z507" s="15" t="str">
        <f>HYPERLINK("mailto:"&amp;RADataTable[[#This Row],[allPIemail]]&amp;"&amp;subject=NSF Proposal:  "&amp;RADataTable[[#This Row],[Div]]&amp;" "&amp;RADataTable[[#This Row],[prop_id0]], "PIs@")</f>
        <v>PIs@</v>
      </c>
      <c r="AA507" t="s">
        <v>245</v>
      </c>
      <c r="AB507" t="s">
        <v>662</v>
      </c>
      <c r="AC507" s="30" t="s">
        <v>721</v>
      </c>
      <c r="AD507" t="s">
        <v>722</v>
      </c>
      <c r="AE507" t="s">
        <v>723</v>
      </c>
      <c r="AF507" s="36">
        <v>524898</v>
      </c>
      <c r="AG507" s="36">
        <v>524898</v>
      </c>
      <c r="AH507" s="24"/>
      <c r="AJ507" s="34"/>
      <c r="AK507" t="s">
        <v>923</v>
      </c>
      <c r="AL507" t="s">
        <v>287</v>
      </c>
      <c r="AM507" s="34" t="s">
        <v>925</v>
      </c>
      <c r="AN507" s="34">
        <v>43032</v>
      </c>
      <c r="AO507" s="24">
        <v>13</v>
      </c>
      <c r="AP507" t="s">
        <v>931</v>
      </c>
      <c r="AR507" s="35"/>
      <c r="AS507"/>
      <c r="AT507" s="34"/>
      <c r="AV507" s="34"/>
      <c r="AX507" s="34"/>
      <c r="AY507"/>
      <c r="BA507" s="34"/>
      <c r="BB507"/>
      <c r="BC507" t="s">
        <v>728</v>
      </c>
      <c r="BD507" s="36">
        <v>524898</v>
      </c>
      <c r="BE507" s="36">
        <v>524898</v>
      </c>
      <c r="BF507">
        <v>0</v>
      </c>
      <c r="BG507" s="34">
        <v>43221</v>
      </c>
      <c r="BH507">
        <v>60</v>
      </c>
      <c r="BI507" t="s">
        <v>283</v>
      </c>
      <c r="BJ507" t="s">
        <v>928</v>
      </c>
      <c r="BK507" t="s">
        <v>234</v>
      </c>
      <c r="BL507" t="s">
        <v>194</v>
      </c>
      <c r="BM507" s="8" t="s">
        <v>192</v>
      </c>
      <c r="BN507" t="s">
        <v>189</v>
      </c>
      <c r="BO507" t="s">
        <v>190</v>
      </c>
      <c r="BP507" s="35" t="s">
        <v>726</v>
      </c>
      <c r="BQ507"/>
      <c r="BU507" s="35"/>
      <c r="BV507" s="35"/>
      <c r="BX507"/>
      <c r="CA507" s="35"/>
      <c r="CB507" s="35"/>
      <c r="CC507"/>
      <c r="CG507" s="35"/>
      <c r="CH507" s="35"/>
      <c r="CK507"/>
      <c r="CM507" s="35"/>
      <c r="CN507" s="35"/>
      <c r="CQ507"/>
      <c r="CS507" s="35"/>
      <c r="CT507" s="35"/>
      <c r="CX507"/>
      <c r="CZ507" s="35"/>
      <c r="DD507" s="34"/>
      <c r="DG507" t="s">
        <v>725</v>
      </c>
      <c r="DH507" t="s">
        <v>932</v>
      </c>
      <c r="DI507" t="s">
        <v>286</v>
      </c>
      <c r="DL507" t="s">
        <v>662</v>
      </c>
      <c r="DM507">
        <v>4</v>
      </c>
      <c r="DN507">
        <v>9</v>
      </c>
      <c r="DO507" t="s">
        <v>727</v>
      </c>
      <c r="DQ507" t="s">
        <v>927</v>
      </c>
      <c r="DR507">
        <v>14</v>
      </c>
      <c r="DS507">
        <v>0</v>
      </c>
      <c r="DU507">
        <v>14</v>
      </c>
      <c r="DV507">
        <v>0</v>
      </c>
      <c r="DX507">
        <v>14</v>
      </c>
      <c r="DY507">
        <v>0</v>
      </c>
      <c r="DZ507" t="s">
        <v>246</v>
      </c>
      <c r="EA507" t="s">
        <v>929</v>
      </c>
    </row>
    <row r="508" spans="1:131" x14ac:dyDescent="0.4">
      <c r="A508" s="34">
        <v>43067.305104166669</v>
      </c>
      <c r="B508" s="25">
        <v>42933.547222222223</v>
      </c>
      <c r="D508" s="34"/>
      <c r="E508" s="34" t="s">
        <v>193</v>
      </c>
      <c r="F508" s="34" t="s">
        <v>191</v>
      </c>
      <c r="G508" s="34" t="s">
        <v>100</v>
      </c>
      <c r="H508" t="s">
        <v>279</v>
      </c>
      <c r="I508" t="s">
        <v>243</v>
      </c>
      <c r="J508" t="s">
        <v>712</v>
      </c>
      <c r="K508" t="s">
        <v>713</v>
      </c>
      <c r="L508" t="s">
        <v>711</v>
      </c>
      <c r="M508" s="30">
        <v>3.13</v>
      </c>
      <c r="N508">
        <v>6.25</v>
      </c>
      <c r="P508" s="24" t="str">
        <f>IFERROR(MID(RADataTable[[#This Row],[RATemplate]],1,LEN(RADataTable[[#This Row],[RATemplate]])-8),"RA") &amp; " " &amp; RADataTable[[#This Row],[prop_id0]] &amp; " " &amp; RADataTable[[#This Row],[last0]]</f>
        <v>RA 1749385 Wang</v>
      </c>
      <c r="T508">
        <v>4</v>
      </c>
      <c r="U508">
        <v>4</v>
      </c>
      <c r="V508" s="34">
        <v>43030.179166666669</v>
      </c>
      <c r="W508">
        <v>1</v>
      </c>
      <c r="X508" s="15" t="str">
        <f>HYPERLINK("https://www.ejacket.nsf.gov/ej/showProposal.do?Continue=Y&amp;ID="&amp;RADataTable[[#This Row],[prop_id0]],"eJ")</f>
        <v>eJ</v>
      </c>
      <c r="Y508" s="15" t="str">
        <f>HYPERLINK("mailto:"&amp;RADataTable[[#This Row],[email]]&amp;"&amp;subject=Your NSF Proposal:  "&amp;RADataTable[[#This Row],[Div]]&amp;" "&amp;RADataTable[[#This Row],[prop_id0]], RADataTable[[#This Row],[email]])</f>
        <v>haitao.wang@usu.edu</v>
      </c>
      <c r="Z508" s="15" t="str">
        <f>HYPERLINK("mailto:"&amp;RADataTable[[#This Row],[allPIemail]]&amp;"&amp;subject=NSF Proposal:  "&amp;RADataTable[[#This Row],[Div]]&amp;" "&amp;RADataTable[[#This Row],[prop_id0]], "PIs@")</f>
        <v>PIs@</v>
      </c>
      <c r="AA508" t="s">
        <v>245</v>
      </c>
      <c r="AB508" t="s">
        <v>662</v>
      </c>
      <c r="AC508" s="30" t="s">
        <v>721</v>
      </c>
      <c r="AD508" t="s">
        <v>722</v>
      </c>
      <c r="AE508" t="s">
        <v>723</v>
      </c>
      <c r="AF508" s="36">
        <v>524898</v>
      </c>
      <c r="AG508" s="36">
        <v>524898</v>
      </c>
      <c r="AH508" s="24"/>
      <c r="AJ508" s="34"/>
      <c r="AK508" t="s">
        <v>923</v>
      </c>
      <c r="AL508" t="s">
        <v>287</v>
      </c>
      <c r="AM508" s="34" t="s">
        <v>925</v>
      </c>
      <c r="AN508" s="34">
        <v>43032</v>
      </c>
      <c r="AO508" s="24">
        <v>13</v>
      </c>
      <c r="AP508" t="s">
        <v>931</v>
      </c>
      <c r="AR508" s="35"/>
      <c r="AS508"/>
      <c r="AT508" s="34"/>
      <c r="AV508" s="34"/>
      <c r="AX508" s="34"/>
      <c r="AY508"/>
      <c r="BA508" s="34"/>
      <c r="BB508"/>
      <c r="BC508" t="s">
        <v>728</v>
      </c>
      <c r="BD508" s="36">
        <v>524898</v>
      </c>
      <c r="BE508" s="36">
        <v>524898</v>
      </c>
      <c r="BF508">
        <v>0</v>
      </c>
      <c r="BG508" s="34">
        <v>43221</v>
      </c>
      <c r="BH508">
        <v>60</v>
      </c>
      <c r="BI508" t="s">
        <v>283</v>
      </c>
      <c r="BJ508" t="s">
        <v>928</v>
      </c>
      <c r="BK508" t="s">
        <v>234</v>
      </c>
      <c r="BL508" t="s">
        <v>194</v>
      </c>
      <c r="BM508" s="8" t="s">
        <v>192</v>
      </c>
      <c r="BN508" t="s">
        <v>189</v>
      </c>
      <c r="BO508" t="s">
        <v>190</v>
      </c>
      <c r="BP508" s="35" t="s">
        <v>726</v>
      </c>
      <c r="BQ508"/>
      <c r="BU508" s="35"/>
      <c r="BV508" s="35"/>
      <c r="BX508"/>
      <c r="CA508" s="35"/>
      <c r="CB508" s="35"/>
      <c r="CC508"/>
      <c r="CG508" s="35"/>
      <c r="CH508" s="35"/>
      <c r="CK508"/>
      <c r="CM508" s="35"/>
      <c r="CN508" s="35"/>
      <c r="CQ508"/>
      <c r="CS508" s="35"/>
      <c r="CT508" s="35"/>
      <c r="CX508"/>
      <c r="CZ508" s="35"/>
      <c r="DD508" s="34"/>
      <c r="DG508" t="s">
        <v>725</v>
      </c>
      <c r="DH508" t="s">
        <v>932</v>
      </c>
      <c r="DI508" t="s">
        <v>286</v>
      </c>
      <c r="DL508" t="s">
        <v>662</v>
      </c>
      <c r="DM508">
        <v>4</v>
      </c>
      <c r="DN508">
        <v>9</v>
      </c>
      <c r="DO508" t="s">
        <v>727</v>
      </c>
      <c r="DQ508" t="s">
        <v>927</v>
      </c>
      <c r="DR508">
        <v>14</v>
      </c>
      <c r="DS508">
        <v>0</v>
      </c>
      <c r="DU508">
        <v>14</v>
      </c>
      <c r="DV508">
        <v>0</v>
      </c>
      <c r="DX508">
        <v>14</v>
      </c>
      <c r="DY508">
        <v>0</v>
      </c>
      <c r="DZ508" t="s">
        <v>246</v>
      </c>
      <c r="EA508" t="s">
        <v>929</v>
      </c>
    </row>
    <row r="509" spans="1:131" x14ac:dyDescent="0.4">
      <c r="A509" s="34">
        <v>43067.305104166669</v>
      </c>
      <c r="B509" s="25">
        <v>42933.547222222223</v>
      </c>
      <c r="D509" s="34"/>
      <c r="E509" s="34" t="s">
        <v>193</v>
      </c>
      <c r="F509" s="34" t="s">
        <v>191</v>
      </c>
      <c r="G509" s="34" t="s">
        <v>100</v>
      </c>
      <c r="H509" t="s">
        <v>279</v>
      </c>
      <c r="I509" t="s">
        <v>243</v>
      </c>
      <c r="J509" t="s">
        <v>712</v>
      </c>
      <c r="K509" t="s">
        <v>713</v>
      </c>
      <c r="L509" t="s">
        <v>711</v>
      </c>
      <c r="M509" s="30">
        <v>3.13</v>
      </c>
      <c r="N509">
        <v>6.25</v>
      </c>
      <c r="P509" s="24" t="str">
        <f>IFERROR(MID(RADataTable[[#This Row],[RATemplate]],1,LEN(RADataTable[[#This Row],[RATemplate]])-8),"RA") &amp; " " &amp; RADataTable[[#This Row],[prop_id0]] &amp; " " &amp; RADataTable[[#This Row],[last0]]</f>
        <v>RA 1749385 Wang</v>
      </c>
      <c r="T509">
        <v>4</v>
      </c>
      <c r="U509">
        <v>4</v>
      </c>
      <c r="V509" s="34">
        <v>43030.179166666669</v>
      </c>
      <c r="W509">
        <v>1</v>
      </c>
      <c r="X509" s="15" t="str">
        <f>HYPERLINK("https://www.ejacket.nsf.gov/ej/showProposal.do?Continue=Y&amp;ID="&amp;RADataTable[[#This Row],[prop_id0]],"eJ")</f>
        <v>eJ</v>
      </c>
      <c r="Y509" s="15" t="str">
        <f>HYPERLINK("mailto:"&amp;RADataTable[[#This Row],[email]]&amp;"&amp;subject=Your NSF Proposal:  "&amp;RADataTable[[#This Row],[Div]]&amp;" "&amp;RADataTable[[#This Row],[prop_id0]], RADataTable[[#This Row],[email]])</f>
        <v>haitao.wang@usu.edu</v>
      </c>
      <c r="Z509" s="15" t="str">
        <f>HYPERLINK("mailto:"&amp;RADataTable[[#This Row],[allPIemail]]&amp;"&amp;subject=NSF Proposal:  "&amp;RADataTable[[#This Row],[Div]]&amp;" "&amp;RADataTable[[#This Row],[prop_id0]], "PIs@")</f>
        <v>PIs@</v>
      </c>
      <c r="AA509" t="s">
        <v>245</v>
      </c>
      <c r="AB509" t="s">
        <v>662</v>
      </c>
      <c r="AC509" s="30" t="s">
        <v>721</v>
      </c>
      <c r="AD509" t="s">
        <v>722</v>
      </c>
      <c r="AE509" t="s">
        <v>723</v>
      </c>
      <c r="AF509" s="36">
        <v>524898</v>
      </c>
      <c r="AG509" s="36">
        <v>524898</v>
      </c>
      <c r="AH509" s="24"/>
      <c r="AJ509" s="34"/>
      <c r="AK509" t="s">
        <v>923</v>
      </c>
      <c r="AL509" t="s">
        <v>287</v>
      </c>
      <c r="AM509" s="34" t="s">
        <v>925</v>
      </c>
      <c r="AN509" s="34">
        <v>43032</v>
      </c>
      <c r="AO509" s="24">
        <v>13</v>
      </c>
      <c r="AP509" t="s">
        <v>931</v>
      </c>
      <c r="AR509" s="35"/>
      <c r="AS509"/>
      <c r="AT509" s="34"/>
      <c r="AV509" s="34"/>
      <c r="AX509" s="34"/>
      <c r="AY509"/>
      <c r="BA509" s="34"/>
      <c r="BB509"/>
      <c r="BC509" t="s">
        <v>728</v>
      </c>
      <c r="BD509" s="36">
        <v>524898</v>
      </c>
      <c r="BE509" s="36">
        <v>524898</v>
      </c>
      <c r="BF509">
        <v>0</v>
      </c>
      <c r="BG509" s="34">
        <v>43221</v>
      </c>
      <c r="BH509">
        <v>60</v>
      </c>
      <c r="BI509" t="s">
        <v>283</v>
      </c>
      <c r="BJ509" t="s">
        <v>928</v>
      </c>
      <c r="BK509" t="s">
        <v>234</v>
      </c>
      <c r="BL509" t="s">
        <v>194</v>
      </c>
      <c r="BM509" s="8" t="s">
        <v>192</v>
      </c>
      <c r="BN509" t="s">
        <v>189</v>
      </c>
      <c r="BO509" t="s">
        <v>190</v>
      </c>
      <c r="BP509" s="35" t="s">
        <v>726</v>
      </c>
      <c r="BQ509"/>
      <c r="BU509" s="35"/>
      <c r="BV509" s="35"/>
      <c r="BX509"/>
      <c r="CA509" s="35"/>
      <c r="CB509" s="35"/>
      <c r="CC509"/>
      <c r="CG509" s="35"/>
      <c r="CH509" s="35"/>
      <c r="CK509"/>
      <c r="CM509" s="35"/>
      <c r="CN509" s="35"/>
      <c r="CQ509"/>
      <c r="CS509" s="35"/>
      <c r="CT509" s="35"/>
      <c r="CX509"/>
      <c r="CZ509" s="35"/>
      <c r="DD509" s="34"/>
      <c r="DG509" t="s">
        <v>725</v>
      </c>
      <c r="DH509" t="s">
        <v>932</v>
      </c>
      <c r="DI509" t="s">
        <v>286</v>
      </c>
      <c r="DL509" t="s">
        <v>662</v>
      </c>
      <c r="DM509">
        <v>4</v>
      </c>
      <c r="DN509">
        <v>9</v>
      </c>
      <c r="DO509" t="s">
        <v>727</v>
      </c>
      <c r="DQ509" t="s">
        <v>927</v>
      </c>
      <c r="DR509">
        <v>14</v>
      </c>
      <c r="DS509">
        <v>0</v>
      </c>
      <c r="DU509">
        <v>14</v>
      </c>
      <c r="DV509">
        <v>0</v>
      </c>
      <c r="DX509">
        <v>14</v>
      </c>
      <c r="DY509">
        <v>0</v>
      </c>
      <c r="DZ509" t="s">
        <v>246</v>
      </c>
      <c r="EA509" t="s">
        <v>929</v>
      </c>
    </row>
    <row r="510" spans="1:131" x14ac:dyDescent="0.4">
      <c r="A510" s="34">
        <v>43067.305104166669</v>
      </c>
      <c r="B510" s="25">
        <v>42933.547222222223</v>
      </c>
      <c r="D510" s="34"/>
      <c r="E510" s="34" t="s">
        <v>193</v>
      </c>
      <c r="F510" s="34" t="s">
        <v>191</v>
      </c>
      <c r="G510" s="34" t="s">
        <v>100</v>
      </c>
      <c r="H510" t="s">
        <v>279</v>
      </c>
      <c r="I510" t="s">
        <v>243</v>
      </c>
      <c r="J510" t="s">
        <v>712</v>
      </c>
      <c r="K510" t="s">
        <v>713</v>
      </c>
      <c r="L510" t="s">
        <v>711</v>
      </c>
      <c r="M510" s="30">
        <v>3.13</v>
      </c>
      <c r="N510">
        <v>6.25</v>
      </c>
      <c r="P510" s="24" t="str">
        <f>IFERROR(MID(RADataTable[[#This Row],[RATemplate]],1,LEN(RADataTable[[#This Row],[RATemplate]])-8),"RA") &amp; " " &amp; RADataTable[[#This Row],[prop_id0]] &amp; " " &amp; RADataTable[[#This Row],[last0]]</f>
        <v>RA 1749385 Wang</v>
      </c>
      <c r="T510">
        <v>4</v>
      </c>
      <c r="U510">
        <v>4</v>
      </c>
      <c r="V510" s="34">
        <v>43030.179166666669</v>
      </c>
      <c r="W510">
        <v>1</v>
      </c>
      <c r="X510" s="15" t="str">
        <f>HYPERLINK("https://www.ejacket.nsf.gov/ej/showProposal.do?Continue=Y&amp;ID="&amp;RADataTable[[#This Row],[prop_id0]],"eJ")</f>
        <v>eJ</v>
      </c>
      <c r="Y510" s="15" t="str">
        <f>HYPERLINK("mailto:"&amp;RADataTable[[#This Row],[email]]&amp;"&amp;subject=Your NSF Proposal:  "&amp;RADataTable[[#This Row],[Div]]&amp;" "&amp;RADataTable[[#This Row],[prop_id0]], RADataTable[[#This Row],[email]])</f>
        <v>haitao.wang@usu.edu</v>
      </c>
      <c r="Z510" s="15" t="str">
        <f>HYPERLINK("mailto:"&amp;RADataTable[[#This Row],[allPIemail]]&amp;"&amp;subject=NSF Proposal:  "&amp;RADataTable[[#This Row],[Div]]&amp;" "&amp;RADataTable[[#This Row],[prop_id0]], "PIs@")</f>
        <v>PIs@</v>
      </c>
      <c r="AA510" t="s">
        <v>245</v>
      </c>
      <c r="AB510" t="s">
        <v>662</v>
      </c>
      <c r="AC510" s="30" t="s">
        <v>721</v>
      </c>
      <c r="AD510" t="s">
        <v>722</v>
      </c>
      <c r="AE510" t="s">
        <v>723</v>
      </c>
      <c r="AF510" s="36">
        <v>524898</v>
      </c>
      <c r="AG510" s="36">
        <v>524898</v>
      </c>
      <c r="AH510" s="24"/>
      <c r="AJ510" s="34"/>
      <c r="AK510" t="s">
        <v>923</v>
      </c>
      <c r="AL510" t="s">
        <v>287</v>
      </c>
      <c r="AM510" s="34" t="s">
        <v>925</v>
      </c>
      <c r="AN510" s="34">
        <v>43032</v>
      </c>
      <c r="AO510" s="24">
        <v>13</v>
      </c>
      <c r="AP510" t="s">
        <v>931</v>
      </c>
      <c r="AR510" s="35"/>
      <c r="AS510"/>
      <c r="AT510" s="34"/>
      <c r="AV510" s="34"/>
      <c r="AX510" s="34"/>
      <c r="AY510"/>
      <c r="BA510" s="34"/>
      <c r="BB510"/>
      <c r="BC510" t="s">
        <v>728</v>
      </c>
      <c r="BD510" s="36">
        <v>524898</v>
      </c>
      <c r="BE510" s="36">
        <v>524898</v>
      </c>
      <c r="BF510">
        <v>0</v>
      </c>
      <c r="BG510" s="34">
        <v>43221</v>
      </c>
      <c r="BH510">
        <v>60</v>
      </c>
      <c r="BI510" t="s">
        <v>283</v>
      </c>
      <c r="BJ510" t="s">
        <v>928</v>
      </c>
      <c r="BK510" t="s">
        <v>234</v>
      </c>
      <c r="BL510" t="s">
        <v>194</v>
      </c>
      <c r="BM510" s="8" t="s">
        <v>192</v>
      </c>
      <c r="BN510" t="s">
        <v>189</v>
      </c>
      <c r="BO510" t="s">
        <v>190</v>
      </c>
      <c r="BP510" s="35" t="s">
        <v>726</v>
      </c>
      <c r="BQ510"/>
      <c r="BU510" s="35"/>
      <c r="BV510" s="35"/>
      <c r="BX510"/>
      <c r="CA510" s="35"/>
      <c r="CB510" s="35"/>
      <c r="CC510"/>
      <c r="CG510" s="35"/>
      <c r="CH510" s="35"/>
      <c r="CK510"/>
      <c r="CM510" s="35"/>
      <c r="CN510" s="35"/>
      <c r="CQ510"/>
      <c r="CS510" s="35"/>
      <c r="CT510" s="35"/>
      <c r="CX510"/>
      <c r="CZ510" s="35"/>
      <c r="DD510" s="34"/>
      <c r="DG510" t="s">
        <v>725</v>
      </c>
      <c r="DH510" t="s">
        <v>932</v>
      </c>
      <c r="DI510" t="s">
        <v>286</v>
      </c>
      <c r="DL510" t="s">
        <v>662</v>
      </c>
      <c r="DM510">
        <v>4</v>
      </c>
      <c r="DN510">
        <v>9</v>
      </c>
      <c r="DO510" t="s">
        <v>727</v>
      </c>
      <c r="DQ510" t="s">
        <v>927</v>
      </c>
      <c r="DR510">
        <v>14</v>
      </c>
      <c r="DS510">
        <v>0</v>
      </c>
      <c r="DU510">
        <v>14</v>
      </c>
      <c r="DV510">
        <v>0</v>
      </c>
      <c r="DX510">
        <v>14</v>
      </c>
      <c r="DY510">
        <v>0</v>
      </c>
      <c r="DZ510" t="s">
        <v>246</v>
      </c>
      <c r="EA510" t="s">
        <v>929</v>
      </c>
    </row>
    <row r="511" spans="1:131" x14ac:dyDescent="0.4">
      <c r="A511" s="34">
        <v>43067.305104166669</v>
      </c>
      <c r="B511" s="25">
        <v>42933.547222222223</v>
      </c>
      <c r="D511" s="34"/>
      <c r="E511" s="34" t="s">
        <v>193</v>
      </c>
      <c r="F511" s="34" t="s">
        <v>191</v>
      </c>
      <c r="G511" s="34" t="s">
        <v>100</v>
      </c>
      <c r="H511" t="s">
        <v>279</v>
      </c>
      <c r="I511" t="s">
        <v>243</v>
      </c>
      <c r="J511" t="s">
        <v>712</v>
      </c>
      <c r="K511" t="s">
        <v>713</v>
      </c>
      <c r="L511" t="s">
        <v>711</v>
      </c>
      <c r="M511" s="30">
        <v>3.13</v>
      </c>
      <c r="N511">
        <v>6.25</v>
      </c>
      <c r="P511" s="24" t="str">
        <f>IFERROR(MID(RADataTable[[#This Row],[RATemplate]],1,LEN(RADataTable[[#This Row],[RATemplate]])-8),"RA") &amp; " " &amp; RADataTable[[#This Row],[prop_id0]] &amp; " " &amp; RADataTable[[#This Row],[last0]]</f>
        <v>RA 1749385 Wang</v>
      </c>
      <c r="T511">
        <v>4</v>
      </c>
      <c r="U511">
        <v>4</v>
      </c>
      <c r="V511" s="34">
        <v>43030.179166666669</v>
      </c>
      <c r="W511">
        <v>1</v>
      </c>
      <c r="X511" s="15" t="str">
        <f>HYPERLINK("https://www.ejacket.nsf.gov/ej/showProposal.do?Continue=Y&amp;ID="&amp;RADataTable[[#This Row],[prop_id0]],"eJ")</f>
        <v>eJ</v>
      </c>
      <c r="Y511" s="15" t="str">
        <f>HYPERLINK("mailto:"&amp;RADataTable[[#This Row],[email]]&amp;"&amp;subject=Your NSF Proposal:  "&amp;RADataTable[[#This Row],[Div]]&amp;" "&amp;RADataTable[[#This Row],[prop_id0]], RADataTable[[#This Row],[email]])</f>
        <v>haitao.wang@usu.edu</v>
      </c>
      <c r="Z511" s="15" t="str">
        <f>HYPERLINK("mailto:"&amp;RADataTable[[#This Row],[allPIemail]]&amp;"&amp;subject=NSF Proposal:  "&amp;RADataTable[[#This Row],[Div]]&amp;" "&amp;RADataTable[[#This Row],[prop_id0]], "PIs@")</f>
        <v>PIs@</v>
      </c>
      <c r="AA511" t="s">
        <v>245</v>
      </c>
      <c r="AB511" t="s">
        <v>662</v>
      </c>
      <c r="AC511" s="30" t="s">
        <v>721</v>
      </c>
      <c r="AD511" t="s">
        <v>722</v>
      </c>
      <c r="AE511" t="s">
        <v>723</v>
      </c>
      <c r="AF511" s="36">
        <v>524898</v>
      </c>
      <c r="AG511" s="36">
        <v>524898</v>
      </c>
      <c r="AH511" s="24"/>
      <c r="AJ511" s="34"/>
      <c r="AK511" t="s">
        <v>923</v>
      </c>
      <c r="AL511" t="s">
        <v>287</v>
      </c>
      <c r="AM511" s="34" t="s">
        <v>925</v>
      </c>
      <c r="AN511" s="34">
        <v>43032</v>
      </c>
      <c r="AO511" s="24">
        <v>13</v>
      </c>
      <c r="AP511" t="s">
        <v>931</v>
      </c>
      <c r="AR511" s="35"/>
      <c r="AS511"/>
      <c r="AT511" s="34"/>
      <c r="AV511" s="34"/>
      <c r="AX511" s="34"/>
      <c r="AY511"/>
      <c r="BA511" s="34"/>
      <c r="BB511"/>
      <c r="BC511" t="s">
        <v>728</v>
      </c>
      <c r="BD511" s="36">
        <v>524898</v>
      </c>
      <c r="BE511" s="36">
        <v>524898</v>
      </c>
      <c r="BF511">
        <v>0</v>
      </c>
      <c r="BG511" s="34">
        <v>43221</v>
      </c>
      <c r="BH511">
        <v>60</v>
      </c>
      <c r="BI511" t="s">
        <v>283</v>
      </c>
      <c r="BJ511" t="s">
        <v>928</v>
      </c>
      <c r="BK511" t="s">
        <v>234</v>
      </c>
      <c r="BL511" t="s">
        <v>194</v>
      </c>
      <c r="BM511" s="8" t="s">
        <v>192</v>
      </c>
      <c r="BN511" t="s">
        <v>189</v>
      </c>
      <c r="BO511" t="s">
        <v>190</v>
      </c>
      <c r="BP511" s="35" t="s">
        <v>726</v>
      </c>
      <c r="BQ511"/>
      <c r="BU511" s="35"/>
      <c r="BV511" s="35"/>
      <c r="BX511"/>
      <c r="CA511" s="35"/>
      <c r="CB511" s="35"/>
      <c r="CC511"/>
      <c r="CG511" s="35"/>
      <c r="CH511" s="35"/>
      <c r="CK511"/>
      <c r="CM511" s="35"/>
      <c r="CN511" s="35"/>
      <c r="CQ511"/>
      <c r="CS511" s="35"/>
      <c r="CT511" s="35"/>
      <c r="CX511"/>
      <c r="CZ511" s="35"/>
      <c r="DD511" s="34"/>
      <c r="DG511" t="s">
        <v>725</v>
      </c>
      <c r="DH511" t="s">
        <v>932</v>
      </c>
      <c r="DI511" t="s">
        <v>286</v>
      </c>
      <c r="DL511" t="s">
        <v>662</v>
      </c>
      <c r="DM511">
        <v>4</v>
      </c>
      <c r="DN511">
        <v>9</v>
      </c>
      <c r="DO511" t="s">
        <v>727</v>
      </c>
      <c r="DQ511" t="s">
        <v>927</v>
      </c>
      <c r="DR511">
        <v>14</v>
      </c>
      <c r="DS511">
        <v>0</v>
      </c>
      <c r="DU511">
        <v>14</v>
      </c>
      <c r="DV511">
        <v>0</v>
      </c>
      <c r="DX511">
        <v>14</v>
      </c>
      <c r="DY511">
        <v>0</v>
      </c>
      <c r="DZ511" t="s">
        <v>246</v>
      </c>
      <c r="EA511" t="s">
        <v>929</v>
      </c>
    </row>
    <row r="512" spans="1:131" x14ac:dyDescent="0.4">
      <c r="A512" s="34">
        <v>43067.305104166669</v>
      </c>
      <c r="B512" s="25">
        <v>42933.547222222223</v>
      </c>
      <c r="D512" s="34"/>
      <c r="E512" s="34" t="s">
        <v>193</v>
      </c>
      <c r="F512" s="34" t="s">
        <v>191</v>
      </c>
      <c r="G512" s="34" t="s">
        <v>100</v>
      </c>
      <c r="H512" t="s">
        <v>279</v>
      </c>
      <c r="I512" t="s">
        <v>243</v>
      </c>
      <c r="J512" t="s">
        <v>712</v>
      </c>
      <c r="K512" t="s">
        <v>713</v>
      </c>
      <c r="L512" t="s">
        <v>711</v>
      </c>
      <c r="M512" s="30">
        <v>3.13</v>
      </c>
      <c r="N512">
        <v>6.25</v>
      </c>
      <c r="P512" s="24" t="str">
        <f>IFERROR(MID(RADataTable[[#This Row],[RATemplate]],1,LEN(RADataTable[[#This Row],[RATemplate]])-8),"RA") &amp; " " &amp; RADataTable[[#This Row],[prop_id0]] &amp; " " &amp; RADataTable[[#This Row],[last0]]</f>
        <v>RA 1749385 Wang</v>
      </c>
      <c r="T512">
        <v>4</v>
      </c>
      <c r="U512">
        <v>4</v>
      </c>
      <c r="V512" s="34">
        <v>43030.179166666669</v>
      </c>
      <c r="W512">
        <v>1</v>
      </c>
      <c r="X512" s="15" t="str">
        <f>HYPERLINK("https://www.ejacket.nsf.gov/ej/showProposal.do?Continue=Y&amp;ID="&amp;RADataTable[[#This Row],[prop_id0]],"eJ")</f>
        <v>eJ</v>
      </c>
      <c r="Y512" s="15" t="str">
        <f>HYPERLINK("mailto:"&amp;RADataTable[[#This Row],[email]]&amp;"&amp;subject=Your NSF Proposal:  "&amp;RADataTable[[#This Row],[Div]]&amp;" "&amp;RADataTable[[#This Row],[prop_id0]], RADataTable[[#This Row],[email]])</f>
        <v>haitao.wang@usu.edu</v>
      </c>
      <c r="Z512" s="15" t="str">
        <f>HYPERLINK("mailto:"&amp;RADataTable[[#This Row],[allPIemail]]&amp;"&amp;subject=NSF Proposal:  "&amp;RADataTable[[#This Row],[Div]]&amp;" "&amp;RADataTable[[#This Row],[prop_id0]], "PIs@")</f>
        <v>PIs@</v>
      </c>
      <c r="AA512" t="s">
        <v>245</v>
      </c>
      <c r="AB512" t="s">
        <v>662</v>
      </c>
      <c r="AC512" s="30" t="s">
        <v>721</v>
      </c>
      <c r="AD512" t="s">
        <v>722</v>
      </c>
      <c r="AE512" t="s">
        <v>723</v>
      </c>
      <c r="AF512" s="36">
        <v>524898</v>
      </c>
      <c r="AG512" s="36">
        <v>524898</v>
      </c>
      <c r="AH512" s="24"/>
      <c r="AJ512" s="34"/>
      <c r="AK512" t="s">
        <v>923</v>
      </c>
      <c r="AL512" t="s">
        <v>287</v>
      </c>
      <c r="AM512" s="34" t="s">
        <v>925</v>
      </c>
      <c r="AN512" s="34">
        <v>43032</v>
      </c>
      <c r="AO512" s="24">
        <v>13</v>
      </c>
      <c r="AP512" t="s">
        <v>931</v>
      </c>
      <c r="AR512" s="35"/>
      <c r="AS512"/>
      <c r="AT512" s="34"/>
      <c r="AV512" s="34"/>
      <c r="AX512" s="34"/>
      <c r="AY512"/>
      <c r="BA512" s="34"/>
      <c r="BB512"/>
      <c r="BC512" t="s">
        <v>728</v>
      </c>
      <c r="BD512" s="36">
        <v>524898</v>
      </c>
      <c r="BE512" s="36">
        <v>524898</v>
      </c>
      <c r="BF512">
        <v>0</v>
      </c>
      <c r="BG512" s="34">
        <v>43221</v>
      </c>
      <c r="BH512">
        <v>60</v>
      </c>
      <c r="BI512" t="s">
        <v>283</v>
      </c>
      <c r="BJ512" t="s">
        <v>928</v>
      </c>
      <c r="BK512" t="s">
        <v>234</v>
      </c>
      <c r="BL512" t="s">
        <v>194</v>
      </c>
      <c r="BM512" s="8" t="s">
        <v>192</v>
      </c>
      <c r="BN512" t="s">
        <v>189</v>
      </c>
      <c r="BO512" t="s">
        <v>190</v>
      </c>
      <c r="BP512" s="35" t="s">
        <v>726</v>
      </c>
      <c r="BQ512"/>
      <c r="BU512" s="35"/>
      <c r="BV512" s="35"/>
      <c r="BX512"/>
      <c r="CA512" s="35"/>
      <c r="CB512" s="35"/>
      <c r="CC512"/>
      <c r="CG512" s="35"/>
      <c r="CH512" s="35"/>
      <c r="CK512"/>
      <c r="CM512" s="35"/>
      <c r="CN512" s="35"/>
      <c r="CQ512"/>
      <c r="CS512" s="35"/>
      <c r="CT512" s="35"/>
      <c r="CX512"/>
      <c r="CZ512" s="35"/>
      <c r="DD512" s="34"/>
      <c r="DG512" t="s">
        <v>725</v>
      </c>
      <c r="DH512" t="s">
        <v>932</v>
      </c>
      <c r="DI512" t="s">
        <v>286</v>
      </c>
      <c r="DL512" t="s">
        <v>662</v>
      </c>
      <c r="DM512">
        <v>4</v>
      </c>
      <c r="DN512">
        <v>9</v>
      </c>
      <c r="DO512" t="s">
        <v>727</v>
      </c>
      <c r="DQ512" t="s">
        <v>927</v>
      </c>
      <c r="DR512">
        <v>14</v>
      </c>
      <c r="DS512">
        <v>0</v>
      </c>
      <c r="DU512">
        <v>14</v>
      </c>
      <c r="DV512">
        <v>0</v>
      </c>
      <c r="DX512">
        <v>14</v>
      </c>
      <c r="DY512">
        <v>0</v>
      </c>
      <c r="DZ512" t="s">
        <v>246</v>
      </c>
      <c r="EA512" t="s">
        <v>929</v>
      </c>
    </row>
    <row r="513" spans="1:131" x14ac:dyDescent="0.4">
      <c r="A513" s="34">
        <v>43067.305104166669</v>
      </c>
      <c r="B513" s="25">
        <v>42933.547222222223</v>
      </c>
      <c r="D513" s="34"/>
      <c r="E513" s="34" t="s">
        <v>193</v>
      </c>
      <c r="F513" s="34" t="s">
        <v>191</v>
      </c>
      <c r="G513" s="34" t="s">
        <v>100</v>
      </c>
      <c r="H513" t="s">
        <v>279</v>
      </c>
      <c r="I513" t="s">
        <v>243</v>
      </c>
      <c r="J513" t="s">
        <v>712</v>
      </c>
      <c r="K513" t="s">
        <v>713</v>
      </c>
      <c r="L513" t="s">
        <v>711</v>
      </c>
      <c r="M513" s="30">
        <v>3.13</v>
      </c>
      <c r="N513">
        <v>6.25</v>
      </c>
      <c r="P513" s="24" t="str">
        <f>IFERROR(MID(RADataTable[[#This Row],[RATemplate]],1,LEN(RADataTable[[#This Row],[RATemplate]])-8),"RA") &amp; " " &amp; RADataTable[[#This Row],[prop_id0]] &amp; " " &amp; RADataTable[[#This Row],[last0]]</f>
        <v>RA 1749385 Wang</v>
      </c>
      <c r="T513">
        <v>4</v>
      </c>
      <c r="U513">
        <v>4</v>
      </c>
      <c r="V513" s="34">
        <v>43030.179166666669</v>
      </c>
      <c r="W513">
        <v>1</v>
      </c>
      <c r="X513" s="15" t="str">
        <f>HYPERLINK("https://www.ejacket.nsf.gov/ej/showProposal.do?Continue=Y&amp;ID="&amp;RADataTable[[#This Row],[prop_id0]],"eJ")</f>
        <v>eJ</v>
      </c>
      <c r="Y513" s="15" t="str">
        <f>HYPERLINK("mailto:"&amp;RADataTable[[#This Row],[email]]&amp;"&amp;subject=Your NSF Proposal:  "&amp;RADataTable[[#This Row],[Div]]&amp;" "&amp;RADataTable[[#This Row],[prop_id0]], RADataTable[[#This Row],[email]])</f>
        <v>haitao.wang@usu.edu</v>
      </c>
      <c r="Z513" s="15" t="str">
        <f>HYPERLINK("mailto:"&amp;RADataTable[[#This Row],[allPIemail]]&amp;"&amp;subject=NSF Proposal:  "&amp;RADataTable[[#This Row],[Div]]&amp;" "&amp;RADataTable[[#This Row],[prop_id0]], "PIs@")</f>
        <v>PIs@</v>
      </c>
      <c r="AA513" t="s">
        <v>245</v>
      </c>
      <c r="AB513" t="s">
        <v>662</v>
      </c>
      <c r="AC513" s="30" t="s">
        <v>721</v>
      </c>
      <c r="AD513" t="s">
        <v>722</v>
      </c>
      <c r="AE513" t="s">
        <v>723</v>
      </c>
      <c r="AF513" s="36">
        <v>524898</v>
      </c>
      <c r="AG513" s="36">
        <v>524898</v>
      </c>
      <c r="AH513" s="24"/>
      <c r="AJ513" s="34"/>
      <c r="AK513" t="s">
        <v>923</v>
      </c>
      <c r="AL513" t="s">
        <v>287</v>
      </c>
      <c r="AM513" s="34" t="s">
        <v>925</v>
      </c>
      <c r="AN513" s="34">
        <v>43032</v>
      </c>
      <c r="AO513" s="24">
        <v>13</v>
      </c>
      <c r="AP513" t="s">
        <v>931</v>
      </c>
      <c r="AR513" s="35"/>
      <c r="AS513"/>
      <c r="AT513" s="34"/>
      <c r="AV513" s="34"/>
      <c r="AX513" s="34"/>
      <c r="AY513"/>
      <c r="BA513" s="34"/>
      <c r="BB513"/>
      <c r="BC513" t="s">
        <v>728</v>
      </c>
      <c r="BD513" s="36">
        <v>524898</v>
      </c>
      <c r="BE513" s="36">
        <v>524898</v>
      </c>
      <c r="BF513">
        <v>0</v>
      </c>
      <c r="BG513" s="34">
        <v>43221</v>
      </c>
      <c r="BH513">
        <v>60</v>
      </c>
      <c r="BI513" t="s">
        <v>283</v>
      </c>
      <c r="BJ513" t="s">
        <v>928</v>
      </c>
      <c r="BK513" t="s">
        <v>234</v>
      </c>
      <c r="BL513" t="s">
        <v>194</v>
      </c>
      <c r="BM513" s="8" t="s">
        <v>192</v>
      </c>
      <c r="BN513" t="s">
        <v>189</v>
      </c>
      <c r="BO513" t="s">
        <v>190</v>
      </c>
      <c r="BP513" s="35" t="s">
        <v>726</v>
      </c>
      <c r="BQ513"/>
      <c r="BU513" s="35"/>
      <c r="BV513" s="35"/>
      <c r="BX513"/>
      <c r="CA513" s="35"/>
      <c r="CB513" s="35"/>
      <c r="CC513"/>
      <c r="CG513" s="35"/>
      <c r="CH513" s="35"/>
      <c r="CK513"/>
      <c r="CM513" s="35"/>
      <c r="CN513" s="35"/>
      <c r="CQ513"/>
      <c r="CS513" s="35"/>
      <c r="CT513" s="35"/>
      <c r="CX513"/>
      <c r="CZ513" s="35"/>
      <c r="DD513" s="34"/>
      <c r="DG513" t="s">
        <v>725</v>
      </c>
      <c r="DH513" t="s">
        <v>932</v>
      </c>
      <c r="DI513" t="s">
        <v>286</v>
      </c>
      <c r="DL513" t="s">
        <v>662</v>
      </c>
      <c r="DM513">
        <v>4</v>
      </c>
      <c r="DN513">
        <v>9</v>
      </c>
      <c r="DO513" t="s">
        <v>727</v>
      </c>
      <c r="DQ513" t="s">
        <v>927</v>
      </c>
      <c r="DR513">
        <v>14</v>
      </c>
      <c r="DS513">
        <v>0</v>
      </c>
      <c r="DU513">
        <v>14</v>
      </c>
      <c r="DV513">
        <v>0</v>
      </c>
      <c r="DX513">
        <v>14</v>
      </c>
      <c r="DY513">
        <v>0</v>
      </c>
      <c r="DZ513" t="s">
        <v>246</v>
      </c>
      <c r="EA513" t="s">
        <v>929</v>
      </c>
    </row>
    <row r="514" spans="1:131" x14ac:dyDescent="0.4">
      <c r="A514" s="34">
        <v>43067.305104166669</v>
      </c>
      <c r="B514" s="25">
        <v>42933.547222222223</v>
      </c>
      <c r="D514" s="34"/>
      <c r="E514" s="34" t="s">
        <v>193</v>
      </c>
      <c r="F514" s="34" t="s">
        <v>191</v>
      </c>
      <c r="G514" s="34" t="s">
        <v>100</v>
      </c>
      <c r="H514" t="s">
        <v>279</v>
      </c>
      <c r="I514" t="s">
        <v>243</v>
      </c>
      <c r="J514" t="s">
        <v>712</v>
      </c>
      <c r="K514" t="s">
        <v>713</v>
      </c>
      <c r="L514" t="s">
        <v>711</v>
      </c>
      <c r="M514" s="30">
        <v>3.13</v>
      </c>
      <c r="N514">
        <v>6.25</v>
      </c>
      <c r="P514" s="24" t="str">
        <f>IFERROR(MID(RADataTable[[#This Row],[RATemplate]],1,LEN(RADataTable[[#This Row],[RATemplate]])-8),"RA") &amp; " " &amp; RADataTable[[#This Row],[prop_id0]] &amp; " " &amp; RADataTable[[#This Row],[last0]]</f>
        <v>RA 1749385 Wang</v>
      </c>
      <c r="T514">
        <v>4</v>
      </c>
      <c r="U514">
        <v>4</v>
      </c>
      <c r="V514" s="34">
        <v>43030.179166666669</v>
      </c>
      <c r="W514">
        <v>1</v>
      </c>
      <c r="X514" s="15" t="str">
        <f>HYPERLINK("https://www.ejacket.nsf.gov/ej/showProposal.do?Continue=Y&amp;ID="&amp;RADataTable[[#This Row],[prop_id0]],"eJ")</f>
        <v>eJ</v>
      </c>
      <c r="Y514" s="15" t="str">
        <f>HYPERLINK("mailto:"&amp;RADataTable[[#This Row],[email]]&amp;"&amp;subject=Your NSF Proposal:  "&amp;RADataTable[[#This Row],[Div]]&amp;" "&amp;RADataTable[[#This Row],[prop_id0]], RADataTable[[#This Row],[email]])</f>
        <v>haitao.wang@usu.edu</v>
      </c>
      <c r="Z514" s="15" t="str">
        <f>HYPERLINK("mailto:"&amp;RADataTable[[#This Row],[allPIemail]]&amp;"&amp;subject=NSF Proposal:  "&amp;RADataTable[[#This Row],[Div]]&amp;" "&amp;RADataTable[[#This Row],[prop_id0]], "PIs@")</f>
        <v>PIs@</v>
      </c>
      <c r="AA514" t="s">
        <v>245</v>
      </c>
      <c r="AB514" t="s">
        <v>662</v>
      </c>
      <c r="AC514" s="30" t="s">
        <v>721</v>
      </c>
      <c r="AD514" t="s">
        <v>722</v>
      </c>
      <c r="AE514" t="s">
        <v>723</v>
      </c>
      <c r="AF514" s="36">
        <v>524898</v>
      </c>
      <c r="AG514" s="36">
        <v>524898</v>
      </c>
      <c r="AH514" s="24"/>
      <c r="AJ514" s="34"/>
      <c r="AK514" t="s">
        <v>923</v>
      </c>
      <c r="AL514" t="s">
        <v>287</v>
      </c>
      <c r="AM514" s="34" t="s">
        <v>925</v>
      </c>
      <c r="AN514" s="34">
        <v>43032</v>
      </c>
      <c r="AO514" s="24">
        <v>13</v>
      </c>
      <c r="AP514" t="s">
        <v>931</v>
      </c>
      <c r="AR514" s="35"/>
      <c r="AS514"/>
      <c r="AT514" s="34"/>
      <c r="AV514" s="34"/>
      <c r="AX514" s="34"/>
      <c r="AY514"/>
      <c r="BA514" s="34"/>
      <c r="BB514"/>
      <c r="BC514" t="s">
        <v>728</v>
      </c>
      <c r="BD514" s="36">
        <v>524898</v>
      </c>
      <c r="BE514" s="36">
        <v>524898</v>
      </c>
      <c r="BF514">
        <v>0</v>
      </c>
      <c r="BG514" s="34">
        <v>43221</v>
      </c>
      <c r="BH514">
        <v>60</v>
      </c>
      <c r="BI514" t="s">
        <v>283</v>
      </c>
      <c r="BJ514" t="s">
        <v>928</v>
      </c>
      <c r="BK514" t="s">
        <v>234</v>
      </c>
      <c r="BL514" t="s">
        <v>194</v>
      </c>
      <c r="BM514" s="8" t="s">
        <v>192</v>
      </c>
      <c r="BN514" t="s">
        <v>189</v>
      </c>
      <c r="BO514" t="s">
        <v>190</v>
      </c>
      <c r="BP514" s="35" t="s">
        <v>726</v>
      </c>
      <c r="BQ514"/>
      <c r="BU514" s="35"/>
      <c r="BV514" s="35"/>
      <c r="BX514"/>
      <c r="CA514" s="35"/>
      <c r="CB514" s="35"/>
      <c r="CC514"/>
      <c r="CG514" s="35"/>
      <c r="CH514" s="35"/>
      <c r="CK514"/>
      <c r="CM514" s="35"/>
      <c r="CN514" s="35"/>
      <c r="CQ514"/>
      <c r="CS514" s="35"/>
      <c r="CT514" s="35"/>
      <c r="CX514"/>
      <c r="CZ514" s="35"/>
      <c r="DD514" s="34"/>
      <c r="DG514" t="s">
        <v>725</v>
      </c>
      <c r="DH514" t="s">
        <v>932</v>
      </c>
      <c r="DI514" t="s">
        <v>286</v>
      </c>
      <c r="DL514" t="s">
        <v>662</v>
      </c>
      <c r="DM514">
        <v>4</v>
      </c>
      <c r="DN514">
        <v>9</v>
      </c>
      <c r="DO514" t="s">
        <v>727</v>
      </c>
      <c r="DQ514" t="s">
        <v>927</v>
      </c>
      <c r="DR514">
        <v>14</v>
      </c>
      <c r="DS514">
        <v>0</v>
      </c>
      <c r="DU514">
        <v>14</v>
      </c>
      <c r="DV514">
        <v>0</v>
      </c>
      <c r="DX514">
        <v>14</v>
      </c>
      <c r="DY514">
        <v>0</v>
      </c>
      <c r="DZ514" t="s">
        <v>246</v>
      </c>
      <c r="EA514" t="s">
        <v>929</v>
      </c>
    </row>
    <row r="515" spans="1:131" x14ac:dyDescent="0.4">
      <c r="A515" s="34">
        <v>43067.305104166669</v>
      </c>
      <c r="B515" s="25">
        <v>42933.547222222223</v>
      </c>
      <c r="D515" s="34"/>
      <c r="E515" s="34" t="s">
        <v>193</v>
      </c>
      <c r="F515" s="34" t="s">
        <v>191</v>
      </c>
      <c r="G515" s="34" t="s">
        <v>100</v>
      </c>
      <c r="H515" t="s">
        <v>279</v>
      </c>
      <c r="I515" t="s">
        <v>243</v>
      </c>
      <c r="J515" t="s">
        <v>712</v>
      </c>
      <c r="K515" t="s">
        <v>713</v>
      </c>
      <c r="L515" t="s">
        <v>711</v>
      </c>
      <c r="M515" s="30">
        <v>3.13</v>
      </c>
      <c r="N515">
        <v>6.25</v>
      </c>
      <c r="P515" s="24" t="str">
        <f>IFERROR(MID(RADataTable[[#This Row],[RATemplate]],1,LEN(RADataTable[[#This Row],[RATemplate]])-8),"RA") &amp; " " &amp; RADataTable[[#This Row],[prop_id0]] &amp; " " &amp; RADataTable[[#This Row],[last0]]</f>
        <v>RA 1749385 Wang</v>
      </c>
      <c r="T515">
        <v>4</v>
      </c>
      <c r="U515">
        <v>4</v>
      </c>
      <c r="V515" s="34">
        <v>43030.179166666669</v>
      </c>
      <c r="W515">
        <v>1</v>
      </c>
      <c r="X515" s="15" t="str">
        <f>HYPERLINK("https://www.ejacket.nsf.gov/ej/showProposal.do?Continue=Y&amp;ID="&amp;RADataTable[[#This Row],[prop_id0]],"eJ")</f>
        <v>eJ</v>
      </c>
      <c r="Y515" s="15" t="str">
        <f>HYPERLINK("mailto:"&amp;RADataTable[[#This Row],[email]]&amp;"&amp;subject=Your NSF Proposal:  "&amp;RADataTable[[#This Row],[Div]]&amp;" "&amp;RADataTable[[#This Row],[prop_id0]], RADataTable[[#This Row],[email]])</f>
        <v>haitao.wang@usu.edu</v>
      </c>
      <c r="Z515" s="15" t="str">
        <f>HYPERLINK("mailto:"&amp;RADataTable[[#This Row],[allPIemail]]&amp;"&amp;subject=NSF Proposal:  "&amp;RADataTable[[#This Row],[Div]]&amp;" "&amp;RADataTable[[#This Row],[prop_id0]], "PIs@")</f>
        <v>PIs@</v>
      </c>
      <c r="AA515" t="s">
        <v>245</v>
      </c>
      <c r="AB515" t="s">
        <v>662</v>
      </c>
      <c r="AC515" s="30" t="s">
        <v>721</v>
      </c>
      <c r="AD515" t="s">
        <v>722</v>
      </c>
      <c r="AE515" t="s">
        <v>723</v>
      </c>
      <c r="AF515" s="36">
        <v>524898</v>
      </c>
      <c r="AG515" s="36">
        <v>524898</v>
      </c>
      <c r="AH515" s="24"/>
      <c r="AJ515" s="34"/>
      <c r="AK515" t="s">
        <v>923</v>
      </c>
      <c r="AL515" t="s">
        <v>287</v>
      </c>
      <c r="AM515" s="34" t="s">
        <v>925</v>
      </c>
      <c r="AN515" s="34">
        <v>43032</v>
      </c>
      <c r="AO515" s="24">
        <v>13</v>
      </c>
      <c r="AP515" t="s">
        <v>931</v>
      </c>
      <c r="AR515" s="35"/>
      <c r="AS515"/>
      <c r="AT515" s="34"/>
      <c r="AV515" s="34"/>
      <c r="AX515" s="34"/>
      <c r="AY515"/>
      <c r="BA515" s="34"/>
      <c r="BB515"/>
      <c r="BC515" t="s">
        <v>728</v>
      </c>
      <c r="BD515" s="36">
        <v>524898</v>
      </c>
      <c r="BE515" s="36">
        <v>524898</v>
      </c>
      <c r="BF515">
        <v>0</v>
      </c>
      <c r="BG515" s="34">
        <v>43221</v>
      </c>
      <c r="BH515">
        <v>60</v>
      </c>
      <c r="BI515" t="s">
        <v>283</v>
      </c>
      <c r="BJ515" t="s">
        <v>928</v>
      </c>
      <c r="BK515" t="s">
        <v>234</v>
      </c>
      <c r="BL515" t="s">
        <v>194</v>
      </c>
      <c r="BM515" s="8" t="s">
        <v>192</v>
      </c>
      <c r="BN515" t="s">
        <v>189</v>
      </c>
      <c r="BO515" t="s">
        <v>190</v>
      </c>
      <c r="BP515" s="35" t="s">
        <v>726</v>
      </c>
      <c r="BQ515"/>
      <c r="BU515" s="35"/>
      <c r="BV515" s="35"/>
      <c r="BX515"/>
      <c r="CA515" s="35"/>
      <c r="CB515" s="35"/>
      <c r="CC515"/>
      <c r="CG515" s="35"/>
      <c r="CH515" s="35"/>
      <c r="CK515"/>
      <c r="CM515" s="35"/>
      <c r="CN515" s="35"/>
      <c r="CQ515"/>
      <c r="CS515" s="35"/>
      <c r="CT515" s="35"/>
      <c r="CX515"/>
      <c r="CZ515" s="35"/>
      <c r="DD515" s="34"/>
      <c r="DG515" t="s">
        <v>725</v>
      </c>
      <c r="DH515" t="s">
        <v>932</v>
      </c>
      <c r="DI515" t="s">
        <v>286</v>
      </c>
      <c r="DL515" t="s">
        <v>662</v>
      </c>
      <c r="DM515">
        <v>4</v>
      </c>
      <c r="DN515">
        <v>9</v>
      </c>
      <c r="DO515" t="s">
        <v>727</v>
      </c>
      <c r="DQ515" t="s">
        <v>927</v>
      </c>
      <c r="DR515">
        <v>14</v>
      </c>
      <c r="DS515">
        <v>0</v>
      </c>
      <c r="DU515">
        <v>14</v>
      </c>
      <c r="DV515">
        <v>0</v>
      </c>
      <c r="DX515">
        <v>14</v>
      </c>
      <c r="DY515">
        <v>0</v>
      </c>
      <c r="DZ515" t="s">
        <v>246</v>
      </c>
      <c r="EA515" t="s">
        <v>929</v>
      </c>
    </row>
    <row r="516" spans="1:131" x14ac:dyDescent="0.4">
      <c r="A516" s="34">
        <v>43067.305104166669</v>
      </c>
      <c r="B516" s="25">
        <v>42933.547222222223</v>
      </c>
      <c r="D516" s="34"/>
      <c r="E516" s="34" t="s">
        <v>193</v>
      </c>
      <c r="F516" s="34" t="s">
        <v>191</v>
      </c>
      <c r="G516" s="34" t="s">
        <v>100</v>
      </c>
      <c r="H516" t="s">
        <v>279</v>
      </c>
      <c r="I516" t="s">
        <v>243</v>
      </c>
      <c r="J516" t="s">
        <v>712</v>
      </c>
      <c r="K516" t="s">
        <v>713</v>
      </c>
      <c r="L516" t="s">
        <v>711</v>
      </c>
      <c r="M516" s="30">
        <v>3.13</v>
      </c>
      <c r="N516">
        <v>6.25</v>
      </c>
      <c r="P516" s="24" t="str">
        <f>IFERROR(MID(RADataTable[[#This Row],[RATemplate]],1,LEN(RADataTable[[#This Row],[RATemplate]])-8),"RA") &amp; " " &amp; RADataTable[[#This Row],[prop_id0]] &amp; " " &amp; RADataTable[[#This Row],[last0]]</f>
        <v>RA 1749385 Wang</v>
      </c>
      <c r="T516">
        <v>4</v>
      </c>
      <c r="U516">
        <v>4</v>
      </c>
      <c r="V516" s="34">
        <v>43030.179166666669</v>
      </c>
      <c r="W516">
        <v>1</v>
      </c>
      <c r="X516" s="15" t="str">
        <f>HYPERLINK("https://www.ejacket.nsf.gov/ej/showProposal.do?Continue=Y&amp;ID="&amp;RADataTable[[#This Row],[prop_id0]],"eJ")</f>
        <v>eJ</v>
      </c>
      <c r="Y516" s="15" t="str">
        <f>HYPERLINK("mailto:"&amp;RADataTable[[#This Row],[email]]&amp;"&amp;subject=Your NSF Proposal:  "&amp;RADataTable[[#This Row],[Div]]&amp;" "&amp;RADataTable[[#This Row],[prop_id0]], RADataTable[[#This Row],[email]])</f>
        <v>haitao.wang@usu.edu</v>
      </c>
      <c r="Z516" s="15" t="str">
        <f>HYPERLINK("mailto:"&amp;RADataTable[[#This Row],[allPIemail]]&amp;"&amp;subject=NSF Proposal:  "&amp;RADataTable[[#This Row],[Div]]&amp;" "&amp;RADataTable[[#This Row],[prop_id0]], "PIs@")</f>
        <v>PIs@</v>
      </c>
      <c r="AA516" t="s">
        <v>245</v>
      </c>
      <c r="AB516" t="s">
        <v>662</v>
      </c>
      <c r="AC516" s="30" t="s">
        <v>721</v>
      </c>
      <c r="AD516" t="s">
        <v>722</v>
      </c>
      <c r="AE516" t="s">
        <v>723</v>
      </c>
      <c r="AF516" s="36">
        <v>524898</v>
      </c>
      <c r="AG516" s="36">
        <v>524898</v>
      </c>
      <c r="AH516" s="24"/>
      <c r="AJ516" s="34"/>
      <c r="AK516" t="s">
        <v>923</v>
      </c>
      <c r="AL516" t="s">
        <v>287</v>
      </c>
      <c r="AM516" s="34" t="s">
        <v>925</v>
      </c>
      <c r="AN516" s="34">
        <v>43032</v>
      </c>
      <c r="AO516" s="24">
        <v>13</v>
      </c>
      <c r="AP516" t="s">
        <v>931</v>
      </c>
      <c r="AR516" s="35"/>
      <c r="AS516"/>
      <c r="AT516" s="34"/>
      <c r="AV516" s="34"/>
      <c r="AX516" s="34"/>
      <c r="AY516"/>
      <c r="BA516" s="34"/>
      <c r="BB516"/>
      <c r="BC516" t="s">
        <v>728</v>
      </c>
      <c r="BD516" s="36">
        <v>524898</v>
      </c>
      <c r="BE516" s="36">
        <v>524898</v>
      </c>
      <c r="BF516">
        <v>0</v>
      </c>
      <c r="BG516" s="34">
        <v>43221</v>
      </c>
      <c r="BH516">
        <v>60</v>
      </c>
      <c r="BI516" t="s">
        <v>283</v>
      </c>
      <c r="BJ516" t="s">
        <v>928</v>
      </c>
      <c r="BK516" t="s">
        <v>234</v>
      </c>
      <c r="BL516" t="s">
        <v>194</v>
      </c>
      <c r="BM516" s="8" t="s">
        <v>192</v>
      </c>
      <c r="BN516" t="s">
        <v>189</v>
      </c>
      <c r="BO516" t="s">
        <v>190</v>
      </c>
      <c r="BP516" s="35" t="s">
        <v>726</v>
      </c>
      <c r="BQ516"/>
      <c r="BU516" s="35"/>
      <c r="BV516" s="35"/>
      <c r="BX516"/>
      <c r="CA516" s="35"/>
      <c r="CB516" s="35"/>
      <c r="CC516"/>
      <c r="CG516" s="35"/>
      <c r="CH516" s="35"/>
      <c r="CK516"/>
      <c r="CM516" s="35"/>
      <c r="CN516" s="35"/>
      <c r="CQ516"/>
      <c r="CS516" s="35"/>
      <c r="CT516" s="35"/>
      <c r="CX516"/>
      <c r="CZ516" s="35"/>
      <c r="DD516" s="34"/>
      <c r="DG516" t="s">
        <v>725</v>
      </c>
      <c r="DH516" t="s">
        <v>932</v>
      </c>
      <c r="DI516" t="s">
        <v>286</v>
      </c>
      <c r="DL516" t="s">
        <v>662</v>
      </c>
      <c r="DM516">
        <v>4</v>
      </c>
      <c r="DN516">
        <v>9</v>
      </c>
      <c r="DO516" t="s">
        <v>727</v>
      </c>
      <c r="DQ516" t="s">
        <v>927</v>
      </c>
      <c r="DR516">
        <v>14</v>
      </c>
      <c r="DS516">
        <v>0</v>
      </c>
      <c r="DU516">
        <v>14</v>
      </c>
      <c r="DV516">
        <v>0</v>
      </c>
      <c r="DX516">
        <v>14</v>
      </c>
      <c r="DY516">
        <v>0</v>
      </c>
      <c r="DZ516" t="s">
        <v>246</v>
      </c>
      <c r="EA516" t="s">
        <v>929</v>
      </c>
    </row>
    <row r="517" spans="1:131" x14ac:dyDescent="0.4">
      <c r="A517" s="34">
        <v>43067.305104166669</v>
      </c>
      <c r="B517" s="25">
        <v>42933.547222222223</v>
      </c>
      <c r="D517" s="34"/>
      <c r="E517" s="34" t="s">
        <v>193</v>
      </c>
      <c r="F517" s="34" t="s">
        <v>191</v>
      </c>
      <c r="G517" s="34" t="s">
        <v>100</v>
      </c>
      <c r="H517" t="s">
        <v>279</v>
      </c>
      <c r="I517" t="s">
        <v>243</v>
      </c>
      <c r="J517" t="s">
        <v>712</v>
      </c>
      <c r="K517" t="s">
        <v>713</v>
      </c>
      <c r="L517" t="s">
        <v>711</v>
      </c>
      <c r="M517" s="30">
        <v>3.13</v>
      </c>
      <c r="N517">
        <v>6.25</v>
      </c>
      <c r="P517" s="24" t="str">
        <f>IFERROR(MID(RADataTable[[#This Row],[RATemplate]],1,LEN(RADataTable[[#This Row],[RATemplate]])-8),"RA") &amp; " " &amp; RADataTable[[#This Row],[prop_id0]] &amp; " " &amp; RADataTable[[#This Row],[last0]]</f>
        <v>RA 1749385 Wang</v>
      </c>
      <c r="T517">
        <v>4</v>
      </c>
      <c r="U517">
        <v>4</v>
      </c>
      <c r="V517" s="34">
        <v>43030.179166666669</v>
      </c>
      <c r="W517">
        <v>1</v>
      </c>
      <c r="X517" s="15" t="str">
        <f>HYPERLINK("https://www.ejacket.nsf.gov/ej/showProposal.do?Continue=Y&amp;ID="&amp;RADataTable[[#This Row],[prop_id0]],"eJ")</f>
        <v>eJ</v>
      </c>
      <c r="Y517" s="15" t="str">
        <f>HYPERLINK("mailto:"&amp;RADataTable[[#This Row],[email]]&amp;"&amp;subject=Your NSF Proposal:  "&amp;RADataTable[[#This Row],[Div]]&amp;" "&amp;RADataTable[[#This Row],[prop_id0]], RADataTable[[#This Row],[email]])</f>
        <v>haitao.wang@usu.edu</v>
      </c>
      <c r="Z517" s="15" t="str">
        <f>HYPERLINK("mailto:"&amp;RADataTable[[#This Row],[allPIemail]]&amp;"&amp;subject=NSF Proposal:  "&amp;RADataTable[[#This Row],[Div]]&amp;" "&amp;RADataTable[[#This Row],[prop_id0]], "PIs@")</f>
        <v>PIs@</v>
      </c>
      <c r="AA517" t="s">
        <v>245</v>
      </c>
      <c r="AB517" t="s">
        <v>662</v>
      </c>
      <c r="AC517" s="30" t="s">
        <v>721</v>
      </c>
      <c r="AD517" t="s">
        <v>722</v>
      </c>
      <c r="AE517" t="s">
        <v>723</v>
      </c>
      <c r="AF517" s="36">
        <v>524898</v>
      </c>
      <c r="AG517" s="36">
        <v>524898</v>
      </c>
      <c r="AH517" s="24"/>
      <c r="AJ517" s="34"/>
      <c r="AK517" t="s">
        <v>923</v>
      </c>
      <c r="AL517" t="s">
        <v>287</v>
      </c>
      <c r="AM517" s="34" t="s">
        <v>925</v>
      </c>
      <c r="AN517" s="34">
        <v>43032</v>
      </c>
      <c r="AO517" s="24">
        <v>13</v>
      </c>
      <c r="AP517" t="s">
        <v>931</v>
      </c>
      <c r="AR517" s="35"/>
      <c r="AS517"/>
      <c r="AT517" s="34"/>
      <c r="AV517" s="34"/>
      <c r="AX517" s="34"/>
      <c r="AY517"/>
      <c r="BA517" s="34"/>
      <c r="BB517"/>
      <c r="BC517" t="s">
        <v>728</v>
      </c>
      <c r="BD517" s="36">
        <v>524898</v>
      </c>
      <c r="BE517" s="36">
        <v>524898</v>
      </c>
      <c r="BF517">
        <v>0</v>
      </c>
      <c r="BG517" s="34">
        <v>43221</v>
      </c>
      <c r="BH517">
        <v>60</v>
      </c>
      <c r="BI517" t="s">
        <v>283</v>
      </c>
      <c r="BJ517" t="s">
        <v>928</v>
      </c>
      <c r="BK517" t="s">
        <v>234</v>
      </c>
      <c r="BL517" t="s">
        <v>194</v>
      </c>
      <c r="BM517" s="8" t="s">
        <v>192</v>
      </c>
      <c r="BN517" t="s">
        <v>189</v>
      </c>
      <c r="BO517" t="s">
        <v>190</v>
      </c>
      <c r="BP517" s="35" t="s">
        <v>726</v>
      </c>
      <c r="BQ517"/>
      <c r="BU517" s="35"/>
      <c r="BV517" s="35"/>
      <c r="BX517"/>
      <c r="CA517" s="35"/>
      <c r="CB517" s="35"/>
      <c r="CC517"/>
      <c r="CG517" s="35"/>
      <c r="CH517" s="35"/>
      <c r="CK517"/>
      <c r="CM517" s="35"/>
      <c r="CN517" s="35"/>
      <c r="CQ517"/>
      <c r="CS517" s="35"/>
      <c r="CT517" s="35"/>
      <c r="CX517"/>
      <c r="CZ517" s="35"/>
      <c r="DD517" s="34"/>
      <c r="DG517" t="s">
        <v>725</v>
      </c>
      <c r="DH517" t="s">
        <v>932</v>
      </c>
      <c r="DI517" t="s">
        <v>286</v>
      </c>
      <c r="DL517" t="s">
        <v>662</v>
      </c>
      <c r="DM517">
        <v>4</v>
      </c>
      <c r="DN517">
        <v>9</v>
      </c>
      <c r="DO517" t="s">
        <v>727</v>
      </c>
      <c r="DQ517" t="s">
        <v>927</v>
      </c>
      <c r="DR517">
        <v>14</v>
      </c>
      <c r="DS517">
        <v>0</v>
      </c>
      <c r="DU517">
        <v>14</v>
      </c>
      <c r="DV517">
        <v>0</v>
      </c>
      <c r="DX517">
        <v>14</v>
      </c>
      <c r="DY517">
        <v>0</v>
      </c>
      <c r="DZ517" t="s">
        <v>246</v>
      </c>
      <c r="EA517" t="s">
        <v>929</v>
      </c>
    </row>
    <row r="518" spans="1:131" x14ac:dyDescent="0.4">
      <c r="A518" s="34">
        <v>43067.305104166669</v>
      </c>
      <c r="B518" s="25">
        <v>42933.547222222223</v>
      </c>
      <c r="D518" s="34"/>
      <c r="E518" s="34" t="s">
        <v>193</v>
      </c>
      <c r="F518" s="34" t="s">
        <v>191</v>
      </c>
      <c r="G518" s="34" t="s">
        <v>100</v>
      </c>
      <c r="H518" t="s">
        <v>279</v>
      </c>
      <c r="I518" t="s">
        <v>243</v>
      </c>
      <c r="J518" t="s">
        <v>712</v>
      </c>
      <c r="K518" t="s">
        <v>713</v>
      </c>
      <c r="L518" t="s">
        <v>711</v>
      </c>
      <c r="M518" s="30">
        <v>3.13</v>
      </c>
      <c r="N518">
        <v>6.25</v>
      </c>
      <c r="P518" s="24" t="str">
        <f>IFERROR(MID(RADataTable[[#This Row],[RATemplate]],1,LEN(RADataTable[[#This Row],[RATemplate]])-8),"RA") &amp; " " &amp; RADataTable[[#This Row],[prop_id0]] &amp; " " &amp; RADataTable[[#This Row],[last0]]</f>
        <v>RA 1749385 Wang</v>
      </c>
      <c r="T518">
        <v>4</v>
      </c>
      <c r="U518">
        <v>4</v>
      </c>
      <c r="V518" s="34">
        <v>43030.179166666669</v>
      </c>
      <c r="W518">
        <v>1</v>
      </c>
      <c r="X518" s="15" t="str">
        <f>HYPERLINK("https://www.ejacket.nsf.gov/ej/showProposal.do?Continue=Y&amp;ID="&amp;RADataTable[[#This Row],[prop_id0]],"eJ")</f>
        <v>eJ</v>
      </c>
      <c r="Y518" s="15" t="str">
        <f>HYPERLINK("mailto:"&amp;RADataTable[[#This Row],[email]]&amp;"&amp;subject=Your NSF Proposal:  "&amp;RADataTable[[#This Row],[Div]]&amp;" "&amp;RADataTable[[#This Row],[prop_id0]], RADataTable[[#This Row],[email]])</f>
        <v>haitao.wang@usu.edu</v>
      </c>
      <c r="Z518" s="15" t="str">
        <f>HYPERLINK("mailto:"&amp;RADataTable[[#This Row],[allPIemail]]&amp;"&amp;subject=NSF Proposal:  "&amp;RADataTable[[#This Row],[Div]]&amp;" "&amp;RADataTable[[#This Row],[prop_id0]], "PIs@")</f>
        <v>PIs@</v>
      </c>
      <c r="AA518" t="s">
        <v>245</v>
      </c>
      <c r="AB518" t="s">
        <v>662</v>
      </c>
      <c r="AC518" s="30" t="s">
        <v>721</v>
      </c>
      <c r="AD518" t="s">
        <v>722</v>
      </c>
      <c r="AE518" t="s">
        <v>723</v>
      </c>
      <c r="AF518" s="36">
        <v>524898</v>
      </c>
      <c r="AG518" s="36">
        <v>524898</v>
      </c>
      <c r="AH518" s="24"/>
      <c r="AJ518" s="34"/>
      <c r="AK518" t="s">
        <v>923</v>
      </c>
      <c r="AL518" t="s">
        <v>287</v>
      </c>
      <c r="AM518" s="34" t="s">
        <v>925</v>
      </c>
      <c r="AN518" s="34">
        <v>43032</v>
      </c>
      <c r="AO518" s="24">
        <v>13</v>
      </c>
      <c r="AP518" t="s">
        <v>931</v>
      </c>
      <c r="AR518" s="35"/>
      <c r="AS518"/>
      <c r="AT518" s="34"/>
      <c r="AV518" s="34"/>
      <c r="AX518" s="34"/>
      <c r="AY518"/>
      <c r="BA518" s="34"/>
      <c r="BB518"/>
      <c r="BC518" t="s">
        <v>728</v>
      </c>
      <c r="BD518" s="36">
        <v>524898</v>
      </c>
      <c r="BE518" s="36">
        <v>524898</v>
      </c>
      <c r="BF518">
        <v>0</v>
      </c>
      <c r="BG518" s="34">
        <v>43221</v>
      </c>
      <c r="BH518">
        <v>60</v>
      </c>
      <c r="BI518" t="s">
        <v>283</v>
      </c>
      <c r="BJ518" t="s">
        <v>928</v>
      </c>
      <c r="BK518" t="s">
        <v>234</v>
      </c>
      <c r="BL518" t="s">
        <v>194</v>
      </c>
      <c r="BM518" s="8" t="s">
        <v>192</v>
      </c>
      <c r="BN518" t="s">
        <v>189</v>
      </c>
      <c r="BO518" t="s">
        <v>190</v>
      </c>
      <c r="BP518" s="35" t="s">
        <v>726</v>
      </c>
      <c r="BQ518"/>
      <c r="BU518" s="35"/>
      <c r="BV518" s="35"/>
      <c r="BX518"/>
      <c r="CA518" s="35"/>
      <c r="CB518" s="35"/>
      <c r="CC518"/>
      <c r="CG518" s="35"/>
      <c r="CH518" s="35"/>
      <c r="CK518"/>
      <c r="CM518" s="35"/>
      <c r="CN518" s="35"/>
      <c r="CQ518"/>
      <c r="CS518" s="35"/>
      <c r="CT518" s="35"/>
      <c r="CX518"/>
      <c r="CZ518" s="35"/>
      <c r="DD518" s="34"/>
      <c r="DG518" t="s">
        <v>725</v>
      </c>
      <c r="DH518" t="s">
        <v>932</v>
      </c>
      <c r="DI518" t="s">
        <v>286</v>
      </c>
      <c r="DL518" t="s">
        <v>662</v>
      </c>
      <c r="DM518">
        <v>4</v>
      </c>
      <c r="DN518">
        <v>9</v>
      </c>
      <c r="DO518" t="s">
        <v>727</v>
      </c>
      <c r="DQ518" t="s">
        <v>927</v>
      </c>
      <c r="DR518">
        <v>14</v>
      </c>
      <c r="DS518">
        <v>0</v>
      </c>
      <c r="DU518">
        <v>14</v>
      </c>
      <c r="DV518">
        <v>0</v>
      </c>
      <c r="DX518">
        <v>14</v>
      </c>
      <c r="DY518">
        <v>0</v>
      </c>
      <c r="DZ518" t="s">
        <v>246</v>
      </c>
      <c r="EA518" t="s">
        <v>929</v>
      </c>
    </row>
    <row r="519" spans="1:131" x14ac:dyDescent="0.4">
      <c r="A519" s="34">
        <v>43067.305104166669</v>
      </c>
      <c r="B519" s="25">
        <v>42933.547222222223</v>
      </c>
      <c r="D519" s="34"/>
      <c r="E519" s="34" t="s">
        <v>193</v>
      </c>
      <c r="F519" s="34" t="s">
        <v>191</v>
      </c>
      <c r="G519" s="34" t="s">
        <v>100</v>
      </c>
      <c r="H519" t="s">
        <v>279</v>
      </c>
      <c r="I519" t="s">
        <v>243</v>
      </c>
      <c r="J519" t="s">
        <v>712</v>
      </c>
      <c r="K519" t="s">
        <v>713</v>
      </c>
      <c r="L519" t="s">
        <v>711</v>
      </c>
      <c r="M519" s="30">
        <v>3.13</v>
      </c>
      <c r="N519">
        <v>6.25</v>
      </c>
      <c r="P519" s="24" t="str">
        <f>IFERROR(MID(RADataTable[[#This Row],[RATemplate]],1,LEN(RADataTable[[#This Row],[RATemplate]])-8),"RA") &amp; " " &amp; RADataTable[[#This Row],[prop_id0]] &amp; " " &amp; RADataTable[[#This Row],[last0]]</f>
        <v>RA 1749385 Wang</v>
      </c>
      <c r="T519">
        <v>4</v>
      </c>
      <c r="U519">
        <v>4</v>
      </c>
      <c r="V519" s="34">
        <v>43030.179166666669</v>
      </c>
      <c r="W519">
        <v>1</v>
      </c>
      <c r="X519" s="15" t="str">
        <f>HYPERLINK("https://www.ejacket.nsf.gov/ej/showProposal.do?Continue=Y&amp;ID="&amp;RADataTable[[#This Row],[prop_id0]],"eJ")</f>
        <v>eJ</v>
      </c>
      <c r="Y519" s="15" t="str">
        <f>HYPERLINK("mailto:"&amp;RADataTable[[#This Row],[email]]&amp;"&amp;subject=Your NSF Proposal:  "&amp;RADataTable[[#This Row],[Div]]&amp;" "&amp;RADataTable[[#This Row],[prop_id0]], RADataTable[[#This Row],[email]])</f>
        <v>haitao.wang@usu.edu</v>
      </c>
      <c r="Z519" s="15" t="str">
        <f>HYPERLINK("mailto:"&amp;RADataTable[[#This Row],[allPIemail]]&amp;"&amp;subject=NSF Proposal:  "&amp;RADataTable[[#This Row],[Div]]&amp;" "&amp;RADataTable[[#This Row],[prop_id0]], "PIs@")</f>
        <v>PIs@</v>
      </c>
      <c r="AA519" t="s">
        <v>245</v>
      </c>
      <c r="AB519" t="s">
        <v>662</v>
      </c>
      <c r="AC519" s="30" t="s">
        <v>721</v>
      </c>
      <c r="AD519" t="s">
        <v>722</v>
      </c>
      <c r="AE519" t="s">
        <v>723</v>
      </c>
      <c r="AF519" s="36">
        <v>524898</v>
      </c>
      <c r="AG519" s="36">
        <v>524898</v>
      </c>
      <c r="AH519" s="24"/>
      <c r="AJ519" s="34"/>
      <c r="AK519" t="s">
        <v>923</v>
      </c>
      <c r="AL519" t="s">
        <v>287</v>
      </c>
      <c r="AM519" s="34" t="s">
        <v>925</v>
      </c>
      <c r="AN519" s="34">
        <v>43032</v>
      </c>
      <c r="AO519" s="24">
        <v>13</v>
      </c>
      <c r="AP519" t="s">
        <v>931</v>
      </c>
      <c r="AR519" s="35"/>
      <c r="AS519"/>
      <c r="AT519" s="34"/>
      <c r="AV519" s="34"/>
      <c r="AX519" s="34"/>
      <c r="AY519"/>
      <c r="BA519" s="34"/>
      <c r="BB519"/>
      <c r="BC519" t="s">
        <v>728</v>
      </c>
      <c r="BD519" s="36">
        <v>524898</v>
      </c>
      <c r="BE519" s="36">
        <v>524898</v>
      </c>
      <c r="BF519">
        <v>0</v>
      </c>
      <c r="BG519" s="34">
        <v>43221</v>
      </c>
      <c r="BH519">
        <v>60</v>
      </c>
      <c r="BI519" t="s">
        <v>283</v>
      </c>
      <c r="BJ519" t="s">
        <v>928</v>
      </c>
      <c r="BK519" t="s">
        <v>234</v>
      </c>
      <c r="BL519" t="s">
        <v>194</v>
      </c>
      <c r="BM519" s="8" t="s">
        <v>192</v>
      </c>
      <c r="BN519" t="s">
        <v>189</v>
      </c>
      <c r="BO519" t="s">
        <v>190</v>
      </c>
      <c r="BP519" s="35" t="s">
        <v>726</v>
      </c>
      <c r="BQ519"/>
      <c r="BU519" s="35"/>
      <c r="BV519" s="35"/>
      <c r="BX519"/>
      <c r="CA519" s="35"/>
      <c r="CB519" s="35"/>
      <c r="CC519"/>
      <c r="CG519" s="35"/>
      <c r="CH519" s="35"/>
      <c r="CK519"/>
      <c r="CM519" s="35"/>
      <c r="CN519" s="35"/>
      <c r="CQ519"/>
      <c r="CS519" s="35"/>
      <c r="CT519" s="35"/>
      <c r="CX519"/>
      <c r="CZ519" s="35"/>
      <c r="DD519" s="34"/>
      <c r="DG519" t="s">
        <v>725</v>
      </c>
      <c r="DH519" t="s">
        <v>932</v>
      </c>
      <c r="DI519" t="s">
        <v>286</v>
      </c>
      <c r="DL519" t="s">
        <v>662</v>
      </c>
      <c r="DM519">
        <v>4</v>
      </c>
      <c r="DN519">
        <v>9</v>
      </c>
      <c r="DO519" t="s">
        <v>727</v>
      </c>
      <c r="DQ519" t="s">
        <v>927</v>
      </c>
      <c r="DR519">
        <v>14</v>
      </c>
      <c r="DS519">
        <v>0</v>
      </c>
      <c r="DU519">
        <v>14</v>
      </c>
      <c r="DV519">
        <v>0</v>
      </c>
      <c r="DX519">
        <v>14</v>
      </c>
      <c r="DY519">
        <v>0</v>
      </c>
      <c r="DZ519" t="s">
        <v>246</v>
      </c>
      <c r="EA519" t="s">
        <v>929</v>
      </c>
    </row>
    <row r="520" spans="1:131" x14ac:dyDescent="0.4">
      <c r="A520" s="34">
        <v>43067.305104166669</v>
      </c>
      <c r="B520" s="25">
        <v>42933.547222222223</v>
      </c>
      <c r="D520" s="34"/>
      <c r="E520" s="34" t="s">
        <v>193</v>
      </c>
      <c r="F520" s="34" t="s">
        <v>191</v>
      </c>
      <c r="G520" s="34" t="s">
        <v>100</v>
      </c>
      <c r="H520" t="s">
        <v>279</v>
      </c>
      <c r="I520" t="s">
        <v>243</v>
      </c>
      <c r="J520" t="s">
        <v>712</v>
      </c>
      <c r="K520" t="s">
        <v>713</v>
      </c>
      <c r="L520" t="s">
        <v>711</v>
      </c>
      <c r="M520" s="30">
        <v>3.13</v>
      </c>
      <c r="N520">
        <v>6.25</v>
      </c>
      <c r="P520" s="24" t="str">
        <f>IFERROR(MID(RADataTable[[#This Row],[RATemplate]],1,LEN(RADataTable[[#This Row],[RATemplate]])-8),"RA") &amp; " " &amp; RADataTable[[#This Row],[prop_id0]] &amp; " " &amp; RADataTable[[#This Row],[last0]]</f>
        <v>RA 1749385 Wang</v>
      </c>
      <c r="T520">
        <v>4</v>
      </c>
      <c r="U520">
        <v>4</v>
      </c>
      <c r="V520" s="34">
        <v>43030.179166666669</v>
      </c>
      <c r="W520">
        <v>1</v>
      </c>
      <c r="X520" s="15" t="str">
        <f>HYPERLINK("https://www.ejacket.nsf.gov/ej/showProposal.do?Continue=Y&amp;ID="&amp;RADataTable[[#This Row],[prop_id0]],"eJ")</f>
        <v>eJ</v>
      </c>
      <c r="Y520" s="15" t="str">
        <f>HYPERLINK("mailto:"&amp;RADataTable[[#This Row],[email]]&amp;"&amp;subject=Your NSF Proposal:  "&amp;RADataTable[[#This Row],[Div]]&amp;" "&amp;RADataTable[[#This Row],[prop_id0]], RADataTable[[#This Row],[email]])</f>
        <v>haitao.wang@usu.edu</v>
      </c>
      <c r="Z520" s="15" t="str">
        <f>HYPERLINK("mailto:"&amp;RADataTable[[#This Row],[allPIemail]]&amp;"&amp;subject=NSF Proposal:  "&amp;RADataTable[[#This Row],[Div]]&amp;" "&amp;RADataTable[[#This Row],[prop_id0]], "PIs@")</f>
        <v>PIs@</v>
      </c>
      <c r="AA520" t="s">
        <v>245</v>
      </c>
      <c r="AB520" t="s">
        <v>662</v>
      </c>
      <c r="AC520" s="30" t="s">
        <v>721</v>
      </c>
      <c r="AD520" t="s">
        <v>722</v>
      </c>
      <c r="AE520" t="s">
        <v>723</v>
      </c>
      <c r="AF520" s="36">
        <v>524898</v>
      </c>
      <c r="AG520" s="36">
        <v>524898</v>
      </c>
      <c r="AH520" s="24"/>
      <c r="AJ520" s="34"/>
      <c r="AK520" t="s">
        <v>923</v>
      </c>
      <c r="AL520" t="s">
        <v>287</v>
      </c>
      <c r="AM520" s="34" t="s">
        <v>925</v>
      </c>
      <c r="AN520" s="34">
        <v>43032</v>
      </c>
      <c r="AO520" s="24">
        <v>13</v>
      </c>
      <c r="AP520" t="s">
        <v>931</v>
      </c>
      <c r="AR520" s="35"/>
      <c r="AS520"/>
      <c r="AT520" s="34"/>
      <c r="AV520" s="34"/>
      <c r="AX520" s="34"/>
      <c r="AY520"/>
      <c r="BA520" s="34"/>
      <c r="BB520"/>
      <c r="BC520" t="s">
        <v>728</v>
      </c>
      <c r="BD520" s="36">
        <v>524898</v>
      </c>
      <c r="BE520" s="36">
        <v>524898</v>
      </c>
      <c r="BF520">
        <v>0</v>
      </c>
      <c r="BG520" s="34">
        <v>43221</v>
      </c>
      <c r="BH520">
        <v>60</v>
      </c>
      <c r="BI520" t="s">
        <v>283</v>
      </c>
      <c r="BJ520" t="s">
        <v>928</v>
      </c>
      <c r="BK520" t="s">
        <v>234</v>
      </c>
      <c r="BL520" t="s">
        <v>194</v>
      </c>
      <c r="BM520" s="8" t="s">
        <v>192</v>
      </c>
      <c r="BN520" t="s">
        <v>189</v>
      </c>
      <c r="BO520" t="s">
        <v>190</v>
      </c>
      <c r="BP520" s="35" t="s">
        <v>726</v>
      </c>
      <c r="BQ520"/>
      <c r="BU520" s="35"/>
      <c r="BV520" s="35"/>
      <c r="BX520"/>
      <c r="CA520" s="35"/>
      <c r="CB520" s="35"/>
      <c r="CC520"/>
      <c r="CG520" s="35"/>
      <c r="CH520" s="35"/>
      <c r="CK520"/>
      <c r="CM520" s="35"/>
      <c r="CN520" s="35"/>
      <c r="CQ520"/>
      <c r="CS520" s="35"/>
      <c r="CT520" s="35"/>
      <c r="CX520"/>
      <c r="CZ520" s="35"/>
      <c r="DD520" s="34"/>
      <c r="DG520" t="s">
        <v>725</v>
      </c>
      <c r="DH520" t="s">
        <v>932</v>
      </c>
      <c r="DI520" t="s">
        <v>286</v>
      </c>
      <c r="DL520" t="s">
        <v>662</v>
      </c>
      <c r="DM520">
        <v>4</v>
      </c>
      <c r="DN520">
        <v>9</v>
      </c>
      <c r="DO520" t="s">
        <v>727</v>
      </c>
      <c r="DQ520" t="s">
        <v>927</v>
      </c>
      <c r="DR520">
        <v>14</v>
      </c>
      <c r="DS520">
        <v>0</v>
      </c>
      <c r="DU520">
        <v>14</v>
      </c>
      <c r="DV520">
        <v>0</v>
      </c>
      <c r="DX520">
        <v>14</v>
      </c>
      <c r="DY520">
        <v>0</v>
      </c>
      <c r="DZ520" t="s">
        <v>246</v>
      </c>
      <c r="EA520" t="s">
        <v>929</v>
      </c>
    </row>
    <row r="521" spans="1:131" x14ac:dyDescent="0.4">
      <c r="A521" s="34">
        <v>43067.305104166669</v>
      </c>
      <c r="B521" s="25">
        <v>42933.547222222223</v>
      </c>
      <c r="D521" s="34"/>
      <c r="E521" s="34" t="s">
        <v>193</v>
      </c>
      <c r="F521" s="34" t="s">
        <v>191</v>
      </c>
      <c r="G521" s="34" t="s">
        <v>100</v>
      </c>
      <c r="H521" t="s">
        <v>279</v>
      </c>
      <c r="I521" t="s">
        <v>243</v>
      </c>
      <c r="J521" t="s">
        <v>712</v>
      </c>
      <c r="K521" t="s">
        <v>713</v>
      </c>
      <c r="L521" t="s">
        <v>711</v>
      </c>
      <c r="M521" s="30">
        <v>3.13</v>
      </c>
      <c r="N521">
        <v>6.25</v>
      </c>
      <c r="P521" s="24" t="str">
        <f>IFERROR(MID(RADataTable[[#This Row],[RATemplate]],1,LEN(RADataTable[[#This Row],[RATemplate]])-8),"RA") &amp; " " &amp; RADataTable[[#This Row],[prop_id0]] &amp; " " &amp; RADataTable[[#This Row],[last0]]</f>
        <v>RA 1749385 Wang</v>
      </c>
      <c r="T521">
        <v>4</v>
      </c>
      <c r="U521">
        <v>4</v>
      </c>
      <c r="V521" s="34">
        <v>43030.179166666669</v>
      </c>
      <c r="W521">
        <v>1</v>
      </c>
      <c r="X521" s="15" t="str">
        <f>HYPERLINK("https://www.ejacket.nsf.gov/ej/showProposal.do?Continue=Y&amp;ID="&amp;RADataTable[[#This Row],[prop_id0]],"eJ")</f>
        <v>eJ</v>
      </c>
      <c r="Y521" s="15" t="str">
        <f>HYPERLINK("mailto:"&amp;RADataTable[[#This Row],[email]]&amp;"&amp;subject=Your NSF Proposal:  "&amp;RADataTable[[#This Row],[Div]]&amp;" "&amp;RADataTable[[#This Row],[prop_id0]], RADataTable[[#This Row],[email]])</f>
        <v>haitao.wang@usu.edu</v>
      </c>
      <c r="Z521" s="15" t="str">
        <f>HYPERLINK("mailto:"&amp;RADataTable[[#This Row],[allPIemail]]&amp;"&amp;subject=NSF Proposal:  "&amp;RADataTable[[#This Row],[Div]]&amp;" "&amp;RADataTable[[#This Row],[prop_id0]], "PIs@")</f>
        <v>PIs@</v>
      </c>
      <c r="AA521" t="s">
        <v>245</v>
      </c>
      <c r="AB521" t="s">
        <v>662</v>
      </c>
      <c r="AC521" s="30" t="s">
        <v>721</v>
      </c>
      <c r="AD521" t="s">
        <v>722</v>
      </c>
      <c r="AE521" t="s">
        <v>723</v>
      </c>
      <c r="AF521" s="36">
        <v>524898</v>
      </c>
      <c r="AG521" s="36">
        <v>524898</v>
      </c>
      <c r="AH521" s="24"/>
      <c r="AJ521" s="34"/>
      <c r="AK521" t="s">
        <v>923</v>
      </c>
      <c r="AL521" t="s">
        <v>287</v>
      </c>
      <c r="AM521" s="34" t="s">
        <v>925</v>
      </c>
      <c r="AN521" s="34">
        <v>43032</v>
      </c>
      <c r="AO521" s="24">
        <v>13</v>
      </c>
      <c r="AP521" t="s">
        <v>931</v>
      </c>
      <c r="AR521" s="35"/>
      <c r="AS521"/>
      <c r="AT521" s="34"/>
      <c r="AV521" s="34"/>
      <c r="AX521" s="34"/>
      <c r="AY521"/>
      <c r="BA521" s="34"/>
      <c r="BB521"/>
      <c r="BC521" t="s">
        <v>728</v>
      </c>
      <c r="BD521" s="36">
        <v>524898</v>
      </c>
      <c r="BE521" s="36">
        <v>524898</v>
      </c>
      <c r="BF521">
        <v>0</v>
      </c>
      <c r="BG521" s="34">
        <v>43221</v>
      </c>
      <c r="BH521">
        <v>60</v>
      </c>
      <c r="BI521" t="s">
        <v>283</v>
      </c>
      <c r="BJ521" t="s">
        <v>928</v>
      </c>
      <c r="BK521" t="s">
        <v>234</v>
      </c>
      <c r="BL521" t="s">
        <v>194</v>
      </c>
      <c r="BM521" s="8" t="s">
        <v>192</v>
      </c>
      <c r="BN521" t="s">
        <v>189</v>
      </c>
      <c r="BO521" t="s">
        <v>190</v>
      </c>
      <c r="BP521" s="35" t="s">
        <v>726</v>
      </c>
      <c r="BQ521"/>
      <c r="BU521" s="35"/>
      <c r="BV521" s="35"/>
      <c r="BX521"/>
      <c r="CA521" s="35"/>
      <c r="CB521" s="35"/>
      <c r="CC521"/>
      <c r="CG521" s="35"/>
      <c r="CH521" s="35"/>
      <c r="CK521"/>
      <c r="CM521" s="35"/>
      <c r="CN521" s="35"/>
      <c r="CQ521"/>
      <c r="CS521" s="35"/>
      <c r="CT521" s="35"/>
      <c r="CX521"/>
      <c r="CZ521" s="35"/>
      <c r="DD521" s="34"/>
      <c r="DG521" t="s">
        <v>725</v>
      </c>
      <c r="DH521" t="s">
        <v>932</v>
      </c>
      <c r="DI521" t="s">
        <v>286</v>
      </c>
      <c r="DL521" t="s">
        <v>662</v>
      </c>
      <c r="DM521">
        <v>4</v>
      </c>
      <c r="DN521">
        <v>9</v>
      </c>
      <c r="DO521" t="s">
        <v>727</v>
      </c>
      <c r="DQ521" t="s">
        <v>927</v>
      </c>
      <c r="DR521">
        <v>14</v>
      </c>
      <c r="DS521">
        <v>0</v>
      </c>
      <c r="DU521">
        <v>14</v>
      </c>
      <c r="DV521">
        <v>0</v>
      </c>
      <c r="DX521">
        <v>14</v>
      </c>
      <c r="DY521">
        <v>0</v>
      </c>
      <c r="DZ521" t="s">
        <v>246</v>
      </c>
      <c r="EA521" t="s">
        <v>929</v>
      </c>
    </row>
    <row r="522" spans="1:131" x14ac:dyDescent="0.4">
      <c r="A522" s="34">
        <v>43067.305104166669</v>
      </c>
      <c r="B522" s="25">
        <v>42933.547222222223</v>
      </c>
      <c r="D522" s="34"/>
      <c r="E522" s="34" t="s">
        <v>193</v>
      </c>
      <c r="F522" s="34" t="s">
        <v>191</v>
      </c>
      <c r="G522" s="34" t="s">
        <v>100</v>
      </c>
      <c r="H522" t="s">
        <v>279</v>
      </c>
      <c r="I522" t="s">
        <v>243</v>
      </c>
      <c r="J522" t="s">
        <v>712</v>
      </c>
      <c r="K522" t="s">
        <v>713</v>
      </c>
      <c r="L522" t="s">
        <v>711</v>
      </c>
      <c r="M522" s="30">
        <v>3.13</v>
      </c>
      <c r="N522">
        <v>6.25</v>
      </c>
      <c r="P522" s="24" t="str">
        <f>IFERROR(MID(RADataTable[[#This Row],[RATemplate]],1,LEN(RADataTable[[#This Row],[RATemplate]])-8),"RA") &amp; " " &amp; RADataTable[[#This Row],[prop_id0]] &amp; " " &amp; RADataTable[[#This Row],[last0]]</f>
        <v>RA 1749385 Wang</v>
      </c>
      <c r="T522">
        <v>4</v>
      </c>
      <c r="U522">
        <v>4</v>
      </c>
      <c r="V522" s="34">
        <v>43030.179166666669</v>
      </c>
      <c r="W522">
        <v>1</v>
      </c>
      <c r="X522" s="15" t="str">
        <f>HYPERLINK("https://www.ejacket.nsf.gov/ej/showProposal.do?Continue=Y&amp;ID="&amp;RADataTable[[#This Row],[prop_id0]],"eJ")</f>
        <v>eJ</v>
      </c>
      <c r="Y522" s="15" t="str">
        <f>HYPERLINK("mailto:"&amp;RADataTable[[#This Row],[email]]&amp;"&amp;subject=Your NSF Proposal:  "&amp;RADataTable[[#This Row],[Div]]&amp;" "&amp;RADataTable[[#This Row],[prop_id0]], RADataTable[[#This Row],[email]])</f>
        <v>haitao.wang@usu.edu</v>
      </c>
      <c r="Z522" s="15" t="str">
        <f>HYPERLINK("mailto:"&amp;RADataTable[[#This Row],[allPIemail]]&amp;"&amp;subject=NSF Proposal:  "&amp;RADataTable[[#This Row],[Div]]&amp;" "&amp;RADataTable[[#This Row],[prop_id0]], "PIs@")</f>
        <v>PIs@</v>
      </c>
      <c r="AA522" t="s">
        <v>245</v>
      </c>
      <c r="AB522" t="s">
        <v>662</v>
      </c>
      <c r="AC522" s="30" t="s">
        <v>721</v>
      </c>
      <c r="AD522" t="s">
        <v>722</v>
      </c>
      <c r="AE522" t="s">
        <v>723</v>
      </c>
      <c r="AF522" s="36">
        <v>524898</v>
      </c>
      <c r="AG522" s="36">
        <v>524898</v>
      </c>
      <c r="AH522" s="24"/>
      <c r="AJ522" s="34"/>
      <c r="AK522" t="s">
        <v>923</v>
      </c>
      <c r="AL522" t="s">
        <v>287</v>
      </c>
      <c r="AM522" s="34" t="s">
        <v>925</v>
      </c>
      <c r="AN522" s="34">
        <v>43032</v>
      </c>
      <c r="AO522" s="24">
        <v>13</v>
      </c>
      <c r="AP522" t="s">
        <v>931</v>
      </c>
      <c r="AR522" s="35"/>
      <c r="AS522"/>
      <c r="AT522" s="34"/>
      <c r="AV522" s="34"/>
      <c r="AX522" s="34"/>
      <c r="AY522"/>
      <c r="BA522" s="34"/>
      <c r="BB522"/>
      <c r="BC522" t="s">
        <v>728</v>
      </c>
      <c r="BD522" s="36">
        <v>524898</v>
      </c>
      <c r="BE522" s="36">
        <v>524898</v>
      </c>
      <c r="BF522">
        <v>0</v>
      </c>
      <c r="BG522" s="34">
        <v>43221</v>
      </c>
      <c r="BH522">
        <v>60</v>
      </c>
      <c r="BI522" t="s">
        <v>283</v>
      </c>
      <c r="BJ522" t="s">
        <v>928</v>
      </c>
      <c r="BK522" t="s">
        <v>234</v>
      </c>
      <c r="BL522" t="s">
        <v>194</v>
      </c>
      <c r="BM522" s="8" t="s">
        <v>192</v>
      </c>
      <c r="BN522" t="s">
        <v>189</v>
      </c>
      <c r="BO522" t="s">
        <v>190</v>
      </c>
      <c r="BP522" s="35" t="s">
        <v>726</v>
      </c>
      <c r="BQ522"/>
      <c r="BU522" s="35"/>
      <c r="BV522" s="35"/>
      <c r="BX522"/>
      <c r="CA522" s="35"/>
      <c r="CB522" s="35"/>
      <c r="CC522"/>
      <c r="CG522" s="35"/>
      <c r="CH522" s="35"/>
      <c r="CK522"/>
      <c r="CM522" s="35"/>
      <c r="CN522" s="35"/>
      <c r="CQ522"/>
      <c r="CS522" s="35"/>
      <c r="CT522" s="35"/>
      <c r="CX522"/>
      <c r="CZ522" s="35"/>
      <c r="DD522" s="34"/>
      <c r="DG522" t="s">
        <v>725</v>
      </c>
      <c r="DH522" t="s">
        <v>932</v>
      </c>
      <c r="DI522" t="s">
        <v>286</v>
      </c>
      <c r="DL522" t="s">
        <v>662</v>
      </c>
      <c r="DM522">
        <v>4</v>
      </c>
      <c r="DN522">
        <v>9</v>
      </c>
      <c r="DO522" t="s">
        <v>727</v>
      </c>
      <c r="DQ522" t="s">
        <v>927</v>
      </c>
      <c r="DR522">
        <v>14</v>
      </c>
      <c r="DS522">
        <v>0</v>
      </c>
      <c r="DU522">
        <v>14</v>
      </c>
      <c r="DV522">
        <v>0</v>
      </c>
      <c r="DX522">
        <v>14</v>
      </c>
      <c r="DY522">
        <v>0</v>
      </c>
      <c r="DZ522" t="s">
        <v>246</v>
      </c>
      <c r="EA522" t="s">
        <v>929</v>
      </c>
    </row>
    <row r="523" spans="1:131" x14ac:dyDescent="0.4">
      <c r="A523" s="34">
        <v>43067.305104166669</v>
      </c>
      <c r="B523" s="25">
        <v>42933.547222222223</v>
      </c>
      <c r="D523" s="34"/>
      <c r="E523" s="34" t="s">
        <v>193</v>
      </c>
      <c r="F523" s="34" t="s">
        <v>191</v>
      </c>
      <c r="G523" s="34" t="s">
        <v>100</v>
      </c>
      <c r="H523" t="s">
        <v>279</v>
      </c>
      <c r="I523" t="s">
        <v>243</v>
      </c>
      <c r="J523" t="s">
        <v>712</v>
      </c>
      <c r="K523" t="s">
        <v>713</v>
      </c>
      <c r="L523" t="s">
        <v>711</v>
      </c>
      <c r="M523" s="30">
        <v>3.13</v>
      </c>
      <c r="N523">
        <v>6.25</v>
      </c>
      <c r="P523" s="24" t="str">
        <f>IFERROR(MID(RADataTable[[#This Row],[RATemplate]],1,LEN(RADataTable[[#This Row],[RATemplate]])-8),"RA") &amp; " " &amp; RADataTable[[#This Row],[prop_id0]] &amp; " " &amp; RADataTable[[#This Row],[last0]]</f>
        <v>RA 1749385 Wang</v>
      </c>
      <c r="T523">
        <v>4</v>
      </c>
      <c r="U523">
        <v>4</v>
      </c>
      <c r="V523" s="34">
        <v>43030.179166666669</v>
      </c>
      <c r="W523">
        <v>1</v>
      </c>
      <c r="X523" s="15" t="str">
        <f>HYPERLINK("https://www.ejacket.nsf.gov/ej/showProposal.do?Continue=Y&amp;ID="&amp;RADataTable[[#This Row],[prop_id0]],"eJ")</f>
        <v>eJ</v>
      </c>
      <c r="Y523" s="15" t="str">
        <f>HYPERLINK("mailto:"&amp;RADataTable[[#This Row],[email]]&amp;"&amp;subject=Your NSF Proposal:  "&amp;RADataTable[[#This Row],[Div]]&amp;" "&amp;RADataTable[[#This Row],[prop_id0]], RADataTable[[#This Row],[email]])</f>
        <v>haitao.wang@usu.edu</v>
      </c>
      <c r="Z523" s="15" t="str">
        <f>HYPERLINK("mailto:"&amp;RADataTable[[#This Row],[allPIemail]]&amp;"&amp;subject=NSF Proposal:  "&amp;RADataTable[[#This Row],[Div]]&amp;" "&amp;RADataTable[[#This Row],[prop_id0]], "PIs@")</f>
        <v>PIs@</v>
      </c>
      <c r="AA523" t="s">
        <v>245</v>
      </c>
      <c r="AB523" t="s">
        <v>662</v>
      </c>
      <c r="AC523" s="30" t="s">
        <v>721</v>
      </c>
      <c r="AD523" t="s">
        <v>722</v>
      </c>
      <c r="AE523" t="s">
        <v>723</v>
      </c>
      <c r="AF523" s="36">
        <v>524898</v>
      </c>
      <c r="AG523" s="36">
        <v>524898</v>
      </c>
      <c r="AH523" s="24"/>
      <c r="AJ523" s="34"/>
      <c r="AK523" t="s">
        <v>923</v>
      </c>
      <c r="AL523" t="s">
        <v>287</v>
      </c>
      <c r="AM523" s="34" t="s">
        <v>925</v>
      </c>
      <c r="AN523" s="34">
        <v>43032</v>
      </c>
      <c r="AO523" s="24">
        <v>13</v>
      </c>
      <c r="AP523" t="s">
        <v>931</v>
      </c>
      <c r="AR523" s="35"/>
      <c r="AS523"/>
      <c r="AT523" s="34"/>
      <c r="AV523" s="34"/>
      <c r="AX523" s="34"/>
      <c r="AY523"/>
      <c r="BA523" s="34"/>
      <c r="BB523"/>
      <c r="BC523" t="s">
        <v>728</v>
      </c>
      <c r="BD523" s="36">
        <v>524898</v>
      </c>
      <c r="BE523" s="36">
        <v>524898</v>
      </c>
      <c r="BF523">
        <v>0</v>
      </c>
      <c r="BG523" s="34">
        <v>43221</v>
      </c>
      <c r="BH523">
        <v>60</v>
      </c>
      <c r="BI523" t="s">
        <v>283</v>
      </c>
      <c r="BJ523" t="s">
        <v>928</v>
      </c>
      <c r="BK523" t="s">
        <v>234</v>
      </c>
      <c r="BL523" t="s">
        <v>194</v>
      </c>
      <c r="BM523" s="8" t="s">
        <v>192</v>
      </c>
      <c r="BN523" t="s">
        <v>189</v>
      </c>
      <c r="BO523" t="s">
        <v>190</v>
      </c>
      <c r="BP523" s="35" t="s">
        <v>726</v>
      </c>
      <c r="BQ523"/>
      <c r="BU523" s="35"/>
      <c r="BV523" s="35"/>
      <c r="BX523"/>
      <c r="CA523" s="35"/>
      <c r="CB523" s="35"/>
      <c r="CC523"/>
      <c r="CG523" s="35"/>
      <c r="CH523" s="35"/>
      <c r="CK523"/>
      <c r="CM523" s="35"/>
      <c r="CN523" s="35"/>
      <c r="CQ523"/>
      <c r="CS523" s="35"/>
      <c r="CT523" s="35"/>
      <c r="CX523"/>
      <c r="CZ523" s="35"/>
      <c r="DD523" s="34"/>
      <c r="DG523" t="s">
        <v>725</v>
      </c>
      <c r="DH523" t="s">
        <v>932</v>
      </c>
      <c r="DI523" t="s">
        <v>286</v>
      </c>
      <c r="DL523" t="s">
        <v>662</v>
      </c>
      <c r="DM523">
        <v>4</v>
      </c>
      <c r="DN523">
        <v>9</v>
      </c>
      <c r="DO523" t="s">
        <v>727</v>
      </c>
      <c r="DQ523" t="s">
        <v>927</v>
      </c>
      <c r="DR523">
        <v>14</v>
      </c>
      <c r="DS523">
        <v>0</v>
      </c>
      <c r="DU523">
        <v>14</v>
      </c>
      <c r="DV523">
        <v>0</v>
      </c>
      <c r="DX523">
        <v>14</v>
      </c>
      <c r="DY523">
        <v>0</v>
      </c>
      <c r="DZ523" t="s">
        <v>246</v>
      </c>
      <c r="EA523" t="s">
        <v>929</v>
      </c>
    </row>
    <row r="524" spans="1:131" x14ac:dyDescent="0.4">
      <c r="A524" s="34">
        <v>43067.305104166669</v>
      </c>
      <c r="B524" s="25">
        <v>42933.547222222223</v>
      </c>
      <c r="D524" s="34"/>
      <c r="E524" s="34" t="s">
        <v>193</v>
      </c>
      <c r="F524" s="34" t="s">
        <v>191</v>
      </c>
      <c r="G524" s="34" t="s">
        <v>100</v>
      </c>
      <c r="H524" t="s">
        <v>279</v>
      </c>
      <c r="I524" t="s">
        <v>243</v>
      </c>
      <c r="J524" t="s">
        <v>712</v>
      </c>
      <c r="K524" t="s">
        <v>713</v>
      </c>
      <c r="L524" t="s">
        <v>711</v>
      </c>
      <c r="M524" s="30">
        <v>3.13</v>
      </c>
      <c r="N524">
        <v>6.25</v>
      </c>
      <c r="P524" s="24" t="str">
        <f>IFERROR(MID(RADataTable[[#This Row],[RATemplate]],1,LEN(RADataTable[[#This Row],[RATemplate]])-8),"RA") &amp; " " &amp; RADataTable[[#This Row],[prop_id0]] &amp; " " &amp; RADataTable[[#This Row],[last0]]</f>
        <v>RA 1749385 Wang</v>
      </c>
      <c r="T524">
        <v>4</v>
      </c>
      <c r="U524">
        <v>4</v>
      </c>
      <c r="V524" s="34">
        <v>43030.179166666669</v>
      </c>
      <c r="W524">
        <v>1</v>
      </c>
      <c r="X524" s="15" t="str">
        <f>HYPERLINK("https://www.ejacket.nsf.gov/ej/showProposal.do?Continue=Y&amp;ID="&amp;RADataTable[[#This Row],[prop_id0]],"eJ")</f>
        <v>eJ</v>
      </c>
      <c r="Y524" s="15" t="str">
        <f>HYPERLINK("mailto:"&amp;RADataTable[[#This Row],[email]]&amp;"&amp;subject=Your NSF Proposal:  "&amp;RADataTable[[#This Row],[Div]]&amp;" "&amp;RADataTable[[#This Row],[prop_id0]], RADataTable[[#This Row],[email]])</f>
        <v>haitao.wang@usu.edu</v>
      </c>
      <c r="Z524" s="15" t="str">
        <f>HYPERLINK("mailto:"&amp;RADataTable[[#This Row],[allPIemail]]&amp;"&amp;subject=NSF Proposal:  "&amp;RADataTable[[#This Row],[Div]]&amp;" "&amp;RADataTable[[#This Row],[prop_id0]], "PIs@")</f>
        <v>PIs@</v>
      </c>
      <c r="AA524" t="s">
        <v>245</v>
      </c>
      <c r="AB524" t="s">
        <v>662</v>
      </c>
      <c r="AC524" s="30" t="s">
        <v>721</v>
      </c>
      <c r="AD524" t="s">
        <v>722</v>
      </c>
      <c r="AE524" t="s">
        <v>723</v>
      </c>
      <c r="AF524" s="36">
        <v>524898</v>
      </c>
      <c r="AG524" s="36">
        <v>524898</v>
      </c>
      <c r="AH524" s="24"/>
      <c r="AJ524" s="34"/>
      <c r="AK524" t="s">
        <v>923</v>
      </c>
      <c r="AL524" t="s">
        <v>287</v>
      </c>
      <c r="AM524" s="34" t="s">
        <v>925</v>
      </c>
      <c r="AN524" s="34">
        <v>43032</v>
      </c>
      <c r="AO524" s="24">
        <v>13</v>
      </c>
      <c r="AP524" t="s">
        <v>931</v>
      </c>
      <c r="AR524" s="35"/>
      <c r="AS524"/>
      <c r="AT524" s="34"/>
      <c r="AV524" s="34"/>
      <c r="AX524" s="34"/>
      <c r="AY524"/>
      <c r="BA524" s="34"/>
      <c r="BB524"/>
      <c r="BC524" t="s">
        <v>728</v>
      </c>
      <c r="BD524" s="36">
        <v>524898</v>
      </c>
      <c r="BE524" s="36">
        <v>524898</v>
      </c>
      <c r="BF524">
        <v>0</v>
      </c>
      <c r="BG524" s="34">
        <v>43221</v>
      </c>
      <c r="BH524">
        <v>60</v>
      </c>
      <c r="BI524" t="s">
        <v>283</v>
      </c>
      <c r="BJ524" t="s">
        <v>928</v>
      </c>
      <c r="BK524" t="s">
        <v>234</v>
      </c>
      <c r="BL524" t="s">
        <v>194</v>
      </c>
      <c r="BM524" s="8" t="s">
        <v>192</v>
      </c>
      <c r="BN524" t="s">
        <v>189</v>
      </c>
      <c r="BO524" t="s">
        <v>190</v>
      </c>
      <c r="BP524" s="35" t="s">
        <v>726</v>
      </c>
      <c r="BQ524"/>
      <c r="BU524" s="35"/>
      <c r="BV524" s="35"/>
      <c r="BX524"/>
      <c r="CA524" s="35"/>
      <c r="CB524" s="35"/>
      <c r="CC524"/>
      <c r="CG524" s="35"/>
      <c r="CH524" s="35"/>
      <c r="CK524"/>
      <c r="CM524" s="35"/>
      <c r="CN524" s="35"/>
      <c r="CQ524"/>
      <c r="CS524" s="35"/>
      <c r="CT524" s="35"/>
      <c r="CX524"/>
      <c r="CZ524" s="35"/>
      <c r="DD524" s="34"/>
      <c r="DG524" t="s">
        <v>725</v>
      </c>
      <c r="DH524" t="s">
        <v>932</v>
      </c>
      <c r="DI524" t="s">
        <v>286</v>
      </c>
      <c r="DL524" t="s">
        <v>662</v>
      </c>
      <c r="DM524">
        <v>4</v>
      </c>
      <c r="DN524">
        <v>9</v>
      </c>
      <c r="DO524" t="s">
        <v>727</v>
      </c>
      <c r="DQ524" t="s">
        <v>927</v>
      </c>
      <c r="DR524">
        <v>14</v>
      </c>
      <c r="DS524">
        <v>0</v>
      </c>
      <c r="DU524">
        <v>14</v>
      </c>
      <c r="DV524">
        <v>0</v>
      </c>
      <c r="DX524">
        <v>14</v>
      </c>
      <c r="DY524">
        <v>0</v>
      </c>
      <c r="DZ524" t="s">
        <v>246</v>
      </c>
      <c r="EA524" t="s">
        <v>929</v>
      </c>
    </row>
    <row r="525" spans="1:131" x14ac:dyDescent="0.4">
      <c r="A525" s="34">
        <v>43067.305104166669</v>
      </c>
      <c r="B525" s="25">
        <v>42933.547222222223</v>
      </c>
      <c r="D525" s="34"/>
      <c r="E525" s="34" t="s">
        <v>193</v>
      </c>
      <c r="F525" s="34" t="s">
        <v>191</v>
      </c>
      <c r="G525" s="34" t="s">
        <v>100</v>
      </c>
      <c r="H525" t="s">
        <v>279</v>
      </c>
      <c r="I525" t="s">
        <v>243</v>
      </c>
      <c r="J525" t="s">
        <v>712</v>
      </c>
      <c r="K525" t="s">
        <v>713</v>
      </c>
      <c r="L525" t="s">
        <v>711</v>
      </c>
      <c r="M525" s="30">
        <v>3.13</v>
      </c>
      <c r="N525">
        <v>6.25</v>
      </c>
      <c r="P525" s="24" t="str">
        <f>IFERROR(MID(RADataTable[[#This Row],[RATemplate]],1,LEN(RADataTable[[#This Row],[RATemplate]])-8),"RA") &amp; " " &amp; RADataTable[[#This Row],[prop_id0]] &amp; " " &amp; RADataTable[[#This Row],[last0]]</f>
        <v>RA 1749385 Wang</v>
      </c>
      <c r="T525">
        <v>4</v>
      </c>
      <c r="U525">
        <v>4</v>
      </c>
      <c r="V525" s="34">
        <v>43030.179166666669</v>
      </c>
      <c r="W525">
        <v>1</v>
      </c>
      <c r="X525" s="15" t="str">
        <f>HYPERLINK("https://www.ejacket.nsf.gov/ej/showProposal.do?Continue=Y&amp;ID="&amp;RADataTable[[#This Row],[prop_id0]],"eJ")</f>
        <v>eJ</v>
      </c>
      <c r="Y525" s="15" t="str">
        <f>HYPERLINK("mailto:"&amp;RADataTable[[#This Row],[email]]&amp;"&amp;subject=Your NSF Proposal:  "&amp;RADataTable[[#This Row],[Div]]&amp;" "&amp;RADataTable[[#This Row],[prop_id0]], RADataTable[[#This Row],[email]])</f>
        <v>haitao.wang@usu.edu</v>
      </c>
      <c r="Z525" s="15" t="str">
        <f>HYPERLINK("mailto:"&amp;RADataTable[[#This Row],[allPIemail]]&amp;"&amp;subject=NSF Proposal:  "&amp;RADataTable[[#This Row],[Div]]&amp;" "&amp;RADataTable[[#This Row],[prop_id0]], "PIs@")</f>
        <v>PIs@</v>
      </c>
      <c r="AA525" t="s">
        <v>245</v>
      </c>
      <c r="AB525" t="s">
        <v>662</v>
      </c>
      <c r="AC525" s="30" t="s">
        <v>721</v>
      </c>
      <c r="AD525" t="s">
        <v>722</v>
      </c>
      <c r="AE525" t="s">
        <v>723</v>
      </c>
      <c r="AF525" s="36">
        <v>524898</v>
      </c>
      <c r="AG525" s="36">
        <v>524898</v>
      </c>
      <c r="AH525" s="24"/>
      <c r="AJ525" s="34"/>
      <c r="AK525" t="s">
        <v>923</v>
      </c>
      <c r="AL525" t="s">
        <v>287</v>
      </c>
      <c r="AM525" s="34" t="s">
        <v>925</v>
      </c>
      <c r="AN525" s="34">
        <v>43032</v>
      </c>
      <c r="AO525" s="24">
        <v>13</v>
      </c>
      <c r="AP525" t="s">
        <v>931</v>
      </c>
      <c r="AR525" s="35"/>
      <c r="AS525"/>
      <c r="AT525" s="34"/>
      <c r="AV525" s="34"/>
      <c r="AX525" s="34"/>
      <c r="AY525"/>
      <c r="BA525" s="34"/>
      <c r="BB525"/>
      <c r="BC525" t="s">
        <v>728</v>
      </c>
      <c r="BD525" s="36">
        <v>524898</v>
      </c>
      <c r="BE525" s="36">
        <v>524898</v>
      </c>
      <c r="BF525">
        <v>0</v>
      </c>
      <c r="BG525" s="34">
        <v>43221</v>
      </c>
      <c r="BH525">
        <v>60</v>
      </c>
      <c r="BI525" t="s">
        <v>283</v>
      </c>
      <c r="BJ525" t="s">
        <v>928</v>
      </c>
      <c r="BK525" t="s">
        <v>234</v>
      </c>
      <c r="BL525" t="s">
        <v>194</v>
      </c>
      <c r="BM525" s="8" t="s">
        <v>192</v>
      </c>
      <c r="BN525" t="s">
        <v>189</v>
      </c>
      <c r="BO525" t="s">
        <v>190</v>
      </c>
      <c r="BP525" s="35" t="s">
        <v>726</v>
      </c>
      <c r="BQ525"/>
      <c r="BU525" s="35"/>
      <c r="BV525" s="35"/>
      <c r="BX525"/>
      <c r="CA525" s="35"/>
      <c r="CB525" s="35"/>
      <c r="CC525"/>
      <c r="CG525" s="35"/>
      <c r="CH525" s="35"/>
      <c r="CK525"/>
      <c r="CM525" s="35"/>
      <c r="CN525" s="35"/>
      <c r="CQ525"/>
      <c r="CS525" s="35"/>
      <c r="CT525" s="35"/>
      <c r="CX525"/>
      <c r="CZ525" s="35"/>
      <c r="DD525" s="34"/>
      <c r="DG525" t="s">
        <v>725</v>
      </c>
      <c r="DH525" t="s">
        <v>932</v>
      </c>
      <c r="DI525" t="s">
        <v>286</v>
      </c>
      <c r="DL525" t="s">
        <v>662</v>
      </c>
      <c r="DM525">
        <v>4</v>
      </c>
      <c r="DN525">
        <v>9</v>
      </c>
      <c r="DO525" t="s">
        <v>727</v>
      </c>
      <c r="DQ525" t="s">
        <v>927</v>
      </c>
      <c r="DR525">
        <v>14</v>
      </c>
      <c r="DS525">
        <v>0</v>
      </c>
      <c r="DU525">
        <v>14</v>
      </c>
      <c r="DV525">
        <v>0</v>
      </c>
      <c r="DX525">
        <v>14</v>
      </c>
      <c r="DY525">
        <v>0</v>
      </c>
      <c r="DZ525" t="s">
        <v>246</v>
      </c>
      <c r="EA525" t="s">
        <v>929</v>
      </c>
    </row>
    <row r="526" spans="1:131" x14ac:dyDescent="0.4">
      <c r="A526" s="34">
        <v>43067.305104166669</v>
      </c>
      <c r="B526" s="25">
        <v>42933.547222222223</v>
      </c>
      <c r="D526" s="34"/>
      <c r="E526" s="34" t="s">
        <v>193</v>
      </c>
      <c r="F526" s="34" t="s">
        <v>191</v>
      </c>
      <c r="G526" s="34" t="s">
        <v>100</v>
      </c>
      <c r="H526" t="s">
        <v>279</v>
      </c>
      <c r="I526" t="s">
        <v>243</v>
      </c>
      <c r="J526" t="s">
        <v>712</v>
      </c>
      <c r="K526" t="s">
        <v>713</v>
      </c>
      <c r="L526" t="s">
        <v>711</v>
      </c>
      <c r="M526" s="30">
        <v>3.13</v>
      </c>
      <c r="N526">
        <v>6.25</v>
      </c>
      <c r="P526" s="24" t="str">
        <f>IFERROR(MID(RADataTable[[#This Row],[RATemplate]],1,LEN(RADataTable[[#This Row],[RATemplate]])-8),"RA") &amp; " " &amp; RADataTable[[#This Row],[prop_id0]] &amp; " " &amp; RADataTable[[#This Row],[last0]]</f>
        <v>RA 1749385 Wang</v>
      </c>
      <c r="T526">
        <v>4</v>
      </c>
      <c r="U526">
        <v>4</v>
      </c>
      <c r="V526" s="34">
        <v>43030.179166666669</v>
      </c>
      <c r="W526">
        <v>1</v>
      </c>
      <c r="X526" s="15" t="str">
        <f>HYPERLINK("https://www.ejacket.nsf.gov/ej/showProposal.do?Continue=Y&amp;ID="&amp;RADataTable[[#This Row],[prop_id0]],"eJ")</f>
        <v>eJ</v>
      </c>
      <c r="Y526" s="15" t="str">
        <f>HYPERLINK("mailto:"&amp;RADataTable[[#This Row],[email]]&amp;"&amp;subject=Your NSF Proposal:  "&amp;RADataTable[[#This Row],[Div]]&amp;" "&amp;RADataTable[[#This Row],[prop_id0]], RADataTable[[#This Row],[email]])</f>
        <v>haitao.wang@usu.edu</v>
      </c>
      <c r="Z526" s="15" t="str">
        <f>HYPERLINK("mailto:"&amp;RADataTable[[#This Row],[allPIemail]]&amp;"&amp;subject=NSF Proposal:  "&amp;RADataTable[[#This Row],[Div]]&amp;" "&amp;RADataTable[[#This Row],[prop_id0]], "PIs@")</f>
        <v>PIs@</v>
      </c>
      <c r="AA526" t="s">
        <v>245</v>
      </c>
      <c r="AB526" t="s">
        <v>662</v>
      </c>
      <c r="AC526" s="30" t="s">
        <v>721</v>
      </c>
      <c r="AD526" t="s">
        <v>722</v>
      </c>
      <c r="AE526" t="s">
        <v>723</v>
      </c>
      <c r="AF526" s="36">
        <v>524898</v>
      </c>
      <c r="AG526" s="36">
        <v>524898</v>
      </c>
      <c r="AH526" s="24"/>
      <c r="AJ526" s="34"/>
      <c r="AK526" t="s">
        <v>923</v>
      </c>
      <c r="AL526" t="s">
        <v>287</v>
      </c>
      <c r="AM526" s="34" t="s">
        <v>925</v>
      </c>
      <c r="AN526" s="34">
        <v>43032</v>
      </c>
      <c r="AO526" s="24">
        <v>13</v>
      </c>
      <c r="AP526" t="s">
        <v>931</v>
      </c>
      <c r="AR526" s="35"/>
      <c r="AS526"/>
      <c r="AT526" s="34"/>
      <c r="AV526" s="34"/>
      <c r="AX526" s="34"/>
      <c r="AY526"/>
      <c r="BA526" s="34"/>
      <c r="BB526"/>
      <c r="BC526" t="s">
        <v>728</v>
      </c>
      <c r="BD526" s="36">
        <v>524898</v>
      </c>
      <c r="BE526" s="36">
        <v>524898</v>
      </c>
      <c r="BF526">
        <v>0</v>
      </c>
      <c r="BG526" s="34">
        <v>43221</v>
      </c>
      <c r="BH526">
        <v>60</v>
      </c>
      <c r="BI526" t="s">
        <v>283</v>
      </c>
      <c r="BJ526" t="s">
        <v>928</v>
      </c>
      <c r="BK526" t="s">
        <v>234</v>
      </c>
      <c r="BL526" t="s">
        <v>194</v>
      </c>
      <c r="BM526" s="8" t="s">
        <v>192</v>
      </c>
      <c r="BN526" t="s">
        <v>189</v>
      </c>
      <c r="BO526" t="s">
        <v>190</v>
      </c>
      <c r="BP526" s="35" t="s">
        <v>726</v>
      </c>
      <c r="BQ526"/>
      <c r="BU526" s="35"/>
      <c r="BV526" s="35"/>
      <c r="BX526"/>
      <c r="CA526" s="35"/>
      <c r="CB526" s="35"/>
      <c r="CC526"/>
      <c r="CG526" s="35"/>
      <c r="CH526" s="35"/>
      <c r="CK526"/>
      <c r="CM526" s="35"/>
      <c r="CN526" s="35"/>
      <c r="CQ526"/>
      <c r="CS526" s="35"/>
      <c r="CT526" s="35"/>
      <c r="CX526"/>
      <c r="CZ526" s="35"/>
      <c r="DD526" s="34"/>
      <c r="DG526" t="s">
        <v>725</v>
      </c>
      <c r="DH526" t="s">
        <v>932</v>
      </c>
      <c r="DI526" t="s">
        <v>286</v>
      </c>
      <c r="DL526" t="s">
        <v>662</v>
      </c>
      <c r="DM526">
        <v>4</v>
      </c>
      <c r="DN526">
        <v>9</v>
      </c>
      <c r="DO526" t="s">
        <v>727</v>
      </c>
      <c r="DQ526" t="s">
        <v>927</v>
      </c>
      <c r="DR526">
        <v>14</v>
      </c>
      <c r="DS526">
        <v>0</v>
      </c>
      <c r="DU526">
        <v>14</v>
      </c>
      <c r="DV526">
        <v>0</v>
      </c>
      <c r="DX526">
        <v>14</v>
      </c>
      <c r="DY526">
        <v>0</v>
      </c>
      <c r="DZ526" t="s">
        <v>246</v>
      </c>
      <c r="EA526" t="s">
        <v>929</v>
      </c>
    </row>
    <row r="527" spans="1:131" x14ac:dyDescent="0.4">
      <c r="A527" s="34">
        <v>43067.305104166669</v>
      </c>
      <c r="B527" s="25">
        <v>42933.547222222223</v>
      </c>
      <c r="D527" s="34"/>
      <c r="E527" s="34" t="s">
        <v>193</v>
      </c>
      <c r="F527" s="34" t="s">
        <v>191</v>
      </c>
      <c r="G527" s="34" t="s">
        <v>100</v>
      </c>
      <c r="H527" t="s">
        <v>279</v>
      </c>
      <c r="I527" t="s">
        <v>243</v>
      </c>
      <c r="J527" t="s">
        <v>712</v>
      </c>
      <c r="K527" t="s">
        <v>713</v>
      </c>
      <c r="L527" t="s">
        <v>711</v>
      </c>
      <c r="M527" s="30">
        <v>3.13</v>
      </c>
      <c r="N527">
        <v>6.25</v>
      </c>
      <c r="P527" s="24" t="str">
        <f>IFERROR(MID(RADataTable[[#This Row],[RATemplate]],1,LEN(RADataTable[[#This Row],[RATemplate]])-8),"RA") &amp; " " &amp; RADataTable[[#This Row],[prop_id0]] &amp; " " &amp; RADataTable[[#This Row],[last0]]</f>
        <v>RA 1749385 Wang</v>
      </c>
      <c r="T527">
        <v>4</v>
      </c>
      <c r="U527">
        <v>4</v>
      </c>
      <c r="V527" s="34">
        <v>43030.179166666669</v>
      </c>
      <c r="W527">
        <v>1</v>
      </c>
      <c r="X527" s="15" t="str">
        <f>HYPERLINK("https://www.ejacket.nsf.gov/ej/showProposal.do?Continue=Y&amp;ID="&amp;RADataTable[[#This Row],[prop_id0]],"eJ")</f>
        <v>eJ</v>
      </c>
      <c r="Y527" s="15" t="str">
        <f>HYPERLINK("mailto:"&amp;RADataTable[[#This Row],[email]]&amp;"&amp;subject=Your NSF Proposal:  "&amp;RADataTable[[#This Row],[Div]]&amp;" "&amp;RADataTable[[#This Row],[prop_id0]], RADataTable[[#This Row],[email]])</f>
        <v>haitao.wang@usu.edu</v>
      </c>
      <c r="Z527" s="15" t="str">
        <f>HYPERLINK("mailto:"&amp;RADataTable[[#This Row],[allPIemail]]&amp;"&amp;subject=NSF Proposal:  "&amp;RADataTable[[#This Row],[Div]]&amp;" "&amp;RADataTable[[#This Row],[prop_id0]], "PIs@")</f>
        <v>PIs@</v>
      </c>
      <c r="AA527" t="s">
        <v>245</v>
      </c>
      <c r="AB527" t="s">
        <v>662</v>
      </c>
      <c r="AC527" s="30" t="s">
        <v>721</v>
      </c>
      <c r="AD527" t="s">
        <v>722</v>
      </c>
      <c r="AE527" t="s">
        <v>723</v>
      </c>
      <c r="AF527" s="36">
        <v>524898</v>
      </c>
      <c r="AG527" s="36">
        <v>524898</v>
      </c>
      <c r="AH527" s="24"/>
      <c r="AJ527" s="34"/>
      <c r="AK527" t="s">
        <v>923</v>
      </c>
      <c r="AL527" t="s">
        <v>287</v>
      </c>
      <c r="AM527" s="34" t="s">
        <v>925</v>
      </c>
      <c r="AN527" s="34">
        <v>43032</v>
      </c>
      <c r="AO527" s="24">
        <v>13</v>
      </c>
      <c r="AP527" t="s">
        <v>931</v>
      </c>
      <c r="AR527" s="35"/>
      <c r="AS527"/>
      <c r="AT527" s="34"/>
      <c r="AV527" s="34"/>
      <c r="AX527" s="34"/>
      <c r="AY527"/>
      <c r="BA527" s="34"/>
      <c r="BB527"/>
      <c r="BC527" t="s">
        <v>728</v>
      </c>
      <c r="BD527" s="36">
        <v>524898</v>
      </c>
      <c r="BE527" s="36">
        <v>524898</v>
      </c>
      <c r="BF527">
        <v>0</v>
      </c>
      <c r="BG527" s="34">
        <v>43221</v>
      </c>
      <c r="BH527">
        <v>60</v>
      </c>
      <c r="BI527" t="s">
        <v>283</v>
      </c>
      <c r="BJ527" t="s">
        <v>928</v>
      </c>
      <c r="BK527" t="s">
        <v>234</v>
      </c>
      <c r="BL527" t="s">
        <v>194</v>
      </c>
      <c r="BM527" s="8" t="s">
        <v>192</v>
      </c>
      <c r="BN527" t="s">
        <v>189</v>
      </c>
      <c r="BO527" t="s">
        <v>190</v>
      </c>
      <c r="BP527" s="35" t="s">
        <v>726</v>
      </c>
      <c r="BQ527"/>
      <c r="BU527" s="35"/>
      <c r="BV527" s="35"/>
      <c r="BX527"/>
      <c r="CA527" s="35"/>
      <c r="CB527" s="35"/>
      <c r="CC527"/>
      <c r="CG527" s="35"/>
      <c r="CH527" s="35"/>
      <c r="CK527"/>
      <c r="CM527" s="35"/>
      <c r="CN527" s="35"/>
      <c r="CQ527"/>
      <c r="CS527" s="35"/>
      <c r="CT527" s="35"/>
      <c r="CX527"/>
      <c r="CZ527" s="35"/>
      <c r="DD527" s="34"/>
      <c r="DG527" t="s">
        <v>725</v>
      </c>
      <c r="DH527" t="s">
        <v>932</v>
      </c>
      <c r="DI527" t="s">
        <v>286</v>
      </c>
      <c r="DL527" t="s">
        <v>662</v>
      </c>
      <c r="DM527">
        <v>4</v>
      </c>
      <c r="DN527">
        <v>9</v>
      </c>
      <c r="DO527" t="s">
        <v>727</v>
      </c>
      <c r="DQ527" t="s">
        <v>927</v>
      </c>
      <c r="DR527">
        <v>14</v>
      </c>
      <c r="DS527">
        <v>0</v>
      </c>
      <c r="DU527">
        <v>14</v>
      </c>
      <c r="DV527">
        <v>0</v>
      </c>
      <c r="DX527">
        <v>14</v>
      </c>
      <c r="DY527">
        <v>0</v>
      </c>
      <c r="DZ527" t="s">
        <v>246</v>
      </c>
      <c r="EA527" t="s">
        <v>929</v>
      </c>
    </row>
    <row r="528" spans="1:131" x14ac:dyDescent="0.4">
      <c r="A528" s="34">
        <v>43067.305104166669</v>
      </c>
      <c r="B528" s="25">
        <v>42933.547222222223</v>
      </c>
      <c r="D528" s="34"/>
      <c r="E528" s="34" t="s">
        <v>193</v>
      </c>
      <c r="F528" s="34" t="s">
        <v>191</v>
      </c>
      <c r="G528" s="34" t="s">
        <v>100</v>
      </c>
      <c r="H528" t="s">
        <v>279</v>
      </c>
      <c r="I528" t="s">
        <v>243</v>
      </c>
      <c r="J528" t="s">
        <v>712</v>
      </c>
      <c r="K528" t="s">
        <v>713</v>
      </c>
      <c r="L528" t="s">
        <v>711</v>
      </c>
      <c r="M528" s="30">
        <v>3.13</v>
      </c>
      <c r="N528">
        <v>6.25</v>
      </c>
      <c r="P528" s="24" t="str">
        <f>IFERROR(MID(RADataTable[[#This Row],[RATemplate]],1,LEN(RADataTable[[#This Row],[RATemplate]])-8),"RA") &amp; " " &amp; RADataTable[[#This Row],[prop_id0]] &amp; " " &amp; RADataTable[[#This Row],[last0]]</f>
        <v>RA 1749385 Wang</v>
      </c>
      <c r="T528">
        <v>4</v>
      </c>
      <c r="U528">
        <v>4</v>
      </c>
      <c r="V528" s="34">
        <v>43030.179166666669</v>
      </c>
      <c r="W528">
        <v>1</v>
      </c>
      <c r="X528" s="15" t="str">
        <f>HYPERLINK("https://www.ejacket.nsf.gov/ej/showProposal.do?Continue=Y&amp;ID="&amp;RADataTable[[#This Row],[prop_id0]],"eJ")</f>
        <v>eJ</v>
      </c>
      <c r="Y528" s="15" t="str">
        <f>HYPERLINK("mailto:"&amp;RADataTable[[#This Row],[email]]&amp;"&amp;subject=Your NSF Proposal:  "&amp;RADataTable[[#This Row],[Div]]&amp;" "&amp;RADataTable[[#This Row],[prop_id0]], RADataTable[[#This Row],[email]])</f>
        <v>haitao.wang@usu.edu</v>
      </c>
      <c r="Z528" s="15" t="str">
        <f>HYPERLINK("mailto:"&amp;RADataTable[[#This Row],[allPIemail]]&amp;"&amp;subject=NSF Proposal:  "&amp;RADataTable[[#This Row],[Div]]&amp;" "&amp;RADataTable[[#This Row],[prop_id0]], "PIs@")</f>
        <v>PIs@</v>
      </c>
      <c r="AA528" t="s">
        <v>245</v>
      </c>
      <c r="AB528" t="s">
        <v>662</v>
      </c>
      <c r="AC528" s="30" t="s">
        <v>721</v>
      </c>
      <c r="AD528" t="s">
        <v>722</v>
      </c>
      <c r="AE528" t="s">
        <v>723</v>
      </c>
      <c r="AF528" s="36">
        <v>524898</v>
      </c>
      <c r="AG528" s="36">
        <v>524898</v>
      </c>
      <c r="AH528" s="24"/>
      <c r="AJ528" s="34"/>
      <c r="AK528" t="s">
        <v>923</v>
      </c>
      <c r="AL528" t="s">
        <v>287</v>
      </c>
      <c r="AM528" s="34" t="s">
        <v>925</v>
      </c>
      <c r="AN528" s="34">
        <v>43032</v>
      </c>
      <c r="AO528" s="24">
        <v>13</v>
      </c>
      <c r="AP528" t="s">
        <v>931</v>
      </c>
      <c r="AR528" s="35"/>
      <c r="AS528"/>
      <c r="AT528" s="34"/>
      <c r="AV528" s="34"/>
      <c r="AX528" s="34"/>
      <c r="AY528"/>
      <c r="BA528" s="34"/>
      <c r="BB528"/>
      <c r="BC528" t="s">
        <v>728</v>
      </c>
      <c r="BD528" s="36">
        <v>524898</v>
      </c>
      <c r="BE528" s="36">
        <v>524898</v>
      </c>
      <c r="BF528">
        <v>0</v>
      </c>
      <c r="BG528" s="34">
        <v>43221</v>
      </c>
      <c r="BH528">
        <v>60</v>
      </c>
      <c r="BI528" t="s">
        <v>283</v>
      </c>
      <c r="BJ528" t="s">
        <v>928</v>
      </c>
      <c r="BK528" t="s">
        <v>234</v>
      </c>
      <c r="BL528" t="s">
        <v>194</v>
      </c>
      <c r="BM528" s="8" t="s">
        <v>192</v>
      </c>
      <c r="BN528" t="s">
        <v>189</v>
      </c>
      <c r="BO528" t="s">
        <v>190</v>
      </c>
      <c r="BP528" s="35" t="s">
        <v>726</v>
      </c>
      <c r="BQ528"/>
      <c r="BU528" s="35"/>
      <c r="BV528" s="35"/>
      <c r="BX528"/>
      <c r="CA528" s="35"/>
      <c r="CB528" s="35"/>
      <c r="CC528"/>
      <c r="CG528" s="35"/>
      <c r="CH528" s="35"/>
      <c r="CK528"/>
      <c r="CM528" s="35"/>
      <c r="CN528" s="35"/>
      <c r="CQ528"/>
      <c r="CS528" s="35"/>
      <c r="CT528" s="35"/>
      <c r="CX528"/>
      <c r="CZ528" s="35"/>
      <c r="DD528" s="34"/>
      <c r="DG528" t="s">
        <v>725</v>
      </c>
      <c r="DH528" t="s">
        <v>932</v>
      </c>
      <c r="DI528" t="s">
        <v>286</v>
      </c>
      <c r="DL528" t="s">
        <v>662</v>
      </c>
      <c r="DM528">
        <v>4</v>
      </c>
      <c r="DN528">
        <v>9</v>
      </c>
      <c r="DO528" t="s">
        <v>727</v>
      </c>
      <c r="DQ528" t="s">
        <v>927</v>
      </c>
      <c r="DR528">
        <v>14</v>
      </c>
      <c r="DS528">
        <v>0</v>
      </c>
      <c r="DU528">
        <v>14</v>
      </c>
      <c r="DV528">
        <v>0</v>
      </c>
      <c r="DX528">
        <v>14</v>
      </c>
      <c r="DY528">
        <v>0</v>
      </c>
      <c r="DZ528" t="s">
        <v>246</v>
      </c>
      <c r="EA528" t="s">
        <v>929</v>
      </c>
    </row>
    <row r="529" spans="1:131" x14ac:dyDescent="0.4">
      <c r="A529" s="34">
        <v>43067.305104166669</v>
      </c>
      <c r="B529" s="25">
        <v>42933.547222222223</v>
      </c>
      <c r="D529" s="34"/>
      <c r="E529" s="34" t="s">
        <v>193</v>
      </c>
      <c r="F529" s="34" t="s">
        <v>191</v>
      </c>
      <c r="G529" s="34" t="s">
        <v>100</v>
      </c>
      <c r="H529" t="s">
        <v>279</v>
      </c>
      <c r="I529" t="s">
        <v>243</v>
      </c>
      <c r="J529" t="s">
        <v>712</v>
      </c>
      <c r="K529" t="s">
        <v>713</v>
      </c>
      <c r="L529" t="s">
        <v>711</v>
      </c>
      <c r="M529" s="30">
        <v>3.13</v>
      </c>
      <c r="N529">
        <v>6.25</v>
      </c>
      <c r="P529" s="24" t="str">
        <f>IFERROR(MID(RADataTable[[#This Row],[RATemplate]],1,LEN(RADataTable[[#This Row],[RATemplate]])-8),"RA") &amp; " " &amp; RADataTable[[#This Row],[prop_id0]] &amp; " " &amp; RADataTable[[#This Row],[last0]]</f>
        <v>RA 1749385 Wang</v>
      </c>
      <c r="T529">
        <v>4</v>
      </c>
      <c r="U529">
        <v>4</v>
      </c>
      <c r="V529" s="34">
        <v>43030.179166666669</v>
      </c>
      <c r="W529">
        <v>1</v>
      </c>
      <c r="X529" s="15" t="str">
        <f>HYPERLINK("https://www.ejacket.nsf.gov/ej/showProposal.do?Continue=Y&amp;ID="&amp;RADataTable[[#This Row],[prop_id0]],"eJ")</f>
        <v>eJ</v>
      </c>
      <c r="Y529" s="15" t="str">
        <f>HYPERLINK("mailto:"&amp;RADataTable[[#This Row],[email]]&amp;"&amp;subject=Your NSF Proposal:  "&amp;RADataTable[[#This Row],[Div]]&amp;" "&amp;RADataTable[[#This Row],[prop_id0]], RADataTable[[#This Row],[email]])</f>
        <v>haitao.wang@usu.edu</v>
      </c>
      <c r="Z529" s="15" t="str">
        <f>HYPERLINK("mailto:"&amp;RADataTable[[#This Row],[allPIemail]]&amp;"&amp;subject=NSF Proposal:  "&amp;RADataTable[[#This Row],[Div]]&amp;" "&amp;RADataTable[[#This Row],[prop_id0]], "PIs@")</f>
        <v>PIs@</v>
      </c>
      <c r="AA529" t="s">
        <v>245</v>
      </c>
      <c r="AB529" t="s">
        <v>662</v>
      </c>
      <c r="AC529" s="30" t="s">
        <v>721</v>
      </c>
      <c r="AD529" t="s">
        <v>722</v>
      </c>
      <c r="AE529" t="s">
        <v>723</v>
      </c>
      <c r="AF529" s="36">
        <v>524898</v>
      </c>
      <c r="AG529" s="36">
        <v>524898</v>
      </c>
      <c r="AH529" s="24"/>
      <c r="AJ529" s="34"/>
      <c r="AK529" t="s">
        <v>923</v>
      </c>
      <c r="AL529" t="s">
        <v>287</v>
      </c>
      <c r="AM529" s="34" t="s">
        <v>925</v>
      </c>
      <c r="AN529" s="34">
        <v>43032</v>
      </c>
      <c r="AO529" s="24">
        <v>13</v>
      </c>
      <c r="AP529" t="s">
        <v>931</v>
      </c>
      <c r="AR529" s="35"/>
      <c r="AS529"/>
      <c r="AT529" s="34"/>
      <c r="AV529" s="34"/>
      <c r="AX529" s="34"/>
      <c r="AY529"/>
      <c r="BA529" s="34"/>
      <c r="BB529"/>
      <c r="BC529" t="s">
        <v>728</v>
      </c>
      <c r="BD529" s="36">
        <v>524898</v>
      </c>
      <c r="BE529" s="36">
        <v>524898</v>
      </c>
      <c r="BF529">
        <v>0</v>
      </c>
      <c r="BG529" s="34">
        <v>43221</v>
      </c>
      <c r="BH529">
        <v>60</v>
      </c>
      <c r="BI529" t="s">
        <v>283</v>
      </c>
      <c r="BJ529" t="s">
        <v>928</v>
      </c>
      <c r="BK529" t="s">
        <v>234</v>
      </c>
      <c r="BL529" t="s">
        <v>194</v>
      </c>
      <c r="BM529" s="8" t="s">
        <v>192</v>
      </c>
      <c r="BN529" t="s">
        <v>189</v>
      </c>
      <c r="BO529" t="s">
        <v>190</v>
      </c>
      <c r="BP529" s="35" t="s">
        <v>726</v>
      </c>
      <c r="BQ529"/>
      <c r="BU529" s="35"/>
      <c r="BV529" s="35"/>
      <c r="BX529"/>
      <c r="CA529" s="35"/>
      <c r="CB529" s="35"/>
      <c r="CC529"/>
      <c r="CG529" s="35"/>
      <c r="CH529" s="35"/>
      <c r="CK529"/>
      <c r="CM529" s="35"/>
      <c r="CN529" s="35"/>
      <c r="CQ529"/>
      <c r="CS529" s="35"/>
      <c r="CT529" s="35"/>
      <c r="CX529"/>
      <c r="CZ529" s="35"/>
      <c r="DD529" s="34"/>
      <c r="DG529" t="s">
        <v>725</v>
      </c>
      <c r="DH529" t="s">
        <v>932</v>
      </c>
      <c r="DI529" t="s">
        <v>286</v>
      </c>
      <c r="DL529" t="s">
        <v>662</v>
      </c>
      <c r="DM529">
        <v>4</v>
      </c>
      <c r="DN529">
        <v>9</v>
      </c>
      <c r="DO529" t="s">
        <v>727</v>
      </c>
      <c r="DQ529" t="s">
        <v>927</v>
      </c>
      <c r="DR529">
        <v>14</v>
      </c>
      <c r="DS529">
        <v>0</v>
      </c>
      <c r="DU529">
        <v>14</v>
      </c>
      <c r="DV529">
        <v>0</v>
      </c>
      <c r="DX529">
        <v>14</v>
      </c>
      <c r="DY529">
        <v>0</v>
      </c>
      <c r="DZ529" t="s">
        <v>246</v>
      </c>
      <c r="EA529" t="s">
        <v>929</v>
      </c>
    </row>
    <row r="530" spans="1:131" x14ac:dyDescent="0.4">
      <c r="A530" s="34">
        <v>43067.305104166669</v>
      </c>
      <c r="B530" s="25">
        <v>42933.579861111109</v>
      </c>
      <c r="D530" s="34"/>
      <c r="E530" s="34" t="s">
        <v>193</v>
      </c>
      <c r="F530" s="34" t="s">
        <v>191</v>
      </c>
      <c r="G530" s="34" t="s">
        <v>100</v>
      </c>
      <c r="H530" t="s">
        <v>279</v>
      </c>
      <c r="I530" t="s">
        <v>243</v>
      </c>
      <c r="J530" t="s">
        <v>712</v>
      </c>
      <c r="K530" t="s">
        <v>729</v>
      </c>
      <c r="L530" t="s">
        <v>711</v>
      </c>
      <c r="M530" s="30">
        <v>3.13</v>
      </c>
      <c r="N530">
        <v>6.8</v>
      </c>
      <c r="P530" s="24" t="str">
        <f>IFERROR(MID(RADataTable[[#This Row],[RATemplate]],1,LEN(RADataTable[[#This Row],[RATemplate]])-8),"RA") &amp; " " &amp; RADataTable[[#This Row],[prop_id0]] &amp; " " &amp; RADataTable[[#This Row],[last0]]</f>
        <v>RA 1749414 Moseley</v>
      </c>
      <c r="T530">
        <v>5</v>
      </c>
      <c r="U530">
        <v>5</v>
      </c>
      <c r="V530" s="34">
        <v>43032.510416666664</v>
      </c>
      <c r="W530">
        <v>1</v>
      </c>
      <c r="X530" s="15" t="str">
        <f>HYPERLINK("https://www.ejacket.nsf.gov/ej/showProposal.do?Continue=Y&amp;ID="&amp;RADataTable[[#This Row],[prop_id0]],"eJ")</f>
        <v>eJ</v>
      </c>
      <c r="Y530" s="15" t="str">
        <f>HYPERLINK("mailto:"&amp;RADataTable[[#This Row],[email]]&amp;"&amp;subject=Your NSF Proposal:  "&amp;RADataTable[[#This Row],[Div]]&amp;" "&amp;RADataTable[[#This Row],[prop_id0]], RADataTable[[#This Row],[email]])</f>
        <v>bmoseley@seas.wustl.edu</v>
      </c>
      <c r="Z530" s="15" t="str">
        <f>HYPERLINK("mailto:"&amp;RADataTable[[#This Row],[allPIemail]]&amp;"&amp;subject=NSF Proposal:  "&amp;RADataTable[[#This Row],[Div]]&amp;" "&amp;RADataTable[[#This Row],[prop_id0]], "PIs@")</f>
        <v>PIs@</v>
      </c>
      <c r="AA530" t="s">
        <v>245</v>
      </c>
      <c r="AB530" t="s">
        <v>663</v>
      </c>
      <c r="AC530" s="30" t="s">
        <v>730</v>
      </c>
      <c r="AD530" t="s">
        <v>285</v>
      </c>
      <c r="AE530" t="s">
        <v>731</v>
      </c>
      <c r="AF530" s="36">
        <v>545000</v>
      </c>
      <c r="AG530" s="36">
        <v>545000</v>
      </c>
      <c r="AH530" s="24"/>
      <c r="AJ530" s="34"/>
      <c r="AK530" t="s">
        <v>923</v>
      </c>
      <c r="AL530" t="s">
        <v>287</v>
      </c>
      <c r="AM530" s="34" t="s">
        <v>925</v>
      </c>
      <c r="AN530" s="34">
        <v>43032</v>
      </c>
      <c r="AO530" s="24">
        <v>13</v>
      </c>
      <c r="AP530" t="s">
        <v>933</v>
      </c>
      <c r="AR530" s="35"/>
      <c r="AS530"/>
      <c r="AT530" s="34"/>
      <c r="AV530" s="34"/>
      <c r="AX530" s="34"/>
      <c r="AY530"/>
      <c r="BA530" s="34"/>
      <c r="BB530"/>
      <c r="BC530" t="s">
        <v>735</v>
      </c>
      <c r="BD530" s="36">
        <v>545000</v>
      </c>
      <c r="BE530" s="36">
        <v>545000</v>
      </c>
      <c r="BF530">
        <v>0</v>
      </c>
      <c r="BG530" s="34">
        <v>43282</v>
      </c>
      <c r="BH530">
        <v>60</v>
      </c>
      <c r="BI530" t="s">
        <v>283</v>
      </c>
      <c r="BJ530" t="s">
        <v>928</v>
      </c>
      <c r="BK530" t="s">
        <v>934</v>
      </c>
      <c r="BL530" t="s">
        <v>194</v>
      </c>
      <c r="BM530" s="8" t="s">
        <v>192</v>
      </c>
      <c r="BN530" t="s">
        <v>189</v>
      </c>
      <c r="BO530" t="s">
        <v>190</v>
      </c>
      <c r="BP530" s="35" t="s">
        <v>733</v>
      </c>
      <c r="BQ530"/>
      <c r="BU530" s="35"/>
      <c r="BV530" s="35"/>
      <c r="BX530"/>
      <c r="CA530" s="35"/>
      <c r="CB530" s="35"/>
      <c r="CC530"/>
      <c r="CG530" s="35"/>
      <c r="CH530" s="35"/>
      <c r="CK530"/>
      <c r="CM530" s="35"/>
      <c r="CN530" s="35"/>
      <c r="CQ530"/>
      <c r="CS530" s="35"/>
      <c r="CT530" s="35"/>
      <c r="CX530"/>
      <c r="CZ530" s="35"/>
      <c r="DD530" s="34"/>
      <c r="DG530" t="s">
        <v>732</v>
      </c>
      <c r="DH530" t="s">
        <v>935</v>
      </c>
      <c r="DI530" t="s">
        <v>286</v>
      </c>
      <c r="DL530" t="s">
        <v>663</v>
      </c>
      <c r="DM530">
        <v>5</v>
      </c>
      <c r="DN530">
        <v>9</v>
      </c>
      <c r="DO530" t="s">
        <v>734</v>
      </c>
      <c r="DQ530" t="s">
        <v>927</v>
      </c>
      <c r="DR530">
        <v>14</v>
      </c>
      <c r="DS530">
        <v>1</v>
      </c>
      <c r="DU530">
        <v>14</v>
      </c>
      <c r="DV530">
        <v>1</v>
      </c>
      <c r="DX530">
        <v>14</v>
      </c>
      <c r="DY530">
        <v>1</v>
      </c>
      <c r="DZ530" t="s">
        <v>246</v>
      </c>
      <c r="EA530" t="s">
        <v>929</v>
      </c>
    </row>
    <row r="531" spans="1:131" x14ac:dyDescent="0.4">
      <c r="A531" s="34">
        <v>43067.305104166669</v>
      </c>
      <c r="B531" s="25">
        <v>42933.579861111109</v>
      </c>
      <c r="D531" s="34"/>
      <c r="E531" s="34" t="s">
        <v>193</v>
      </c>
      <c r="F531" s="34" t="s">
        <v>191</v>
      </c>
      <c r="G531" s="34" t="s">
        <v>100</v>
      </c>
      <c r="H531" t="s">
        <v>279</v>
      </c>
      <c r="I531" t="s">
        <v>243</v>
      </c>
      <c r="J531" t="s">
        <v>712</v>
      </c>
      <c r="K531" t="s">
        <v>729</v>
      </c>
      <c r="L531" t="s">
        <v>711</v>
      </c>
      <c r="M531" s="30">
        <v>3.13</v>
      </c>
      <c r="N531">
        <v>6.8</v>
      </c>
      <c r="P531" s="24" t="str">
        <f>IFERROR(MID(RADataTable[[#This Row],[RATemplate]],1,LEN(RADataTable[[#This Row],[RATemplate]])-8),"RA") &amp; " " &amp; RADataTable[[#This Row],[prop_id0]] &amp; " " &amp; RADataTable[[#This Row],[last0]]</f>
        <v>RA 1749414 Moseley</v>
      </c>
      <c r="T531">
        <v>5</v>
      </c>
      <c r="U531">
        <v>5</v>
      </c>
      <c r="V531" s="34">
        <v>43032.510416666664</v>
      </c>
      <c r="W531">
        <v>1</v>
      </c>
      <c r="X531" s="15" t="str">
        <f>HYPERLINK("https://www.ejacket.nsf.gov/ej/showProposal.do?Continue=Y&amp;ID="&amp;RADataTable[[#This Row],[prop_id0]],"eJ")</f>
        <v>eJ</v>
      </c>
      <c r="Y531" s="15" t="str">
        <f>HYPERLINK("mailto:"&amp;RADataTable[[#This Row],[email]]&amp;"&amp;subject=Your NSF Proposal:  "&amp;RADataTable[[#This Row],[Div]]&amp;" "&amp;RADataTable[[#This Row],[prop_id0]], RADataTable[[#This Row],[email]])</f>
        <v>bmoseley@seas.wustl.edu</v>
      </c>
      <c r="Z531" s="15" t="str">
        <f>HYPERLINK("mailto:"&amp;RADataTable[[#This Row],[allPIemail]]&amp;"&amp;subject=NSF Proposal:  "&amp;RADataTable[[#This Row],[Div]]&amp;" "&amp;RADataTable[[#This Row],[prop_id0]], "PIs@")</f>
        <v>PIs@</v>
      </c>
      <c r="AA531" t="s">
        <v>245</v>
      </c>
      <c r="AB531" t="s">
        <v>663</v>
      </c>
      <c r="AC531" s="30" t="s">
        <v>730</v>
      </c>
      <c r="AD531" t="s">
        <v>285</v>
      </c>
      <c r="AE531" t="s">
        <v>731</v>
      </c>
      <c r="AF531" s="36">
        <v>545000</v>
      </c>
      <c r="AG531" s="36">
        <v>545000</v>
      </c>
      <c r="AH531" s="24"/>
      <c r="AJ531" s="34"/>
      <c r="AK531" t="s">
        <v>923</v>
      </c>
      <c r="AL531" t="s">
        <v>287</v>
      </c>
      <c r="AM531" s="34" t="s">
        <v>925</v>
      </c>
      <c r="AN531" s="34">
        <v>43032</v>
      </c>
      <c r="AO531" s="24">
        <v>13</v>
      </c>
      <c r="AP531" t="s">
        <v>933</v>
      </c>
      <c r="AR531" s="35"/>
      <c r="AS531"/>
      <c r="AT531" s="34"/>
      <c r="AV531" s="34"/>
      <c r="AX531" s="34"/>
      <c r="AY531"/>
      <c r="BA531" s="34"/>
      <c r="BB531"/>
      <c r="BC531" t="s">
        <v>735</v>
      </c>
      <c r="BD531" s="36">
        <v>545000</v>
      </c>
      <c r="BE531" s="36">
        <v>545000</v>
      </c>
      <c r="BF531">
        <v>0</v>
      </c>
      <c r="BG531" s="34">
        <v>43282</v>
      </c>
      <c r="BH531">
        <v>60</v>
      </c>
      <c r="BI531" t="s">
        <v>283</v>
      </c>
      <c r="BJ531" t="s">
        <v>928</v>
      </c>
      <c r="BK531" t="s">
        <v>934</v>
      </c>
      <c r="BL531" t="s">
        <v>194</v>
      </c>
      <c r="BM531" s="8" t="s">
        <v>192</v>
      </c>
      <c r="BN531" t="s">
        <v>189</v>
      </c>
      <c r="BO531" t="s">
        <v>190</v>
      </c>
      <c r="BP531" s="35" t="s">
        <v>733</v>
      </c>
      <c r="BQ531"/>
      <c r="BU531" s="35"/>
      <c r="BV531" s="35"/>
      <c r="BX531"/>
      <c r="CA531" s="35"/>
      <c r="CB531" s="35"/>
      <c r="CC531"/>
      <c r="CG531" s="35"/>
      <c r="CH531" s="35"/>
      <c r="CK531"/>
      <c r="CM531" s="35"/>
      <c r="CN531" s="35"/>
      <c r="CQ531"/>
      <c r="CS531" s="35"/>
      <c r="CT531" s="35"/>
      <c r="CX531"/>
      <c r="CZ531" s="35"/>
      <c r="DD531" s="34"/>
      <c r="DG531" t="s">
        <v>732</v>
      </c>
      <c r="DH531" t="s">
        <v>935</v>
      </c>
      <c r="DI531" t="s">
        <v>286</v>
      </c>
      <c r="DL531" t="s">
        <v>663</v>
      </c>
      <c r="DM531">
        <v>5</v>
      </c>
      <c r="DN531">
        <v>9</v>
      </c>
      <c r="DO531" t="s">
        <v>734</v>
      </c>
      <c r="DQ531" t="s">
        <v>927</v>
      </c>
      <c r="DR531">
        <v>14</v>
      </c>
      <c r="DS531">
        <v>1</v>
      </c>
      <c r="DU531">
        <v>14</v>
      </c>
      <c r="DV531">
        <v>1</v>
      </c>
      <c r="DX531">
        <v>14</v>
      </c>
      <c r="DY531">
        <v>1</v>
      </c>
      <c r="DZ531" t="s">
        <v>246</v>
      </c>
      <c r="EA531" t="s">
        <v>929</v>
      </c>
    </row>
    <row r="532" spans="1:131" x14ac:dyDescent="0.4">
      <c r="A532" s="34">
        <v>43067.305104166669</v>
      </c>
      <c r="B532" s="25">
        <v>42933.579861111109</v>
      </c>
      <c r="D532" s="34"/>
      <c r="E532" s="34" t="s">
        <v>193</v>
      </c>
      <c r="F532" s="34" t="s">
        <v>191</v>
      </c>
      <c r="G532" s="34" t="s">
        <v>100</v>
      </c>
      <c r="H532" t="s">
        <v>279</v>
      </c>
      <c r="I532" t="s">
        <v>243</v>
      </c>
      <c r="J532" t="s">
        <v>712</v>
      </c>
      <c r="K532" t="s">
        <v>729</v>
      </c>
      <c r="L532" t="s">
        <v>711</v>
      </c>
      <c r="M532" s="30">
        <v>3.13</v>
      </c>
      <c r="N532">
        <v>6.8</v>
      </c>
      <c r="P532" s="24" t="str">
        <f>IFERROR(MID(RADataTable[[#This Row],[RATemplate]],1,LEN(RADataTable[[#This Row],[RATemplate]])-8),"RA") &amp; " " &amp; RADataTable[[#This Row],[prop_id0]] &amp; " " &amp; RADataTable[[#This Row],[last0]]</f>
        <v>RA 1749414 Moseley</v>
      </c>
      <c r="T532">
        <v>5</v>
      </c>
      <c r="U532">
        <v>5</v>
      </c>
      <c r="V532" s="34">
        <v>43032.510416666664</v>
      </c>
      <c r="W532">
        <v>1</v>
      </c>
      <c r="X532" s="15" t="str">
        <f>HYPERLINK("https://www.ejacket.nsf.gov/ej/showProposal.do?Continue=Y&amp;ID="&amp;RADataTable[[#This Row],[prop_id0]],"eJ")</f>
        <v>eJ</v>
      </c>
      <c r="Y532" s="15" t="str">
        <f>HYPERLINK("mailto:"&amp;RADataTable[[#This Row],[email]]&amp;"&amp;subject=Your NSF Proposal:  "&amp;RADataTable[[#This Row],[Div]]&amp;" "&amp;RADataTable[[#This Row],[prop_id0]], RADataTable[[#This Row],[email]])</f>
        <v>bmoseley@seas.wustl.edu</v>
      </c>
      <c r="Z532" s="15" t="str">
        <f>HYPERLINK("mailto:"&amp;RADataTable[[#This Row],[allPIemail]]&amp;"&amp;subject=NSF Proposal:  "&amp;RADataTable[[#This Row],[Div]]&amp;" "&amp;RADataTable[[#This Row],[prop_id0]], "PIs@")</f>
        <v>PIs@</v>
      </c>
      <c r="AA532" t="s">
        <v>245</v>
      </c>
      <c r="AB532" t="s">
        <v>663</v>
      </c>
      <c r="AC532" s="30" t="s">
        <v>730</v>
      </c>
      <c r="AD532" t="s">
        <v>285</v>
      </c>
      <c r="AE532" t="s">
        <v>731</v>
      </c>
      <c r="AF532" s="36">
        <v>545000</v>
      </c>
      <c r="AG532" s="36">
        <v>545000</v>
      </c>
      <c r="AH532" s="24"/>
      <c r="AJ532" s="34"/>
      <c r="AK532" t="s">
        <v>923</v>
      </c>
      <c r="AL532" t="s">
        <v>287</v>
      </c>
      <c r="AM532" s="34" t="s">
        <v>925</v>
      </c>
      <c r="AN532" s="34">
        <v>43032</v>
      </c>
      <c r="AO532" s="24">
        <v>13</v>
      </c>
      <c r="AP532" t="s">
        <v>933</v>
      </c>
      <c r="AR532" s="35"/>
      <c r="AS532"/>
      <c r="AT532" s="34"/>
      <c r="AV532" s="34"/>
      <c r="AX532" s="34"/>
      <c r="AY532"/>
      <c r="BA532" s="34"/>
      <c r="BB532"/>
      <c r="BC532" t="s">
        <v>735</v>
      </c>
      <c r="BD532" s="36">
        <v>545000</v>
      </c>
      <c r="BE532" s="36">
        <v>545000</v>
      </c>
      <c r="BF532">
        <v>0</v>
      </c>
      <c r="BG532" s="34">
        <v>43282</v>
      </c>
      <c r="BH532">
        <v>60</v>
      </c>
      <c r="BI532" t="s">
        <v>283</v>
      </c>
      <c r="BJ532" t="s">
        <v>928</v>
      </c>
      <c r="BK532" t="s">
        <v>934</v>
      </c>
      <c r="BL532" t="s">
        <v>194</v>
      </c>
      <c r="BM532" s="8" t="s">
        <v>192</v>
      </c>
      <c r="BN532" t="s">
        <v>189</v>
      </c>
      <c r="BO532" t="s">
        <v>190</v>
      </c>
      <c r="BP532" s="35" t="s">
        <v>733</v>
      </c>
      <c r="BQ532"/>
      <c r="BU532" s="35"/>
      <c r="BV532" s="35"/>
      <c r="BX532"/>
      <c r="CA532" s="35"/>
      <c r="CB532" s="35"/>
      <c r="CC532"/>
      <c r="CG532" s="35"/>
      <c r="CH532" s="35"/>
      <c r="CK532"/>
      <c r="CM532" s="35"/>
      <c r="CN532" s="35"/>
      <c r="CQ532"/>
      <c r="CS532" s="35"/>
      <c r="CT532" s="35"/>
      <c r="CX532"/>
      <c r="CZ532" s="35"/>
      <c r="DD532" s="34"/>
      <c r="DG532" t="s">
        <v>732</v>
      </c>
      <c r="DH532" t="s">
        <v>935</v>
      </c>
      <c r="DI532" t="s">
        <v>286</v>
      </c>
      <c r="DL532" t="s">
        <v>663</v>
      </c>
      <c r="DM532">
        <v>5</v>
      </c>
      <c r="DN532">
        <v>9</v>
      </c>
      <c r="DO532" t="s">
        <v>734</v>
      </c>
      <c r="DQ532" t="s">
        <v>927</v>
      </c>
      <c r="DR532">
        <v>14</v>
      </c>
      <c r="DS532">
        <v>1</v>
      </c>
      <c r="DU532">
        <v>14</v>
      </c>
      <c r="DV532">
        <v>1</v>
      </c>
      <c r="DX532">
        <v>14</v>
      </c>
      <c r="DY532">
        <v>1</v>
      </c>
      <c r="DZ532" t="s">
        <v>246</v>
      </c>
      <c r="EA532" t="s">
        <v>929</v>
      </c>
    </row>
    <row r="533" spans="1:131" x14ac:dyDescent="0.4">
      <c r="A533" s="34">
        <v>43067.305104166669</v>
      </c>
      <c r="B533" s="25">
        <v>42933.579861111109</v>
      </c>
      <c r="D533" s="34"/>
      <c r="E533" s="34" t="s">
        <v>193</v>
      </c>
      <c r="F533" s="34" t="s">
        <v>191</v>
      </c>
      <c r="G533" s="34" t="s">
        <v>100</v>
      </c>
      <c r="H533" t="s">
        <v>279</v>
      </c>
      <c r="I533" t="s">
        <v>243</v>
      </c>
      <c r="J533" t="s">
        <v>712</v>
      </c>
      <c r="K533" t="s">
        <v>729</v>
      </c>
      <c r="L533" t="s">
        <v>711</v>
      </c>
      <c r="M533" s="30">
        <v>3.13</v>
      </c>
      <c r="N533">
        <v>6.8</v>
      </c>
      <c r="P533" s="24" t="str">
        <f>IFERROR(MID(RADataTable[[#This Row],[RATemplate]],1,LEN(RADataTable[[#This Row],[RATemplate]])-8),"RA") &amp; " " &amp; RADataTable[[#This Row],[prop_id0]] &amp; " " &amp; RADataTable[[#This Row],[last0]]</f>
        <v>RA 1749414 Moseley</v>
      </c>
      <c r="T533">
        <v>5</v>
      </c>
      <c r="U533">
        <v>5</v>
      </c>
      <c r="V533" s="34">
        <v>43032.510416666664</v>
      </c>
      <c r="W533">
        <v>1</v>
      </c>
      <c r="X533" s="15" t="str">
        <f>HYPERLINK("https://www.ejacket.nsf.gov/ej/showProposal.do?Continue=Y&amp;ID="&amp;RADataTable[[#This Row],[prop_id0]],"eJ")</f>
        <v>eJ</v>
      </c>
      <c r="Y533" s="15" t="str">
        <f>HYPERLINK("mailto:"&amp;RADataTable[[#This Row],[email]]&amp;"&amp;subject=Your NSF Proposal:  "&amp;RADataTable[[#This Row],[Div]]&amp;" "&amp;RADataTable[[#This Row],[prop_id0]], RADataTable[[#This Row],[email]])</f>
        <v>bmoseley@seas.wustl.edu</v>
      </c>
      <c r="Z533" s="15" t="str">
        <f>HYPERLINK("mailto:"&amp;RADataTable[[#This Row],[allPIemail]]&amp;"&amp;subject=NSF Proposal:  "&amp;RADataTable[[#This Row],[Div]]&amp;" "&amp;RADataTable[[#This Row],[prop_id0]], "PIs@")</f>
        <v>PIs@</v>
      </c>
      <c r="AA533" t="s">
        <v>245</v>
      </c>
      <c r="AB533" t="s">
        <v>663</v>
      </c>
      <c r="AC533" s="30" t="s">
        <v>730</v>
      </c>
      <c r="AD533" t="s">
        <v>285</v>
      </c>
      <c r="AE533" t="s">
        <v>731</v>
      </c>
      <c r="AF533" s="36">
        <v>545000</v>
      </c>
      <c r="AG533" s="36">
        <v>545000</v>
      </c>
      <c r="AH533" s="24"/>
      <c r="AJ533" s="34"/>
      <c r="AK533" t="s">
        <v>923</v>
      </c>
      <c r="AL533" t="s">
        <v>287</v>
      </c>
      <c r="AM533" s="34" t="s">
        <v>925</v>
      </c>
      <c r="AN533" s="34">
        <v>43032</v>
      </c>
      <c r="AO533" s="24">
        <v>13</v>
      </c>
      <c r="AP533" t="s">
        <v>933</v>
      </c>
      <c r="AR533" s="35"/>
      <c r="AS533"/>
      <c r="AT533" s="34"/>
      <c r="AV533" s="34"/>
      <c r="AX533" s="34"/>
      <c r="AY533"/>
      <c r="BA533" s="34"/>
      <c r="BB533"/>
      <c r="BC533" t="s">
        <v>735</v>
      </c>
      <c r="BD533" s="36">
        <v>545000</v>
      </c>
      <c r="BE533" s="36">
        <v>545000</v>
      </c>
      <c r="BF533">
        <v>0</v>
      </c>
      <c r="BG533" s="34">
        <v>43282</v>
      </c>
      <c r="BH533">
        <v>60</v>
      </c>
      <c r="BI533" t="s">
        <v>283</v>
      </c>
      <c r="BJ533" t="s">
        <v>928</v>
      </c>
      <c r="BK533" t="s">
        <v>934</v>
      </c>
      <c r="BL533" t="s">
        <v>194</v>
      </c>
      <c r="BM533" s="8" t="s">
        <v>192</v>
      </c>
      <c r="BN533" t="s">
        <v>189</v>
      </c>
      <c r="BO533" t="s">
        <v>190</v>
      </c>
      <c r="BP533" s="35" t="s">
        <v>733</v>
      </c>
      <c r="BQ533"/>
      <c r="BU533" s="35"/>
      <c r="BV533" s="35"/>
      <c r="BX533"/>
      <c r="CA533" s="35"/>
      <c r="CB533" s="35"/>
      <c r="CC533"/>
      <c r="CG533" s="35"/>
      <c r="CH533" s="35"/>
      <c r="CK533"/>
      <c r="CM533" s="35"/>
      <c r="CN533" s="35"/>
      <c r="CQ533"/>
      <c r="CS533" s="35"/>
      <c r="CT533" s="35"/>
      <c r="CX533"/>
      <c r="CZ533" s="35"/>
      <c r="DD533" s="34"/>
      <c r="DG533" t="s">
        <v>732</v>
      </c>
      <c r="DH533" t="s">
        <v>935</v>
      </c>
      <c r="DI533" t="s">
        <v>286</v>
      </c>
      <c r="DL533" t="s">
        <v>663</v>
      </c>
      <c r="DM533">
        <v>5</v>
      </c>
      <c r="DN533">
        <v>9</v>
      </c>
      <c r="DO533" t="s">
        <v>734</v>
      </c>
      <c r="DQ533" t="s">
        <v>927</v>
      </c>
      <c r="DR533">
        <v>14</v>
      </c>
      <c r="DS533">
        <v>1</v>
      </c>
      <c r="DU533">
        <v>14</v>
      </c>
      <c r="DV533">
        <v>1</v>
      </c>
      <c r="DX533">
        <v>14</v>
      </c>
      <c r="DY533">
        <v>1</v>
      </c>
      <c r="DZ533" t="s">
        <v>246</v>
      </c>
      <c r="EA533" t="s">
        <v>929</v>
      </c>
    </row>
    <row r="534" spans="1:131" x14ac:dyDescent="0.4">
      <c r="A534" s="34">
        <v>43067.305104166669</v>
      </c>
      <c r="B534" s="25">
        <v>42933.579861111109</v>
      </c>
      <c r="D534" s="34"/>
      <c r="E534" s="34" t="s">
        <v>193</v>
      </c>
      <c r="F534" s="34" t="s">
        <v>191</v>
      </c>
      <c r="G534" s="34" t="s">
        <v>100</v>
      </c>
      <c r="H534" t="s">
        <v>279</v>
      </c>
      <c r="I534" t="s">
        <v>243</v>
      </c>
      <c r="J534" t="s">
        <v>712</v>
      </c>
      <c r="K534" t="s">
        <v>729</v>
      </c>
      <c r="L534" t="s">
        <v>711</v>
      </c>
      <c r="M534" s="30">
        <v>3.13</v>
      </c>
      <c r="N534">
        <v>6.8</v>
      </c>
      <c r="P534" s="24" t="str">
        <f>IFERROR(MID(RADataTable[[#This Row],[RATemplate]],1,LEN(RADataTable[[#This Row],[RATemplate]])-8),"RA") &amp; " " &amp; RADataTable[[#This Row],[prop_id0]] &amp; " " &amp; RADataTable[[#This Row],[last0]]</f>
        <v>RA 1749414 Moseley</v>
      </c>
      <c r="T534">
        <v>5</v>
      </c>
      <c r="U534">
        <v>5</v>
      </c>
      <c r="V534" s="34">
        <v>43032.510416666664</v>
      </c>
      <c r="W534">
        <v>1</v>
      </c>
      <c r="X534" s="15" t="str">
        <f>HYPERLINK("https://www.ejacket.nsf.gov/ej/showProposal.do?Continue=Y&amp;ID="&amp;RADataTable[[#This Row],[prop_id0]],"eJ")</f>
        <v>eJ</v>
      </c>
      <c r="Y534" s="15" t="str">
        <f>HYPERLINK("mailto:"&amp;RADataTable[[#This Row],[email]]&amp;"&amp;subject=Your NSF Proposal:  "&amp;RADataTable[[#This Row],[Div]]&amp;" "&amp;RADataTable[[#This Row],[prop_id0]], RADataTable[[#This Row],[email]])</f>
        <v>bmoseley@seas.wustl.edu</v>
      </c>
      <c r="Z534" s="15" t="str">
        <f>HYPERLINK("mailto:"&amp;RADataTable[[#This Row],[allPIemail]]&amp;"&amp;subject=NSF Proposal:  "&amp;RADataTable[[#This Row],[Div]]&amp;" "&amp;RADataTable[[#This Row],[prop_id0]], "PIs@")</f>
        <v>PIs@</v>
      </c>
      <c r="AA534" t="s">
        <v>245</v>
      </c>
      <c r="AB534" t="s">
        <v>663</v>
      </c>
      <c r="AC534" s="30" t="s">
        <v>730</v>
      </c>
      <c r="AD534" t="s">
        <v>285</v>
      </c>
      <c r="AE534" t="s">
        <v>731</v>
      </c>
      <c r="AF534" s="36">
        <v>545000</v>
      </c>
      <c r="AG534" s="36">
        <v>545000</v>
      </c>
      <c r="AH534" s="24"/>
      <c r="AJ534" s="34"/>
      <c r="AK534" t="s">
        <v>923</v>
      </c>
      <c r="AL534" t="s">
        <v>287</v>
      </c>
      <c r="AM534" s="34" t="s">
        <v>925</v>
      </c>
      <c r="AN534" s="34">
        <v>43032</v>
      </c>
      <c r="AO534" s="24">
        <v>13</v>
      </c>
      <c r="AP534" t="s">
        <v>933</v>
      </c>
      <c r="AR534" s="35"/>
      <c r="AS534"/>
      <c r="AT534" s="34"/>
      <c r="AV534" s="34"/>
      <c r="AX534" s="34"/>
      <c r="AY534"/>
      <c r="BA534" s="34"/>
      <c r="BB534"/>
      <c r="BC534" t="s">
        <v>735</v>
      </c>
      <c r="BD534" s="36">
        <v>545000</v>
      </c>
      <c r="BE534" s="36">
        <v>545000</v>
      </c>
      <c r="BF534">
        <v>0</v>
      </c>
      <c r="BG534" s="34">
        <v>43282</v>
      </c>
      <c r="BH534">
        <v>60</v>
      </c>
      <c r="BI534" t="s">
        <v>283</v>
      </c>
      <c r="BJ534" t="s">
        <v>928</v>
      </c>
      <c r="BK534" t="s">
        <v>934</v>
      </c>
      <c r="BL534" t="s">
        <v>194</v>
      </c>
      <c r="BM534" s="8" t="s">
        <v>192</v>
      </c>
      <c r="BN534" t="s">
        <v>189</v>
      </c>
      <c r="BO534" t="s">
        <v>190</v>
      </c>
      <c r="BP534" s="35" t="s">
        <v>733</v>
      </c>
      <c r="BQ534"/>
      <c r="BU534" s="35"/>
      <c r="BV534" s="35"/>
      <c r="BX534"/>
      <c r="CA534" s="35"/>
      <c r="CB534" s="35"/>
      <c r="CC534"/>
      <c r="CG534" s="35"/>
      <c r="CH534" s="35"/>
      <c r="CK534"/>
      <c r="CM534" s="35"/>
      <c r="CN534" s="35"/>
      <c r="CQ534"/>
      <c r="CS534" s="35"/>
      <c r="CT534" s="35"/>
      <c r="CX534"/>
      <c r="CZ534" s="35"/>
      <c r="DD534" s="34"/>
      <c r="DG534" t="s">
        <v>732</v>
      </c>
      <c r="DH534" t="s">
        <v>935</v>
      </c>
      <c r="DI534" t="s">
        <v>286</v>
      </c>
      <c r="DL534" t="s">
        <v>663</v>
      </c>
      <c r="DM534">
        <v>5</v>
      </c>
      <c r="DN534">
        <v>9</v>
      </c>
      <c r="DO534" t="s">
        <v>734</v>
      </c>
      <c r="DQ534" t="s">
        <v>927</v>
      </c>
      <c r="DR534">
        <v>14</v>
      </c>
      <c r="DS534">
        <v>1</v>
      </c>
      <c r="DU534">
        <v>14</v>
      </c>
      <c r="DV534">
        <v>1</v>
      </c>
      <c r="DX534">
        <v>14</v>
      </c>
      <c r="DY534">
        <v>1</v>
      </c>
      <c r="DZ534" t="s">
        <v>246</v>
      </c>
      <c r="EA534" t="s">
        <v>929</v>
      </c>
    </row>
    <row r="535" spans="1:131" x14ac:dyDescent="0.4">
      <c r="A535" s="34">
        <v>43067.305104166669</v>
      </c>
      <c r="B535" s="25">
        <v>42933.579861111109</v>
      </c>
      <c r="D535" s="34"/>
      <c r="E535" s="34" t="s">
        <v>193</v>
      </c>
      <c r="F535" s="34" t="s">
        <v>191</v>
      </c>
      <c r="G535" s="34" t="s">
        <v>100</v>
      </c>
      <c r="H535" t="s">
        <v>279</v>
      </c>
      <c r="I535" t="s">
        <v>243</v>
      </c>
      <c r="J535" t="s">
        <v>712</v>
      </c>
      <c r="K535" t="s">
        <v>729</v>
      </c>
      <c r="L535" t="s">
        <v>711</v>
      </c>
      <c r="M535" s="30">
        <v>3.13</v>
      </c>
      <c r="N535">
        <v>6.8</v>
      </c>
      <c r="P535" s="24" t="str">
        <f>IFERROR(MID(RADataTable[[#This Row],[RATemplate]],1,LEN(RADataTable[[#This Row],[RATemplate]])-8),"RA") &amp; " " &amp; RADataTable[[#This Row],[prop_id0]] &amp; " " &amp; RADataTable[[#This Row],[last0]]</f>
        <v>RA 1749414 Moseley</v>
      </c>
      <c r="T535">
        <v>5</v>
      </c>
      <c r="U535">
        <v>5</v>
      </c>
      <c r="V535" s="34">
        <v>43032.510416666664</v>
      </c>
      <c r="W535">
        <v>1</v>
      </c>
      <c r="X535" s="15" t="str">
        <f>HYPERLINK("https://www.ejacket.nsf.gov/ej/showProposal.do?Continue=Y&amp;ID="&amp;RADataTable[[#This Row],[prop_id0]],"eJ")</f>
        <v>eJ</v>
      </c>
      <c r="Y535" s="15" t="str">
        <f>HYPERLINK("mailto:"&amp;RADataTable[[#This Row],[email]]&amp;"&amp;subject=Your NSF Proposal:  "&amp;RADataTable[[#This Row],[Div]]&amp;" "&amp;RADataTable[[#This Row],[prop_id0]], RADataTable[[#This Row],[email]])</f>
        <v>bmoseley@seas.wustl.edu</v>
      </c>
      <c r="Z535" s="15" t="str">
        <f>HYPERLINK("mailto:"&amp;RADataTable[[#This Row],[allPIemail]]&amp;"&amp;subject=NSF Proposal:  "&amp;RADataTable[[#This Row],[Div]]&amp;" "&amp;RADataTable[[#This Row],[prop_id0]], "PIs@")</f>
        <v>PIs@</v>
      </c>
      <c r="AA535" t="s">
        <v>245</v>
      </c>
      <c r="AB535" t="s">
        <v>663</v>
      </c>
      <c r="AC535" s="30" t="s">
        <v>730</v>
      </c>
      <c r="AD535" t="s">
        <v>285</v>
      </c>
      <c r="AE535" t="s">
        <v>731</v>
      </c>
      <c r="AF535" s="36">
        <v>545000</v>
      </c>
      <c r="AG535" s="36">
        <v>545000</v>
      </c>
      <c r="AH535" s="24"/>
      <c r="AJ535" s="34"/>
      <c r="AK535" t="s">
        <v>923</v>
      </c>
      <c r="AL535" t="s">
        <v>287</v>
      </c>
      <c r="AM535" s="34" t="s">
        <v>925</v>
      </c>
      <c r="AN535" s="34">
        <v>43032</v>
      </c>
      <c r="AO535" s="24">
        <v>13</v>
      </c>
      <c r="AP535" t="s">
        <v>933</v>
      </c>
      <c r="AR535" s="35"/>
      <c r="AS535"/>
      <c r="AT535" s="34"/>
      <c r="AV535" s="34"/>
      <c r="AX535" s="34"/>
      <c r="AY535"/>
      <c r="BA535" s="34"/>
      <c r="BB535"/>
      <c r="BC535" t="s">
        <v>735</v>
      </c>
      <c r="BD535" s="36">
        <v>545000</v>
      </c>
      <c r="BE535" s="36">
        <v>545000</v>
      </c>
      <c r="BF535">
        <v>0</v>
      </c>
      <c r="BG535" s="34">
        <v>43282</v>
      </c>
      <c r="BH535">
        <v>60</v>
      </c>
      <c r="BI535" t="s">
        <v>283</v>
      </c>
      <c r="BJ535" t="s">
        <v>928</v>
      </c>
      <c r="BK535" t="s">
        <v>934</v>
      </c>
      <c r="BL535" t="s">
        <v>194</v>
      </c>
      <c r="BM535" s="8" t="s">
        <v>192</v>
      </c>
      <c r="BN535" t="s">
        <v>189</v>
      </c>
      <c r="BO535" t="s">
        <v>190</v>
      </c>
      <c r="BP535" s="35" t="s">
        <v>733</v>
      </c>
      <c r="BQ535"/>
      <c r="BU535" s="35"/>
      <c r="BV535" s="35"/>
      <c r="BX535"/>
      <c r="CA535" s="35"/>
      <c r="CB535" s="35"/>
      <c r="CC535"/>
      <c r="CG535" s="35"/>
      <c r="CH535" s="35"/>
      <c r="CK535"/>
      <c r="CM535" s="35"/>
      <c r="CN535" s="35"/>
      <c r="CQ535"/>
      <c r="CS535" s="35"/>
      <c r="CT535" s="35"/>
      <c r="CX535"/>
      <c r="CZ535" s="35"/>
      <c r="DD535" s="34"/>
      <c r="DG535" t="s">
        <v>732</v>
      </c>
      <c r="DH535" t="s">
        <v>935</v>
      </c>
      <c r="DI535" t="s">
        <v>286</v>
      </c>
      <c r="DL535" t="s">
        <v>663</v>
      </c>
      <c r="DM535">
        <v>5</v>
      </c>
      <c r="DN535">
        <v>9</v>
      </c>
      <c r="DO535" t="s">
        <v>734</v>
      </c>
      <c r="DQ535" t="s">
        <v>927</v>
      </c>
      <c r="DR535">
        <v>14</v>
      </c>
      <c r="DS535">
        <v>1</v>
      </c>
      <c r="DU535">
        <v>14</v>
      </c>
      <c r="DV535">
        <v>1</v>
      </c>
      <c r="DX535">
        <v>14</v>
      </c>
      <c r="DY535">
        <v>1</v>
      </c>
      <c r="DZ535" t="s">
        <v>246</v>
      </c>
      <c r="EA535" t="s">
        <v>929</v>
      </c>
    </row>
    <row r="536" spans="1:131" x14ac:dyDescent="0.4">
      <c r="A536" s="34">
        <v>43067.305104166669</v>
      </c>
      <c r="B536" s="25">
        <v>42933.579861111109</v>
      </c>
      <c r="D536" s="34"/>
      <c r="E536" s="34" t="s">
        <v>193</v>
      </c>
      <c r="F536" s="34" t="s">
        <v>191</v>
      </c>
      <c r="G536" s="34" t="s">
        <v>100</v>
      </c>
      <c r="H536" t="s">
        <v>279</v>
      </c>
      <c r="I536" t="s">
        <v>243</v>
      </c>
      <c r="J536" t="s">
        <v>712</v>
      </c>
      <c r="K536" t="s">
        <v>729</v>
      </c>
      <c r="L536" t="s">
        <v>711</v>
      </c>
      <c r="M536" s="30">
        <v>3.13</v>
      </c>
      <c r="N536">
        <v>6.8</v>
      </c>
      <c r="P536" s="24" t="str">
        <f>IFERROR(MID(RADataTable[[#This Row],[RATemplate]],1,LEN(RADataTable[[#This Row],[RATemplate]])-8),"RA") &amp; " " &amp; RADataTable[[#This Row],[prop_id0]] &amp; " " &amp; RADataTable[[#This Row],[last0]]</f>
        <v>RA 1749414 Moseley</v>
      </c>
      <c r="T536">
        <v>5</v>
      </c>
      <c r="U536">
        <v>5</v>
      </c>
      <c r="V536" s="34">
        <v>43032.510416666664</v>
      </c>
      <c r="W536">
        <v>1</v>
      </c>
      <c r="X536" s="15" t="str">
        <f>HYPERLINK("https://www.ejacket.nsf.gov/ej/showProposal.do?Continue=Y&amp;ID="&amp;RADataTable[[#This Row],[prop_id0]],"eJ")</f>
        <v>eJ</v>
      </c>
      <c r="Y536" s="15" t="str">
        <f>HYPERLINK("mailto:"&amp;RADataTable[[#This Row],[email]]&amp;"&amp;subject=Your NSF Proposal:  "&amp;RADataTable[[#This Row],[Div]]&amp;" "&amp;RADataTable[[#This Row],[prop_id0]], RADataTable[[#This Row],[email]])</f>
        <v>bmoseley@seas.wustl.edu</v>
      </c>
      <c r="Z536" s="15" t="str">
        <f>HYPERLINK("mailto:"&amp;RADataTable[[#This Row],[allPIemail]]&amp;"&amp;subject=NSF Proposal:  "&amp;RADataTable[[#This Row],[Div]]&amp;" "&amp;RADataTable[[#This Row],[prop_id0]], "PIs@")</f>
        <v>PIs@</v>
      </c>
      <c r="AA536" t="s">
        <v>245</v>
      </c>
      <c r="AB536" t="s">
        <v>663</v>
      </c>
      <c r="AC536" s="30" t="s">
        <v>730</v>
      </c>
      <c r="AD536" t="s">
        <v>285</v>
      </c>
      <c r="AE536" t="s">
        <v>731</v>
      </c>
      <c r="AF536" s="36">
        <v>545000</v>
      </c>
      <c r="AG536" s="36">
        <v>545000</v>
      </c>
      <c r="AH536" s="24"/>
      <c r="AJ536" s="34"/>
      <c r="AK536" t="s">
        <v>923</v>
      </c>
      <c r="AL536" t="s">
        <v>287</v>
      </c>
      <c r="AM536" s="34" t="s">
        <v>925</v>
      </c>
      <c r="AN536" s="34">
        <v>43032</v>
      </c>
      <c r="AO536" s="24">
        <v>13</v>
      </c>
      <c r="AP536" t="s">
        <v>933</v>
      </c>
      <c r="AR536" s="35"/>
      <c r="AS536"/>
      <c r="AT536" s="34"/>
      <c r="AV536" s="34"/>
      <c r="AX536" s="34"/>
      <c r="AY536"/>
      <c r="BA536" s="34"/>
      <c r="BB536"/>
      <c r="BC536" t="s">
        <v>735</v>
      </c>
      <c r="BD536" s="36">
        <v>545000</v>
      </c>
      <c r="BE536" s="36">
        <v>545000</v>
      </c>
      <c r="BF536">
        <v>0</v>
      </c>
      <c r="BG536" s="34">
        <v>43282</v>
      </c>
      <c r="BH536">
        <v>60</v>
      </c>
      <c r="BI536" t="s">
        <v>283</v>
      </c>
      <c r="BJ536" t="s">
        <v>928</v>
      </c>
      <c r="BK536" t="s">
        <v>934</v>
      </c>
      <c r="BL536" t="s">
        <v>194</v>
      </c>
      <c r="BM536" s="8" t="s">
        <v>192</v>
      </c>
      <c r="BN536" t="s">
        <v>189</v>
      </c>
      <c r="BO536" t="s">
        <v>190</v>
      </c>
      <c r="BP536" s="35" t="s">
        <v>733</v>
      </c>
      <c r="BQ536"/>
      <c r="BU536" s="35"/>
      <c r="BV536" s="35"/>
      <c r="BX536"/>
      <c r="CA536" s="35"/>
      <c r="CB536" s="35"/>
      <c r="CC536"/>
      <c r="CG536" s="35"/>
      <c r="CH536" s="35"/>
      <c r="CK536"/>
      <c r="CM536" s="35"/>
      <c r="CN536" s="35"/>
      <c r="CQ536"/>
      <c r="CS536" s="35"/>
      <c r="CT536" s="35"/>
      <c r="CX536"/>
      <c r="CZ536" s="35"/>
      <c r="DD536" s="34"/>
      <c r="DG536" t="s">
        <v>732</v>
      </c>
      <c r="DH536" t="s">
        <v>935</v>
      </c>
      <c r="DI536" t="s">
        <v>286</v>
      </c>
      <c r="DL536" t="s">
        <v>663</v>
      </c>
      <c r="DM536">
        <v>5</v>
      </c>
      <c r="DN536">
        <v>9</v>
      </c>
      <c r="DO536" t="s">
        <v>734</v>
      </c>
      <c r="DQ536" t="s">
        <v>927</v>
      </c>
      <c r="DR536">
        <v>14</v>
      </c>
      <c r="DS536">
        <v>1</v>
      </c>
      <c r="DU536">
        <v>14</v>
      </c>
      <c r="DV536">
        <v>1</v>
      </c>
      <c r="DX536">
        <v>14</v>
      </c>
      <c r="DY536">
        <v>1</v>
      </c>
      <c r="DZ536" t="s">
        <v>246</v>
      </c>
      <c r="EA536" t="s">
        <v>929</v>
      </c>
    </row>
    <row r="537" spans="1:131" x14ac:dyDescent="0.4">
      <c r="A537" s="34">
        <v>43067.305104166669</v>
      </c>
      <c r="B537" s="25">
        <v>42933.579861111109</v>
      </c>
      <c r="D537" s="34"/>
      <c r="E537" s="34" t="s">
        <v>193</v>
      </c>
      <c r="F537" s="34" t="s">
        <v>191</v>
      </c>
      <c r="G537" s="34" t="s">
        <v>100</v>
      </c>
      <c r="H537" t="s">
        <v>279</v>
      </c>
      <c r="I537" t="s">
        <v>243</v>
      </c>
      <c r="J537" t="s">
        <v>712</v>
      </c>
      <c r="K537" t="s">
        <v>729</v>
      </c>
      <c r="L537" t="s">
        <v>711</v>
      </c>
      <c r="M537" s="30">
        <v>3.13</v>
      </c>
      <c r="N537">
        <v>6.8</v>
      </c>
      <c r="P537" s="24" t="str">
        <f>IFERROR(MID(RADataTable[[#This Row],[RATemplate]],1,LEN(RADataTable[[#This Row],[RATemplate]])-8),"RA") &amp; " " &amp; RADataTable[[#This Row],[prop_id0]] &amp; " " &amp; RADataTable[[#This Row],[last0]]</f>
        <v>RA 1749414 Moseley</v>
      </c>
      <c r="T537">
        <v>5</v>
      </c>
      <c r="U537">
        <v>5</v>
      </c>
      <c r="V537" s="34">
        <v>43032.510416666664</v>
      </c>
      <c r="W537">
        <v>1</v>
      </c>
      <c r="X537" s="15" t="str">
        <f>HYPERLINK("https://www.ejacket.nsf.gov/ej/showProposal.do?Continue=Y&amp;ID="&amp;RADataTable[[#This Row],[prop_id0]],"eJ")</f>
        <v>eJ</v>
      </c>
      <c r="Y537" s="15" t="str">
        <f>HYPERLINK("mailto:"&amp;RADataTable[[#This Row],[email]]&amp;"&amp;subject=Your NSF Proposal:  "&amp;RADataTable[[#This Row],[Div]]&amp;" "&amp;RADataTable[[#This Row],[prop_id0]], RADataTable[[#This Row],[email]])</f>
        <v>bmoseley@seas.wustl.edu</v>
      </c>
      <c r="Z537" s="15" t="str">
        <f>HYPERLINK("mailto:"&amp;RADataTable[[#This Row],[allPIemail]]&amp;"&amp;subject=NSF Proposal:  "&amp;RADataTable[[#This Row],[Div]]&amp;" "&amp;RADataTable[[#This Row],[prop_id0]], "PIs@")</f>
        <v>PIs@</v>
      </c>
      <c r="AA537" t="s">
        <v>245</v>
      </c>
      <c r="AB537" t="s">
        <v>663</v>
      </c>
      <c r="AC537" s="30" t="s">
        <v>730</v>
      </c>
      <c r="AD537" t="s">
        <v>285</v>
      </c>
      <c r="AE537" t="s">
        <v>731</v>
      </c>
      <c r="AF537" s="36">
        <v>545000</v>
      </c>
      <c r="AG537" s="36">
        <v>545000</v>
      </c>
      <c r="AH537" s="24"/>
      <c r="AJ537" s="34"/>
      <c r="AK537" t="s">
        <v>923</v>
      </c>
      <c r="AL537" t="s">
        <v>287</v>
      </c>
      <c r="AM537" s="34" t="s">
        <v>925</v>
      </c>
      <c r="AN537" s="34">
        <v>43032</v>
      </c>
      <c r="AO537" s="24">
        <v>13</v>
      </c>
      <c r="AP537" t="s">
        <v>933</v>
      </c>
      <c r="AR537" s="35"/>
      <c r="AS537"/>
      <c r="AT537" s="34"/>
      <c r="AV537" s="34"/>
      <c r="AX537" s="34"/>
      <c r="AY537"/>
      <c r="BA537" s="34"/>
      <c r="BB537"/>
      <c r="BC537" t="s">
        <v>735</v>
      </c>
      <c r="BD537" s="36">
        <v>545000</v>
      </c>
      <c r="BE537" s="36">
        <v>545000</v>
      </c>
      <c r="BF537">
        <v>0</v>
      </c>
      <c r="BG537" s="34">
        <v>43282</v>
      </c>
      <c r="BH537">
        <v>60</v>
      </c>
      <c r="BI537" t="s">
        <v>283</v>
      </c>
      <c r="BJ537" t="s">
        <v>928</v>
      </c>
      <c r="BK537" t="s">
        <v>934</v>
      </c>
      <c r="BL537" t="s">
        <v>194</v>
      </c>
      <c r="BM537" s="8" t="s">
        <v>192</v>
      </c>
      <c r="BN537" t="s">
        <v>189</v>
      </c>
      <c r="BO537" t="s">
        <v>190</v>
      </c>
      <c r="BP537" s="35" t="s">
        <v>733</v>
      </c>
      <c r="BQ537"/>
      <c r="BU537" s="35"/>
      <c r="BV537" s="35"/>
      <c r="BX537"/>
      <c r="CA537" s="35"/>
      <c r="CB537" s="35"/>
      <c r="CC537"/>
      <c r="CG537" s="35"/>
      <c r="CH537" s="35"/>
      <c r="CK537"/>
      <c r="CM537" s="35"/>
      <c r="CN537" s="35"/>
      <c r="CQ537"/>
      <c r="CS537" s="35"/>
      <c r="CT537" s="35"/>
      <c r="CX537"/>
      <c r="CZ537" s="35"/>
      <c r="DD537" s="34"/>
      <c r="DG537" t="s">
        <v>732</v>
      </c>
      <c r="DH537" t="s">
        <v>935</v>
      </c>
      <c r="DI537" t="s">
        <v>286</v>
      </c>
      <c r="DL537" t="s">
        <v>663</v>
      </c>
      <c r="DM537">
        <v>5</v>
      </c>
      <c r="DN537">
        <v>9</v>
      </c>
      <c r="DO537" t="s">
        <v>734</v>
      </c>
      <c r="DQ537" t="s">
        <v>927</v>
      </c>
      <c r="DR537">
        <v>14</v>
      </c>
      <c r="DS537">
        <v>1</v>
      </c>
      <c r="DU537">
        <v>14</v>
      </c>
      <c r="DV537">
        <v>1</v>
      </c>
      <c r="DX537">
        <v>14</v>
      </c>
      <c r="DY537">
        <v>1</v>
      </c>
      <c r="DZ537" t="s">
        <v>246</v>
      </c>
      <c r="EA537" t="s">
        <v>929</v>
      </c>
    </row>
    <row r="538" spans="1:131" x14ac:dyDescent="0.4">
      <c r="A538" s="34">
        <v>43067.305104166669</v>
      </c>
      <c r="B538" s="25">
        <v>42933.579861111109</v>
      </c>
      <c r="D538" s="34"/>
      <c r="E538" s="34" t="s">
        <v>193</v>
      </c>
      <c r="F538" s="34" t="s">
        <v>191</v>
      </c>
      <c r="G538" s="34" t="s">
        <v>100</v>
      </c>
      <c r="H538" t="s">
        <v>279</v>
      </c>
      <c r="I538" t="s">
        <v>243</v>
      </c>
      <c r="J538" t="s">
        <v>712</v>
      </c>
      <c r="K538" t="s">
        <v>729</v>
      </c>
      <c r="L538" t="s">
        <v>711</v>
      </c>
      <c r="M538" s="30">
        <v>3.13</v>
      </c>
      <c r="N538">
        <v>6.8</v>
      </c>
      <c r="P538" s="24" t="str">
        <f>IFERROR(MID(RADataTable[[#This Row],[RATemplate]],1,LEN(RADataTable[[#This Row],[RATemplate]])-8),"RA") &amp; " " &amp; RADataTable[[#This Row],[prop_id0]] &amp; " " &amp; RADataTable[[#This Row],[last0]]</f>
        <v>RA 1749414 Moseley</v>
      </c>
      <c r="T538">
        <v>5</v>
      </c>
      <c r="U538">
        <v>5</v>
      </c>
      <c r="V538" s="34">
        <v>43032.510416666664</v>
      </c>
      <c r="W538">
        <v>1</v>
      </c>
      <c r="X538" s="15" t="str">
        <f>HYPERLINK("https://www.ejacket.nsf.gov/ej/showProposal.do?Continue=Y&amp;ID="&amp;RADataTable[[#This Row],[prop_id0]],"eJ")</f>
        <v>eJ</v>
      </c>
      <c r="Y538" s="15" t="str">
        <f>HYPERLINK("mailto:"&amp;RADataTable[[#This Row],[email]]&amp;"&amp;subject=Your NSF Proposal:  "&amp;RADataTable[[#This Row],[Div]]&amp;" "&amp;RADataTable[[#This Row],[prop_id0]], RADataTable[[#This Row],[email]])</f>
        <v>bmoseley@seas.wustl.edu</v>
      </c>
      <c r="Z538" s="15" t="str">
        <f>HYPERLINK("mailto:"&amp;RADataTable[[#This Row],[allPIemail]]&amp;"&amp;subject=NSF Proposal:  "&amp;RADataTable[[#This Row],[Div]]&amp;" "&amp;RADataTable[[#This Row],[prop_id0]], "PIs@")</f>
        <v>PIs@</v>
      </c>
      <c r="AA538" t="s">
        <v>245</v>
      </c>
      <c r="AB538" t="s">
        <v>663</v>
      </c>
      <c r="AC538" s="30" t="s">
        <v>730</v>
      </c>
      <c r="AD538" t="s">
        <v>285</v>
      </c>
      <c r="AE538" t="s">
        <v>731</v>
      </c>
      <c r="AF538" s="36">
        <v>545000</v>
      </c>
      <c r="AG538" s="36">
        <v>545000</v>
      </c>
      <c r="AH538" s="24"/>
      <c r="AJ538" s="34"/>
      <c r="AK538" t="s">
        <v>923</v>
      </c>
      <c r="AL538" t="s">
        <v>287</v>
      </c>
      <c r="AM538" s="34" t="s">
        <v>925</v>
      </c>
      <c r="AN538" s="34">
        <v>43032</v>
      </c>
      <c r="AO538" s="24">
        <v>13</v>
      </c>
      <c r="AP538" t="s">
        <v>933</v>
      </c>
      <c r="AR538" s="35"/>
      <c r="AS538"/>
      <c r="AT538" s="34"/>
      <c r="AV538" s="34"/>
      <c r="AX538" s="34"/>
      <c r="AY538"/>
      <c r="BA538" s="34"/>
      <c r="BB538"/>
      <c r="BC538" t="s">
        <v>735</v>
      </c>
      <c r="BD538" s="36">
        <v>545000</v>
      </c>
      <c r="BE538" s="36">
        <v>545000</v>
      </c>
      <c r="BF538">
        <v>0</v>
      </c>
      <c r="BG538" s="34">
        <v>43282</v>
      </c>
      <c r="BH538">
        <v>60</v>
      </c>
      <c r="BI538" t="s">
        <v>283</v>
      </c>
      <c r="BJ538" t="s">
        <v>928</v>
      </c>
      <c r="BK538" t="s">
        <v>934</v>
      </c>
      <c r="BL538" t="s">
        <v>194</v>
      </c>
      <c r="BM538" s="8" t="s">
        <v>192</v>
      </c>
      <c r="BN538" t="s">
        <v>189</v>
      </c>
      <c r="BO538" t="s">
        <v>190</v>
      </c>
      <c r="BP538" s="35" t="s">
        <v>733</v>
      </c>
      <c r="BQ538"/>
      <c r="BU538" s="35"/>
      <c r="BV538" s="35"/>
      <c r="BX538"/>
      <c r="CA538" s="35"/>
      <c r="CB538" s="35"/>
      <c r="CC538"/>
      <c r="CG538" s="35"/>
      <c r="CH538" s="35"/>
      <c r="CK538"/>
      <c r="CM538" s="35"/>
      <c r="CN538" s="35"/>
      <c r="CQ538"/>
      <c r="CS538" s="35"/>
      <c r="CT538" s="35"/>
      <c r="CX538"/>
      <c r="CZ538" s="35"/>
      <c r="DD538" s="34"/>
      <c r="DG538" t="s">
        <v>732</v>
      </c>
      <c r="DH538" t="s">
        <v>935</v>
      </c>
      <c r="DI538" t="s">
        <v>286</v>
      </c>
      <c r="DL538" t="s">
        <v>663</v>
      </c>
      <c r="DM538">
        <v>5</v>
      </c>
      <c r="DN538">
        <v>9</v>
      </c>
      <c r="DO538" t="s">
        <v>734</v>
      </c>
      <c r="DQ538" t="s">
        <v>927</v>
      </c>
      <c r="DR538">
        <v>14</v>
      </c>
      <c r="DS538">
        <v>1</v>
      </c>
      <c r="DU538">
        <v>14</v>
      </c>
      <c r="DV538">
        <v>1</v>
      </c>
      <c r="DX538">
        <v>14</v>
      </c>
      <c r="DY538">
        <v>1</v>
      </c>
      <c r="DZ538" t="s">
        <v>246</v>
      </c>
      <c r="EA538" t="s">
        <v>929</v>
      </c>
    </row>
    <row r="539" spans="1:131" x14ac:dyDescent="0.4">
      <c r="A539" s="34">
        <v>43067.305104166669</v>
      </c>
      <c r="B539" s="25">
        <v>42933.579861111109</v>
      </c>
      <c r="D539" s="34"/>
      <c r="E539" s="34" t="s">
        <v>193</v>
      </c>
      <c r="F539" s="34" t="s">
        <v>191</v>
      </c>
      <c r="G539" s="34" t="s">
        <v>100</v>
      </c>
      <c r="H539" t="s">
        <v>279</v>
      </c>
      <c r="I539" t="s">
        <v>243</v>
      </c>
      <c r="J539" t="s">
        <v>712</v>
      </c>
      <c r="K539" t="s">
        <v>729</v>
      </c>
      <c r="L539" t="s">
        <v>711</v>
      </c>
      <c r="M539" s="30">
        <v>3.13</v>
      </c>
      <c r="N539">
        <v>6.8</v>
      </c>
      <c r="P539" s="24" t="str">
        <f>IFERROR(MID(RADataTable[[#This Row],[RATemplate]],1,LEN(RADataTable[[#This Row],[RATemplate]])-8),"RA") &amp; " " &amp; RADataTable[[#This Row],[prop_id0]] &amp; " " &amp; RADataTable[[#This Row],[last0]]</f>
        <v>RA 1749414 Moseley</v>
      </c>
      <c r="T539">
        <v>5</v>
      </c>
      <c r="U539">
        <v>5</v>
      </c>
      <c r="V539" s="34">
        <v>43032.510416666664</v>
      </c>
      <c r="W539">
        <v>1</v>
      </c>
      <c r="X539" s="15" t="str">
        <f>HYPERLINK("https://www.ejacket.nsf.gov/ej/showProposal.do?Continue=Y&amp;ID="&amp;RADataTable[[#This Row],[prop_id0]],"eJ")</f>
        <v>eJ</v>
      </c>
      <c r="Y539" s="15" t="str">
        <f>HYPERLINK("mailto:"&amp;RADataTable[[#This Row],[email]]&amp;"&amp;subject=Your NSF Proposal:  "&amp;RADataTable[[#This Row],[Div]]&amp;" "&amp;RADataTable[[#This Row],[prop_id0]], RADataTable[[#This Row],[email]])</f>
        <v>bmoseley@seas.wustl.edu</v>
      </c>
      <c r="Z539" s="15" t="str">
        <f>HYPERLINK("mailto:"&amp;RADataTable[[#This Row],[allPIemail]]&amp;"&amp;subject=NSF Proposal:  "&amp;RADataTable[[#This Row],[Div]]&amp;" "&amp;RADataTable[[#This Row],[prop_id0]], "PIs@")</f>
        <v>PIs@</v>
      </c>
      <c r="AA539" t="s">
        <v>245</v>
      </c>
      <c r="AB539" t="s">
        <v>663</v>
      </c>
      <c r="AC539" s="30" t="s">
        <v>730</v>
      </c>
      <c r="AD539" t="s">
        <v>285</v>
      </c>
      <c r="AE539" t="s">
        <v>731</v>
      </c>
      <c r="AF539" s="36">
        <v>545000</v>
      </c>
      <c r="AG539" s="36">
        <v>545000</v>
      </c>
      <c r="AH539" s="24"/>
      <c r="AJ539" s="34"/>
      <c r="AK539" t="s">
        <v>923</v>
      </c>
      <c r="AL539" t="s">
        <v>287</v>
      </c>
      <c r="AM539" s="34" t="s">
        <v>925</v>
      </c>
      <c r="AN539" s="34">
        <v>43032</v>
      </c>
      <c r="AO539" s="24">
        <v>13</v>
      </c>
      <c r="AP539" t="s">
        <v>933</v>
      </c>
      <c r="AR539" s="35"/>
      <c r="AS539"/>
      <c r="AT539" s="34"/>
      <c r="AV539" s="34"/>
      <c r="AX539" s="34"/>
      <c r="AY539"/>
      <c r="BA539" s="34"/>
      <c r="BB539"/>
      <c r="BC539" t="s">
        <v>735</v>
      </c>
      <c r="BD539" s="36">
        <v>545000</v>
      </c>
      <c r="BE539" s="36">
        <v>545000</v>
      </c>
      <c r="BF539">
        <v>0</v>
      </c>
      <c r="BG539" s="34">
        <v>43282</v>
      </c>
      <c r="BH539">
        <v>60</v>
      </c>
      <c r="BI539" t="s">
        <v>283</v>
      </c>
      <c r="BJ539" t="s">
        <v>928</v>
      </c>
      <c r="BK539" t="s">
        <v>934</v>
      </c>
      <c r="BL539" t="s">
        <v>194</v>
      </c>
      <c r="BM539" s="8" t="s">
        <v>192</v>
      </c>
      <c r="BN539" t="s">
        <v>189</v>
      </c>
      <c r="BO539" t="s">
        <v>190</v>
      </c>
      <c r="BP539" s="35" t="s">
        <v>733</v>
      </c>
      <c r="BQ539"/>
      <c r="BU539" s="35"/>
      <c r="BV539" s="35"/>
      <c r="BX539"/>
      <c r="CA539" s="35"/>
      <c r="CB539" s="35"/>
      <c r="CC539"/>
      <c r="CG539" s="35"/>
      <c r="CH539" s="35"/>
      <c r="CK539"/>
      <c r="CM539" s="35"/>
      <c r="CN539" s="35"/>
      <c r="CQ539"/>
      <c r="CS539" s="35"/>
      <c r="CT539" s="35"/>
      <c r="CX539"/>
      <c r="CZ539" s="35"/>
      <c r="DD539" s="34"/>
      <c r="DG539" t="s">
        <v>732</v>
      </c>
      <c r="DH539" t="s">
        <v>935</v>
      </c>
      <c r="DI539" t="s">
        <v>286</v>
      </c>
      <c r="DL539" t="s">
        <v>663</v>
      </c>
      <c r="DM539">
        <v>5</v>
      </c>
      <c r="DN539">
        <v>9</v>
      </c>
      <c r="DO539" t="s">
        <v>734</v>
      </c>
      <c r="DQ539" t="s">
        <v>927</v>
      </c>
      <c r="DR539">
        <v>14</v>
      </c>
      <c r="DS539">
        <v>1</v>
      </c>
      <c r="DU539">
        <v>14</v>
      </c>
      <c r="DV539">
        <v>1</v>
      </c>
      <c r="DX539">
        <v>14</v>
      </c>
      <c r="DY539">
        <v>1</v>
      </c>
      <c r="DZ539" t="s">
        <v>246</v>
      </c>
      <c r="EA539" t="s">
        <v>929</v>
      </c>
    </row>
    <row r="540" spans="1:131" x14ac:dyDescent="0.4">
      <c r="A540" s="34">
        <v>43067.305104166669</v>
      </c>
      <c r="B540" s="25">
        <v>42933.579861111109</v>
      </c>
      <c r="D540" s="34"/>
      <c r="E540" s="34" t="s">
        <v>193</v>
      </c>
      <c r="F540" s="34" t="s">
        <v>191</v>
      </c>
      <c r="G540" s="34" t="s">
        <v>100</v>
      </c>
      <c r="H540" t="s">
        <v>279</v>
      </c>
      <c r="I540" t="s">
        <v>243</v>
      </c>
      <c r="J540" t="s">
        <v>712</v>
      </c>
      <c r="K540" t="s">
        <v>729</v>
      </c>
      <c r="L540" t="s">
        <v>711</v>
      </c>
      <c r="M540" s="30">
        <v>3.13</v>
      </c>
      <c r="N540">
        <v>6.8</v>
      </c>
      <c r="P540" s="24" t="str">
        <f>IFERROR(MID(RADataTable[[#This Row],[RATemplate]],1,LEN(RADataTable[[#This Row],[RATemplate]])-8),"RA") &amp; " " &amp; RADataTable[[#This Row],[prop_id0]] &amp; " " &amp; RADataTable[[#This Row],[last0]]</f>
        <v>RA 1749414 Moseley</v>
      </c>
      <c r="T540">
        <v>5</v>
      </c>
      <c r="U540">
        <v>5</v>
      </c>
      <c r="V540" s="34">
        <v>43032.510416666664</v>
      </c>
      <c r="W540">
        <v>1</v>
      </c>
      <c r="X540" s="15" t="str">
        <f>HYPERLINK("https://www.ejacket.nsf.gov/ej/showProposal.do?Continue=Y&amp;ID="&amp;RADataTable[[#This Row],[prop_id0]],"eJ")</f>
        <v>eJ</v>
      </c>
      <c r="Y540" s="15" t="str">
        <f>HYPERLINK("mailto:"&amp;RADataTable[[#This Row],[email]]&amp;"&amp;subject=Your NSF Proposal:  "&amp;RADataTable[[#This Row],[Div]]&amp;" "&amp;RADataTable[[#This Row],[prop_id0]], RADataTable[[#This Row],[email]])</f>
        <v>bmoseley@seas.wustl.edu</v>
      </c>
      <c r="Z540" s="15" t="str">
        <f>HYPERLINK("mailto:"&amp;RADataTable[[#This Row],[allPIemail]]&amp;"&amp;subject=NSF Proposal:  "&amp;RADataTable[[#This Row],[Div]]&amp;" "&amp;RADataTable[[#This Row],[prop_id0]], "PIs@")</f>
        <v>PIs@</v>
      </c>
      <c r="AA540" t="s">
        <v>245</v>
      </c>
      <c r="AB540" t="s">
        <v>663</v>
      </c>
      <c r="AC540" s="30" t="s">
        <v>730</v>
      </c>
      <c r="AD540" t="s">
        <v>285</v>
      </c>
      <c r="AE540" t="s">
        <v>731</v>
      </c>
      <c r="AF540" s="36">
        <v>545000</v>
      </c>
      <c r="AG540" s="36">
        <v>545000</v>
      </c>
      <c r="AH540" s="24"/>
      <c r="AJ540" s="34"/>
      <c r="AK540" t="s">
        <v>923</v>
      </c>
      <c r="AL540" t="s">
        <v>287</v>
      </c>
      <c r="AM540" s="34" t="s">
        <v>925</v>
      </c>
      <c r="AN540" s="34">
        <v>43032</v>
      </c>
      <c r="AO540" s="24">
        <v>13</v>
      </c>
      <c r="AP540" t="s">
        <v>933</v>
      </c>
      <c r="AR540" s="35"/>
      <c r="AS540"/>
      <c r="AT540" s="34"/>
      <c r="AV540" s="34"/>
      <c r="AX540" s="34"/>
      <c r="AY540"/>
      <c r="BA540" s="34"/>
      <c r="BB540"/>
      <c r="BC540" t="s">
        <v>735</v>
      </c>
      <c r="BD540" s="36">
        <v>545000</v>
      </c>
      <c r="BE540" s="36">
        <v>545000</v>
      </c>
      <c r="BF540">
        <v>0</v>
      </c>
      <c r="BG540" s="34">
        <v>43282</v>
      </c>
      <c r="BH540">
        <v>60</v>
      </c>
      <c r="BI540" t="s">
        <v>283</v>
      </c>
      <c r="BJ540" t="s">
        <v>928</v>
      </c>
      <c r="BK540" t="s">
        <v>934</v>
      </c>
      <c r="BL540" t="s">
        <v>194</v>
      </c>
      <c r="BM540" s="8" t="s">
        <v>192</v>
      </c>
      <c r="BN540" t="s">
        <v>189</v>
      </c>
      <c r="BO540" t="s">
        <v>190</v>
      </c>
      <c r="BP540" s="35" t="s">
        <v>733</v>
      </c>
      <c r="BQ540"/>
      <c r="BU540" s="35"/>
      <c r="BV540" s="35"/>
      <c r="BX540"/>
      <c r="CA540" s="35"/>
      <c r="CB540" s="35"/>
      <c r="CC540"/>
      <c r="CG540" s="35"/>
      <c r="CH540" s="35"/>
      <c r="CK540"/>
      <c r="CM540" s="35"/>
      <c r="CN540" s="35"/>
      <c r="CQ540"/>
      <c r="CS540" s="35"/>
      <c r="CT540" s="35"/>
      <c r="CX540"/>
      <c r="CZ540" s="35"/>
      <c r="DD540" s="34"/>
      <c r="DG540" t="s">
        <v>732</v>
      </c>
      <c r="DH540" t="s">
        <v>935</v>
      </c>
      <c r="DI540" t="s">
        <v>286</v>
      </c>
      <c r="DL540" t="s">
        <v>663</v>
      </c>
      <c r="DM540">
        <v>5</v>
      </c>
      <c r="DN540">
        <v>9</v>
      </c>
      <c r="DO540" t="s">
        <v>734</v>
      </c>
      <c r="DQ540" t="s">
        <v>927</v>
      </c>
      <c r="DR540">
        <v>14</v>
      </c>
      <c r="DS540">
        <v>1</v>
      </c>
      <c r="DU540">
        <v>14</v>
      </c>
      <c r="DV540">
        <v>1</v>
      </c>
      <c r="DX540">
        <v>14</v>
      </c>
      <c r="DY540">
        <v>1</v>
      </c>
      <c r="DZ540" t="s">
        <v>246</v>
      </c>
      <c r="EA540" t="s">
        <v>929</v>
      </c>
    </row>
    <row r="541" spans="1:131" x14ac:dyDescent="0.4">
      <c r="A541" s="34">
        <v>43067.305104166669</v>
      </c>
      <c r="B541" s="25">
        <v>42933.579861111109</v>
      </c>
      <c r="D541" s="34"/>
      <c r="E541" s="34" t="s">
        <v>193</v>
      </c>
      <c r="F541" s="34" t="s">
        <v>191</v>
      </c>
      <c r="G541" s="34" t="s">
        <v>100</v>
      </c>
      <c r="H541" t="s">
        <v>279</v>
      </c>
      <c r="I541" t="s">
        <v>243</v>
      </c>
      <c r="J541" t="s">
        <v>712</v>
      </c>
      <c r="K541" t="s">
        <v>729</v>
      </c>
      <c r="L541" t="s">
        <v>711</v>
      </c>
      <c r="M541" s="30">
        <v>3.13</v>
      </c>
      <c r="N541">
        <v>6.8</v>
      </c>
      <c r="P541" s="24" t="str">
        <f>IFERROR(MID(RADataTable[[#This Row],[RATemplate]],1,LEN(RADataTable[[#This Row],[RATemplate]])-8),"RA") &amp; " " &amp; RADataTable[[#This Row],[prop_id0]] &amp; " " &amp; RADataTable[[#This Row],[last0]]</f>
        <v>RA 1749414 Moseley</v>
      </c>
      <c r="T541">
        <v>5</v>
      </c>
      <c r="U541">
        <v>5</v>
      </c>
      <c r="V541" s="34">
        <v>43032.510416666664</v>
      </c>
      <c r="W541">
        <v>1</v>
      </c>
      <c r="X541" s="15" t="str">
        <f>HYPERLINK("https://www.ejacket.nsf.gov/ej/showProposal.do?Continue=Y&amp;ID="&amp;RADataTable[[#This Row],[prop_id0]],"eJ")</f>
        <v>eJ</v>
      </c>
      <c r="Y541" s="15" t="str">
        <f>HYPERLINK("mailto:"&amp;RADataTable[[#This Row],[email]]&amp;"&amp;subject=Your NSF Proposal:  "&amp;RADataTable[[#This Row],[Div]]&amp;" "&amp;RADataTable[[#This Row],[prop_id0]], RADataTable[[#This Row],[email]])</f>
        <v>bmoseley@seas.wustl.edu</v>
      </c>
      <c r="Z541" s="15" t="str">
        <f>HYPERLINK("mailto:"&amp;RADataTable[[#This Row],[allPIemail]]&amp;"&amp;subject=NSF Proposal:  "&amp;RADataTable[[#This Row],[Div]]&amp;" "&amp;RADataTable[[#This Row],[prop_id0]], "PIs@")</f>
        <v>PIs@</v>
      </c>
      <c r="AA541" t="s">
        <v>245</v>
      </c>
      <c r="AB541" t="s">
        <v>663</v>
      </c>
      <c r="AC541" s="30" t="s">
        <v>730</v>
      </c>
      <c r="AD541" t="s">
        <v>285</v>
      </c>
      <c r="AE541" t="s">
        <v>731</v>
      </c>
      <c r="AF541" s="36">
        <v>545000</v>
      </c>
      <c r="AG541" s="36">
        <v>545000</v>
      </c>
      <c r="AH541" s="24"/>
      <c r="AJ541" s="34"/>
      <c r="AK541" t="s">
        <v>923</v>
      </c>
      <c r="AL541" t="s">
        <v>287</v>
      </c>
      <c r="AM541" s="34" t="s">
        <v>925</v>
      </c>
      <c r="AN541" s="34">
        <v>43032</v>
      </c>
      <c r="AO541" s="24">
        <v>13</v>
      </c>
      <c r="AP541" t="s">
        <v>933</v>
      </c>
      <c r="AR541" s="35"/>
      <c r="AS541"/>
      <c r="AT541" s="34"/>
      <c r="AV541" s="34"/>
      <c r="AX541" s="34"/>
      <c r="AY541"/>
      <c r="BA541" s="34"/>
      <c r="BB541"/>
      <c r="BC541" t="s">
        <v>735</v>
      </c>
      <c r="BD541" s="36">
        <v>545000</v>
      </c>
      <c r="BE541" s="36">
        <v>545000</v>
      </c>
      <c r="BF541">
        <v>0</v>
      </c>
      <c r="BG541" s="34">
        <v>43282</v>
      </c>
      <c r="BH541">
        <v>60</v>
      </c>
      <c r="BI541" t="s">
        <v>283</v>
      </c>
      <c r="BJ541" t="s">
        <v>928</v>
      </c>
      <c r="BK541" t="s">
        <v>934</v>
      </c>
      <c r="BL541" t="s">
        <v>194</v>
      </c>
      <c r="BM541" s="8" t="s">
        <v>192</v>
      </c>
      <c r="BN541" t="s">
        <v>189</v>
      </c>
      <c r="BO541" t="s">
        <v>190</v>
      </c>
      <c r="BP541" s="35" t="s">
        <v>733</v>
      </c>
      <c r="BQ541"/>
      <c r="BU541" s="35"/>
      <c r="BV541" s="35"/>
      <c r="BX541"/>
      <c r="CA541" s="35"/>
      <c r="CB541" s="35"/>
      <c r="CC541"/>
      <c r="CG541" s="35"/>
      <c r="CH541" s="35"/>
      <c r="CK541"/>
      <c r="CM541" s="35"/>
      <c r="CN541" s="35"/>
      <c r="CQ541"/>
      <c r="CS541" s="35"/>
      <c r="CT541" s="35"/>
      <c r="CX541"/>
      <c r="CZ541" s="35"/>
      <c r="DD541" s="34"/>
      <c r="DG541" t="s">
        <v>732</v>
      </c>
      <c r="DH541" t="s">
        <v>935</v>
      </c>
      <c r="DI541" t="s">
        <v>286</v>
      </c>
      <c r="DL541" t="s">
        <v>663</v>
      </c>
      <c r="DM541">
        <v>5</v>
      </c>
      <c r="DN541">
        <v>9</v>
      </c>
      <c r="DO541" t="s">
        <v>734</v>
      </c>
      <c r="DQ541" t="s">
        <v>927</v>
      </c>
      <c r="DR541">
        <v>14</v>
      </c>
      <c r="DS541">
        <v>1</v>
      </c>
      <c r="DU541">
        <v>14</v>
      </c>
      <c r="DV541">
        <v>1</v>
      </c>
      <c r="DX541">
        <v>14</v>
      </c>
      <c r="DY541">
        <v>1</v>
      </c>
      <c r="DZ541" t="s">
        <v>246</v>
      </c>
      <c r="EA541" t="s">
        <v>929</v>
      </c>
    </row>
    <row r="542" spans="1:131" x14ac:dyDescent="0.4">
      <c r="A542" s="34">
        <v>43067.305104166669</v>
      </c>
      <c r="B542" s="25">
        <v>42933.579861111109</v>
      </c>
      <c r="D542" s="34"/>
      <c r="E542" s="34" t="s">
        <v>193</v>
      </c>
      <c r="F542" s="34" t="s">
        <v>191</v>
      </c>
      <c r="G542" s="34" t="s">
        <v>100</v>
      </c>
      <c r="H542" t="s">
        <v>279</v>
      </c>
      <c r="I542" t="s">
        <v>243</v>
      </c>
      <c r="J542" t="s">
        <v>712</v>
      </c>
      <c r="K542" t="s">
        <v>729</v>
      </c>
      <c r="L542" t="s">
        <v>711</v>
      </c>
      <c r="M542" s="30">
        <v>3.13</v>
      </c>
      <c r="N542">
        <v>6.8</v>
      </c>
      <c r="P542" s="24" t="str">
        <f>IFERROR(MID(RADataTable[[#This Row],[RATemplate]],1,LEN(RADataTable[[#This Row],[RATemplate]])-8),"RA") &amp; " " &amp; RADataTable[[#This Row],[prop_id0]] &amp; " " &amp; RADataTable[[#This Row],[last0]]</f>
        <v>RA 1749414 Moseley</v>
      </c>
      <c r="T542">
        <v>5</v>
      </c>
      <c r="U542">
        <v>5</v>
      </c>
      <c r="V542" s="34">
        <v>43032.510416666664</v>
      </c>
      <c r="W542">
        <v>1</v>
      </c>
      <c r="X542" s="15" t="str">
        <f>HYPERLINK("https://www.ejacket.nsf.gov/ej/showProposal.do?Continue=Y&amp;ID="&amp;RADataTable[[#This Row],[prop_id0]],"eJ")</f>
        <v>eJ</v>
      </c>
      <c r="Y542" s="15" t="str">
        <f>HYPERLINK("mailto:"&amp;RADataTable[[#This Row],[email]]&amp;"&amp;subject=Your NSF Proposal:  "&amp;RADataTable[[#This Row],[Div]]&amp;" "&amp;RADataTable[[#This Row],[prop_id0]], RADataTable[[#This Row],[email]])</f>
        <v>bmoseley@seas.wustl.edu</v>
      </c>
      <c r="Z542" s="15" t="str">
        <f>HYPERLINK("mailto:"&amp;RADataTable[[#This Row],[allPIemail]]&amp;"&amp;subject=NSF Proposal:  "&amp;RADataTable[[#This Row],[Div]]&amp;" "&amp;RADataTable[[#This Row],[prop_id0]], "PIs@")</f>
        <v>PIs@</v>
      </c>
      <c r="AA542" t="s">
        <v>245</v>
      </c>
      <c r="AB542" t="s">
        <v>663</v>
      </c>
      <c r="AC542" s="30" t="s">
        <v>730</v>
      </c>
      <c r="AD542" t="s">
        <v>285</v>
      </c>
      <c r="AE542" t="s">
        <v>731</v>
      </c>
      <c r="AF542" s="36">
        <v>545000</v>
      </c>
      <c r="AG542" s="36">
        <v>545000</v>
      </c>
      <c r="AH542" s="24"/>
      <c r="AJ542" s="34"/>
      <c r="AK542" t="s">
        <v>923</v>
      </c>
      <c r="AL542" t="s">
        <v>287</v>
      </c>
      <c r="AM542" s="34" t="s">
        <v>925</v>
      </c>
      <c r="AN542" s="34">
        <v>43032</v>
      </c>
      <c r="AO542" s="24">
        <v>13</v>
      </c>
      <c r="AP542" t="s">
        <v>933</v>
      </c>
      <c r="AR542" s="35"/>
      <c r="AS542"/>
      <c r="AT542" s="34"/>
      <c r="AV542" s="34"/>
      <c r="AX542" s="34"/>
      <c r="AY542"/>
      <c r="BA542" s="34"/>
      <c r="BB542"/>
      <c r="BC542" t="s">
        <v>735</v>
      </c>
      <c r="BD542" s="36">
        <v>545000</v>
      </c>
      <c r="BE542" s="36">
        <v>545000</v>
      </c>
      <c r="BF542">
        <v>0</v>
      </c>
      <c r="BG542" s="34">
        <v>43282</v>
      </c>
      <c r="BH542">
        <v>60</v>
      </c>
      <c r="BI542" t="s">
        <v>283</v>
      </c>
      <c r="BJ542" t="s">
        <v>928</v>
      </c>
      <c r="BK542" t="s">
        <v>934</v>
      </c>
      <c r="BL542" t="s">
        <v>194</v>
      </c>
      <c r="BM542" s="8" t="s">
        <v>192</v>
      </c>
      <c r="BN542" t="s">
        <v>189</v>
      </c>
      <c r="BO542" t="s">
        <v>190</v>
      </c>
      <c r="BP542" s="35" t="s">
        <v>733</v>
      </c>
      <c r="BQ542"/>
      <c r="BU542" s="35"/>
      <c r="BV542" s="35"/>
      <c r="BX542"/>
      <c r="CA542" s="35"/>
      <c r="CB542" s="35"/>
      <c r="CC542"/>
      <c r="CG542" s="35"/>
      <c r="CH542" s="35"/>
      <c r="CK542"/>
      <c r="CM542" s="35"/>
      <c r="CN542" s="35"/>
      <c r="CQ542"/>
      <c r="CS542" s="35"/>
      <c r="CT542" s="35"/>
      <c r="CX542"/>
      <c r="CZ542" s="35"/>
      <c r="DD542" s="34"/>
      <c r="DG542" t="s">
        <v>732</v>
      </c>
      <c r="DH542" t="s">
        <v>935</v>
      </c>
      <c r="DI542" t="s">
        <v>286</v>
      </c>
      <c r="DL542" t="s">
        <v>663</v>
      </c>
      <c r="DM542">
        <v>5</v>
      </c>
      <c r="DN542">
        <v>9</v>
      </c>
      <c r="DO542" t="s">
        <v>734</v>
      </c>
      <c r="DQ542" t="s">
        <v>927</v>
      </c>
      <c r="DR542">
        <v>14</v>
      </c>
      <c r="DS542">
        <v>1</v>
      </c>
      <c r="DU542">
        <v>14</v>
      </c>
      <c r="DV542">
        <v>1</v>
      </c>
      <c r="DX542">
        <v>14</v>
      </c>
      <c r="DY542">
        <v>1</v>
      </c>
      <c r="DZ542" t="s">
        <v>246</v>
      </c>
      <c r="EA542" t="s">
        <v>929</v>
      </c>
    </row>
    <row r="543" spans="1:131" x14ac:dyDescent="0.4">
      <c r="A543" s="34">
        <v>43067.305104166669</v>
      </c>
      <c r="B543" s="25">
        <v>42933.579861111109</v>
      </c>
      <c r="D543" s="34"/>
      <c r="E543" s="34" t="s">
        <v>193</v>
      </c>
      <c r="F543" s="34" t="s">
        <v>191</v>
      </c>
      <c r="G543" s="34" t="s">
        <v>100</v>
      </c>
      <c r="H543" t="s">
        <v>279</v>
      </c>
      <c r="I543" t="s">
        <v>243</v>
      </c>
      <c r="J543" t="s">
        <v>712</v>
      </c>
      <c r="K543" t="s">
        <v>729</v>
      </c>
      <c r="L543" t="s">
        <v>711</v>
      </c>
      <c r="M543" s="30">
        <v>3.13</v>
      </c>
      <c r="N543">
        <v>6.8</v>
      </c>
      <c r="P543" s="24" t="str">
        <f>IFERROR(MID(RADataTable[[#This Row],[RATemplate]],1,LEN(RADataTable[[#This Row],[RATemplate]])-8),"RA") &amp; " " &amp; RADataTable[[#This Row],[prop_id0]] &amp; " " &amp; RADataTable[[#This Row],[last0]]</f>
        <v>RA 1749414 Moseley</v>
      </c>
      <c r="T543">
        <v>5</v>
      </c>
      <c r="U543">
        <v>5</v>
      </c>
      <c r="V543" s="34">
        <v>43032.510416666664</v>
      </c>
      <c r="W543">
        <v>1</v>
      </c>
      <c r="X543" s="15" t="str">
        <f>HYPERLINK("https://www.ejacket.nsf.gov/ej/showProposal.do?Continue=Y&amp;ID="&amp;RADataTable[[#This Row],[prop_id0]],"eJ")</f>
        <v>eJ</v>
      </c>
      <c r="Y543" s="15" t="str">
        <f>HYPERLINK("mailto:"&amp;RADataTable[[#This Row],[email]]&amp;"&amp;subject=Your NSF Proposal:  "&amp;RADataTable[[#This Row],[Div]]&amp;" "&amp;RADataTable[[#This Row],[prop_id0]], RADataTable[[#This Row],[email]])</f>
        <v>bmoseley@seas.wustl.edu</v>
      </c>
      <c r="Z543" s="15" t="str">
        <f>HYPERLINK("mailto:"&amp;RADataTable[[#This Row],[allPIemail]]&amp;"&amp;subject=NSF Proposal:  "&amp;RADataTable[[#This Row],[Div]]&amp;" "&amp;RADataTable[[#This Row],[prop_id0]], "PIs@")</f>
        <v>PIs@</v>
      </c>
      <c r="AA543" t="s">
        <v>245</v>
      </c>
      <c r="AB543" t="s">
        <v>663</v>
      </c>
      <c r="AC543" s="30" t="s">
        <v>730</v>
      </c>
      <c r="AD543" t="s">
        <v>285</v>
      </c>
      <c r="AE543" t="s">
        <v>731</v>
      </c>
      <c r="AF543" s="36">
        <v>545000</v>
      </c>
      <c r="AG543" s="36">
        <v>545000</v>
      </c>
      <c r="AH543" s="24"/>
      <c r="AJ543" s="34"/>
      <c r="AK543" t="s">
        <v>923</v>
      </c>
      <c r="AL543" t="s">
        <v>287</v>
      </c>
      <c r="AM543" s="34" t="s">
        <v>925</v>
      </c>
      <c r="AN543" s="34">
        <v>43032</v>
      </c>
      <c r="AO543" s="24">
        <v>13</v>
      </c>
      <c r="AP543" t="s">
        <v>933</v>
      </c>
      <c r="AR543" s="35"/>
      <c r="AS543"/>
      <c r="AT543" s="34"/>
      <c r="AV543" s="34"/>
      <c r="AX543" s="34"/>
      <c r="AY543"/>
      <c r="BA543" s="34"/>
      <c r="BB543"/>
      <c r="BC543" t="s">
        <v>735</v>
      </c>
      <c r="BD543" s="36">
        <v>545000</v>
      </c>
      <c r="BE543" s="36">
        <v>545000</v>
      </c>
      <c r="BF543">
        <v>0</v>
      </c>
      <c r="BG543" s="34">
        <v>43282</v>
      </c>
      <c r="BH543">
        <v>60</v>
      </c>
      <c r="BI543" t="s">
        <v>283</v>
      </c>
      <c r="BJ543" t="s">
        <v>928</v>
      </c>
      <c r="BK543" t="s">
        <v>934</v>
      </c>
      <c r="BL543" t="s">
        <v>194</v>
      </c>
      <c r="BM543" s="8" t="s">
        <v>192</v>
      </c>
      <c r="BN543" t="s">
        <v>189</v>
      </c>
      <c r="BO543" t="s">
        <v>190</v>
      </c>
      <c r="BP543" s="35" t="s">
        <v>733</v>
      </c>
      <c r="BQ543"/>
      <c r="BU543" s="35"/>
      <c r="BV543" s="35"/>
      <c r="BX543"/>
      <c r="CA543" s="35"/>
      <c r="CB543" s="35"/>
      <c r="CC543"/>
      <c r="CG543" s="35"/>
      <c r="CH543" s="35"/>
      <c r="CK543"/>
      <c r="CM543" s="35"/>
      <c r="CN543" s="35"/>
      <c r="CQ543"/>
      <c r="CS543" s="35"/>
      <c r="CT543" s="35"/>
      <c r="CX543"/>
      <c r="CZ543" s="35"/>
      <c r="DD543" s="34"/>
      <c r="DG543" t="s">
        <v>732</v>
      </c>
      <c r="DH543" t="s">
        <v>935</v>
      </c>
      <c r="DI543" t="s">
        <v>286</v>
      </c>
      <c r="DL543" t="s">
        <v>663</v>
      </c>
      <c r="DM543">
        <v>5</v>
      </c>
      <c r="DN543">
        <v>9</v>
      </c>
      <c r="DO543" t="s">
        <v>734</v>
      </c>
      <c r="DQ543" t="s">
        <v>927</v>
      </c>
      <c r="DR543">
        <v>14</v>
      </c>
      <c r="DS543">
        <v>1</v>
      </c>
      <c r="DU543">
        <v>14</v>
      </c>
      <c r="DV543">
        <v>1</v>
      </c>
      <c r="DX543">
        <v>14</v>
      </c>
      <c r="DY543">
        <v>1</v>
      </c>
      <c r="DZ543" t="s">
        <v>246</v>
      </c>
      <c r="EA543" t="s">
        <v>929</v>
      </c>
    </row>
    <row r="544" spans="1:131" x14ac:dyDescent="0.4">
      <c r="A544" s="34">
        <v>43067.305104166669</v>
      </c>
      <c r="B544" s="25">
        <v>42933.579861111109</v>
      </c>
      <c r="D544" s="34"/>
      <c r="E544" s="34" t="s">
        <v>193</v>
      </c>
      <c r="F544" s="34" t="s">
        <v>191</v>
      </c>
      <c r="G544" s="34" t="s">
        <v>100</v>
      </c>
      <c r="H544" t="s">
        <v>279</v>
      </c>
      <c r="I544" t="s">
        <v>243</v>
      </c>
      <c r="J544" t="s">
        <v>712</v>
      </c>
      <c r="K544" t="s">
        <v>729</v>
      </c>
      <c r="L544" t="s">
        <v>711</v>
      </c>
      <c r="M544" s="30">
        <v>3.13</v>
      </c>
      <c r="N544">
        <v>6.8</v>
      </c>
      <c r="P544" s="24" t="str">
        <f>IFERROR(MID(RADataTable[[#This Row],[RATemplate]],1,LEN(RADataTable[[#This Row],[RATemplate]])-8),"RA") &amp; " " &amp; RADataTable[[#This Row],[prop_id0]] &amp; " " &amp; RADataTable[[#This Row],[last0]]</f>
        <v>RA 1749414 Moseley</v>
      </c>
      <c r="T544">
        <v>5</v>
      </c>
      <c r="U544">
        <v>5</v>
      </c>
      <c r="V544" s="34">
        <v>43032.510416666664</v>
      </c>
      <c r="W544">
        <v>1</v>
      </c>
      <c r="X544" s="15" t="str">
        <f>HYPERLINK("https://www.ejacket.nsf.gov/ej/showProposal.do?Continue=Y&amp;ID="&amp;RADataTable[[#This Row],[prop_id0]],"eJ")</f>
        <v>eJ</v>
      </c>
      <c r="Y544" s="15" t="str">
        <f>HYPERLINK("mailto:"&amp;RADataTable[[#This Row],[email]]&amp;"&amp;subject=Your NSF Proposal:  "&amp;RADataTable[[#This Row],[Div]]&amp;" "&amp;RADataTable[[#This Row],[prop_id0]], RADataTable[[#This Row],[email]])</f>
        <v>bmoseley@seas.wustl.edu</v>
      </c>
      <c r="Z544" s="15" t="str">
        <f>HYPERLINK("mailto:"&amp;RADataTable[[#This Row],[allPIemail]]&amp;"&amp;subject=NSF Proposal:  "&amp;RADataTable[[#This Row],[Div]]&amp;" "&amp;RADataTable[[#This Row],[prop_id0]], "PIs@")</f>
        <v>PIs@</v>
      </c>
      <c r="AA544" t="s">
        <v>245</v>
      </c>
      <c r="AB544" t="s">
        <v>663</v>
      </c>
      <c r="AC544" s="30" t="s">
        <v>730</v>
      </c>
      <c r="AD544" t="s">
        <v>285</v>
      </c>
      <c r="AE544" t="s">
        <v>731</v>
      </c>
      <c r="AF544" s="36">
        <v>545000</v>
      </c>
      <c r="AG544" s="36">
        <v>545000</v>
      </c>
      <c r="AH544" s="24"/>
      <c r="AJ544" s="34"/>
      <c r="AK544" t="s">
        <v>923</v>
      </c>
      <c r="AL544" t="s">
        <v>287</v>
      </c>
      <c r="AM544" s="34" t="s">
        <v>925</v>
      </c>
      <c r="AN544" s="34">
        <v>43032</v>
      </c>
      <c r="AO544" s="24">
        <v>13</v>
      </c>
      <c r="AP544" t="s">
        <v>933</v>
      </c>
      <c r="AR544" s="35"/>
      <c r="AS544"/>
      <c r="AT544" s="34"/>
      <c r="AV544" s="34"/>
      <c r="AX544" s="34"/>
      <c r="AY544"/>
      <c r="BA544" s="34"/>
      <c r="BB544"/>
      <c r="BC544" t="s">
        <v>735</v>
      </c>
      <c r="BD544" s="36">
        <v>545000</v>
      </c>
      <c r="BE544" s="36">
        <v>545000</v>
      </c>
      <c r="BF544">
        <v>0</v>
      </c>
      <c r="BG544" s="34">
        <v>43282</v>
      </c>
      <c r="BH544">
        <v>60</v>
      </c>
      <c r="BI544" t="s">
        <v>283</v>
      </c>
      <c r="BJ544" t="s">
        <v>928</v>
      </c>
      <c r="BK544" t="s">
        <v>934</v>
      </c>
      <c r="BL544" t="s">
        <v>194</v>
      </c>
      <c r="BM544" s="8" t="s">
        <v>192</v>
      </c>
      <c r="BN544" t="s">
        <v>189</v>
      </c>
      <c r="BO544" t="s">
        <v>190</v>
      </c>
      <c r="BP544" s="35" t="s">
        <v>733</v>
      </c>
      <c r="BQ544"/>
      <c r="BU544" s="35"/>
      <c r="BV544" s="35"/>
      <c r="BX544"/>
      <c r="CA544" s="35"/>
      <c r="CB544" s="35"/>
      <c r="CC544"/>
      <c r="CG544" s="35"/>
      <c r="CH544" s="35"/>
      <c r="CK544"/>
      <c r="CM544" s="35"/>
      <c r="CN544" s="35"/>
      <c r="CQ544"/>
      <c r="CS544" s="35"/>
      <c r="CT544" s="35"/>
      <c r="CX544"/>
      <c r="CZ544" s="35"/>
      <c r="DD544" s="34"/>
      <c r="DG544" t="s">
        <v>732</v>
      </c>
      <c r="DH544" t="s">
        <v>935</v>
      </c>
      <c r="DI544" t="s">
        <v>286</v>
      </c>
      <c r="DL544" t="s">
        <v>663</v>
      </c>
      <c r="DM544">
        <v>5</v>
      </c>
      <c r="DN544">
        <v>9</v>
      </c>
      <c r="DO544" t="s">
        <v>734</v>
      </c>
      <c r="DQ544" t="s">
        <v>927</v>
      </c>
      <c r="DR544">
        <v>14</v>
      </c>
      <c r="DS544">
        <v>1</v>
      </c>
      <c r="DU544">
        <v>14</v>
      </c>
      <c r="DV544">
        <v>1</v>
      </c>
      <c r="DX544">
        <v>14</v>
      </c>
      <c r="DY544">
        <v>1</v>
      </c>
      <c r="DZ544" t="s">
        <v>246</v>
      </c>
      <c r="EA544" t="s">
        <v>929</v>
      </c>
    </row>
    <row r="545" spans="1:131" x14ac:dyDescent="0.4">
      <c r="A545" s="34">
        <v>43067.305104166669</v>
      </c>
      <c r="B545" s="25">
        <v>42933.579861111109</v>
      </c>
      <c r="D545" s="34"/>
      <c r="E545" s="34" t="s">
        <v>193</v>
      </c>
      <c r="F545" s="34" t="s">
        <v>191</v>
      </c>
      <c r="G545" s="34" t="s">
        <v>100</v>
      </c>
      <c r="H545" t="s">
        <v>279</v>
      </c>
      <c r="I545" t="s">
        <v>243</v>
      </c>
      <c r="J545" t="s">
        <v>712</v>
      </c>
      <c r="K545" t="s">
        <v>729</v>
      </c>
      <c r="L545" t="s">
        <v>711</v>
      </c>
      <c r="M545" s="30">
        <v>3.13</v>
      </c>
      <c r="N545">
        <v>6.8</v>
      </c>
      <c r="P545" s="24" t="str">
        <f>IFERROR(MID(RADataTable[[#This Row],[RATemplate]],1,LEN(RADataTable[[#This Row],[RATemplate]])-8),"RA") &amp; " " &amp; RADataTable[[#This Row],[prop_id0]] &amp; " " &amp; RADataTable[[#This Row],[last0]]</f>
        <v>RA 1749414 Moseley</v>
      </c>
      <c r="T545">
        <v>5</v>
      </c>
      <c r="U545">
        <v>5</v>
      </c>
      <c r="V545" s="34">
        <v>43032.510416666664</v>
      </c>
      <c r="W545">
        <v>1</v>
      </c>
      <c r="X545" s="15" t="str">
        <f>HYPERLINK("https://www.ejacket.nsf.gov/ej/showProposal.do?Continue=Y&amp;ID="&amp;RADataTable[[#This Row],[prop_id0]],"eJ")</f>
        <v>eJ</v>
      </c>
      <c r="Y545" s="15" t="str">
        <f>HYPERLINK("mailto:"&amp;RADataTable[[#This Row],[email]]&amp;"&amp;subject=Your NSF Proposal:  "&amp;RADataTable[[#This Row],[Div]]&amp;" "&amp;RADataTable[[#This Row],[prop_id0]], RADataTable[[#This Row],[email]])</f>
        <v>bmoseley@seas.wustl.edu</v>
      </c>
      <c r="Z545" s="15" t="str">
        <f>HYPERLINK("mailto:"&amp;RADataTable[[#This Row],[allPIemail]]&amp;"&amp;subject=NSF Proposal:  "&amp;RADataTable[[#This Row],[Div]]&amp;" "&amp;RADataTable[[#This Row],[prop_id0]], "PIs@")</f>
        <v>PIs@</v>
      </c>
      <c r="AA545" t="s">
        <v>245</v>
      </c>
      <c r="AB545" t="s">
        <v>663</v>
      </c>
      <c r="AC545" s="30" t="s">
        <v>730</v>
      </c>
      <c r="AD545" t="s">
        <v>285</v>
      </c>
      <c r="AE545" t="s">
        <v>731</v>
      </c>
      <c r="AF545" s="36">
        <v>545000</v>
      </c>
      <c r="AG545" s="36">
        <v>545000</v>
      </c>
      <c r="AH545" s="24"/>
      <c r="AJ545" s="34"/>
      <c r="AK545" t="s">
        <v>923</v>
      </c>
      <c r="AL545" t="s">
        <v>287</v>
      </c>
      <c r="AM545" s="34" t="s">
        <v>925</v>
      </c>
      <c r="AN545" s="34">
        <v>43032</v>
      </c>
      <c r="AO545" s="24">
        <v>13</v>
      </c>
      <c r="AP545" t="s">
        <v>933</v>
      </c>
      <c r="AR545" s="35"/>
      <c r="AS545"/>
      <c r="AT545" s="34"/>
      <c r="AV545" s="34"/>
      <c r="AX545" s="34"/>
      <c r="AY545"/>
      <c r="BA545" s="34"/>
      <c r="BB545"/>
      <c r="BC545" t="s">
        <v>735</v>
      </c>
      <c r="BD545" s="36">
        <v>545000</v>
      </c>
      <c r="BE545" s="36">
        <v>545000</v>
      </c>
      <c r="BF545">
        <v>0</v>
      </c>
      <c r="BG545" s="34">
        <v>43282</v>
      </c>
      <c r="BH545">
        <v>60</v>
      </c>
      <c r="BI545" t="s">
        <v>283</v>
      </c>
      <c r="BJ545" t="s">
        <v>928</v>
      </c>
      <c r="BK545" t="s">
        <v>934</v>
      </c>
      <c r="BL545" t="s">
        <v>194</v>
      </c>
      <c r="BM545" s="8" t="s">
        <v>192</v>
      </c>
      <c r="BN545" t="s">
        <v>189</v>
      </c>
      <c r="BO545" t="s">
        <v>190</v>
      </c>
      <c r="BP545" s="35" t="s">
        <v>733</v>
      </c>
      <c r="BQ545"/>
      <c r="BU545" s="35"/>
      <c r="BV545" s="35"/>
      <c r="BX545"/>
      <c r="CA545" s="35"/>
      <c r="CB545" s="35"/>
      <c r="CC545"/>
      <c r="CG545" s="35"/>
      <c r="CH545" s="35"/>
      <c r="CK545"/>
      <c r="CM545" s="35"/>
      <c r="CN545" s="35"/>
      <c r="CQ545"/>
      <c r="CS545" s="35"/>
      <c r="CT545" s="35"/>
      <c r="CX545"/>
      <c r="CZ545" s="35"/>
      <c r="DD545" s="34"/>
      <c r="DG545" t="s">
        <v>732</v>
      </c>
      <c r="DH545" t="s">
        <v>935</v>
      </c>
      <c r="DI545" t="s">
        <v>286</v>
      </c>
      <c r="DL545" t="s">
        <v>663</v>
      </c>
      <c r="DM545">
        <v>5</v>
      </c>
      <c r="DN545">
        <v>9</v>
      </c>
      <c r="DO545" t="s">
        <v>734</v>
      </c>
      <c r="DQ545" t="s">
        <v>927</v>
      </c>
      <c r="DR545">
        <v>14</v>
      </c>
      <c r="DS545">
        <v>1</v>
      </c>
      <c r="DU545">
        <v>14</v>
      </c>
      <c r="DV545">
        <v>1</v>
      </c>
      <c r="DX545">
        <v>14</v>
      </c>
      <c r="DY545">
        <v>1</v>
      </c>
      <c r="DZ545" t="s">
        <v>246</v>
      </c>
      <c r="EA545" t="s">
        <v>929</v>
      </c>
    </row>
    <row r="546" spans="1:131" x14ac:dyDescent="0.4">
      <c r="A546" s="34">
        <v>43067.305104166669</v>
      </c>
      <c r="B546" s="25">
        <v>42933.579861111109</v>
      </c>
      <c r="D546" s="34"/>
      <c r="E546" s="34" t="s">
        <v>193</v>
      </c>
      <c r="F546" s="34" t="s">
        <v>191</v>
      </c>
      <c r="G546" s="34" t="s">
        <v>100</v>
      </c>
      <c r="H546" t="s">
        <v>279</v>
      </c>
      <c r="I546" t="s">
        <v>243</v>
      </c>
      <c r="J546" t="s">
        <v>712</v>
      </c>
      <c r="K546" t="s">
        <v>729</v>
      </c>
      <c r="L546" t="s">
        <v>711</v>
      </c>
      <c r="M546" s="30">
        <v>3.13</v>
      </c>
      <c r="N546">
        <v>6.8</v>
      </c>
      <c r="P546" s="24" t="str">
        <f>IFERROR(MID(RADataTable[[#This Row],[RATemplate]],1,LEN(RADataTable[[#This Row],[RATemplate]])-8),"RA") &amp; " " &amp; RADataTable[[#This Row],[prop_id0]] &amp; " " &amp; RADataTable[[#This Row],[last0]]</f>
        <v>RA 1749414 Moseley</v>
      </c>
      <c r="T546">
        <v>5</v>
      </c>
      <c r="U546">
        <v>5</v>
      </c>
      <c r="V546" s="34">
        <v>43032.510416666664</v>
      </c>
      <c r="W546">
        <v>1</v>
      </c>
      <c r="X546" s="15" t="str">
        <f>HYPERLINK("https://www.ejacket.nsf.gov/ej/showProposal.do?Continue=Y&amp;ID="&amp;RADataTable[[#This Row],[prop_id0]],"eJ")</f>
        <v>eJ</v>
      </c>
      <c r="Y546" s="15" t="str">
        <f>HYPERLINK("mailto:"&amp;RADataTable[[#This Row],[email]]&amp;"&amp;subject=Your NSF Proposal:  "&amp;RADataTable[[#This Row],[Div]]&amp;" "&amp;RADataTable[[#This Row],[prop_id0]], RADataTable[[#This Row],[email]])</f>
        <v>bmoseley@seas.wustl.edu</v>
      </c>
      <c r="Z546" s="15" t="str">
        <f>HYPERLINK("mailto:"&amp;RADataTable[[#This Row],[allPIemail]]&amp;"&amp;subject=NSF Proposal:  "&amp;RADataTable[[#This Row],[Div]]&amp;" "&amp;RADataTable[[#This Row],[prop_id0]], "PIs@")</f>
        <v>PIs@</v>
      </c>
      <c r="AA546" t="s">
        <v>245</v>
      </c>
      <c r="AB546" t="s">
        <v>663</v>
      </c>
      <c r="AC546" s="30" t="s">
        <v>730</v>
      </c>
      <c r="AD546" t="s">
        <v>285</v>
      </c>
      <c r="AE546" t="s">
        <v>731</v>
      </c>
      <c r="AF546" s="36">
        <v>545000</v>
      </c>
      <c r="AG546" s="36">
        <v>545000</v>
      </c>
      <c r="AH546" s="24"/>
      <c r="AJ546" s="34"/>
      <c r="AK546" t="s">
        <v>923</v>
      </c>
      <c r="AL546" t="s">
        <v>287</v>
      </c>
      <c r="AM546" s="34" t="s">
        <v>925</v>
      </c>
      <c r="AN546" s="34">
        <v>43032</v>
      </c>
      <c r="AO546" s="24">
        <v>13</v>
      </c>
      <c r="AP546" t="s">
        <v>933</v>
      </c>
      <c r="AR546" s="35"/>
      <c r="AS546"/>
      <c r="AT546" s="34"/>
      <c r="AV546" s="34"/>
      <c r="AX546" s="34"/>
      <c r="AY546"/>
      <c r="BA546" s="34"/>
      <c r="BB546"/>
      <c r="BC546" t="s">
        <v>735</v>
      </c>
      <c r="BD546" s="36">
        <v>545000</v>
      </c>
      <c r="BE546" s="36">
        <v>545000</v>
      </c>
      <c r="BF546">
        <v>0</v>
      </c>
      <c r="BG546" s="34">
        <v>43282</v>
      </c>
      <c r="BH546">
        <v>60</v>
      </c>
      <c r="BI546" t="s">
        <v>283</v>
      </c>
      <c r="BJ546" t="s">
        <v>928</v>
      </c>
      <c r="BK546" t="s">
        <v>934</v>
      </c>
      <c r="BL546" t="s">
        <v>194</v>
      </c>
      <c r="BM546" s="8" t="s">
        <v>192</v>
      </c>
      <c r="BN546" t="s">
        <v>189</v>
      </c>
      <c r="BO546" t="s">
        <v>190</v>
      </c>
      <c r="BP546" s="35" t="s">
        <v>733</v>
      </c>
      <c r="BQ546"/>
      <c r="BU546" s="35"/>
      <c r="BV546" s="35"/>
      <c r="BX546"/>
      <c r="CA546" s="35"/>
      <c r="CB546" s="35"/>
      <c r="CC546"/>
      <c r="CG546" s="35"/>
      <c r="CH546" s="35"/>
      <c r="CK546"/>
      <c r="CM546" s="35"/>
      <c r="CN546" s="35"/>
      <c r="CQ546"/>
      <c r="CS546" s="35"/>
      <c r="CT546" s="35"/>
      <c r="CX546"/>
      <c r="CZ546" s="35"/>
      <c r="DD546" s="34"/>
      <c r="DG546" t="s">
        <v>732</v>
      </c>
      <c r="DH546" t="s">
        <v>935</v>
      </c>
      <c r="DI546" t="s">
        <v>286</v>
      </c>
      <c r="DL546" t="s">
        <v>663</v>
      </c>
      <c r="DM546">
        <v>5</v>
      </c>
      <c r="DN546">
        <v>9</v>
      </c>
      <c r="DO546" t="s">
        <v>734</v>
      </c>
      <c r="DQ546" t="s">
        <v>927</v>
      </c>
      <c r="DR546">
        <v>14</v>
      </c>
      <c r="DS546">
        <v>1</v>
      </c>
      <c r="DU546">
        <v>14</v>
      </c>
      <c r="DV546">
        <v>1</v>
      </c>
      <c r="DX546">
        <v>14</v>
      </c>
      <c r="DY546">
        <v>1</v>
      </c>
      <c r="DZ546" t="s">
        <v>246</v>
      </c>
      <c r="EA546" t="s">
        <v>929</v>
      </c>
    </row>
    <row r="547" spans="1:131" x14ac:dyDescent="0.4">
      <c r="A547" s="34">
        <v>43067.305104166669</v>
      </c>
      <c r="B547" s="25">
        <v>42933.579861111109</v>
      </c>
      <c r="D547" s="34"/>
      <c r="E547" s="34" t="s">
        <v>193</v>
      </c>
      <c r="F547" s="34" t="s">
        <v>191</v>
      </c>
      <c r="G547" s="34" t="s">
        <v>100</v>
      </c>
      <c r="H547" t="s">
        <v>279</v>
      </c>
      <c r="I547" t="s">
        <v>243</v>
      </c>
      <c r="J547" t="s">
        <v>712</v>
      </c>
      <c r="K547" t="s">
        <v>729</v>
      </c>
      <c r="L547" t="s">
        <v>711</v>
      </c>
      <c r="M547" s="30">
        <v>3.13</v>
      </c>
      <c r="N547">
        <v>6.8</v>
      </c>
      <c r="P547" s="24" t="str">
        <f>IFERROR(MID(RADataTable[[#This Row],[RATemplate]],1,LEN(RADataTable[[#This Row],[RATemplate]])-8),"RA") &amp; " " &amp; RADataTable[[#This Row],[prop_id0]] &amp; " " &amp; RADataTable[[#This Row],[last0]]</f>
        <v>RA 1749414 Moseley</v>
      </c>
      <c r="T547">
        <v>5</v>
      </c>
      <c r="U547">
        <v>5</v>
      </c>
      <c r="V547" s="34">
        <v>43032.510416666664</v>
      </c>
      <c r="W547">
        <v>1</v>
      </c>
      <c r="X547" s="15" t="str">
        <f>HYPERLINK("https://www.ejacket.nsf.gov/ej/showProposal.do?Continue=Y&amp;ID="&amp;RADataTable[[#This Row],[prop_id0]],"eJ")</f>
        <v>eJ</v>
      </c>
      <c r="Y547" s="15" t="str">
        <f>HYPERLINK("mailto:"&amp;RADataTable[[#This Row],[email]]&amp;"&amp;subject=Your NSF Proposal:  "&amp;RADataTable[[#This Row],[Div]]&amp;" "&amp;RADataTable[[#This Row],[prop_id0]], RADataTable[[#This Row],[email]])</f>
        <v>bmoseley@seas.wustl.edu</v>
      </c>
      <c r="Z547" s="15" t="str">
        <f>HYPERLINK("mailto:"&amp;RADataTable[[#This Row],[allPIemail]]&amp;"&amp;subject=NSF Proposal:  "&amp;RADataTable[[#This Row],[Div]]&amp;" "&amp;RADataTable[[#This Row],[prop_id0]], "PIs@")</f>
        <v>PIs@</v>
      </c>
      <c r="AA547" t="s">
        <v>245</v>
      </c>
      <c r="AB547" t="s">
        <v>663</v>
      </c>
      <c r="AC547" s="30" t="s">
        <v>730</v>
      </c>
      <c r="AD547" t="s">
        <v>285</v>
      </c>
      <c r="AE547" t="s">
        <v>731</v>
      </c>
      <c r="AF547" s="36">
        <v>545000</v>
      </c>
      <c r="AG547" s="36">
        <v>545000</v>
      </c>
      <c r="AH547" s="24"/>
      <c r="AJ547" s="34"/>
      <c r="AK547" t="s">
        <v>923</v>
      </c>
      <c r="AL547" t="s">
        <v>287</v>
      </c>
      <c r="AM547" s="34" t="s">
        <v>925</v>
      </c>
      <c r="AN547" s="34">
        <v>43032</v>
      </c>
      <c r="AO547" s="24">
        <v>13</v>
      </c>
      <c r="AP547" t="s">
        <v>933</v>
      </c>
      <c r="AR547" s="35"/>
      <c r="AS547"/>
      <c r="AT547" s="34"/>
      <c r="AV547" s="34"/>
      <c r="AX547" s="34"/>
      <c r="AY547"/>
      <c r="BA547" s="34"/>
      <c r="BB547"/>
      <c r="BC547" t="s">
        <v>735</v>
      </c>
      <c r="BD547" s="36">
        <v>545000</v>
      </c>
      <c r="BE547" s="36">
        <v>545000</v>
      </c>
      <c r="BF547">
        <v>0</v>
      </c>
      <c r="BG547" s="34">
        <v>43282</v>
      </c>
      <c r="BH547">
        <v>60</v>
      </c>
      <c r="BI547" t="s">
        <v>283</v>
      </c>
      <c r="BJ547" t="s">
        <v>928</v>
      </c>
      <c r="BK547" t="s">
        <v>934</v>
      </c>
      <c r="BL547" t="s">
        <v>194</v>
      </c>
      <c r="BM547" s="8" t="s">
        <v>192</v>
      </c>
      <c r="BN547" t="s">
        <v>189</v>
      </c>
      <c r="BO547" t="s">
        <v>190</v>
      </c>
      <c r="BP547" s="35" t="s">
        <v>733</v>
      </c>
      <c r="BQ547"/>
      <c r="BU547" s="35"/>
      <c r="BV547" s="35"/>
      <c r="BX547"/>
      <c r="CA547" s="35"/>
      <c r="CB547" s="35"/>
      <c r="CC547"/>
      <c r="CG547" s="35"/>
      <c r="CH547" s="35"/>
      <c r="CK547"/>
      <c r="CM547" s="35"/>
      <c r="CN547" s="35"/>
      <c r="CQ547"/>
      <c r="CS547" s="35"/>
      <c r="CT547" s="35"/>
      <c r="CX547"/>
      <c r="CZ547" s="35"/>
      <c r="DD547" s="34"/>
      <c r="DG547" t="s">
        <v>732</v>
      </c>
      <c r="DH547" t="s">
        <v>935</v>
      </c>
      <c r="DI547" t="s">
        <v>286</v>
      </c>
      <c r="DL547" t="s">
        <v>663</v>
      </c>
      <c r="DM547">
        <v>5</v>
      </c>
      <c r="DN547">
        <v>9</v>
      </c>
      <c r="DO547" t="s">
        <v>734</v>
      </c>
      <c r="DQ547" t="s">
        <v>927</v>
      </c>
      <c r="DR547">
        <v>14</v>
      </c>
      <c r="DS547">
        <v>1</v>
      </c>
      <c r="DU547">
        <v>14</v>
      </c>
      <c r="DV547">
        <v>1</v>
      </c>
      <c r="DX547">
        <v>14</v>
      </c>
      <c r="DY547">
        <v>1</v>
      </c>
      <c r="DZ547" t="s">
        <v>246</v>
      </c>
      <c r="EA547" t="s">
        <v>929</v>
      </c>
    </row>
    <row r="548" spans="1:131" x14ac:dyDescent="0.4">
      <c r="A548" s="34">
        <v>43067.305104166669</v>
      </c>
      <c r="B548" s="25">
        <v>42933.579861111109</v>
      </c>
      <c r="D548" s="34"/>
      <c r="E548" s="34" t="s">
        <v>193</v>
      </c>
      <c r="F548" s="34" t="s">
        <v>191</v>
      </c>
      <c r="G548" s="34" t="s">
        <v>100</v>
      </c>
      <c r="H548" t="s">
        <v>279</v>
      </c>
      <c r="I548" t="s">
        <v>243</v>
      </c>
      <c r="J548" t="s">
        <v>712</v>
      </c>
      <c r="K548" t="s">
        <v>729</v>
      </c>
      <c r="L548" t="s">
        <v>711</v>
      </c>
      <c r="M548" s="30">
        <v>3.13</v>
      </c>
      <c r="N548">
        <v>6.8</v>
      </c>
      <c r="P548" s="24" t="str">
        <f>IFERROR(MID(RADataTable[[#This Row],[RATemplate]],1,LEN(RADataTable[[#This Row],[RATemplate]])-8),"RA") &amp; " " &amp; RADataTable[[#This Row],[prop_id0]] &amp; " " &amp; RADataTable[[#This Row],[last0]]</f>
        <v>RA 1749414 Moseley</v>
      </c>
      <c r="T548">
        <v>5</v>
      </c>
      <c r="U548">
        <v>5</v>
      </c>
      <c r="V548" s="34">
        <v>43032.510416666664</v>
      </c>
      <c r="W548">
        <v>1</v>
      </c>
      <c r="X548" s="15" t="str">
        <f>HYPERLINK("https://www.ejacket.nsf.gov/ej/showProposal.do?Continue=Y&amp;ID="&amp;RADataTable[[#This Row],[prop_id0]],"eJ")</f>
        <v>eJ</v>
      </c>
      <c r="Y548" s="15" t="str">
        <f>HYPERLINK("mailto:"&amp;RADataTable[[#This Row],[email]]&amp;"&amp;subject=Your NSF Proposal:  "&amp;RADataTable[[#This Row],[Div]]&amp;" "&amp;RADataTable[[#This Row],[prop_id0]], RADataTable[[#This Row],[email]])</f>
        <v>bmoseley@seas.wustl.edu</v>
      </c>
      <c r="Z548" s="15" t="str">
        <f>HYPERLINK("mailto:"&amp;RADataTable[[#This Row],[allPIemail]]&amp;"&amp;subject=NSF Proposal:  "&amp;RADataTable[[#This Row],[Div]]&amp;" "&amp;RADataTable[[#This Row],[prop_id0]], "PIs@")</f>
        <v>PIs@</v>
      </c>
      <c r="AA548" t="s">
        <v>245</v>
      </c>
      <c r="AB548" t="s">
        <v>663</v>
      </c>
      <c r="AC548" s="30" t="s">
        <v>730</v>
      </c>
      <c r="AD548" t="s">
        <v>285</v>
      </c>
      <c r="AE548" t="s">
        <v>731</v>
      </c>
      <c r="AF548" s="36">
        <v>545000</v>
      </c>
      <c r="AG548" s="36">
        <v>545000</v>
      </c>
      <c r="AH548" s="24"/>
      <c r="AJ548" s="34"/>
      <c r="AK548" t="s">
        <v>923</v>
      </c>
      <c r="AL548" t="s">
        <v>287</v>
      </c>
      <c r="AM548" s="34" t="s">
        <v>925</v>
      </c>
      <c r="AN548" s="34">
        <v>43032</v>
      </c>
      <c r="AO548" s="24">
        <v>13</v>
      </c>
      <c r="AP548" t="s">
        <v>933</v>
      </c>
      <c r="AR548" s="35"/>
      <c r="AS548"/>
      <c r="AT548" s="34"/>
      <c r="AV548" s="34"/>
      <c r="AX548" s="34"/>
      <c r="AY548"/>
      <c r="BA548" s="34"/>
      <c r="BB548"/>
      <c r="BC548" t="s">
        <v>735</v>
      </c>
      <c r="BD548" s="36">
        <v>545000</v>
      </c>
      <c r="BE548" s="36">
        <v>545000</v>
      </c>
      <c r="BF548">
        <v>0</v>
      </c>
      <c r="BG548" s="34">
        <v>43282</v>
      </c>
      <c r="BH548">
        <v>60</v>
      </c>
      <c r="BI548" t="s">
        <v>283</v>
      </c>
      <c r="BJ548" t="s">
        <v>928</v>
      </c>
      <c r="BK548" t="s">
        <v>934</v>
      </c>
      <c r="BL548" t="s">
        <v>194</v>
      </c>
      <c r="BM548" s="8" t="s">
        <v>192</v>
      </c>
      <c r="BN548" t="s">
        <v>189</v>
      </c>
      <c r="BO548" t="s">
        <v>190</v>
      </c>
      <c r="BP548" s="35" t="s">
        <v>733</v>
      </c>
      <c r="BQ548"/>
      <c r="BU548" s="35"/>
      <c r="BV548" s="35"/>
      <c r="BX548"/>
      <c r="CA548" s="35"/>
      <c r="CB548" s="35"/>
      <c r="CC548"/>
      <c r="CG548" s="35"/>
      <c r="CH548" s="35"/>
      <c r="CK548"/>
      <c r="CM548" s="35"/>
      <c r="CN548" s="35"/>
      <c r="CQ548"/>
      <c r="CS548" s="35"/>
      <c r="CT548" s="35"/>
      <c r="CX548"/>
      <c r="CZ548" s="35"/>
      <c r="DD548" s="34"/>
      <c r="DG548" t="s">
        <v>732</v>
      </c>
      <c r="DH548" t="s">
        <v>935</v>
      </c>
      <c r="DI548" t="s">
        <v>286</v>
      </c>
      <c r="DL548" t="s">
        <v>663</v>
      </c>
      <c r="DM548">
        <v>5</v>
      </c>
      <c r="DN548">
        <v>9</v>
      </c>
      <c r="DO548" t="s">
        <v>734</v>
      </c>
      <c r="DQ548" t="s">
        <v>927</v>
      </c>
      <c r="DR548">
        <v>14</v>
      </c>
      <c r="DS548">
        <v>1</v>
      </c>
      <c r="DU548">
        <v>14</v>
      </c>
      <c r="DV548">
        <v>1</v>
      </c>
      <c r="DX548">
        <v>14</v>
      </c>
      <c r="DY548">
        <v>1</v>
      </c>
      <c r="DZ548" t="s">
        <v>246</v>
      </c>
      <c r="EA548" t="s">
        <v>929</v>
      </c>
    </row>
    <row r="549" spans="1:131" x14ac:dyDescent="0.4">
      <c r="A549" s="34">
        <v>43067.305104166669</v>
      </c>
      <c r="B549" s="25">
        <v>42933.579861111109</v>
      </c>
      <c r="D549" s="34"/>
      <c r="E549" s="34" t="s">
        <v>193</v>
      </c>
      <c r="F549" s="34" t="s">
        <v>191</v>
      </c>
      <c r="G549" s="34" t="s">
        <v>100</v>
      </c>
      <c r="H549" t="s">
        <v>279</v>
      </c>
      <c r="I549" t="s">
        <v>243</v>
      </c>
      <c r="J549" t="s">
        <v>712</v>
      </c>
      <c r="K549" t="s">
        <v>729</v>
      </c>
      <c r="L549" t="s">
        <v>711</v>
      </c>
      <c r="M549" s="30">
        <v>3.13</v>
      </c>
      <c r="N549">
        <v>6.8</v>
      </c>
      <c r="P549" s="24" t="str">
        <f>IFERROR(MID(RADataTable[[#This Row],[RATemplate]],1,LEN(RADataTable[[#This Row],[RATemplate]])-8),"RA") &amp; " " &amp; RADataTable[[#This Row],[prop_id0]] &amp; " " &amp; RADataTable[[#This Row],[last0]]</f>
        <v>RA 1749414 Moseley</v>
      </c>
      <c r="T549">
        <v>5</v>
      </c>
      <c r="U549">
        <v>5</v>
      </c>
      <c r="V549" s="34">
        <v>43032.510416666664</v>
      </c>
      <c r="W549">
        <v>1</v>
      </c>
      <c r="X549" s="15" t="str">
        <f>HYPERLINK("https://www.ejacket.nsf.gov/ej/showProposal.do?Continue=Y&amp;ID="&amp;RADataTable[[#This Row],[prop_id0]],"eJ")</f>
        <v>eJ</v>
      </c>
      <c r="Y549" s="15" t="str">
        <f>HYPERLINK("mailto:"&amp;RADataTable[[#This Row],[email]]&amp;"&amp;subject=Your NSF Proposal:  "&amp;RADataTable[[#This Row],[Div]]&amp;" "&amp;RADataTable[[#This Row],[prop_id0]], RADataTable[[#This Row],[email]])</f>
        <v>bmoseley@seas.wustl.edu</v>
      </c>
      <c r="Z549" s="15" t="str">
        <f>HYPERLINK("mailto:"&amp;RADataTable[[#This Row],[allPIemail]]&amp;"&amp;subject=NSF Proposal:  "&amp;RADataTable[[#This Row],[Div]]&amp;" "&amp;RADataTable[[#This Row],[prop_id0]], "PIs@")</f>
        <v>PIs@</v>
      </c>
      <c r="AA549" t="s">
        <v>245</v>
      </c>
      <c r="AB549" t="s">
        <v>663</v>
      </c>
      <c r="AC549" s="30" t="s">
        <v>730</v>
      </c>
      <c r="AD549" t="s">
        <v>285</v>
      </c>
      <c r="AE549" t="s">
        <v>731</v>
      </c>
      <c r="AF549" s="36">
        <v>545000</v>
      </c>
      <c r="AG549" s="36">
        <v>545000</v>
      </c>
      <c r="AH549" s="24"/>
      <c r="AJ549" s="34"/>
      <c r="AK549" t="s">
        <v>923</v>
      </c>
      <c r="AL549" t="s">
        <v>287</v>
      </c>
      <c r="AM549" s="34" t="s">
        <v>925</v>
      </c>
      <c r="AN549" s="34">
        <v>43032</v>
      </c>
      <c r="AO549" s="24">
        <v>13</v>
      </c>
      <c r="AP549" t="s">
        <v>933</v>
      </c>
      <c r="AR549" s="35"/>
      <c r="AS549"/>
      <c r="AT549" s="34"/>
      <c r="AV549" s="34"/>
      <c r="AX549" s="34"/>
      <c r="AY549"/>
      <c r="BA549" s="34"/>
      <c r="BB549"/>
      <c r="BC549" t="s">
        <v>735</v>
      </c>
      <c r="BD549" s="36">
        <v>545000</v>
      </c>
      <c r="BE549" s="36">
        <v>545000</v>
      </c>
      <c r="BF549">
        <v>0</v>
      </c>
      <c r="BG549" s="34">
        <v>43282</v>
      </c>
      <c r="BH549">
        <v>60</v>
      </c>
      <c r="BI549" t="s">
        <v>283</v>
      </c>
      <c r="BJ549" t="s">
        <v>928</v>
      </c>
      <c r="BK549" t="s">
        <v>934</v>
      </c>
      <c r="BL549" t="s">
        <v>194</v>
      </c>
      <c r="BM549" s="8" t="s">
        <v>192</v>
      </c>
      <c r="BN549" t="s">
        <v>189</v>
      </c>
      <c r="BO549" t="s">
        <v>190</v>
      </c>
      <c r="BP549" s="35" t="s">
        <v>733</v>
      </c>
      <c r="BQ549"/>
      <c r="BU549" s="35"/>
      <c r="BV549" s="35"/>
      <c r="BX549"/>
      <c r="CA549" s="35"/>
      <c r="CB549" s="35"/>
      <c r="CC549"/>
      <c r="CG549" s="35"/>
      <c r="CH549" s="35"/>
      <c r="CK549"/>
      <c r="CM549" s="35"/>
      <c r="CN549" s="35"/>
      <c r="CQ549"/>
      <c r="CS549" s="35"/>
      <c r="CT549" s="35"/>
      <c r="CX549"/>
      <c r="CZ549" s="35"/>
      <c r="DD549" s="34"/>
      <c r="DG549" t="s">
        <v>732</v>
      </c>
      <c r="DH549" t="s">
        <v>935</v>
      </c>
      <c r="DI549" t="s">
        <v>286</v>
      </c>
      <c r="DL549" t="s">
        <v>663</v>
      </c>
      <c r="DM549">
        <v>5</v>
      </c>
      <c r="DN549">
        <v>9</v>
      </c>
      <c r="DO549" t="s">
        <v>734</v>
      </c>
      <c r="DQ549" t="s">
        <v>927</v>
      </c>
      <c r="DR549">
        <v>14</v>
      </c>
      <c r="DS549">
        <v>1</v>
      </c>
      <c r="DU549">
        <v>14</v>
      </c>
      <c r="DV549">
        <v>1</v>
      </c>
      <c r="DX549">
        <v>14</v>
      </c>
      <c r="DY549">
        <v>1</v>
      </c>
      <c r="DZ549" t="s">
        <v>246</v>
      </c>
      <c r="EA549" t="s">
        <v>929</v>
      </c>
    </row>
    <row r="550" spans="1:131" x14ac:dyDescent="0.4">
      <c r="A550" s="34">
        <v>43067.305104166669</v>
      </c>
      <c r="B550" s="25">
        <v>42933.579861111109</v>
      </c>
      <c r="D550" s="34"/>
      <c r="E550" s="34" t="s">
        <v>193</v>
      </c>
      <c r="F550" s="34" t="s">
        <v>191</v>
      </c>
      <c r="G550" s="34" t="s">
        <v>100</v>
      </c>
      <c r="H550" t="s">
        <v>279</v>
      </c>
      <c r="I550" t="s">
        <v>243</v>
      </c>
      <c r="J550" t="s">
        <v>712</v>
      </c>
      <c r="K550" t="s">
        <v>729</v>
      </c>
      <c r="L550" t="s">
        <v>711</v>
      </c>
      <c r="M550" s="30">
        <v>3.13</v>
      </c>
      <c r="N550">
        <v>6.8</v>
      </c>
      <c r="P550" s="24" t="str">
        <f>IFERROR(MID(RADataTable[[#This Row],[RATemplate]],1,LEN(RADataTable[[#This Row],[RATemplate]])-8),"RA") &amp; " " &amp; RADataTable[[#This Row],[prop_id0]] &amp; " " &amp; RADataTable[[#This Row],[last0]]</f>
        <v>RA 1749414 Moseley</v>
      </c>
      <c r="T550">
        <v>5</v>
      </c>
      <c r="U550">
        <v>5</v>
      </c>
      <c r="V550" s="34">
        <v>43032.510416666664</v>
      </c>
      <c r="W550">
        <v>1</v>
      </c>
      <c r="X550" s="15" t="str">
        <f>HYPERLINK("https://www.ejacket.nsf.gov/ej/showProposal.do?Continue=Y&amp;ID="&amp;RADataTable[[#This Row],[prop_id0]],"eJ")</f>
        <v>eJ</v>
      </c>
      <c r="Y550" s="15" t="str">
        <f>HYPERLINK("mailto:"&amp;RADataTable[[#This Row],[email]]&amp;"&amp;subject=Your NSF Proposal:  "&amp;RADataTable[[#This Row],[Div]]&amp;" "&amp;RADataTable[[#This Row],[prop_id0]], RADataTable[[#This Row],[email]])</f>
        <v>bmoseley@seas.wustl.edu</v>
      </c>
      <c r="Z550" s="15" t="str">
        <f>HYPERLINK("mailto:"&amp;RADataTable[[#This Row],[allPIemail]]&amp;"&amp;subject=NSF Proposal:  "&amp;RADataTable[[#This Row],[Div]]&amp;" "&amp;RADataTable[[#This Row],[prop_id0]], "PIs@")</f>
        <v>PIs@</v>
      </c>
      <c r="AA550" t="s">
        <v>245</v>
      </c>
      <c r="AB550" t="s">
        <v>663</v>
      </c>
      <c r="AC550" s="30" t="s">
        <v>730</v>
      </c>
      <c r="AD550" t="s">
        <v>285</v>
      </c>
      <c r="AE550" t="s">
        <v>731</v>
      </c>
      <c r="AF550" s="36">
        <v>545000</v>
      </c>
      <c r="AG550" s="36">
        <v>545000</v>
      </c>
      <c r="AH550" s="24"/>
      <c r="AJ550" s="34"/>
      <c r="AK550" t="s">
        <v>923</v>
      </c>
      <c r="AL550" t="s">
        <v>287</v>
      </c>
      <c r="AM550" s="34" t="s">
        <v>925</v>
      </c>
      <c r="AN550" s="34">
        <v>43032</v>
      </c>
      <c r="AO550" s="24">
        <v>13</v>
      </c>
      <c r="AP550" t="s">
        <v>933</v>
      </c>
      <c r="AR550" s="35"/>
      <c r="AS550"/>
      <c r="AT550" s="34"/>
      <c r="AV550" s="34"/>
      <c r="AX550" s="34"/>
      <c r="AY550"/>
      <c r="BA550" s="34"/>
      <c r="BB550"/>
      <c r="BC550" t="s">
        <v>735</v>
      </c>
      <c r="BD550" s="36">
        <v>545000</v>
      </c>
      <c r="BE550" s="36">
        <v>545000</v>
      </c>
      <c r="BF550">
        <v>0</v>
      </c>
      <c r="BG550" s="34">
        <v>43282</v>
      </c>
      <c r="BH550">
        <v>60</v>
      </c>
      <c r="BI550" t="s">
        <v>283</v>
      </c>
      <c r="BJ550" t="s">
        <v>928</v>
      </c>
      <c r="BK550" t="s">
        <v>934</v>
      </c>
      <c r="BL550" t="s">
        <v>194</v>
      </c>
      <c r="BM550" s="8" t="s">
        <v>192</v>
      </c>
      <c r="BN550" t="s">
        <v>189</v>
      </c>
      <c r="BO550" t="s">
        <v>190</v>
      </c>
      <c r="BP550" s="35" t="s">
        <v>733</v>
      </c>
      <c r="BQ550"/>
      <c r="BU550" s="35"/>
      <c r="BV550" s="35"/>
      <c r="BX550"/>
      <c r="CA550" s="35"/>
      <c r="CB550" s="35"/>
      <c r="CC550"/>
      <c r="CG550" s="35"/>
      <c r="CH550" s="35"/>
      <c r="CK550"/>
      <c r="CM550" s="35"/>
      <c r="CN550" s="35"/>
      <c r="CQ550"/>
      <c r="CS550" s="35"/>
      <c r="CT550" s="35"/>
      <c r="CX550"/>
      <c r="CZ550" s="35"/>
      <c r="DD550" s="34"/>
      <c r="DG550" t="s">
        <v>732</v>
      </c>
      <c r="DH550" t="s">
        <v>935</v>
      </c>
      <c r="DI550" t="s">
        <v>286</v>
      </c>
      <c r="DL550" t="s">
        <v>663</v>
      </c>
      <c r="DM550">
        <v>5</v>
      </c>
      <c r="DN550">
        <v>9</v>
      </c>
      <c r="DO550" t="s">
        <v>734</v>
      </c>
      <c r="DQ550" t="s">
        <v>927</v>
      </c>
      <c r="DR550">
        <v>14</v>
      </c>
      <c r="DS550">
        <v>1</v>
      </c>
      <c r="DU550">
        <v>14</v>
      </c>
      <c r="DV550">
        <v>1</v>
      </c>
      <c r="DX550">
        <v>14</v>
      </c>
      <c r="DY550">
        <v>1</v>
      </c>
      <c r="DZ550" t="s">
        <v>246</v>
      </c>
      <c r="EA550" t="s">
        <v>929</v>
      </c>
    </row>
    <row r="551" spans="1:131" x14ac:dyDescent="0.4">
      <c r="A551" s="34">
        <v>43067.305104166669</v>
      </c>
      <c r="B551" s="25">
        <v>42933.579861111109</v>
      </c>
      <c r="D551" s="34"/>
      <c r="E551" s="34" t="s">
        <v>193</v>
      </c>
      <c r="F551" s="34" t="s">
        <v>191</v>
      </c>
      <c r="G551" s="34" t="s">
        <v>100</v>
      </c>
      <c r="H551" t="s">
        <v>279</v>
      </c>
      <c r="I551" t="s">
        <v>243</v>
      </c>
      <c r="J551" t="s">
        <v>712</v>
      </c>
      <c r="K551" t="s">
        <v>729</v>
      </c>
      <c r="L551" t="s">
        <v>711</v>
      </c>
      <c r="M551" s="30">
        <v>3.13</v>
      </c>
      <c r="N551">
        <v>6.8</v>
      </c>
      <c r="P551" s="24" t="str">
        <f>IFERROR(MID(RADataTable[[#This Row],[RATemplate]],1,LEN(RADataTable[[#This Row],[RATemplate]])-8),"RA") &amp; " " &amp; RADataTable[[#This Row],[prop_id0]] &amp; " " &amp; RADataTable[[#This Row],[last0]]</f>
        <v>RA 1749414 Moseley</v>
      </c>
      <c r="T551">
        <v>5</v>
      </c>
      <c r="U551">
        <v>5</v>
      </c>
      <c r="V551" s="34">
        <v>43032.510416666664</v>
      </c>
      <c r="W551">
        <v>1</v>
      </c>
      <c r="X551" s="15" t="str">
        <f>HYPERLINK("https://www.ejacket.nsf.gov/ej/showProposal.do?Continue=Y&amp;ID="&amp;RADataTable[[#This Row],[prop_id0]],"eJ")</f>
        <v>eJ</v>
      </c>
      <c r="Y551" s="15" t="str">
        <f>HYPERLINK("mailto:"&amp;RADataTable[[#This Row],[email]]&amp;"&amp;subject=Your NSF Proposal:  "&amp;RADataTable[[#This Row],[Div]]&amp;" "&amp;RADataTable[[#This Row],[prop_id0]], RADataTable[[#This Row],[email]])</f>
        <v>bmoseley@seas.wustl.edu</v>
      </c>
      <c r="Z551" s="15" t="str">
        <f>HYPERLINK("mailto:"&amp;RADataTable[[#This Row],[allPIemail]]&amp;"&amp;subject=NSF Proposal:  "&amp;RADataTable[[#This Row],[Div]]&amp;" "&amp;RADataTable[[#This Row],[prop_id0]], "PIs@")</f>
        <v>PIs@</v>
      </c>
      <c r="AA551" t="s">
        <v>245</v>
      </c>
      <c r="AB551" t="s">
        <v>663</v>
      </c>
      <c r="AC551" s="30" t="s">
        <v>730</v>
      </c>
      <c r="AD551" t="s">
        <v>285</v>
      </c>
      <c r="AE551" t="s">
        <v>731</v>
      </c>
      <c r="AF551" s="36">
        <v>545000</v>
      </c>
      <c r="AG551" s="36">
        <v>545000</v>
      </c>
      <c r="AH551" s="24"/>
      <c r="AJ551" s="34"/>
      <c r="AK551" t="s">
        <v>923</v>
      </c>
      <c r="AL551" t="s">
        <v>287</v>
      </c>
      <c r="AM551" s="34" t="s">
        <v>925</v>
      </c>
      <c r="AN551" s="34">
        <v>43032</v>
      </c>
      <c r="AO551" s="24">
        <v>13</v>
      </c>
      <c r="AP551" t="s">
        <v>933</v>
      </c>
      <c r="AR551" s="35"/>
      <c r="AS551"/>
      <c r="AT551" s="34"/>
      <c r="AV551" s="34"/>
      <c r="AX551" s="34"/>
      <c r="AY551"/>
      <c r="BA551" s="34"/>
      <c r="BB551"/>
      <c r="BC551" t="s">
        <v>735</v>
      </c>
      <c r="BD551" s="36">
        <v>545000</v>
      </c>
      <c r="BE551" s="36">
        <v>545000</v>
      </c>
      <c r="BF551">
        <v>0</v>
      </c>
      <c r="BG551" s="34">
        <v>43282</v>
      </c>
      <c r="BH551">
        <v>60</v>
      </c>
      <c r="BI551" t="s">
        <v>283</v>
      </c>
      <c r="BJ551" t="s">
        <v>928</v>
      </c>
      <c r="BK551" t="s">
        <v>934</v>
      </c>
      <c r="BL551" t="s">
        <v>194</v>
      </c>
      <c r="BM551" s="8" t="s">
        <v>192</v>
      </c>
      <c r="BN551" t="s">
        <v>189</v>
      </c>
      <c r="BO551" t="s">
        <v>190</v>
      </c>
      <c r="BP551" s="35" t="s">
        <v>733</v>
      </c>
      <c r="BQ551"/>
      <c r="BU551" s="35"/>
      <c r="BV551" s="35"/>
      <c r="BX551"/>
      <c r="CA551" s="35"/>
      <c r="CB551" s="35"/>
      <c r="CC551"/>
      <c r="CG551" s="35"/>
      <c r="CH551" s="35"/>
      <c r="CK551"/>
      <c r="CM551" s="35"/>
      <c r="CN551" s="35"/>
      <c r="CQ551"/>
      <c r="CS551" s="35"/>
      <c r="CT551" s="35"/>
      <c r="CX551"/>
      <c r="CZ551" s="35"/>
      <c r="DD551" s="34"/>
      <c r="DG551" t="s">
        <v>732</v>
      </c>
      <c r="DH551" t="s">
        <v>935</v>
      </c>
      <c r="DI551" t="s">
        <v>286</v>
      </c>
      <c r="DL551" t="s">
        <v>663</v>
      </c>
      <c r="DM551">
        <v>5</v>
      </c>
      <c r="DN551">
        <v>9</v>
      </c>
      <c r="DO551" t="s">
        <v>734</v>
      </c>
      <c r="DQ551" t="s">
        <v>927</v>
      </c>
      <c r="DR551">
        <v>14</v>
      </c>
      <c r="DS551">
        <v>1</v>
      </c>
      <c r="DU551">
        <v>14</v>
      </c>
      <c r="DV551">
        <v>1</v>
      </c>
      <c r="DX551">
        <v>14</v>
      </c>
      <c r="DY551">
        <v>1</v>
      </c>
      <c r="DZ551" t="s">
        <v>246</v>
      </c>
      <c r="EA551" t="s">
        <v>929</v>
      </c>
    </row>
    <row r="552" spans="1:131" x14ac:dyDescent="0.4">
      <c r="A552" s="34">
        <v>43067.305104166669</v>
      </c>
      <c r="B552" s="25">
        <v>42933.579861111109</v>
      </c>
      <c r="D552" s="34"/>
      <c r="E552" s="34" t="s">
        <v>193</v>
      </c>
      <c r="F552" s="34" t="s">
        <v>191</v>
      </c>
      <c r="G552" s="34" t="s">
        <v>100</v>
      </c>
      <c r="H552" t="s">
        <v>279</v>
      </c>
      <c r="I552" t="s">
        <v>243</v>
      </c>
      <c r="J552" t="s">
        <v>712</v>
      </c>
      <c r="K552" t="s">
        <v>729</v>
      </c>
      <c r="L552" t="s">
        <v>711</v>
      </c>
      <c r="M552" s="30">
        <v>3.13</v>
      </c>
      <c r="N552">
        <v>6.8</v>
      </c>
      <c r="P552" s="24" t="str">
        <f>IFERROR(MID(RADataTable[[#This Row],[RATemplate]],1,LEN(RADataTable[[#This Row],[RATemplate]])-8),"RA") &amp; " " &amp; RADataTable[[#This Row],[prop_id0]] &amp; " " &amp; RADataTable[[#This Row],[last0]]</f>
        <v>RA 1749414 Moseley</v>
      </c>
      <c r="T552">
        <v>5</v>
      </c>
      <c r="U552">
        <v>5</v>
      </c>
      <c r="V552" s="34">
        <v>43032.510416666664</v>
      </c>
      <c r="W552">
        <v>1</v>
      </c>
      <c r="X552" s="15" t="str">
        <f>HYPERLINK("https://www.ejacket.nsf.gov/ej/showProposal.do?Continue=Y&amp;ID="&amp;RADataTable[[#This Row],[prop_id0]],"eJ")</f>
        <v>eJ</v>
      </c>
      <c r="Y552" s="15" t="str">
        <f>HYPERLINK("mailto:"&amp;RADataTable[[#This Row],[email]]&amp;"&amp;subject=Your NSF Proposal:  "&amp;RADataTable[[#This Row],[Div]]&amp;" "&amp;RADataTable[[#This Row],[prop_id0]], RADataTable[[#This Row],[email]])</f>
        <v>bmoseley@seas.wustl.edu</v>
      </c>
      <c r="Z552" s="15" t="str">
        <f>HYPERLINK("mailto:"&amp;RADataTable[[#This Row],[allPIemail]]&amp;"&amp;subject=NSF Proposal:  "&amp;RADataTable[[#This Row],[Div]]&amp;" "&amp;RADataTable[[#This Row],[prop_id0]], "PIs@")</f>
        <v>PIs@</v>
      </c>
      <c r="AA552" t="s">
        <v>245</v>
      </c>
      <c r="AB552" t="s">
        <v>663</v>
      </c>
      <c r="AC552" s="30" t="s">
        <v>730</v>
      </c>
      <c r="AD552" t="s">
        <v>285</v>
      </c>
      <c r="AE552" t="s">
        <v>731</v>
      </c>
      <c r="AF552" s="36">
        <v>545000</v>
      </c>
      <c r="AG552" s="36">
        <v>545000</v>
      </c>
      <c r="AH552" s="24"/>
      <c r="AJ552" s="34"/>
      <c r="AK552" t="s">
        <v>923</v>
      </c>
      <c r="AL552" t="s">
        <v>287</v>
      </c>
      <c r="AM552" s="34" t="s">
        <v>925</v>
      </c>
      <c r="AN552" s="34">
        <v>43032</v>
      </c>
      <c r="AO552" s="24">
        <v>13</v>
      </c>
      <c r="AP552" t="s">
        <v>933</v>
      </c>
      <c r="AR552" s="35"/>
      <c r="AS552"/>
      <c r="AT552" s="34"/>
      <c r="AV552" s="34"/>
      <c r="AX552" s="34"/>
      <c r="AY552"/>
      <c r="BA552" s="34"/>
      <c r="BB552"/>
      <c r="BC552" t="s">
        <v>735</v>
      </c>
      <c r="BD552" s="36">
        <v>545000</v>
      </c>
      <c r="BE552" s="36">
        <v>545000</v>
      </c>
      <c r="BF552">
        <v>0</v>
      </c>
      <c r="BG552" s="34">
        <v>43282</v>
      </c>
      <c r="BH552">
        <v>60</v>
      </c>
      <c r="BI552" t="s">
        <v>283</v>
      </c>
      <c r="BJ552" t="s">
        <v>928</v>
      </c>
      <c r="BK552" t="s">
        <v>934</v>
      </c>
      <c r="BL552" t="s">
        <v>194</v>
      </c>
      <c r="BM552" s="8" t="s">
        <v>192</v>
      </c>
      <c r="BN552" t="s">
        <v>189</v>
      </c>
      <c r="BO552" t="s">
        <v>190</v>
      </c>
      <c r="BP552" s="35" t="s">
        <v>733</v>
      </c>
      <c r="BQ552"/>
      <c r="BU552" s="35"/>
      <c r="BV552" s="35"/>
      <c r="BX552"/>
      <c r="CA552" s="35"/>
      <c r="CB552" s="35"/>
      <c r="CC552"/>
      <c r="CG552" s="35"/>
      <c r="CH552" s="35"/>
      <c r="CK552"/>
      <c r="CM552" s="35"/>
      <c r="CN552" s="35"/>
      <c r="CQ552"/>
      <c r="CS552" s="35"/>
      <c r="CT552" s="35"/>
      <c r="CX552"/>
      <c r="CZ552" s="35"/>
      <c r="DD552" s="34"/>
      <c r="DG552" t="s">
        <v>732</v>
      </c>
      <c r="DH552" t="s">
        <v>935</v>
      </c>
      <c r="DI552" t="s">
        <v>286</v>
      </c>
      <c r="DL552" t="s">
        <v>663</v>
      </c>
      <c r="DM552">
        <v>5</v>
      </c>
      <c r="DN552">
        <v>9</v>
      </c>
      <c r="DO552" t="s">
        <v>734</v>
      </c>
      <c r="DQ552" t="s">
        <v>927</v>
      </c>
      <c r="DR552">
        <v>14</v>
      </c>
      <c r="DS552">
        <v>1</v>
      </c>
      <c r="DU552">
        <v>14</v>
      </c>
      <c r="DV552">
        <v>1</v>
      </c>
      <c r="DX552">
        <v>14</v>
      </c>
      <c r="DY552">
        <v>1</v>
      </c>
      <c r="DZ552" t="s">
        <v>246</v>
      </c>
      <c r="EA552" t="s">
        <v>929</v>
      </c>
    </row>
    <row r="553" spans="1:131" x14ac:dyDescent="0.4">
      <c r="A553" s="34">
        <v>43067.305104166669</v>
      </c>
      <c r="B553" s="25">
        <v>42933.579861111109</v>
      </c>
      <c r="D553" s="34"/>
      <c r="E553" s="34" t="s">
        <v>193</v>
      </c>
      <c r="F553" s="34" t="s">
        <v>191</v>
      </c>
      <c r="G553" s="34" t="s">
        <v>100</v>
      </c>
      <c r="H553" t="s">
        <v>279</v>
      </c>
      <c r="I553" t="s">
        <v>243</v>
      </c>
      <c r="J553" t="s">
        <v>712</v>
      </c>
      <c r="K553" t="s">
        <v>729</v>
      </c>
      <c r="L553" t="s">
        <v>711</v>
      </c>
      <c r="M553" s="30">
        <v>3.13</v>
      </c>
      <c r="N553">
        <v>6.8</v>
      </c>
      <c r="P553" s="24" t="str">
        <f>IFERROR(MID(RADataTable[[#This Row],[RATemplate]],1,LEN(RADataTable[[#This Row],[RATemplate]])-8),"RA") &amp; " " &amp; RADataTable[[#This Row],[prop_id0]] &amp; " " &amp; RADataTable[[#This Row],[last0]]</f>
        <v>RA 1749414 Moseley</v>
      </c>
      <c r="T553">
        <v>5</v>
      </c>
      <c r="U553">
        <v>5</v>
      </c>
      <c r="V553" s="34">
        <v>43032.510416666664</v>
      </c>
      <c r="W553">
        <v>1</v>
      </c>
      <c r="X553" s="15" t="str">
        <f>HYPERLINK("https://www.ejacket.nsf.gov/ej/showProposal.do?Continue=Y&amp;ID="&amp;RADataTable[[#This Row],[prop_id0]],"eJ")</f>
        <v>eJ</v>
      </c>
      <c r="Y553" s="15" t="str">
        <f>HYPERLINK("mailto:"&amp;RADataTable[[#This Row],[email]]&amp;"&amp;subject=Your NSF Proposal:  "&amp;RADataTable[[#This Row],[Div]]&amp;" "&amp;RADataTable[[#This Row],[prop_id0]], RADataTable[[#This Row],[email]])</f>
        <v>bmoseley@seas.wustl.edu</v>
      </c>
      <c r="Z553" s="15" t="str">
        <f>HYPERLINK("mailto:"&amp;RADataTable[[#This Row],[allPIemail]]&amp;"&amp;subject=NSF Proposal:  "&amp;RADataTable[[#This Row],[Div]]&amp;" "&amp;RADataTable[[#This Row],[prop_id0]], "PIs@")</f>
        <v>PIs@</v>
      </c>
      <c r="AA553" t="s">
        <v>245</v>
      </c>
      <c r="AB553" t="s">
        <v>663</v>
      </c>
      <c r="AC553" s="30" t="s">
        <v>730</v>
      </c>
      <c r="AD553" t="s">
        <v>285</v>
      </c>
      <c r="AE553" t="s">
        <v>731</v>
      </c>
      <c r="AF553" s="36">
        <v>545000</v>
      </c>
      <c r="AG553" s="36">
        <v>545000</v>
      </c>
      <c r="AH553" s="24"/>
      <c r="AJ553" s="34"/>
      <c r="AK553" t="s">
        <v>923</v>
      </c>
      <c r="AL553" t="s">
        <v>287</v>
      </c>
      <c r="AM553" s="34" t="s">
        <v>925</v>
      </c>
      <c r="AN553" s="34">
        <v>43032</v>
      </c>
      <c r="AO553" s="24">
        <v>13</v>
      </c>
      <c r="AP553" t="s">
        <v>933</v>
      </c>
      <c r="AR553" s="35"/>
      <c r="AS553"/>
      <c r="AT553" s="34"/>
      <c r="AV553" s="34"/>
      <c r="AX553" s="34"/>
      <c r="AY553"/>
      <c r="BA553" s="34"/>
      <c r="BB553"/>
      <c r="BC553" t="s">
        <v>735</v>
      </c>
      <c r="BD553" s="36">
        <v>545000</v>
      </c>
      <c r="BE553" s="36">
        <v>545000</v>
      </c>
      <c r="BF553">
        <v>0</v>
      </c>
      <c r="BG553" s="34">
        <v>43282</v>
      </c>
      <c r="BH553">
        <v>60</v>
      </c>
      <c r="BI553" t="s">
        <v>283</v>
      </c>
      <c r="BJ553" t="s">
        <v>928</v>
      </c>
      <c r="BK553" t="s">
        <v>934</v>
      </c>
      <c r="BL553" t="s">
        <v>194</v>
      </c>
      <c r="BM553" s="8" t="s">
        <v>192</v>
      </c>
      <c r="BN553" t="s">
        <v>189</v>
      </c>
      <c r="BO553" t="s">
        <v>190</v>
      </c>
      <c r="BP553" s="35" t="s">
        <v>733</v>
      </c>
      <c r="BQ553"/>
      <c r="BU553" s="35"/>
      <c r="BV553" s="35"/>
      <c r="BX553"/>
      <c r="CA553" s="35"/>
      <c r="CB553" s="35"/>
      <c r="CC553"/>
      <c r="CG553" s="35"/>
      <c r="CH553" s="35"/>
      <c r="CK553"/>
      <c r="CM553" s="35"/>
      <c r="CN553" s="35"/>
      <c r="CQ553"/>
      <c r="CS553" s="35"/>
      <c r="CT553" s="35"/>
      <c r="CX553"/>
      <c r="CZ553" s="35"/>
      <c r="DD553" s="34"/>
      <c r="DG553" t="s">
        <v>732</v>
      </c>
      <c r="DH553" t="s">
        <v>935</v>
      </c>
      <c r="DI553" t="s">
        <v>286</v>
      </c>
      <c r="DL553" t="s">
        <v>663</v>
      </c>
      <c r="DM553">
        <v>5</v>
      </c>
      <c r="DN553">
        <v>9</v>
      </c>
      <c r="DO553" t="s">
        <v>734</v>
      </c>
      <c r="DQ553" t="s">
        <v>927</v>
      </c>
      <c r="DR553">
        <v>14</v>
      </c>
      <c r="DS553">
        <v>1</v>
      </c>
      <c r="DU553">
        <v>14</v>
      </c>
      <c r="DV553">
        <v>1</v>
      </c>
      <c r="DX553">
        <v>14</v>
      </c>
      <c r="DY553">
        <v>1</v>
      </c>
      <c r="DZ553" t="s">
        <v>246</v>
      </c>
      <c r="EA553" t="s">
        <v>929</v>
      </c>
    </row>
    <row r="554" spans="1:131" x14ac:dyDescent="0.4">
      <c r="A554" s="34">
        <v>43067.305104166669</v>
      </c>
      <c r="B554" s="25">
        <v>42933.579861111109</v>
      </c>
      <c r="D554" s="34"/>
      <c r="E554" s="34" t="s">
        <v>193</v>
      </c>
      <c r="F554" s="34" t="s">
        <v>191</v>
      </c>
      <c r="G554" s="34" t="s">
        <v>100</v>
      </c>
      <c r="H554" t="s">
        <v>279</v>
      </c>
      <c r="I554" t="s">
        <v>243</v>
      </c>
      <c r="J554" t="s">
        <v>712</v>
      </c>
      <c r="K554" t="s">
        <v>729</v>
      </c>
      <c r="L554" t="s">
        <v>711</v>
      </c>
      <c r="M554" s="30">
        <v>3.13</v>
      </c>
      <c r="N554">
        <v>6.8</v>
      </c>
      <c r="P554" s="24" t="str">
        <f>IFERROR(MID(RADataTable[[#This Row],[RATemplate]],1,LEN(RADataTable[[#This Row],[RATemplate]])-8),"RA") &amp; " " &amp; RADataTable[[#This Row],[prop_id0]] &amp; " " &amp; RADataTable[[#This Row],[last0]]</f>
        <v>RA 1749414 Moseley</v>
      </c>
      <c r="T554">
        <v>5</v>
      </c>
      <c r="U554">
        <v>5</v>
      </c>
      <c r="V554" s="34">
        <v>43032.510416666664</v>
      </c>
      <c r="W554">
        <v>1</v>
      </c>
      <c r="X554" s="15" t="str">
        <f>HYPERLINK("https://www.ejacket.nsf.gov/ej/showProposal.do?Continue=Y&amp;ID="&amp;RADataTable[[#This Row],[prop_id0]],"eJ")</f>
        <v>eJ</v>
      </c>
      <c r="Y554" s="15" t="str">
        <f>HYPERLINK("mailto:"&amp;RADataTable[[#This Row],[email]]&amp;"&amp;subject=Your NSF Proposal:  "&amp;RADataTable[[#This Row],[Div]]&amp;" "&amp;RADataTable[[#This Row],[prop_id0]], RADataTable[[#This Row],[email]])</f>
        <v>bmoseley@seas.wustl.edu</v>
      </c>
      <c r="Z554" s="15" t="str">
        <f>HYPERLINK("mailto:"&amp;RADataTable[[#This Row],[allPIemail]]&amp;"&amp;subject=NSF Proposal:  "&amp;RADataTable[[#This Row],[Div]]&amp;" "&amp;RADataTable[[#This Row],[prop_id0]], "PIs@")</f>
        <v>PIs@</v>
      </c>
      <c r="AA554" t="s">
        <v>245</v>
      </c>
      <c r="AB554" t="s">
        <v>663</v>
      </c>
      <c r="AC554" s="30" t="s">
        <v>730</v>
      </c>
      <c r="AD554" t="s">
        <v>285</v>
      </c>
      <c r="AE554" t="s">
        <v>731</v>
      </c>
      <c r="AF554" s="36">
        <v>545000</v>
      </c>
      <c r="AG554" s="36">
        <v>545000</v>
      </c>
      <c r="AH554" s="24"/>
      <c r="AJ554" s="34"/>
      <c r="AK554" t="s">
        <v>923</v>
      </c>
      <c r="AL554" t="s">
        <v>287</v>
      </c>
      <c r="AM554" s="34" t="s">
        <v>925</v>
      </c>
      <c r="AN554" s="34">
        <v>43032</v>
      </c>
      <c r="AO554" s="24">
        <v>13</v>
      </c>
      <c r="AP554" t="s">
        <v>933</v>
      </c>
      <c r="AR554" s="35"/>
      <c r="AS554"/>
      <c r="AT554" s="34"/>
      <c r="AV554" s="34"/>
      <c r="AX554" s="34"/>
      <c r="AY554"/>
      <c r="BA554" s="34"/>
      <c r="BB554"/>
      <c r="BC554" t="s">
        <v>735</v>
      </c>
      <c r="BD554" s="36">
        <v>545000</v>
      </c>
      <c r="BE554" s="36">
        <v>545000</v>
      </c>
      <c r="BF554">
        <v>0</v>
      </c>
      <c r="BG554" s="34">
        <v>43282</v>
      </c>
      <c r="BH554">
        <v>60</v>
      </c>
      <c r="BI554" t="s">
        <v>283</v>
      </c>
      <c r="BJ554" t="s">
        <v>928</v>
      </c>
      <c r="BK554" t="s">
        <v>934</v>
      </c>
      <c r="BL554" t="s">
        <v>194</v>
      </c>
      <c r="BM554" s="8" t="s">
        <v>192</v>
      </c>
      <c r="BN554" t="s">
        <v>189</v>
      </c>
      <c r="BO554" t="s">
        <v>190</v>
      </c>
      <c r="BP554" s="35" t="s">
        <v>733</v>
      </c>
      <c r="BQ554"/>
      <c r="BU554" s="35"/>
      <c r="BV554" s="35"/>
      <c r="BX554"/>
      <c r="CA554" s="35"/>
      <c r="CB554" s="35"/>
      <c r="CC554"/>
      <c r="CG554" s="35"/>
      <c r="CH554" s="35"/>
      <c r="CK554"/>
      <c r="CM554" s="35"/>
      <c r="CN554" s="35"/>
      <c r="CQ554"/>
      <c r="CS554" s="35"/>
      <c r="CT554" s="35"/>
      <c r="CX554"/>
      <c r="CZ554" s="35"/>
      <c r="DD554" s="34"/>
      <c r="DG554" t="s">
        <v>732</v>
      </c>
      <c r="DH554" t="s">
        <v>935</v>
      </c>
      <c r="DI554" t="s">
        <v>286</v>
      </c>
      <c r="DL554" t="s">
        <v>663</v>
      </c>
      <c r="DM554">
        <v>5</v>
      </c>
      <c r="DN554">
        <v>9</v>
      </c>
      <c r="DO554" t="s">
        <v>734</v>
      </c>
      <c r="DQ554" t="s">
        <v>927</v>
      </c>
      <c r="DR554">
        <v>14</v>
      </c>
      <c r="DS554">
        <v>1</v>
      </c>
      <c r="DU554">
        <v>14</v>
      </c>
      <c r="DV554">
        <v>1</v>
      </c>
      <c r="DX554">
        <v>14</v>
      </c>
      <c r="DY554">
        <v>1</v>
      </c>
      <c r="DZ554" t="s">
        <v>246</v>
      </c>
      <c r="EA554" t="s">
        <v>929</v>
      </c>
    </row>
    <row r="555" spans="1:131" x14ac:dyDescent="0.4">
      <c r="A555" s="34">
        <v>43067.305104166669</v>
      </c>
      <c r="B555" s="25">
        <v>42933.579861111109</v>
      </c>
      <c r="D555" s="34"/>
      <c r="E555" s="34" t="s">
        <v>193</v>
      </c>
      <c r="F555" s="34" t="s">
        <v>191</v>
      </c>
      <c r="G555" s="34" t="s">
        <v>100</v>
      </c>
      <c r="H555" t="s">
        <v>279</v>
      </c>
      <c r="I555" t="s">
        <v>243</v>
      </c>
      <c r="J555" t="s">
        <v>712</v>
      </c>
      <c r="K555" t="s">
        <v>729</v>
      </c>
      <c r="L555" t="s">
        <v>711</v>
      </c>
      <c r="M555" s="30">
        <v>3.13</v>
      </c>
      <c r="N555">
        <v>6.8</v>
      </c>
      <c r="P555" s="24" t="str">
        <f>IFERROR(MID(RADataTable[[#This Row],[RATemplate]],1,LEN(RADataTable[[#This Row],[RATemplate]])-8),"RA") &amp; " " &amp; RADataTable[[#This Row],[prop_id0]] &amp; " " &amp; RADataTable[[#This Row],[last0]]</f>
        <v>RA 1749414 Moseley</v>
      </c>
      <c r="T555">
        <v>5</v>
      </c>
      <c r="U555">
        <v>5</v>
      </c>
      <c r="V555" s="34">
        <v>43032.510416666664</v>
      </c>
      <c r="W555">
        <v>1</v>
      </c>
      <c r="X555" s="15" t="str">
        <f>HYPERLINK("https://www.ejacket.nsf.gov/ej/showProposal.do?Continue=Y&amp;ID="&amp;RADataTable[[#This Row],[prop_id0]],"eJ")</f>
        <v>eJ</v>
      </c>
      <c r="Y555" s="15" t="str">
        <f>HYPERLINK("mailto:"&amp;RADataTable[[#This Row],[email]]&amp;"&amp;subject=Your NSF Proposal:  "&amp;RADataTable[[#This Row],[Div]]&amp;" "&amp;RADataTable[[#This Row],[prop_id0]], RADataTable[[#This Row],[email]])</f>
        <v>bmoseley@seas.wustl.edu</v>
      </c>
      <c r="Z555" s="15" t="str">
        <f>HYPERLINK("mailto:"&amp;RADataTable[[#This Row],[allPIemail]]&amp;"&amp;subject=NSF Proposal:  "&amp;RADataTable[[#This Row],[Div]]&amp;" "&amp;RADataTable[[#This Row],[prop_id0]], "PIs@")</f>
        <v>PIs@</v>
      </c>
      <c r="AA555" t="s">
        <v>245</v>
      </c>
      <c r="AB555" t="s">
        <v>663</v>
      </c>
      <c r="AC555" s="30" t="s">
        <v>730</v>
      </c>
      <c r="AD555" t="s">
        <v>285</v>
      </c>
      <c r="AE555" t="s">
        <v>731</v>
      </c>
      <c r="AF555" s="36">
        <v>545000</v>
      </c>
      <c r="AG555" s="36">
        <v>545000</v>
      </c>
      <c r="AH555" s="24"/>
      <c r="AJ555" s="34"/>
      <c r="AK555" t="s">
        <v>923</v>
      </c>
      <c r="AL555" t="s">
        <v>287</v>
      </c>
      <c r="AM555" s="34" t="s">
        <v>925</v>
      </c>
      <c r="AN555" s="34">
        <v>43032</v>
      </c>
      <c r="AO555" s="24">
        <v>13</v>
      </c>
      <c r="AP555" t="s">
        <v>933</v>
      </c>
      <c r="AR555" s="35"/>
      <c r="AS555"/>
      <c r="AT555" s="34"/>
      <c r="AV555" s="34"/>
      <c r="AX555" s="34"/>
      <c r="AY555"/>
      <c r="BA555" s="34"/>
      <c r="BB555"/>
      <c r="BC555" t="s">
        <v>735</v>
      </c>
      <c r="BD555" s="36">
        <v>545000</v>
      </c>
      <c r="BE555" s="36">
        <v>545000</v>
      </c>
      <c r="BF555">
        <v>0</v>
      </c>
      <c r="BG555" s="34">
        <v>43282</v>
      </c>
      <c r="BH555">
        <v>60</v>
      </c>
      <c r="BI555" t="s">
        <v>283</v>
      </c>
      <c r="BJ555" t="s">
        <v>928</v>
      </c>
      <c r="BK555" t="s">
        <v>934</v>
      </c>
      <c r="BL555" t="s">
        <v>194</v>
      </c>
      <c r="BM555" s="8" t="s">
        <v>192</v>
      </c>
      <c r="BN555" t="s">
        <v>189</v>
      </c>
      <c r="BO555" t="s">
        <v>190</v>
      </c>
      <c r="BP555" s="35" t="s">
        <v>733</v>
      </c>
      <c r="BQ555"/>
      <c r="BU555" s="35"/>
      <c r="BV555" s="35"/>
      <c r="BX555"/>
      <c r="CA555" s="35"/>
      <c r="CB555" s="35"/>
      <c r="CC555"/>
      <c r="CG555" s="35"/>
      <c r="CH555" s="35"/>
      <c r="CK555"/>
      <c r="CM555" s="35"/>
      <c r="CN555" s="35"/>
      <c r="CQ555"/>
      <c r="CS555" s="35"/>
      <c r="CT555" s="35"/>
      <c r="CX555"/>
      <c r="CZ555" s="35"/>
      <c r="DD555" s="34"/>
      <c r="DG555" t="s">
        <v>732</v>
      </c>
      <c r="DH555" t="s">
        <v>935</v>
      </c>
      <c r="DI555" t="s">
        <v>286</v>
      </c>
      <c r="DL555" t="s">
        <v>663</v>
      </c>
      <c r="DM555">
        <v>5</v>
      </c>
      <c r="DN555">
        <v>9</v>
      </c>
      <c r="DO555" t="s">
        <v>734</v>
      </c>
      <c r="DQ555" t="s">
        <v>927</v>
      </c>
      <c r="DR555">
        <v>14</v>
      </c>
      <c r="DS555">
        <v>1</v>
      </c>
      <c r="DU555">
        <v>14</v>
      </c>
      <c r="DV555">
        <v>1</v>
      </c>
      <c r="DX555">
        <v>14</v>
      </c>
      <c r="DY555">
        <v>1</v>
      </c>
      <c r="DZ555" t="s">
        <v>246</v>
      </c>
      <c r="EA555" t="s">
        <v>929</v>
      </c>
    </row>
    <row r="556" spans="1:131" x14ac:dyDescent="0.4">
      <c r="A556" s="34">
        <v>43067.305104166669</v>
      </c>
      <c r="B556" s="25">
        <v>42933.579861111109</v>
      </c>
      <c r="D556" s="34"/>
      <c r="E556" s="34" t="s">
        <v>193</v>
      </c>
      <c r="F556" s="34" t="s">
        <v>191</v>
      </c>
      <c r="G556" s="34" t="s">
        <v>100</v>
      </c>
      <c r="H556" t="s">
        <v>279</v>
      </c>
      <c r="I556" t="s">
        <v>243</v>
      </c>
      <c r="J556" t="s">
        <v>712</v>
      </c>
      <c r="K556" t="s">
        <v>729</v>
      </c>
      <c r="L556" t="s">
        <v>711</v>
      </c>
      <c r="M556" s="30">
        <v>3.13</v>
      </c>
      <c r="N556">
        <v>6.8</v>
      </c>
      <c r="P556" s="24" t="str">
        <f>IFERROR(MID(RADataTable[[#This Row],[RATemplate]],1,LEN(RADataTable[[#This Row],[RATemplate]])-8),"RA") &amp; " " &amp; RADataTable[[#This Row],[prop_id0]] &amp; " " &amp; RADataTable[[#This Row],[last0]]</f>
        <v>RA 1749414 Moseley</v>
      </c>
      <c r="T556">
        <v>5</v>
      </c>
      <c r="U556">
        <v>5</v>
      </c>
      <c r="V556" s="34">
        <v>43032.510416666664</v>
      </c>
      <c r="W556">
        <v>1</v>
      </c>
      <c r="X556" s="15" t="str">
        <f>HYPERLINK("https://www.ejacket.nsf.gov/ej/showProposal.do?Continue=Y&amp;ID="&amp;RADataTable[[#This Row],[prop_id0]],"eJ")</f>
        <v>eJ</v>
      </c>
      <c r="Y556" s="15" t="str">
        <f>HYPERLINK("mailto:"&amp;RADataTable[[#This Row],[email]]&amp;"&amp;subject=Your NSF Proposal:  "&amp;RADataTable[[#This Row],[Div]]&amp;" "&amp;RADataTable[[#This Row],[prop_id0]], RADataTable[[#This Row],[email]])</f>
        <v>bmoseley@seas.wustl.edu</v>
      </c>
      <c r="Z556" s="15" t="str">
        <f>HYPERLINK("mailto:"&amp;RADataTable[[#This Row],[allPIemail]]&amp;"&amp;subject=NSF Proposal:  "&amp;RADataTable[[#This Row],[Div]]&amp;" "&amp;RADataTable[[#This Row],[prop_id0]], "PIs@")</f>
        <v>PIs@</v>
      </c>
      <c r="AA556" t="s">
        <v>245</v>
      </c>
      <c r="AB556" t="s">
        <v>663</v>
      </c>
      <c r="AC556" s="30" t="s">
        <v>730</v>
      </c>
      <c r="AD556" t="s">
        <v>285</v>
      </c>
      <c r="AE556" t="s">
        <v>731</v>
      </c>
      <c r="AF556" s="36">
        <v>545000</v>
      </c>
      <c r="AG556" s="36">
        <v>545000</v>
      </c>
      <c r="AH556" s="24"/>
      <c r="AJ556" s="34"/>
      <c r="AK556" t="s">
        <v>923</v>
      </c>
      <c r="AL556" t="s">
        <v>287</v>
      </c>
      <c r="AM556" s="34" t="s">
        <v>925</v>
      </c>
      <c r="AN556" s="34">
        <v>43032</v>
      </c>
      <c r="AO556" s="24">
        <v>13</v>
      </c>
      <c r="AP556" t="s">
        <v>933</v>
      </c>
      <c r="AR556" s="35"/>
      <c r="AS556"/>
      <c r="AT556" s="34"/>
      <c r="AV556" s="34"/>
      <c r="AX556" s="34"/>
      <c r="AY556"/>
      <c r="BA556" s="34"/>
      <c r="BB556"/>
      <c r="BC556" t="s">
        <v>735</v>
      </c>
      <c r="BD556" s="36">
        <v>545000</v>
      </c>
      <c r="BE556" s="36">
        <v>545000</v>
      </c>
      <c r="BF556">
        <v>0</v>
      </c>
      <c r="BG556" s="34">
        <v>43282</v>
      </c>
      <c r="BH556">
        <v>60</v>
      </c>
      <c r="BI556" t="s">
        <v>283</v>
      </c>
      <c r="BJ556" t="s">
        <v>928</v>
      </c>
      <c r="BK556" t="s">
        <v>934</v>
      </c>
      <c r="BL556" t="s">
        <v>194</v>
      </c>
      <c r="BM556" s="8" t="s">
        <v>192</v>
      </c>
      <c r="BN556" t="s">
        <v>189</v>
      </c>
      <c r="BO556" t="s">
        <v>190</v>
      </c>
      <c r="BP556" s="35" t="s">
        <v>733</v>
      </c>
      <c r="BQ556"/>
      <c r="BU556" s="35"/>
      <c r="BV556" s="35"/>
      <c r="BX556"/>
      <c r="CA556" s="35"/>
      <c r="CB556" s="35"/>
      <c r="CC556"/>
      <c r="CG556" s="35"/>
      <c r="CH556" s="35"/>
      <c r="CK556"/>
      <c r="CM556" s="35"/>
      <c r="CN556" s="35"/>
      <c r="CQ556"/>
      <c r="CS556" s="35"/>
      <c r="CT556" s="35"/>
      <c r="CX556"/>
      <c r="CZ556" s="35"/>
      <c r="DD556" s="34"/>
      <c r="DG556" t="s">
        <v>732</v>
      </c>
      <c r="DH556" t="s">
        <v>935</v>
      </c>
      <c r="DI556" t="s">
        <v>286</v>
      </c>
      <c r="DL556" t="s">
        <v>663</v>
      </c>
      <c r="DM556">
        <v>5</v>
      </c>
      <c r="DN556">
        <v>9</v>
      </c>
      <c r="DO556" t="s">
        <v>734</v>
      </c>
      <c r="DQ556" t="s">
        <v>927</v>
      </c>
      <c r="DR556">
        <v>14</v>
      </c>
      <c r="DS556">
        <v>1</v>
      </c>
      <c r="DU556">
        <v>14</v>
      </c>
      <c r="DV556">
        <v>1</v>
      </c>
      <c r="DX556">
        <v>14</v>
      </c>
      <c r="DY556">
        <v>1</v>
      </c>
      <c r="DZ556" t="s">
        <v>246</v>
      </c>
      <c r="EA556" t="s">
        <v>929</v>
      </c>
    </row>
    <row r="557" spans="1:131" x14ac:dyDescent="0.4">
      <c r="A557" s="34">
        <v>43067.305104166669</v>
      </c>
      <c r="B557" s="25">
        <v>42933.579861111109</v>
      </c>
      <c r="D557" s="34"/>
      <c r="E557" s="34" t="s">
        <v>193</v>
      </c>
      <c r="F557" s="34" t="s">
        <v>191</v>
      </c>
      <c r="G557" s="34" t="s">
        <v>100</v>
      </c>
      <c r="H557" t="s">
        <v>279</v>
      </c>
      <c r="I557" t="s">
        <v>243</v>
      </c>
      <c r="J557" t="s">
        <v>712</v>
      </c>
      <c r="K557" t="s">
        <v>729</v>
      </c>
      <c r="L557" t="s">
        <v>711</v>
      </c>
      <c r="M557" s="30">
        <v>3.13</v>
      </c>
      <c r="N557">
        <v>6.8</v>
      </c>
      <c r="P557" s="24" t="str">
        <f>IFERROR(MID(RADataTable[[#This Row],[RATemplate]],1,LEN(RADataTable[[#This Row],[RATemplate]])-8),"RA") &amp; " " &amp; RADataTable[[#This Row],[prop_id0]] &amp; " " &amp; RADataTable[[#This Row],[last0]]</f>
        <v>RA 1749414 Moseley</v>
      </c>
      <c r="T557">
        <v>5</v>
      </c>
      <c r="U557">
        <v>5</v>
      </c>
      <c r="V557" s="34">
        <v>43032.510416666664</v>
      </c>
      <c r="W557">
        <v>1</v>
      </c>
      <c r="X557" s="15" t="str">
        <f>HYPERLINK("https://www.ejacket.nsf.gov/ej/showProposal.do?Continue=Y&amp;ID="&amp;RADataTable[[#This Row],[prop_id0]],"eJ")</f>
        <v>eJ</v>
      </c>
      <c r="Y557" s="15" t="str">
        <f>HYPERLINK("mailto:"&amp;RADataTable[[#This Row],[email]]&amp;"&amp;subject=Your NSF Proposal:  "&amp;RADataTable[[#This Row],[Div]]&amp;" "&amp;RADataTable[[#This Row],[prop_id0]], RADataTable[[#This Row],[email]])</f>
        <v>bmoseley@seas.wustl.edu</v>
      </c>
      <c r="Z557" s="15" t="str">
        <f>HYPERLINK("mailto:"&amp;RADataTable[[#This Row],[allPIemail]]&amp;"&amp;subject=NSF Proposal:  "&amp;RADataTable[[#This Row],[Div]]&amp;" "&amp;RADataTable[[#This Row],[prop_id0]], "PIs@")</f>
        <v>PIs@</v>
      </c>
      <c r="AA557" t="s">
        <v>245</v>
      </c>
      <c r="AB557" t="s">
        <v>663</v>
      </c>
      <c r="AC557" s="30" t="s">
        <v>730</v>
      </c>
      <c r="AD557" t="s">
        <v>285</v>
      </c>
      <c r="AE557" t="s">
        <v>731</v>
      </c>
      <c r="AF557" s="36">
        <v>545000</v>
      </c>
      <c r="AG557" s="36">
        <v>545000</v>
      </c>
      <c r="AH557" s="24"/>
      <c r="AJ557" s="34"/>
      <c r="AK557" t="s">
        <v>923</v>
      </c>
      <c r="AL557" t="s">
        <v>287</v>
      </c>
      <c r="AM557" s="34" t="s">
        <v>925</v>
      </c>
      <c r="AN557" s="34">
        <v>43032</v>
      </c>
      <c r="AO557" s="24">
        <v>13</v>
      </c>
      <c r="AP557" t="s">
        <v>933</v>
      </c>
      <c r="AR557" s="35"/>
      <c r="AS557"/>
      <c r="AT557" s="34"/>
      <c r="AV557" s="34"/>
      <c r="AX557" s="34"/>
      <c r="AY557"/>
      <c r="BA557" s="34"/>
      <c r="BB557"/>
      <c r="BC557" t="s">
        <v>735</v>
      </c>
      <c r="BD557" s="36">
        <v>545000</v>
      </c>
      <c r="BE557" s="36">
        <v>545000</v>
      </c>
      <c r="BF557">
        <v>0</v>
      </c>
      <c r="BG557" s="34">
        <v>43282</v>
      </c>
      <c r="BH557">
        <v>60</v>
      </c>
      <c r="BI557" t="s">
        <v>283</v>
      </c>
      <c r="BJ557" t="s">
        <v>928</v>
      </c>
      <c r="BK557" t="s">
        <v>934</v>
      </c>
      <c r="BL557" t="s">
        <v>194</v>
      </c>
      <c r="BM557" s="8" t="s">
        <v>192</v>
      </c>
      <c r="BN557" t="s">
        <v>189</v>
      </c>
      <c r="BO557" t="s">
        <v>190</v>
      </c>
      <c r="BP557" s="35" t="s">
        <v>733</v>
      </c>
      <c r="BQ557"/>
      <c r="BU557" s="35"/>
      <c r="BV557" s="35"/>
      <c r="BX557"/>
      <c r="CA557" s="35"/>
      <c r="CB557" s="35"/>
      <c r="CC557"/>
      <c r="CG557" s="35"/>
      <c r="CH557" s="35"/>
      <c r="CK557"/>
      <c r="CM557" s="35"/>
      <c r="CN557" s="35"/>
      <c r="CQ557"/>
      <c r="CS557" s="35"/>
      <c r="CT557" s="35"/>
      <c r="CX557"/>
      <c r="CZ557" s="35"/>
      <c r="DD557" s="34"/>
      <c r="DG557" t="s">
        <v>732</v>
      </c>
      <c r="DH557" t="s">
        <v>935</v>
      </c>
      <c r="DI557" t="s">
        <v>286</v>
      </c>
      <c r="DL557" t="s">
        <v>663</v>
      </c>
      <c r="DM557">
        <v>5</v>
      </c>
      <c r="DN557">
        <v>9</v>
      </c>
      <c r="DO557" t="s">
        <v>734</v>
      </c>
      <c r="DQ557" t="s">
        <v>927</v>
      </c>
      <c r="DR557">
        <v>14</v>
      </c>
      <c r="DS557">
        <v>1</v>
      </c>
      <c r="DU557">
        <v>14</v>
      </c>
      <c r="DV557">
        <v>1</v>
      </c>
      <c r="DX557">
        <v>14</v>
      </c>
      <c r="DY557">
        <v>1</v>
      </c>
      <c r="DZ557" t="s">
        <v>246</v>
      </c>
      <c r="EA557" t="s">
        <v>929</v>
      </c>
    </row>
    <row r="558" spans="1:131" x14ac:dyDescent="0.4">
      <c r="A558" s="34">
        <v>43067.305104166669</v>
      </c>
      <c r="B558" s="25">
        <v>42933.579861111109</v>
      </c>
      <c r="D558" s="34"/>
      <c r="E558" s="34" t="s">
        <v>193</v>
      </c>
      <c r="F558" s="34" t="s">
        <v>191</v>
      </c>
      <c r="G558" s="34" t="s">
        <v>100</v>
      </c>
      <c r="H558" t="s">
        <v>279</v>
      </c>
      <c r="I558" t="s">
        <v>243</v>
      </c>
      <c r="J558" t="s">
        <v>712</v>
      </c>
      <c r="K558" t="s">
        <v>729</v>
      </c>
      <c r="L558" t="s">
        <v>711</v>
      </c>
      <c r="M558" s="30">
        <v>3.13</v>
      </c>
      <c r="N558">
        <v>6.8</v>
      </c>
      <c r="P558" s="24" t="str">
        <f>IFERROR(MID(RADataTable[[#This Row],[RATemplate]],1,LEN(RADataTable[[#This Row],[RATemplate]])-8),"RA") &amp; " " &amp; RADataTable[[#This Row],[prop_id0]] &amp; " " &amp; RADataTable[[#This Row],[last0]]</f>
        <v>RA 1749414 Moseley</v>
      </c>
      <c r="T558">
        <v>5</v>
      </c>
      <c r="U558">
        <v>5</v>
      </c>
      <c r="V558" s="34">
        <v>43032.510416666664</v>
      </c>
      <c r="W558">
        <v>1</v>
      </c>
      <c r="X558" s="15" t="str">
        <f>HYPERLINK("https://www.ejacket.nsf.gov/ej/showProposal.do?Continue=Y&amp;ID="&amp;RADataTable[[#This Row],[prop_id0]],"eJ")</f>
        <v>eJ</v>
      </c>
      <c r="Y558" s="15" t="str">
        <f>HYPERLINK("mailto:"&amp;RADataTable[[#This Row],[email]]&amp;"&amp;subject=Your NSF Proposal:  "&amp;RADataTable[[#This Row],[Div]]&amp;" "&amp;RADataTable[[#This Row],[prop_id0]], RADataTable[[#This Row],[email]])</f>
        <v>bmoseley@seas.wustl.edu</v>
      </c>
      <c r="Z558" s="15" t="str">
        <f>HYPERLINK("mailto:"&amp;RADataTable[[#This Row],[allPIemail]]&amp;"&amp;subject=NSF Proposal:  "&amp;RADataTable[[#This Row],[Div]]&amp;" "&amp;RADataTable[[#This Row],[prop_id0]], "PIs@")</f>
        <v>PIs@</v>
      </c>
      <c r="AA558" t="s">
        <v>245</v>
      </c>
      <c r="AB558" t="s">
        <v>663</v>
      </c>
      <c r="AC558" s="30" t="s">
        <v>730</v>
      </c>
      <c r="AD558" t="s">
        <v>285</v>
      </c>
      <c r="AE558" t="s">
        <v>731</v>
      </c>
      <c r="AF558" s="36">
        <v>545000</v>
      </c>
      <c r="AG558" s="36">
        <v>545000</v>
      </c>
      <c r="AH558" s="24"/>
      <c r="AJ558" s="34"/>
      <c r="AK558" t="s">
        <v>923</v>
      </c>
      <c r="AL558" t="s">
        <v>287</v>
      </c>
      <c r="AM558" s="34" t="s">
        <v>925</v>
      </c>
      <c r="AN558" s="34">
        <v>43032</v>
      </c>
      <c r="AO558" s="24">
        <v>13</v>
      </c>
      <c r="AP558" t="s">
        <v>933</v>
      </c>
      <c r="AR558" s="35"/>
      <c r="AS558"/>
      <c r="AT558" s="34"/>
      <c r="AV558" s="34"/>
      <c r="AX558" s="34"/>
      <c r="AY558"/>
      <c r="BA558" s="34"/>
      <c r="BB558"/>
      <c r="BC558" t="s">
        <v>735</v>
      </c>
      <c r="BD558" s="36">
        <v>545000</v>
      </c>
      <c r="BE558" s="36">
        <v>545000</v>
      </c>
      <c r="BF558">
        <v>0</v>
      </c>
      <c r="BG558" s="34">
        <v>43282</v>
      </c>
      <c r="BH558">
        <v>60</v>
      </c>
      <c r="BI558" t="s">
        <v>283</v>
      </c>
      <c r="BJ558" t="s">
        <v>928</v>
      </c>
      <c r="BK558" t="s">
        <v>934</v>
      </c>
      <c r="BL558" t="s">
        <v>194</v>
      </c>
      <c r="BM558" s="8" t="s">
        <v>192</v>
      </c>
      <c r="BN558" t="s">
        <v>189</v>
      </c>
      <c r="BO558" t="s">
        <v>190</v>
      </c>
      <c r="BP558" s="35" t="s">
        <v>733</v>
      </c>
      <c r="BQ558"/>
      <c r="BU558" s="35"/>
      <c r="BV558" s="35"/>
      <c r="BX558"/>
      <c r="CA558" s="35"/>
      <c r="CB558" s="35"/>
      <c r="CC558"/>
      <c r="CG558" s="35"/>
      <c r="CH558" s="35"/>
      <c r="CK558"/>
      <c r="CM558" s="35"/>
      <c r="CN558" s="35"/>
      <c r="CQ558"/>
      <c r="CS558" s="35"/>
      <c r="CT558" s="35"/>
      <c r="CX558"/>
      <c r="CZ558" s="35"/>
      <c r="DD558" s="34"/>
      <c r="DG558" t="s">
        <v>732</v>
      </c>
      <c r="DH558" t="s">
        <v>935</v>
      </c>
      <c r="DI558" t="s">
        <v>286</v>
      </c>
      <c r="DL558" t="s">
        <v>663</v>
      </c>
      <c r="DM558">
        <v>5</v>
      </c>
      <c r="DN558">
        <v>9</v>
      </c>
      <c r="DO558" t="s">
        <v>734</v>
      </c>
      <c r="DQ558" t="s">
        <v>927</v>
      </c>
      <c r="DR558">
        <v>14</v>
      </c>
      <c r="DS558">
        <v>1</v>
      </c>
      <c r="DU558">
        <v>14</v>
      </c>
      <c r="DV558">
        <v>1</v>
      </c>
      <c r="DX558">
        <v>14</v>
      </c>
      <c r="DY558">
        <v>1</v>
      </c>
      <c r="DZ558" t="s">
        <v>246</v>
      </c>
      <c r="EA558" t="s">
        <v>929</v>
      </c>
    </row>
    <row r="559" spans="1:131" x14ac:dyDescent="0.4">
      <c r="A559" s="34">
        <v>43067.305104166669</v>
      </c>
      <c r="B559" s="25">
        <v>42933.579861111109</v>
      </c>
      <c r="D559" s="34"/>
      <c r="E559" s="34" t="s">
        <v>193</v>
      </c>
      <c r="F559" s="34" t="s">
        <v>191</v>
      </c>
      <c r="G559" s="34" t="s">
        <v>100</v>
      </c>
      <c r="H559" t="s">
        <v>279</v>
      </c>
      <c r="I559" t="s">
        <v>243</v>
      </c>
      <c r="J559" t="s">
        <v>712</v>
      </c>
      <c r="K559" t="s">
        <v>729</v>
      </c>
      <c r="L559" t="s">
        <v>711</v>
      </c>
      <c r="M559" s="30">
        <v>3.13</v>
      </c>
      <c r="N559">
        <v>6.8</v>
      </c>
      <c r="P559" s="24" t="str">
        <f>IFERROR(MID(RADataTable[[#This Row],[RATemplate]],1,LEN(RADataTable[[#This Row],[RATemplate]])-8),"RA") &amp; " " &amp; RADataTable[[#This Row],[prop_id0]] &amp; " " &amp; RADataTable[[#This Row],[last0]]</f>
        <v>RA 1749414 Moseley</v>
      </c>
      <c r="T559">
        <v>5</v>
      </c>
      <c r="U559">
        <v>5</v>
      </c>
      <c r="V559" s="34">
        <v>43032.510416666664</v>
      </c>
      <c r="W559">
        <v>1</v>
      </c>
      <c r="X559" s="15" t="str">
        <f>HYPERLINK("https://www.ejacket.nsf.gov/ej/showProposal.do?Continue=Y&amp;ID="&amp;RADataTable[[#This Row],[prop_id0]],"eJ")</f>
        <v>eJ</v>
      </c>
      <c r="Y559" s="15" t="str">
        <f>HYPERLINK("mailto:"&amp;RADataTable[[#This Row],[email]]&amp;"&amp;subject=Your NSF Proposal:  "&amp;RADataTable[[#This Row],[Div]]&amp;" "&amp;RADataTable[[#This Row],[prop_id0]], RADataTable[[#This Row],[email]])</f>
        <v>bmoseley@seas.wustl.edu</v>
      </c>
      <c r="Z559" s="15" t="str">
        <f>HYPERLINK("mailto:"&amp;RADataTable[[#This Row],[allPIemail]]&amp;"&amp;subject=NSF Proposal:  "&amp;RADataTable[[#This Row],[Div]]&amp;" "&amp;RADataTable[[#This Row],[prop_id0]], "PIs@")</f>
        <v>PIs@</v>
      </c>
      <c r="AA559" t="s">
        <v>245</v>
      </c>
      <c r="AB559" t="s">
        <v>663</v>
      </c>
      <c r="AC559" s="30" t="s">
        <v>730</v>
      </c>
      <c r="AD559" t="s">
        <v>285</v>
      </c>
      <c r="AE559" t="s">
        <v>731</v>
      </c>
      <c r="AF559" s="36">
        <v>545000</v>
      </c>
      <c r="AG559" s="36">
        <v>545000</v>
      </c>
      <c r="AH559" s="24"/>
      <c r="AJ559" s="34"/>
      <c r="AK559" t="s">
        <v>923</v>
      </c>
      <c r="AL559" t="s">
        <v>287</v>
      </c>
      <c r="AM559" s="34" t="s">
        <v>925</v>
      </c>
      <c r="AN559" s="34">
        <v>43032</v>
      </c>
      <c r="AO559" s="24">
        <v>13</v>
      </c>
      <c r="AP559" t="s">
        <v>933</v>
      </c>
      <c r="AR559" s="35"/>
      <c r="AS559"/>
      <c r="AT559" s="34"/>
      <c r="AV559" s="34"/>
      <c r="AX559" s="34"/>
      <c r="AY559"/>
      <c r="BA559" s="34"/>
      <c r="BB559"/>
      <c r="BC559" t="s">
        <v>735</v>
      </c>
      <c r="BD559" s="36">
        <v>545000</v>
      </c>
      <c r="BE559" s="36">
        <v>545000</v>
      </c>
      <c r="BF559">
        <v>0</v>
      </c>
      <c r="BG559" s="34">
        <v>43282</v>
      </c>
      <c r="BH559">
        <v>60</v>
      </c>
      <c r="BI559" t="s">
        <v>283</v>
      </c>
      <c r="BJ559" t="s">
        <v>928</v>
      </c>
      <c r="BK559" t="s">
        <v>934</v>
      </c>
      <c r="BL559" t="s">
        <v>194</v>
      </c>
      <c r="BM559" s="8" t="s">
        <v>192</v>
      </c>
      <c r="BN559" t="s">
        <v>189</v>
      </c>
      <c r="BO559" t="s">
        <v>190</v>
      </c>
      <c r="BP559" s="35" t="s">
        <v>733</v>
      </c>
      <c r="BQ559"/>
      <c r="BU559" s="35"/>
      <c r="BV559" s="35"/>
      <c r="BX559"/>
      <c r="CA559" s="35"/>
      <c r="CB559" s="35"/>
      <c r="CC559"/>
      <c r="CG559" s="35"/>
      <c r="CH559" s="35"/>
      <c r="CK559"/>
      <c r="CM559" s="35"/>
      <c r="CN559" s="35"/>
      <c r="CQ559"/>
      <c r="CS559" s="35"/>
      <c r="CT559" s="35"/>
      <c r="CX559"/>
      <c r="CZ559" s="35"/>
      <c r="DD559" s="34"/>
      <c r="DG559" t="s">
        <v>732</v>
      </c>
      <c r="DH559" t="s">
        <v>935</v>
      </c>
      <c r="DI559" t="s">
        <v>286</v>
      </c>
      <c r="DL559" t="s">
        <v>663</v>
      </c>
      <c r="DM559">
        <v>5</v>
      </c>
      <c r="DN559">
        <v>9</v>
      </c>
      <c r="DO559" t="s">
        <v>734</v>
      </c>
      <c r="DQ559" t="s">
        <v>927</v>
      </c>
      <c r="DR559">
        <v>14</v>
      </c>
      <c r="DS559">
        <v>1</v>
      </c>
      <c r="DU559">
        <v>14</v>
      </c>
      <c r="DV559">
        <v>1</v>
      </c>
      <c r="DX559">
        <v>14</v>
      </c>
      <c r="DY559">
        <v>1</v>
      </c>
      <c r="DZ559" t="s">
        <v>246</v>
      </c>
      <c r="EA559" t="s">
        <v>929</v>
      </c>
    </row>
    <row r="560" spans="1:131" x14ac:dyDescent="0.4">
      <c r="A560" s="34">
        <v>43067.305104166669</v>
      </c>
      <c r="B560" s="25">
        <v>42933.579861111109</v>
      </c>
      <c r="D560" s="34"/>
      <c r="E560" s="34" t="s">
        <v>193</v>
      </c>
      <c r="F560" s="34" t="s">
        <v>191</v>
      </c>
      <c r="G560" s="34" t="s">
        <v>100</v>
      </c>
      <c r="H560" t="s">
        <v>279</v>
      </c>
      <c r="I560" t="s">
        <v>243</v>
      </c>
      <c r="J560" t="s">
        <v>712</v>
      </c>
      <c r="K560" t="s">
        <v>729</v>
      </c>
      <c r="L560" t="s">
        <v>711</v>
      </c>
      <c r="M560" s="30">
        <v>3.13</v>
      </c>
      <c r="N560">
        <v>6.8</v>
      </c>
      <c r="P560" s="24" t="str">
        <f>IFERROR(MID(RADataTable[[#This Row],[RATemplate]],1,LEN(RADataTable[[#This Row],[RATemplate]])-8),"RA") &amp; " " &amp; RADataTable[[#This Row],[prop_id0]] &amp; " " &amp; RADataTable[[#This Row],[last0]]</f>
        <v>RA 1749414 Moseley</v>
      </c>
      <c r="T560">
        <v>5</v>
      </c>
      <c r="U560">
        <v>5</v>
      </c>
      <c r="V560" s="34">
        <v>43032.510416666664</v>
      </c>
      <c r="W560">
        <v>1</v>
      </c>
      <c r="X560" s="15" t="str">
        <f>HYPERLINK("https://www.ejacket.nsf.gov/ej/showProposal.do?Continue=Y&amp;ID="&amp;RADataTable[[#This Row],[prop_id0]],"eJ")</f>
        <v>eJ</v>
      </c>
      <c r="Y560" s="15" t="str">
        <f>HYPERLINK("mailto:"&amp;RADataTable[[#This Row],[email]]&amp;"&amp;subject=Your NSF Proposal:  "&amp;RADataTable[[#This Row],[Div]]&amp;" "&amp;RADataTable[[#This Row],[prop_id0]], RADataTable[[#This Row],[email]])</f>
        <v>bmoseley@seas.wustl.edu</v>
      </c>
      <c r="Z560" s="15" t="str">
        <f>HYPERLINK("mailto:"&amp;RADataTable[[#This Row],[allPIemail]]&amp;"&amp;subject=NSF Proposal:  "&amp;RADataTable[[#This Row],[Div]]&amp;" "&amp;RADataTable[[#This Row],[prop_id0]], "PIs@")</f>
        <v>PIs@</v>
      </c>
      <c r="AA560" t="s">
        <v>245</v>
      </c>
      <c r="AB560" t="s">
        <v>663</v>
      </c>
      <c r="AC560" s="30" t="s">
        <v>730</v>
      </c>
      <c r="AD560" t="s">
        <v>285</v>
      </c>
      <c r="AE560" t="s">
        <v>731</v>
      </c>
      <c r="AF560" s="36">
        <v>545000</v>
      </c>
      <c r="AG560" s="36">
        <v>545000</v>
      </c>
      <c r="AH560" s="24"/>
      <c r="AJ560" s="34"/>
      <c r="AK560" t="s">
        <v>923</v>
      </c>
      <c r="AL560" t="s">
        <v>287</v>
      </c>
      <c r="AM560" s="34" t="s">
        <v>925</v>
      </c>
      <c r="AN560" s="34">
        <v>43032</v>
      </c>
      <c r="AO560" s="24">
        <v>13</v>
      </c>
      <c r="AP560" t="s">
        <v>933</v>
      </c>
      <c r="AR560" s="35"/>
      <c r="AS560"/>
      <c r="AT560" s="34"/>
      <c r="AV560" s="34"/>
      <c r="AX560" s="34"/>
      <c r="AY560"/>
      <c r="BA560" s="34"/>
      <c r="BB560"/>
      <c r="BC560" t="s">
        <v>735</v>
      </c>
      <c r="BD560" s="36">
        <v>545000</v>
      </c>
      <c r="BE560" s="36">
        <v>545000</v>
      </c>
      <c r="BF560">
        <v>0</v>
      </c>
      <c r="BG560" s="34">
        <v>43282</v>
      </c>
      <c r="BH560">
        <v>60</v>
      </c>
      <c r="BI560" t="s">
        <v>283</v>
      </c>
      <c r="BJ560" t="s">
        <v>928</v>
      </c>
      <c r="BK560" t="s">
        <v>934</v>
      </c>
      <c r="BL560" t="s">
        <v>194</v>
      </c>
      <c r="BM560" s="8" t="s">
        <v>192</v>
      </c>
      <c r="BN560" t="s">
        <v>189</v>
      </c>
      <c r="BO560" t="s">
        <v>190</v>
      </c>
      <c r="BP560" s="35" t="s">
        <v>733</v>
      </c>
      <c r="BQ560"/>
      <c r="BU560" s="35"/>
      <c r="BV560" s="35"/>
      <c r="BX560"/>
      <c r="CA560" s="35"/>
      <c r="CB560" s="35"/>
      <c r="CC560"/>
      <c r="CG560" s="35"/>
      <c r="CH560" s="35"/>
      <c r="CK560"/>
      <c r="CM560" s="35"/>
      <c r="CN560" s="35"/>
      <c r="CQ560"/>
      <c r="CS560" s="35"/>
      <c r="CT560" s="35"/>
      <c r="CX560"/>
      <c r="CZ560" s="35"/>
      <c r="DD560" s="34"/>
      <c r="DG560" t="s">
        <v>732</v>
      </c>
      <c r="DH560" t="s">
        <v>935</v>
      </c>
      <c r="DI560" t="s">
        <v>286</v>
      </c>
      <c r="DL560" t="s">
        <v>663</v>
      </c>
      <c r="DM560">
        <v>5</v>
      </c>
      <c r="DN560">
        <v>9</v>
      </c>
      <c r="DO560" t="s">
        <v>734</v>
      </c>
      <c r="DQ560" t="s">
        <v>927</v>
      </c>
      <c r="DR560">
        <v>14</v>
      </c>
      <c r="DS560">
        <v>1</v>
      </c>
      <c r="DU560">
        <v>14</v>
      </c>
      <c r="DV560">
        <v>1</v>
      </c>
      <c r="DX560">
        <v>14</v>
      </c>
      <c r="DY560">
        <v>1</v>
      </c>
      <c r="DZ560" t="s">
        <v>246</v>
      </c>
      <c r="EA560" t="s">
        <v>929</v>
      </c>
    </row>
    <row r="561" spans="1:131" x14ac:dyDescent="0.4">
      <c r="A561" s="34">
        <v>43067.305104166669</v>
      </c>
      <c r="B561" s="25">
        <v>42934.695138888892</v>
      </c>
      <c r="D561" s="34"/>
      <c r="E561" s="34" t="s">
        <v>193</v>
      </c>
      <c r="F561" s="34" t="s">
        <v>191</v>
      </c>
      <c r="G561" s="34" t="s">
        <v>100</v>
      </c>
      <c r="H561" t="s">
        <v>279</v>
      </c>
      <c r="I561" t="s">
        <v>243</v>
      </c>
      <c r="J561" t="s">
        <v>712</v>
      </c>
      <c r="K561" t="s">
        <v>713</v>
      </c>
      <c r="L561" t="s">
        <v>711</v>
      </c>
      <c r="M561" s="30">
        <v>3.13</v>
      </c>
      <c r="N561">
        <v>6.25</v>
      </c>
      <c r="P561" s="24" t="str">
        <f>IFERROR(MID(RADataTable[[#This Row],[RATemplate]],1,LEN(RADataTable[[#This Row],[RATemplate]])-8),"RA") &amp; " " &amp; RADataTable[[#This Row],[prop_id0]] &amp; " " &amp; RADataTable[[#This Row],[last0]]</f>
        <v>RA 1749977 Solomon</v>
      </c>
      <c r="T561">
        <v>4</v>
      </c>
      <c r="U561">
        <v>4</v>
      </c>
      <c r="V561" s="34">
        <v>43030.972222222219</v>
      </c>
      <c r="W561">
        <v>1</v>
      </c>
      <c r="X561" s="15" t="str">
        <f>HYPERLINK("https://www.ejacket.nsf.gov/ej/showProposal.do?Continue=Y&amp;ID="&amp;RADataTable[[#This Row],[prop_id0]],"eJ")</f>
        <v>eJ</v>
      </c>
      <c r="Y561" s="15" t="str">
        <f>HYPERLINK("mailto:"&amp;RADataTable[[#This Row],[email]]&amp;"&amp;subject=Your NSF Proposal:  "&amp;RADataTable[[#This Row],[Div]]&amp;" "&amp;RADataTable[[#This Row],[prop_id0]], RADataTable[[#This Row],[email]])</f>
        <v>jsolomon@mit.edu</v>
      </c>
      <c r="Z561" s="15" t="str">
        <f>HYPERLINK("mailto:"&amp;RADataTable[[#This Row],[allPIemail]]&amp;"&amp;subject=NSF Proposal:  "&amp;RADataTable[[#This Row],[Div]]&amp;" "&amp;RADataTable[[#This Row],[prop_id0]], "PIs@")</f>
        <v>PIs@</v>
      </c>
      <c r="AA561" t="s">
        <v>245</v>
      </c>
      <c r="AB561" t="s">
        <v>669</v>
      </c>
      <c r="AC561" s="30" t="s">
        <v>766</v>
      </c>
      <c r="AD561" t="s">
        <v>767</v>
      </c>
      <c r="AE561" t="s">
        <v>244</v>
      </c>
      <c r="AF561" s="36">
        <v>550000</v>
      </c>
      <c r="AG561" s="36">
        <v>550000</v>
      </c>
      <c r="AH561" s="24"/>
      <c r="AJ561" s="34"/>
      <c r="AK561" t="s">
        <v>923</v>
      </c>
      <c r="AL561" t="s">
        <v>287</v>
      </c>
      <c r="AM561" s="34" t="s">
        <v>925</v>
      </c>
      <c r="AN561" s="34">
        <v>43032</v>
      </c>
      <c r="AO561" s="24">
        <v>13</v>
      </c>
      <c r="AP561" t="s">
        <v>947</v>
      </c>
      <c r="AR561" s="35"/>
      <c r="AS561"/>
      <c r="AT561" s="34"/>
      <c r="AV561" s="34"/>
      <c r="AX561" s="34"/>
      <c r="AY561"/>
      <c r="BA561" s="34"/>
      <c r="BB561"/>
      <c r="BC561" t="s">
        <v>770</v>
      </c>
      <c r="BD561" s="36">
        <v>550000</v>
      </c>
      <c r="BE561" s="36">
        <v>550000</v>
      </c>
      <c r="BF561">
        <v>0</v>
      </c>
      <c r="BG561" s="34">
        <v>43101</v>
      </c>
      <c r="BH561">
        <v>60</v>
      </c>
      <c r="BI561" t="s">
        <v>283</v>
      </c>
      <c r="BJ561" t="s">
        <v>928</v>
      </c>
      <c r="BK561" t="s">
        <v>234</v>
      </c>
      <c r="BL561" t="s">
        <v>194</v>
      </c>
      <c r="BM561" s="8" t="s">
        <v>192</v>
      </c>
      <c r="BN561" t="s">
        <v>189</v>
      </c>
      <c r="BO561" t="s">
        <v>190</v>
      </c>
      <c r="BP561" s="35" t="s">
        <v>726</v>
      </c>
      <c r="BQ561"/>
      <c r="BU561" s="35"/>
      <c r="BV561" s="35"/>
      <c r="BX561"/>
      <c r="CA561" s="35"/>
      <c r="CB561" s="35"/>
      <c r="CC561"/>
      <c r="CG561" s="35"/>
      <c r="CH561" s="35"/>
      <c r="CK561"/>
      <c r="CM561" s="35"/>
      <c r="CN561" s="35"/>
      <c r="CQ561"/>
      <c r="CS561" s="35"/>
      <c r="CT561" s="35"/>
      <c r="CX561"/>
      <c r="CZ561" s="35"/>
      <c r="DD561" s="34"/>
      <c r="DG561" t="s">
        <v>768</v>
      </c>
      <c r="DH561" t="s">
        <v>948</v>
      </c>
      <c r="DI561" t="s">
        <v>286</v>
      </c>
      <c r="DL561" t="s">
        <v>669</v>
      </c>
      <c r="DM561">
        <v>3</v>
      </c>
      <c r="DN561">
        <v>9</v>
      </c>
      <c r="DO561" t="s">
        <v>769</v>
      </c>
      <c r="DQ561" t="s">
        <v>927</v>
      </c>
      <c r="DR561">
        <v>14</v>
      </c>
      <c r="DS561">
        <v>2</v>
      </c>
      <c r="DU561">
        <v>14</v>
      </c>
      <c r="DV561">
        <v>2</v>
      </c>
      <c r="DX561">
        <v>14</v>
      </c>
      <c r="DY561">
        <v>2</v>
      </c>
      <c r="DZ561" t="s">
        <v>246</v>
      </c>
      <c r="EA561" t="s">
        <v>929</v>
      </c>
    </row>
    <row r="562" spans="1:131" x14ac:dyDescent="0.4">
      <c r="A562" s="34">
        <v>43067.305104166669</v>
      </c>
      <c r="B562" s="25">
        <v>42934.695138888892</v>
      </c>
      <c r="D562" s="34"/>
      <c r="E562" s="34" t="s">
        <v>193</v>
      </c>
      <c r="F562" s="34" t="s">
        <v>191</v>
      </c>
      <c r="G562" s="34" t="s">
        <v>100</v>
      </c>
      <c r="H562" t="s">
        <v>279</v>
      </c>
      <c r="I562" t="s">
        <v>243</v>
      </c>
      <c r="J562" t="s">
        <v>712</v>
      </c>
      <c r="K562" t="s">
        <v>713</v>
      </c>
      <c r="L562" t="s">
        <v>711</v>
      </c>
      <c r="M562" s="30">
        <v>3.13</v>
      </c>
      <c r="N562">
        <v>6.25</v>
      </c>
      <c r="P562" s="24" t="str">
        <f>IFERROR(MID(RADataTable[[#This Row],[RATemplate]],1,LEN(RADataTable[[#This Row],[RATemplate]])-8),"RA") &amp; " " &amp; RADataTable[[#This Row],[prop_id0]] &amp; " " &amp; RADataTable[[#This Row],[last0]]</f>
        <v>RA 1749977 Solomon</v>
      </c>
      <c r="T562">
        <v>4</v>
      </c>
      <c r="U562">
        <v>4</v>
      </c>
      <c r="V562" s="34">
        <v>43030.972222222219</v>
      </c>
      <c r="W562">
        <v>1</v>
      </c>
      <c r="X562" s="15" t="str">
        <f>HYPERLINK("https://www.ejacket.nsf.gov/ej/showProposal.do?Continue=Y&amp;ID="&amp;RADataTable[[#This Row],[prop_id0]],"eJ")</f>
        <v>eJ</v>
      </c>
      <c r="Y562" s="15" t="str">
        <f>HYPERLINK("mailto:"&amp;RADataTable[[#This Row],[email]]&amp;"&amp;subject=Your NSF Proposal:  "&amp;RADataTable[[#This Row],[Div]]&amp;" "&amp;RADataTable[[#This Row],[prop_id0]], RADataTable[[#This Row],[email]])</f>
        <v>jsolomon@mit.edu</v>
      </c>
      <c r="Z562" s="15" t="str">
        <f>HYPERLINK("mailto:"&amp;RADataTable[[#This Row],[allPIemail]]&amp;"&amp;subject=NSF Proposal:  "&amp;RADataTable[[#This Row],[Div]]&amp;" "&amp;RADataTable[[#This Row],[prop_id0]], "PIs@")</f>
        <v>PIs@</v>
      </c>
      <c r="AA562" t="s">
        <v>245</v>
      </c>
      <c r="AB562" t="s">
        <v>669</v>
      </c>
      <c r="AC562" s="30" t="s">
        <v>766</v>
      </c>
      <c r="AD562" t="s">
        <v>767</v>
      </c>
      <c r="AE562" t="s">
        <v>244</v>
      </c>
      <c r="AF562" s="36">
        <v>550000</v>
      </c>
      <c r="AG562" s="36">
        <v>550000</v>
      </c>
      <c r="AH562" s="24"/>
      <c r="AJ562" s="34"/>
      <c r="AK562" t="s">
        <v>923</v>
      </c>
      <c r="AL562" t="s">
        <v>287</v>
      </c>
      <c r="AM562" s="34" t="s">
        <v>925</v>
      </c>
      <c r="AN562" s="34">
        <v>43032</v>
      </c>
      <c r="AO562" s="24">
        <v>13</v>
      </c>
      <c r="AP562" t="s">
        <v>947</v>
      </c>
      <c r="AR562" s="35"/>
      <c r="AS562"/>
      <c r="AT562" s="34"/>
      <c r="AV562" s="34"/>
      <c r="AX562" s="34"/>
      <c r="AY562"/>
      <c r="BA562" s="34"/>
      <c r="BB562"/>
      <c r="BC562" t="s">
        <v>770</v>
      </c>
      <c r="BD562" s="36">
        <v>550000</v>
      </c>
      <c r="BE562" s="36">
        <v>550000</v>
      </c>
      <c r="BF562">
        <v>0</v>
      </c>
      <c r="BG562" s="34">
        <v>43101</v>
      </c>
      <c r="BH562">
        <v>60</v>
      </c>
      <c r="BI562" t="s">
        <v>283</v>
      </c>
      <c r="BJ562" t="s">
        <v>928</v>
      </c>
      <c r="BK562" t="s">
        <v>234</v>
      </c>
      <c r="BL562" t="s">
        <v>194</v>
      </c>
      <c r="BM562" s="8" t="s">
        <v>192</v>
      </c>
      <c r="BN562" t="s">
        <v>189</v>
      </c>
      <c r="BO562" t="s">
        <v>190</v>
      </c>
      <c r="BP562" s="35" t="s">
        <v>726</v>
      </c>
      <c r="BQ562"/>
      <c r="BU562" s="35"/>
      <c r="BV562" s="35"/>
      <c r="BX562"/>
      <c r="CA562" s="35"/>
      <c r="CB562" s="35"/>
      <c r="CC562"/>
      <c r="CG562" s="35"/>
      <c r="CH562" s="35"/>
      <c r="CK562"/>
      <c r="CM562" s="35"/>
      <c r="CN562" s="35"/>
      <c r="CQ562"/>
      <c r="CS562" s="35"/>
      <c r="CT562" s="35"/>
      <c r="CX562"/>
      <c r="CZ562" s="35"/>
      <c r="DD562" s="34"/>
      <c r="DG562" t="s">
        <v>768</v>
      </c>
      <c r="DH562" t="s">
        <v>948</v>
      </c>
      <c r="DI562" t="s">
        <v>286</v>
      </c>
      <c r="DL562" t="s">
        <v>669</v>
      </c>
      <c r="DM562">
        <v>3</v>
      </c>
      <c r="DN562">
        <v>9</v>
      </c>
      <c r="DO562" t="s">
        <v>769</v>
      </c>
      <c r="DQ562" t="s">
        <v>927</v>
      </c>
      <c r="DR562">
        <v>14</v>
      </c>
      <c r="DS562">
        <v>2</v>
      </c>
      <c r="DU562">
        <v>14</v>
      </c>
      <c r="DV562">
        <v>2</v>
      </c>
      <c r="DX562">
        <v>14</v>
      </c>
      <c r="DY562">
        <v>2</v>
      </c>
      <c r="DZ562" t="s">
        <v>246</v>
      </c>
      <c r="EA562" t="s">
        <v>929</v>
      </c>
    </row>
    <row r="563" spans="1:131" x14ac:dyDescent="0.4">
      <c r="A563" s="34">
        <v>43067.305104166669</v>
      </c>
      <c r="B563" s="25">
        <v>42934.695138888892</v>
      </c>
      <c r="D563" s="34"/>
      <c r="E563" s="34" t="s">
        <v>193</v>
      </c>
      <c r="F563" s="34" t="s">
        <v>191</v>
      </c>
      <c r="G563" s="34" t="s">
        <v>100</v>
      </c>
      <c r="H563" t="s">
        <v>279</v>
      </c>
      <c r="I563" t="s">
        <v>243</v>
      </c>
      <c r="J563" t="s">
        <v>712</v>
      </c>
      <c r="K563" t="s">
        <v>713</v>
      </c>
      <c r="L563" t="s">
        <v>711</v>
      </c>
      <c r="M563" s="30">
        <v>3.13</v>
      </c>
      <c r="N563">
        <v>6.25</v>
      </c>
      <c r="P563" s="24" t="str">
        <f>IFERROR(MID(RADataTable[[#This Row],[RATemplate]],1,LEN(RADataTable[[#This Row],[RATemplate]])-8),"RA") &amp; " " &amp; RADataTable[[#This Row],[prop_id0]] &amp; " " &amp; RADataTable[[#This Row],[last0]]</f>
        <v>RA 1749977 Solomon</v>
      </c>
      <c r="T563">
        <v>4</v>
      </c>
      <c r="U563">
        <v>4</v>
      </c>
      <c r="V563" s="34">
        <v>43030.972222222219</v>
      </c>
      <c r="W563">
        <v>1</v>
      </c>
      <c r="X563" s="15" t="str">
        <f>HYPERLINK("https://www.ejacket.nsf.gov/ej/showProposal.do?Continue=Y&amp;ID="&amp;RADataTable[[#This Row],[prop_id0]],"eJ")</f>
        <v>eJ</v>
      </c>
      <c r="Y563" s="15" t="str">
        <f>HYPERLINK("mailto:"&amp;RADataTable[[#This Row],[email]]&amp;"&amp;subject=Your NSF Proposal:  "&amp;RADataTable[[#This Row],[Div]]&amp;" "&amp;RADataTable[[#This Row],[prop_id0]], RADataTable[[#This Row],[email]])</f>
        <v>jsolomon@mit.edu</v>
      </c>
      <c r="Z563" s="15" t="str">
        <f>HYPERLINK("mailto:"&amp;RADataTable[[#This Row],[allPIemail]]&amp;"&amp;subject=NSF Proposal:  "&amp;RADataTable[[#This Row],[Div]]&amp;" "&amp;RADataTable[[#This Row],[prop_id0]], "PIs@")</f>
        <v>PIs@</v>
      </c>
      <c r="AA563" t="s">
        <v>245</v>
      </c>
      <c r="AB563" t="s">
        <v>669</v>
      </c>
      <c r="AC563" s="30" t="s">
        <v>766</v>
      </c>
      <c r="AD563" t="s">
        <v>767</v>
      </c>
      <c r="AE563" t="s">
        <v>244</v>
      </c>
      <c r="AF563" s="36">
        <v>550000</v>
      </c>
      <c r="AG563" s="36">
        <v>550000</v>
      </c>
      <c r="AH563" s="24"/>
      <c r="AJ563" s="34"/>
      <c r="AK563" t="s">
        <v>923</v>
      </c>
      <c r="AL563" t="s">
        <v>287</v>
      </c>
      <c r="AM563" s="34" t="s">
        <v>925</v>
      </c>
      <c r="AN563" s="34">
        <v>43032</v>
      </c>
      <c r="AO563" s="24">
        <v>13</v>
      </c>
      <c r="AP563" t="s">
        <v>947</v>
      </c>
      <c r="AR563" s="35"/>
      <c r="AS563"/>
      <c r="AT563" s="34"/>
      <c r="AV563" s="34"/>
      <c r="AX563" s="34"/>
      <c r="AY563"/>
      <c r="BA563" s="34"/>
      <c r="BB563"/>
      <c r="BC563" t="s">
        <v>770</v>
      </c>
      <c r="BD563" s="36">
        <v>550000</v>
      </c>
      <c r="BE563" s="36">
        <v>550000</v>
      </c>
      <c r="BF563">
        <v>0</v>
      </c>
      <c r="BG563" s="34">
        <v>43101</v>
      </c>
      <c r="BH563">
        <v>60</v>
      </c>
      <c r="BI563" t="s">
        <v>283</v>
      </c>
      <c r="BJ563" t="s">
        <v>928</v>
      </c>
      <c r="BK563" t="s">
        <v>234</v>
      </c>
      <c r="BL563" t="s">
        <v>194</v>
      </c>
      <c r="BM563" s="8" t="s">
        <v>192</v>
      </c>
      <c r="BN563" t="s">
        <v>189</v>
      </c>
      <c r="BO563" t="s">
        <v>190</v>
      </c>
      <c r="BP563" s="35" t="s">
        <v>726</v>
      </c>
      <c r="BQ563"/>
      <c r="BU563" s="35"/>
      <c r="BV563" s="35"/>
      <c r="BX563"/>
      <c r="CA563" s="35"/>
      <c r="CB563" s="35"/>
      <c r="CC563"/>
      <c r="CG563" s="35"/>
      <c r="CH563" s="35"/>
      <c r="CK563"/>
      <c r="CM563" s="35"/>
      <c r="CN563" s="35"/>
      <c r="CQ563"/>
      <c r="CS563" s="35"/>
      <c r="CT563" s="35"/>
      <c r="CX563"/>
      <c r="CZ563" s="35"/>
      <c r="DD563" s="34"/>
      <c r="DG563" t="s">
        <v>768</v>
      </c>
      <c r="DH563" t="s">
        <v>948</v>
      </c>
      <c r="DI563" t="s">
        <v>286</v>
      </c>
      <c r="DL563" t="s">
        <v>669</v>
      </c>
      <c r="DM563">
        <v>3</v>
      </c>
      <c r="DN563">
        <v>9</v>
      </c>
      <c r="DO563" t="s">
        <v>769</v>
      </c>
      <c r="DQ563" t="s">
        <v>927</v>
      </c>
      <c r="DR563">
        <v>14</v>
      </c>
      <c r="DS563">
        <v>2</v>
      </c>
      <c r="DU563">
        <v>14</v>
      </c>
      <c r="DV563">
        <v>2</v>
      </c>
      <c r="DX563">
        <v>14</v>
      </c>
      <c r="DY563">
        <v>2</v>
      </c>
      <c r="DZ563" t="s">
        <v>246</v>
      </c>
      <c r="EA563" t="s">
        <v>929</v>
      </c>
    </row>
    <row r="564" spans="1:131" x14ac:dyDescent="0.4">
      <c r="A564" s="34">
        <v>43067.305104166669</v>
      </c>
      <c r="B564" s="25">
        <v>42934.695138888892</v>
      </c>
      <c r="D564" s="34"/>
      <c r="E564" s="34" t="s">
        <v>193</v>
      </c>
      <c r="F564" s="34" t="s">
        <v>191</v>
      </c>
      <c r="G564" s="34" t="s">
        <v>100</v>
      </c>
      <c r="H564" t="s">
        <v>279</v>
      </c>
      <c r="I564" t="s">
        <v>243</v>
      </c>
      <c r="J564" t="s">
        <v>712</v>
      </c>
      <c r="K564" t="s">
        <v>713</v>
      </c>
      <c r="L564" t="s">
        <v>711</v>
      </c>
      <c r="M564" s="30">
        <v>3.13</v>
      </c>
      <c r="N564">
        <v>6.25</v>
      </c>
      <c r="P564" s="24" t="str">
        <f>IFERROR(MID(RADataTable[[#This Row],[RATemplate]],1,LEN(RADataTable[[#This Row],[RATemplate]])-8),"RA") &amp; " " &amp; RADataTable[[#This Row],[prop_id0]] &amp; " " &amp; RADataTable[[#This Row],[last0]]</f>
        <v>RA 1749977 Solomon</v>
      </c>
      <c r="T564">
        <v>4</v>
      </c>
      <c r="U564">
        <v>4</v>
      </c>
      <c r="V564" s="34">
        <v>43030.972222222219</v>
      </c>
      <c r="W564">
        <v>1</v>
      </c>
      <c r="X564" s="15" t="str">
        <f>HYPERLINK("https://www.ejacket.nsf.gov/ej/showProposal.do?Continue=Y&amp;ID="&amp;RADataTable[[#This Row],[prop_id0]],"eJ")</f>
        <v>eJ</v>
      </c>
      <c r="Y564" s="15" t="str">
        <f>HYPERLINK("mailto:"&amp;RADataTable[[#This Row],[email]]&amp;"&amp;subject=Your NSF Proposal:  "&amp;RADataTable[[#This Row],[Div]]&amp;" "&amp;RADataTable[[#This Row],[prop_id0]], RADataTable[[#This Row],[email]])</f>
        <v>jsolomon@mit.edu</v>
      </c>
      <c r="Z564" s="15" t="str">
        <f>HYPERLINK("mailto:"&amp;RADataTable[[#This Row],[allPIemail]]&amp;"&amp;subject=NSF Proposal:  "&amp;RADataTable[[#This Row],[Div]]&amp;" "&amp;RADataTable[[#This Row],[prop_id0]], "PIs@")</f>
        <v>PIs@</v>
      </c>
      <c r="AA564" t="s">
        <v>245</v>
      </c>
      <c r="AB564" t="s">
        <v>669</v>
      </c>
      <c r="AC564" s="30" t="s">
        <v>766</v>
      </c>
      <c r="AD564" t="s">
        <v>767</v>
      </c>
      <c r="AE564" t="s">
        <v>244</v>
      </c>
      <c r="AF564" s="36">
        <v>550000</v>
      </c>
      <c r="AG564" s="36">
        <v>550000</v>
      </c>
      <c r="AH564" s="24"/>
      <c r="AJ564" s="34"/>
      <c r="AK564" t="s">
        <v>923</v>
      </c>
      <c r="AL564" t="s">
        <v>287</v>
      </c>
      <c r="AM564" s="34" t="s">
        <v>925</v>
      </c>
      <c r="AN564" s="34">
        <v>43032</v>
      </c>
      <c r="AO564" s="24">
        <v>13</v>
      </c>
      <c r="AP564" t="s">
        <v>947</v>
      </c>
      <c r="AR564" s="35"/>
      <c r="AS564"/>
      <c r="AT564" s="34"/>
      <c r="AV564" s="34"/>
      <c r="AX564" s="34"/>
      <c r="AY564"/>
      <c r="BA564" s="34"/>
      <c r="BB564"/>
      <c r="BC564" t="s">
        <v>770</v>
      </c>
      <c r="BD564" s="36">
        <v>550000</v>
      </c>
      <c r="BE564" s="36">
        <v>550000</v>
      </c>
      <c r="BF564">
        <v>0</v>
      </c>
      <c r="BG564" s="34">
        <v>43101</v>
      </c>
      <c r="BH564">
        <v>60</v>
      </c>
      <c r="BI564" t="s">
        <v>283</v>
      </c>
      <c r="BJ564" t="s">
        <v>928</v>
      </c>
      <c r="BK564" t="s">
        <v>234</v>
      </c>
      <c r="BL564" t="s">
        <v>194</v>
      </c>
      <c r="BM564" s="8" t="s">
        <v>192</v>
      </c>
      <c r="BN564" t="s">
        <v>189</v>
      </c>
      <c r="BO564" t="s">
        <v>190</v>
      </c>
      <c r="BP564" s="35" t="s">
        <v>726</v>
      </c>
      <c r="BQ564"/>
      <c r="BU564" s="35"/>
      <c r="BV564" s="35"/>
      <c r="BX564"/>
      <c r="CA564" s="35"/>
      <c r="CB564" s="35"/>
      <c r="CC564"/>
      <c r="CG564" s="35"/>
      <c r="CH564" s="35"/>
      <c r="CK564"/>
      <c r="CM564" s="35"/>
      <c r="CN564" s="35"/>
      <c r="CQ564"/>
      <c r="CS564" s="35"/>
      <c r="CT564" s="35"/>
      <c r="CX564"/>
      <c r="CZ564" s="35"/>
      <c r="DD564" s="34"/>
      <c r="DG564" t="s">
        <v>768</v>
      </c>
      <c r="DH564" t="s">
        <v>948</v>
      </c>
      <c r="DI564" t="s">
        <v>286</v>
      </c>
      <c r="DL564" t="s">
        <v>669</v>
      </c>
      <c r="DM564">
        <v>3</v>
      </c>
      <c r="DN564">
        <v>9</v>
      </c>
      <c r="DO564" t="s">
        <v>769</v>
      </c>
      <c r="DQ564" t="s">
        <v>927</v>
      </c>
      <c r="DR564">
        <v>14</v>
      </c>
      <c r="DS564">
        <v>2</v>
      </c>
      <c r="DU564">
        <v>14</v>
      </c>
      <c r="DV564">
        <v>2</v>
      </c>
      <c r="DX564">
        <v>14</v>
      </c>
      <c r="DY564">
        <v>2</v>
      </c>
      <c r="DZ564" t="s">
        <v>246</v>
      </c>
      <c r="EA564" t="s">
        <v>929</v>
      </c>
    </row>
    <row r="565" spans="1:131" x14ac:dyDescent="0.4">
      <c r="A565" s="34">
        <v>43067.305104166669</v>
      </c>
      <c r="B565" s="25">
        <v>42934.695138888892</v>
      </c>
      <c r="D565" s="34"/>
      <c r="E565" s="34" t="s">
        <v>193</v>
      </c>
      <c r="F565" s="34" t="s">
        <v>191</v>
      </c>
      <c r="G565" s="34" t="s">
        <v>100</v>
      </c>
      <c r="H565" t="s">
        <v>279</v>
      </c>
      <c r="I565" t="s">
        <v>243</v>
      </c>
      <c r="J565" t="s">
        <v>712</v>
      </c>
      <c r="K565" t="s">
        <v>713</v>
      </c>
      <c r="L565" t="s">
        <v>711</v>
      </c>
      <c r="M565" s="30">
        <v>3.13</v>
      </c>
      <c r="N565">
        <v>6.25</v>
      </c>
      <c r="P565" s="24" t="str">
        <f>IFERROR(MID(RADataTable[[#This Row],[RATemplate]],1,LEN(RADataTable[[#This Row],[RATemplate]])-8),"RA") &amp; " " &amp; RADataTable[[#This Row],[prop_id0]] &amp; " " &amp; RADataTable[[#This Row],[last0]]</f>
        <v>RA 1749977 Solomon</v>
      </c>
      <c r="T565">
        <v>4</v>
      </c>
      <c r="U565">
        <v>4</v>
      </c>
      <c r="V565" s="34">
        <v>43030.972222222219</v>
      </c>
      <c r="W565">
        <v>1</v>
      </c>
      <c r="X565" s="15" t="str">
        <f>HYPERLINK("https://www.ejacket.nsf.gov/ej/showProposal.do?Continue=Y&amp;ID="&amp;RADataTable[[#This Row],[prop_id0]],"eJ")</f>
        <v>eJ</v>
      </c>
      <c r="Y565" s="15" t="str">
        <f>HYPERLINK("mailto:"&amp;RADataTable[[#This Row],[email]]&amp;"&amp;subject=Your NSF Proposal:  "&amp;RADataTable[[#This Row],[Div]]&amp;" "&amp;RADataTable[[#This Row],[prop_id0]], RADataTable[[#This Row],[email]])</f>
        <v>jsolomon@mit.edu</v>
      </c>
      <c r="Z565" s="15" t="str">
        <f>HYPERLINK("mailto:"&amp;RADataTable[[#This Row],[allPIemail]]&amp;"&amp;subject=NSF Proposal:  "&amp;RADataTable[[#This Row],[Div]]&amp;" "&amp;RADataTable[[#This Row],[prop_id0]], "PIs@")</f>
        <v>PIs@</v>
      </c>
      <c r="AA565" t="s">
        <v>245</v>
      </c>
      <c r="AB565" t="s">
        <v>669</v>
      </c>
      <c r="AC565" s="30" t="s">
        <v>766</v>
      </c>
      <c r="AD565" t="s">
        <v>767</v>
      </c>
      <c r="AE565" t="s">
        <v>244</v>
      </c>
      <c r="AF565" s="36">
        <v>550000</v>
      </c>
      <c r="AG565" s="36">
        <v>550000</v>
      </c>
      <c r="AH565" s="24"/>
      <c r="AJ565" s="34"/>
      <c r="AK565" t="s">
        <v>923</v>
      </c>
      <c r="AL565" t="s">
        <v>287</v>
      </c>
      <c r="AM565" s="34" t="s">
        <v>925</v>
      </c>
      <c r="AN565" s="34">
        <v>43032</v>
      </c>
      <c r="AO565" s="24">
        <v>13</v>
      </c>
      <c r="AP565" t="s">
        <v>947</v>
      </c>
      <c r="AR565" s="35"/>
      <c r="AS565"/>
      <c r="AT565" s="34"/>
      <c r="AV565" s="34"/>
      <c r="AX565" s="34"/>
      <c r="AY565"/>
      <c r="BA565" s="34"/>
      <c r="BB565"/>
      <c r="BC565" t="s">
        <v>770</v>
      </c>
      <c r="BD565" s="36">
        <v>550000</v>
      </c>
      <c r="BE565" s="36">
        <v>550000</v>
      </c>
      <c r="BF565">
        <v>0</v>
      </c>
      <c r="BG565" s="34">
        <v>43101</v>
      </c>
      <c r="BH565">
        <v>60</v>
      </c>
      <c r="BI565" t="s">
        <v>283</v>
      </c>
      <c r="BJ565" t="s">
        <v>928</v>
      </c>
      <c r="BK565" t="s">
        <v>234</v>
      </c>
      <c r="BL565" t="s">
        <v>194</v>
      </c>
      <c r="BM565" s="8" t="s">
        <v>192</v>
      </c>
      <c r="BN565" t="s">
        <v>189</v>
      </c>
      <c r="BO565" t="s">
        <v>190</v>
      </c>
      <c r="BP565" s="35" t="s">
        <v>726</v>
      </c>
      <c r="BQ565"/>
      <c r="BU565" s="35"/>
      <c r="BV565" s="35"/>
      <c r="BX565"/>
      <c r="CA565" s="35"/>
      <c r="CB565" s="35"/>
      <c r="CC565"/>
      <c r="CG565" s="35"/>
      <c r="CH565" s="35"/>
      <c r="CK565"/>
      <c r="CM565" s="35"/>
      <c r="CN565" s="35"/>
      <c r="CQ565"/>
      <c r="CS565" s="35"/>
      <c r="CT565" s="35"/>
      <c r="CX565"/>
      <c r="CZ565" s="35"/>
      <c r="DD565" s="34"/>
      <c r="DG565" t="s">
        <v>768</v>
      </c>
      <c r="DH565" t="s">
        <v>948</v>
      </c>
      <c r="DI565" t="s">
        <v>286</v>
      </c>
      <c r="DL565" t="s">
        <v>669</v>
      </c>
      <c r="DM565">
        <v>3</v>
      </c>
      <c r="DN565">
        <v>9</v>
      </c>
      <c r="DO565" t="s">
        <v>769</v>
      </c>
      <c r="DQ565" t="s">
        <v>927</v>
      </c>
      <c r="DR565">
        <v>14</v>
      </c>
      <c r="DS565">
        <v>2</v>
      </c>
      <c r="DU565">
        <v>14</v>
      </c>
      <c r="DV565">
        <v>2</v>
      </c>
      <c r="DX565">
        <v>14</v>
      </c>
      <c r="DY565">
        <v>2</v>
      </c>
      <c r="DZ565" t="s">
        <v>246</v>
      </c>
      <c r="EA565" t="s">
        <v>929</v>
      </c>
    </row>
    <row r="566" spans="1:131" x14ac:dyDescent="0.4">
      <c r="A566" s="34">
        <v>43067.305104166669</v>
      </c>
      <c r="B566" s="25">
        <v>42934.695138888892</v>
      </c>
      <c r="D566" s="34"/>
      <c r="E566" s="34" t="s">
        <v>193</v>
      </c>
      <c r="F566" s="34" t="s">
        <v>191</v>
      </c>
      <c r="G566" s="34" t="s">
        <v>100</v>
      </c>
      <c r="H566" t="s">
        <v>279</v>
      </c>
      <c r="I566" t="s">
        <v>243</v>
      </c>
      <c r="J566" t="s">
        <v>712</v>
      </c>
      <c r="K566" t="s">
        <v>713</v>
      </c>
      <c r="L566" t="s">
        <v>711</v>
      </c>
      <c r="M566" s="30">
        <v>3.13</v>
      </c>
      <c r="N566">
        <v>6.25</v>
      </c>
      <c r="P566" s="24" t="str">
        <f>IFERROR(MID(RADataTable[[#This Row],[RATemplate]],1,LEN(RADataTable[[#This Row],[RATemplate]])-8),"RA") &amp; " " &amp; RADataTable[[#This Row],[prop_id0]] &amp; " " &amp; RADataTable[[#This Row],[last0]]</f>
        <v>RA 1749977 Solomon</v>
      </c>
      <c r="T566">
        <v>4</v>
      </c>
      <c r="U566">
        <v>4</v>
      </c>
      <c r="V566" s="34">
        <v>43030.972222222219</v>
      </c>
      <c r="W566">
        <v>1</v>
      </c>
      <c r="X566" s="15" t="str">
        <f>HYPERLINK("https://www.ejacket.nsf.gov/ej/showProposal.do?Continue=Y&amp;ID="&amp;RADataTable[[#This Row],[prop_id0]],"eJ")</f>
        <v>eJ</v>
      </c>
      <c r="Y566" s="15" t="str">
        <f>HYPERLINK("mailto:"&amp;RADataTable[[#This Row],[email]]&amp;"&amp;subject=Your NSF Proposal:  "&amp;RADataTable[[#This Row],[Div]]&amp;" "&amp;RADataTable[[#This Row],[prop_id0]], RADataTable[[#This Row],[email]])</f>
        <v>jsolomon@mit.edu</v>
      </c>
      <c r="Z566" s="15" t="str">
        <f>HYPERLINK("mailto:"&amp;RADataTable[[#This Row],[allPIemail]]&amp;"&amp;subject=NSF Proposal:  "&amp;RADataTable[[#This Row],[Div]]&amp;" "&amp;RADataTable[[#This Row],[prop_id0]], "PIs@")</f>
        <v>PIs@</v>
      </c>
      <c r="AA566" t="s">
        <v>245</v>
      </c>
      <c r="AB566" t="s">
        <v>669</v>
      </c>
      <c r="AC566" s="30" t="s">
        <v>766</v>
      </c>
      <c r="AD566" t="s">
        <v>767</v>
      </c>
      <c r="AE566" t="s">
        <v>244</v>
      </c>
      <c r="AF566" s="36">
        <v>550000</v>
      </c>
      <c r="AG566" s="36">
        <v>550000</v>
      </c>
      <c r="AH566" s="24"/>
      <c r="AJ566" s="34"/>
      <c r="AK566" t="s">
        <v>923</v>
      </c>
      <c r="AL566" t="s">
        <v>287</v>
      </c>
      <c r="AM566" s="34" t="s">
        <v>925</v>
      </c>
      <c r="AN566" s="34">
        <v>43032</v>
      </c>
      <c r="AO566" s="24">
        <v>13</v>
      </c>
      <c r="AP566" t="s">
        <v>947</v>
      </c>
      <c r="AR566" s="35"/>
      <c r="AS566"/>
      <c r="AT566" s="34"/>
      <c r="AV566" s="34"/>
      <c r="AX566" s="34"/>
      <c r="AY566"/>
      <c r="BA566" s="34"/>
      <c r="BB566"/>
      <c r="BC566" t="s">
        <v>770</v>
      </c>
      <c r="BD566" s="36">
        <v>550000</v>
      </c>
      <c r="BE566" s="36">
        <v>550000</v>
      </c>
      <c r="BF566">
        <v>0</v>
      </c>
      <c r="BG566" s="34">
        <v>43101</v>
      </c>
      <c r="BH566">
        <v>60</v>
      </c>
      <c r="BI566" t="s">
        <v>283</v>
      </c>
      <c r="BJ566" t="s">
        <v>928</v>
      </c>
      <c r="BK566" t="s">
        <v>234</v>
      </c>
      <c r="BL566" t="s">
        <v>194</v>
      </c>
      <c r="BM566" s="8" t="s">
        <v>192</v>
      </c>
      <c r="BN566" t="s">
        <v>189</v>
      </c>
      <c r="BO566" t="s">
        <v>190</v>
      </c>
      <c r="BP566" s="35" t="s">
        <v>726</v>
      </c>
      <c r="BQ566"/>
      <c r="BU566" s="35"/>
      <c r="BV566" s="35"/>
      <c r="BX566"/>
      <c r="CA566" s="35"/>
      <c r="CB566" s="35"/>
      <c r="CC566"/>
      <c r="CG566" s="35"/>
      <c r="CH566" s="35"/>
      <c r="CK566"/>
      <c r="CM566" s="35"/>
      <c r="CN566" s="35"/>
      <c r="CQ566"/>
      <c r="CS566" s="35"/>
      <c r="CT566" s="35"/>
      <c r="CX566"/>
      <c r="CZ566" s="35"/>
      <c r="DD566" s="34"/>
      <c r="DG566" t="s">
        <v>768</v>
      </c>
      <c r="DH566" t="s">
        <v>948</v>
      </c>
      <c r="DI566" t="s">
        <v>286</v>
      </c>
      <c r="DL566" t="s">
        <v>669</v>
      </c>
      <c r="DM566">
        <v>3</v>
      </c>
      <c r="DN566">
        <v>9</v>
      </c>
      <c r="DO566" t="s">
        <v>769</v>
      </c>
      <c r="DQ566" t="s">
        <v>927</v>
      </c>
      <c r="DR566">
        <v>14</v>
      </c>
      <c r="DS566">
        <v>2</v>
      </c>
      <c r="DU566">
        <v>14</v>
      </c>
      <c r="DV566">
        <v>2</v>
      </c>
      <c r="DX566">
        <v>14</v>
      </c>
      <c r="DY566">
        <v>2</v>
      </c>
      <c r="DZ566" t="s">
        <v>246</v>
      </c>
      <c r="EA566" t="s">
        <v>929</v>
      </c>
    </row>
    <row r="567" spans="1:131" x14ac:dyDescent="0.4">
      <c r="A567" s="34">
        <v>43067.305104166669</v>
      </c>
      <c r="B567" s="25">
        <v>42934.695138888892</v>
      </c>
      <c r="D567" s="34"/>
      <c r="E567" s="34" t="s">
        <v>193</v>
      </c>
      <c r="F567" s="34" t="s">
        <v>191</v>
      </c>
      <c r="G567" s="34" t="s">
        <v>100</v>
      </c>
      <c r="H567" t="s">
        <v>279</v>
      </c>
      <c r="I567" t="s">
        <v>243</v>
      </c>
      <c r="J567" t="s">
        <v>712</v>
      </c>
      <c r="K567" t="s">
        <v>713</v>
      </c>
      <c r="L567" t="s">
        <v>711</v>
      </c>
      <c r="M567" s="30">
        <v>3.13</v>
      </c>
      <c r="N567">
        <v>6.25</v>
      </c>
      <c r="P567" s="24" t="str">
        <f>IFERROR(MID(RADataTable[[#This Row],[RATemplate]],1,LEN(RADataTable[[#This Row],[RATemplate]])-8),"RA") &amp; " " &amp; RADataTable[[#This Row],[prop_id0]] &amp; " " &amp; RADataTable[[#This Row],[last0]]</f>
        <v>RA 1749977 Solomon</v>
      </c>
      <c r="T567">
        <v>4</v>
      </c>
      <c r="U567">
        <v>4</v>
      </c>
      <c r="V567" s="34">
        <v>43030.972222222219</v>
      </c>
      <c r="W567">
        <v>1</v>
      </c>
      <c r="X567" s="15" t="str">
        <f>HYPERLINK("https://www.ejacket.nsf.gov/ej/showProposal.do?Continue=Y&amp;ID="&amp;RADataTable[[#This Row],[prop_id0]],"eJ")</f>
        <v>eJ</v>
      </c>
      <c r="Y567" s="15" t="str">
        <f>HYPERLINK("mailto:"&amp;RADataTable[[#This Row],[email]]&amp;"&amp;subject=Your NSF Proposal:  "&amp;RADataTable[[#This Row],[Div]]&amp;" "&amp;RADataTable[[#This Row],[prop_id0]], RADataTable[[#This Row],[email]])</f>
        <v>jsolomon@mit.edu</v>
      </c>
      <c r="Z567" s="15" t="str">
        <f>HYPERLINK("mailto:"&amp;RADataTable[[#This Row],[allPIemail]]&amp;"&amp;subject=NSF Proposal:  "&amp;RADataTable[[#This Row],[Div]]&amp;" "&amp;RADataTable[[#This Row],[prop_id0]], "PIs@")</f>
        <v>PIs@</v>
      </c>
      <c r="AA567" t="s">
        <v>245</v>
      </c>
      <c r="AB567" t="s">
        <v>669</v>
      </c>
      <c r="AC567" s="30" t="s">
        <v>766</v>
      </c>
      <c r="AD567" t="s">
        <v>767</v>
      </c>
      <c r="AE567" t="s">
        <v>244</v>
      </c>
      <c r="AF567" s="36">
        <v>550000</v>
      </c>
      <c r="AG567" s="36">
        <v>550000</v>
      </c>
      <c r="AH567" s="24"/>
      <c r="AJ567" s="34"/>
      <c r="AK567" t="s">
        <v>923</v>
      </c>
      <c r="AL567" t="s">
        <v>287</v>
      </c>
      <c r="AM567" s="34" t="s">
        <v>925</v>
      </c>
      <c r="AN567" s="34">
        <v>43032</v>
      </c>
      <c r="AO567" s="24">
        <v>13</v>
      </c>
      <c r="AP567" t="s">
        <v>947</v>
      </c>
      <c r="AR567" s="35"/>
      <c r="AS567"/>
      <c r="AT567" s="34"/>
      <c r="AV567" s="34"/>
      <c r="AX567" s="34"/>
      <c r="AY567"/>
      <c r="BA567" s="34"/>
      <c r="BB567"/>
      <c r="BC567" t="s">
        <v>770</v>
      </c>
      <c r="BD567" s="36">
        <v>550000</v>
      </c>
      <c r="BE567" s="36">
        <v>550000</v>
      </c>
      <c r="BF567">
        <v>0</v>
      </c>
      <c r="BG567" s="34">
        <v>43101</v>
      </c>
      <c r="BH567">
        <v>60</v>
      </c>
      <c r="BI567" t="s">
        <v>283</v>
      </c>
      <c r="BJ567" t="s">
        <v>928</v>
      </c>
      <c r="BK567" t="s">
        <v>234</v>
      </c>
      <c r="BL567" t="s">
        <v>194</v>
      </c>
      <c r="BM567" s="8" t="s">
        <v>192</v>
      </c>
      <c r="BN567" t="s">
        <v>189</v>
      </c>
      <c r="BO567" t="s">
        <v>190</v>
      </c>
      <c r="BP567" s="35" t="s">
        <v>726</v>
      </c>
      <c r="BQ567"/>
      <c r="BU567" s="35"/>
      <c r="BV567" s="35"/>
      <c r="BX567"/>
      <c r="CA567" s="35"/>
      <c r="CB567" s="35"/>
      <c r="CC567"/>
      <c r="CG567" s="35"/>
      <c r="CH567" s="35"/>
      <c r="CK567"/>
      <c r="CM567" s="35"/>
      <c r="CN567" s="35"/>
      <c r="CQ567"/>
      <c r="CS567" s="35"/>
      <c r="CT567" s="35"/>
      <c r="CX567"/>
      <c r="CZ567" s="35"/>
      <c r="DD567" s="34"/>
      <c r="DG567" t="s">
        <v>768</v>
      </c>
      <c r="DH567" t="s">
        <v>948</v>
      </c>
      <c r="DI567" t="s">
        <v>286</v>
      </c>
      <c r="DL567" t="s">
        <v>669</v>
      </c>
      <c r="DM567">
        <v>3</v>
      </c>
      <c r="DN567">
        <v>9</v>
      </c>
      <c r="DO567" t="s">
        <v>769</v>
      </c>
      <c r="DQ567" t="s">
        <v>927</v>
      </c>
      <c r="DR567">
        <v>14</v>
      </c>
      <c r="DS567">
        <v>2</v>
      </c>
      <c r="DU567">
        <v>14</v>
      </c>
      <c r="DV567">
        <v>2</v>
      </c>
      <c r="DX567">
        <v>14</v>
      </c>
      <c r="DY567">
        <v>2</v>
      </c>
      <c r="DZ567" t="s">
        <v>246</v>
      </c>
      <c r="EA567" t="s">
        <v>929</v>
      </c>
    </row>
    <row r="568" spans="1:131" x14ac:dyDescent="0.4">
      <c r="A568" s="34">
        <v>43067.305104166669</v>
      </c>
      <c r="B568" s="25">
        <v>42934.695138888892</v>
      </c>
      <c r="D568" s="34"/>
      <c r="E568" s="34" t="s">
        <v>193</v>
      </c>
      <c r="F568" s="34" t="s">
        <v>191</v>
      </c>
      <c r="G568" s="34" t="s">
        <v>100</v>
      </c>
      <c r="H568" t="s">
        <v>279</v>
      </c>
      <c r="I568" t="s">
        <v>243</v>
      </c>
      <c r="J568" t="s">
        <v>712</v>
      </c>
      <c r="K568" t="s">
        <v>713</v>
      </c>
      <c r="L568" t="s">
        <v>711</v>
      </c>
      <c r="M568" s="30">
        <v>3.13</v>
      </c>
      <c r="N568">
        <v>6.25</v>
      </c>
      <c r="P568" s="24" t="str">
        <f>IFERROR(MID(RADataTable[[#This Row],[RATemplate]],1,LEN(RADataTable[[#This Row],[RATemplate]])-8),"RA") &amp; " " &amp; RADataTable[[#This Row],[prop_id0]] &amp; " " &amp; RADataTable[[#This Row],[last0]]</f>
        <v>RA 1749977 Solomon</v>
      </c>
      <c r="T568">
        <v>4</v>
      </c>
      <c r="U568">
        <v>4</v>
      </c>
      <c r="V568" s="34">
        <v>43030.972222222219</v>
      </c>
      <c r="W568">
        <v>1</v>
      </c>
      <c r="X568" s="15" t="str">
        <f>HYPERLINK("https://www.ejacket.nsf.gov/ej/showProposal.do?Continue=Y&amp;ID="&amp;RADataTable[[#This Row],[prop_id0]],"eJ")</f>
        <v>eJ</v>
      </c>
      <c r="Y568" s="15" t="str">
        <f>HYPERLINK("mailto:"&amp;RADataTable[[#This Row],[email]]&amp;"&amp;subject=Your NSF Proposal:  "&amp;RADataTable[[#This Row],[Div]]&amp;" "&amp;RADataTable[[#This Row],[prop_id0]], RADataTable[[#This Row],[email]])</f>
        <v>jsolomon@mit.edu</v>
      </c>
      <c r="Z568" s="15" t="str">
        <f>HYPERLINK("mailto:"&amp;RADataTable[[#This Row],[allPIemail]]&amp;"&amp;subject=NSF Proposal:  "&amp;RADataTable[[#This Row],[Div]]&amp;" "&amp;RADataTable[[#This Row],[prop_id0]], "PIs@")</f>
        <v>PIs@</v>
      </c>
      <c r="AA568" t="s">
        <v>245</v>
      </c>
      <c r="AB568" t="s">
        <v>669</v>
      </c>
      <c r="AC568" s="30" t="s">
        <v>766</v>
      </c>
      <c r="AD568" t="s">
        <v>767</v>
      </c>
      <c r="AE568" t="s">
        <v>244</v>
      </c>
      <c r="AF568" s="36">
        <v>550000</v>
      </c>
      <c r="AG568" s="36">
        <v>550000</v>
      </c>
      <c r="AH568" s="24"/>
      <c r="AJ568" s="34"/>
      <c r="AK568" t="s">
        <v>923</v>
      </c>
      <c r="AL568" t="s">
        <v>287</v>
      </c>
      <c r="AM568" s="34" t="s">
        <v>925</v>
      </c>
      <c r="AN568" s="34">
        <v>43032</v>
      </c>
      <c r="AO568" s="24">
        <v>13</v>
      </c>
      <c r="AP568" t="s">
        <v>947</v>
      </c>
      <c r="AR568" s="35"/>
      <c r="AS568"/>
      <c r="AT568" s="34"/>
      <c r="AV568" s="34"/>
      <c r="AX568" s="34"/>
      <c r="AY568"/>
      <c r="BA568" s="34"/>
      <c r="BB568"/>
      <c r="BC568" t="s">
        <v>770</v>
      </c>
      <c r="BD568" s="36">
        <v>550000</v>
      </c>
      <c r="BE568" s="36">
        <v>550000</v>
      </c>
      <c r="BF568">
        <v>0</v>
      </c>
      <c r="BG568" s="34">
        <v>43101</v>
      </c>
      <c r="BH568">
        <v>60</v>
      </c>
      <c r="BI568" t="s">
        <v>283</v>
      </c>
      <c r="BJ568" t="s">
        <v>928</v>
      </c>
      <c r="BK568" t="s">
        <v>234</v>
      </c>
      <c r="BL568" t="s">
        <v>194</v>
      </c>
      <c r="BM568" s="8" t="s">
        <v>192</v>
      </c>
      <c r="BN568" t="s">
        <v>189</v>
      </c>
      <c r="BO568" t="s">
        <v>190</v>
      </c>
      <c r="BP568" s="35" t="s">
        <v>726</v>
      </c>
      <c r="BQ568"/>
      <c r="BU568" s="35"/>
      <c r="BV568" s="35"/>
      <c r="BX568"/>
      <c r="CA568" s="35"/>
      <c r="CB568" s="35"/>
      <c r="CC568"/>
      <c r="CG568" s="35"/>
      <c r="CH568" s="35"/>
      <c r="CK568"/>
      <c r="CM568" s="35"/>
      <c r="CN568" s="35"/>
      <c r="CQ568"/>
      <c r="CS568" s="35"/>
      <c r="CT568" s="35"/>
      <c r="CX568"/>
      <c r="CZ568" s="35"/>
      <c r="DD568" s="34"/>
      <c r="DG568" t="s">
        <v>768</v>
      </c>
      <c r="DH568" t="s">
        <v>948</v>
      </c>
      <c r="DI568" t="s">
        <v>286</v>
      </c>
      <c r="DL568" t="s">
        <v>669</v>
      </c>
      <c r="DM568">
        <v>3</v>
      </c>
      <c r="DN568">
        <v>9</v>
      </c>
      <c r="DO568" t="s">
        <v>769</v>
      </c>
      <c r="DQ568" t="s">
        <v>927</v>
      </c>
      <c r="DR568">
        <v>14</v>
      </c>
      <c r="DS568">
        <v>2</v>
      </c>
      <c r="DU568">
        <v>14</v>
      </c>
      <c r="DV568">
        <v>2</v>
      </c>
      <c r="DX568">
        <v>14</v>
      </c>
      <c r="DY568">
        <v>2</v>
      </c>
      <c r="DZ568" t="s">
        <v>246</v>
      </c>
      <c r="EA568" t="s">
        <v>929</v>
      </c>
    </row>
    <row r="569" spans="1:131" x14ac:dyDescent="0.4">
      <c r="A569" s="34">
        <v>43067.305104166669</v>
      </c>
      <c r="B569" s="25">
        <v>42934.695138888892</v>
      </c>
      <c r="D569" s="34"/>
      <c r="E569" s="34" t="s">
        <v>193</v>
      </c>
      <c r="F569" s="34" t="s">
        <v>191</v>
      </c>
      <c r="G569" s="34" t="s">
        <v>100</v>
      </c>
      <c r="H569" t="s">
        <v>279</v>
      </c>
      <c r="I569" t="s">
        <v>243</v>
      </c>
      <c r="J569" t="s">
        <v>712</v>
      </c>
      <c r="K569" t="s">
        <v>713</v>
      </c>
      <c r="L569" t="s">
        <v>711</v>
      </c>
      <c r="M569" s="30">
        <v>3.13</v>
      </c>
      <c r="N569">
        <v>6.25</v>
      </c>
      <c r="P569" s="24" t="str">
        <f>IFERROR(MID(RADataTable[[#This Row],[RATemplate]],1,LEN(RADataTable[[#This Row],[RATemplate]])-8),"RA") &amp; " " &amp; RADataTable[[#This Row],[prop_id0]] &amp; " " &amp; RADataTable[[#This Row],[last0]]</f>
        <v>RA 1749977 Solomon</v>
      </c>
      <c r="T569">
        <v>4</v>
      </c>
      <c r="U569">
        <v>4</v>
      </c>
      <c r="V569" s="34">
        <v>43030.972222222219</v>
      </c>
      <c r="W569">
        <v>1</v>
      </c>
      <c r="X569" s="15" t="str">
        <f>HYPERLINK("https://www.ejacket.nsf.gov/ej/showProposal.do?Continue=Y&amp;ID="&amp;RADataTable[[#This Row],[prop_id0]],"eJ")</f>
        <v>eJ</v>
      </c>
      <c r="Y569" s="15" t="str">
        <f>HYPERLINK("mailto:"&amp;RADataTable[[#This Row],[email]]&amp;"&amp;subject=Your NSF Proposal:  "&amp;RADataTable[[#This Row],[Div]]&amp;" "&amp;RADataTable[[#This Row],[prop_id0]], RADataTable[[#This Row],[email]])</f>
        <v>jsolomon@mit.edu</v>
      </c>
      <c r="Z569" s="15" t="str">
        <f>HYPERLINK("mailto:"&amp;RADataTable[[#This Row],[allPIemail]]&amp;"&amp;subject=NSF Proposal:  "&amp;RADataTable[[#This Row],[Div]]&amp;" "&amp;RADataTable[[#This Row],[prop_id0]], "PIs@")</f>
        <v>PIs@</v>
      </c>
      <c r="AA569" t="s">
        <v>245</v>
      </c>
      <c r="AB569" t="s">
        <v>669</v>
      </c>
      <c r="AC569" s="30" t="s">
        <v>766</v>
      </c>
      <c r="AD569" t="s">
        <v>767</v>
      </c>
      <c r="AE569" t="s">
        <v>244</v>
      </c>
      <c r="AF569" s="36">
        <v>550000</v>
      </c>
      <c r="AG569" s="36">
        <v>550000</v>
      </c>
      <c r="AH569" s="24"/>
      <c r="AJ569" s="34"/>
      <c r="AK569" t="s">
        <v>923</v>
      </c>
      <c r="AL569" t="s">
        <v>287</v>
      </c>
      <c r="AM569" s="34" t="s">
        <v>925</v>
      </c>
      <c r="AN569" s="34">
        <v>43032</v>
      </c>
      <c r="AO569" s="24">
        <v>13</v>
      </c>
      <c r="AP569" t="s">
        <v>947</v>
      </c>
      <c r="AR569" s="35"/>
      <c r="AS569"/>
      <c r="AT569" s="34"/>
      <c r="AV569" s="34"/>
      <c r="AX569" s="34"/>
      <c r="AY569"/>
      <c r="BA569" s="34"/>
      <c r="BB569"/>
      <c r="BC569" t="s">
        <v>770</v>
      </c>
      <c r="BD569" s="36">
        <v>550000</v>
      </c>
      <c r="BE569" s="36">
        <v>550000</v>
      </c>
      <c r="BF569">
        <v>0</v>
      </c>
      <c r="BG569" s="34">
        <v>43101</v>
      </c>
      <c r="BH569">
        <v>60</v>
      </c>
      <c r="BI569" t="s">
        <v>283</v>
      </c>
      <c r="BJ569" t="s">
        <v>928</v>
      </c>
      <c r="BK569" t="s">
        <v>234</v>
      </c>
      <c r="BL569" t="s">
        <v>194</v>
      </c>
      <c r="BM569" s="8" t="s">
        <v>192</v>
      </c>
      <c r="BN569" t="s">
        <v>189</v>
      </c>
      <c r="BO569" t="s">
        <v>190</v>
      </c>
      <c r="BP569" s="35" t="s">
        <v>726</v>
      </c>
      <c r="BQ569"/>
      <c r="BU569" s="35"/>
      <c r="BV569" s="35"/>
      <c r="BX569"/>
      <c r="CA569" s="35"/>
      <c r="CB569" s="35"/>
      <c r="CC569"/>
      <c r="CG569" s="35"/>
      <c r="CH569" s="35"/>
      <c r="CK569"/>
      <c r="CM569" s="35"/>
      <c r="CN569" s="35"/>
      <c r="CQ569"/>
      <c r="CS569" s="35"/>
      <c r="CT569" s="35"/>
      <c r="CX569"/>
      <c r="CZ569" s="35"/>
      <c r="DD569" s="34"/>
      <c r="DG569" t="s">
        <v>768</v>
      </c>
      <c r="DH569" t="s">
        <v>948</v>
      </c>
      <c r="DI569" t="s">
        <v>286</v>
      </c>
      <c r="DL569" t="s">
        <v>669</v>
      </c>
      <c r="DM569">
        <v>3</v>
      </c>
      <c r="DN569">
        <v>9</v>
      </c>
      <c r="DO569" t="s">
        <v>769</v>
      </c>
      <c r="DQ569" t="s">
        <v>927</v>
      </c>
      <c r="DR569">
        <v>14</v>
      </c>
      <c r="DS569">
        <v>2</v>
      </c>
      <c r="DU569">
        <v>14</v>
      </c>
      <c r="DV569">
        <v>2</v>
      </c>
      <c r="DX569">
        <v>14</v>
      </c>
      <c r="DY569">
        <v>2</v>
      </c>
      <c r="DZ569" t="s">
        <v>246</v>
      </c>
      <c r="EA569" t="s">
        <v>929</v>
      </c>
    </row>
    <row r="570" spans="1:131" x14ac:dyDescent="0.4">
      <c r="A570" s="34">
        <v>43067.305104166669</v>
      </c>
      <c r="B570" s="25">
        <v>42934.695138888892</v>
      </c>
      <c r="D570" s="34"/>
      <c r="E570" s="34" t="s">
        <v>193</v>
      </c>
      <c r="F570" s="34" t="s">
        <v>191</v>
      </c>
      <c r="G570" s="34" t="s">
        <v>100</v>
      </c>
      <c r="H570" t="s">
        <v>279</v>
      </c>
      <c r="I570" t="s">
        <v>243</v>
      </c>
      <c r="J570" t="s">
        <v>712</v>
      </c>
      <c r="K570" t="s">
        <v>713</v>
      </c>
      <c r="L570" t="s">
        <v>711</v>
      </c>
      <c r="M570" s="30">
        <v>3.13</v>
      </c>
      <c r="N570">
        <v>6.25</v>
      </c>
      <c r="P570" s="24" t="str">
        <f>IFERROR(MID(RADataTable[[#This Row],[RATemplate]],1,LEN(RADataTable[[#This Row],[RATemplate]])-8),"RA") &amp; " " &amp; RADataTable[[#This Row],[prop_id0]] &amp; " " &amp; RADataTable[[#This Row],[last0]]</f>
        <v>RA 1749977 Solomon</v>
      </c>
      <c r="T570">
        <v>4</v>
      </c>
      <c r="U570">
        <v>4</v>
      </c>
      <c r="V570" s="34">
        <v>43030.972222222219</v>
      </c>
      <c r="W570">
        <v>1</v>
      </c>
      <c r="X570" s="15" t="str">
        <f>HYPERLINK("https://www.ejacket.nsf.gov/ej/showProposal.do?Continue=Y&amp;ID="&amp;RADataTable[[#This Row],[prop_id0]],"eJ")</f>
        <v>eJ</v>
      </c>
      <c r="Y570" s="15" t="str">
        <f>HYPERLINK("mailto:"&amp;RADataTable[[#This Row],[email]]&amp;"&amp;subject=Your NSF Proposal:  "&amp;RADataTable[[#This Row],[Div]]&amp;" "&amp;RADataTable[[#This Row],[prop_id0]], RADataTable[[#This Row],[email]])</f>
        <v>jsolomon@mit.edu</v>
      </c>
      <c r="Z570" s="15" t="str">
        <f>HYPERLINK("mailto:"&amp;RADataTable[[#This Row],[allPIemail]]&amp;"&amp;subject=NSF Proposal:  "&amp;RADataTable[[#This Row],[Div]]&amp;" "&amp;RADataTable[[#This Row],[prop_id0]], "PIs@")</f>
        <v>PIs@</v>
      </c>
      <c r="AA570" t="s">
        <v>245</v>
      </c>
      <c r="AB570" t="s">
        <v>669</v>
      </c>
      <c r="AC570" s="30" t="s">
        <v>766</v>
      </c>
      <c r="AD570" t="s">
        <v>767</v>
      </c>
      <c r="AE570" t="s">
        <v>244</v>
      </c>
      <c r="AF570" s="36">
        <v>550000</v>
      </c>
      <c r="AG570" s="36">
        <v>550000</v>
      </c>
      <c r="AH570" s="24"/>
      <c r="AJ570" s="34"/>
      <c r="AK570" t="s">
        <v>923</v>
      </c>
      <c r="AL570" t="s">
        <v>287</v>
      </c>
      <c r="AM570" s="34" t="s">
        <v>925</v>
      </c>
      <c r="AN570" s="34">
        <v>43032</v>
      </c>
      <c r="AO570" s="24">
        <v>13</v>
      </c>
      <c r="AP570" t="s">
        <v>947</v>
      </c>
      <c r="AR570" s="35"/>
      <c r="AS570"/>
      <c r="AT570" s="34"/>
      <c r="AV570" s="34"/>
      <c r="AX570" s="34"/>
      <c r="AY570"/>
      <c r="BA570" s="34"/>
      <c r="BB570"/>
      <c r="BC570" t="s">
        <v>770</v>
      </c>
      <c r="BD570" s="36">
        <v>550000</v>
      </c>
      <c r="BE570" s="36">
        <v>550000</v>
      </c>
      <c r="BF570">
        <v>0</v>
      </c>
      <c r="BG570" s="34">
        <v>43101</v>
      </c>
      <c r="BH570">
        <v>60</v>
      </c>
      <c r="BI570" t="s">
        <v>283</v>
      </c>
      <c r="BJ570" t="s">
        <v>928</v>
      </c>
      <c r="BK570" t="s">
        <v>234</v>
      </c>
      <c r="BL570" t="s">
        <v>194</v>
      </c>
      <c r="BM570" s="8" t="s">
        <v>192</v>
      </c>
      <c r="BN570" t="s">
        <v>189</v>
      </c>
      <c r="BO570" t="s">
        <v>190</v>
      </c>
      <c r="BP570" s="35" t="s">
        <v>726</v>
      </c>
      <c r="BQ570"/>
      <c r="BU570" s="35"/>
      <c r="BV570" s="35"/>
      <c r="BX570"/>
      <c r="CA570" s="35"/>
      <c r="CB570" s="35"/>
      <c r="CC570"/>
      <c r="CG570" s="35"/>
      <c r="CH570" s="35"/>
      <c r="CK570"/>
      <c r="CM570" s="35"/>
      <c r="CN570" s="35"/>
      <c r="CQ570"/>
      <c r="CS570" s="35"/>
      <c r="CT570" s="35"/>
      <c r="CX570"/>
      <c r="CZ570" s="35"/>
      <c r="DD570" s="34"/>
      <c r="DG570" t="s">
        <v>768</v>
      </c>
      <c r="DH570" t="s">
        <v>948</v>
      </c>
      <c r="DI570" t="s">
        <v>286</v>
      </c>
      <c r="DL570" t="s">
        <v>669</v>
      </c>
      <c r="DM570">
        <v>3</v>
      </c>
      <c r="DN570">
        <v>9</v>
      </c>
      <c r="DO570" t="s">
        <v>769</v>
      </c>
      <c r="DQ570" t="s">
        <v>927</v>
      </c>
      <c r="DR570">
        <v>14</v>
      </c>
      <c r="DS570">
        <v>2</v>
      </c>
      <c r="DU570">
        <v>14</v>
      </c>
      <c r="DV570">
        <v>2</v>
      </c>
      <c r="DX570">
        <v>14</v>
      </c>
      <c r="DY570">
        <v>2</v>
      </c>
      <c r="DZ570" t="s">
        <v>246</v>
      </c>
      <c r="EA570" t="s">
        <v>929</v>
      </c>
    </row>
    <row r="571" spans="1:131" x14ac:dyDescent="0.4">
      <c r="A571" s="34">
        <v>43067.305104166669</v>
      </c>
      <c r="B571" s="25">
        <v>42934.695138888892</v>
      </c>
      <c r="D571" s="34"/>
      <c r="E571" s="34" t="s">
        <v>193</v>
      </c>
      <c r="F571" s="34" t="s">
        <v>191</v>
      </c>
      <c r="G571" s="34" t="s">
        <v>100</v>
      </c>
      <c r="H571" t="s">
        <v>279</v>
      </c>
      <c r="I571" t="s">
        <v>243</v>
      </c>
      <c r="J571" t="s">
        <v>712</v>
      </c>
      <c r="K571" t="s">
        <v>713</v>
      </c>
      <c r="L571" t="s">
        <v>711</v>
      </c>
      <c r="M571" s="30">
        <v>3.13</v>
      </c>
      <c r="N571">
        <v>6.25</v>
      </c>
      <c r="P571" s="24" t="str">
        <f>IFERROR(MID(RADataTable[[#This Row],[RATemplate]],1,LEN(RADataTable[[#This Row],[RATemplate]])-8),"RA") &amp; " " &amp; RADataTable[[#This Row],[prop_id0]] &amp; " " &amp; RADataTable[[#This Row],[last0]]</f>
        <v>RA 1749977 Solomon</v>
      </c>
      <c r="T571">
        <v>4</v>
      </c>
      <c r="U571">
        <v>4</v>
      </c>
      <c r="V571" s="34">
        <v>43030.972222222219</v>
      </c>
      <c r="W571">
        <v>1</v>
      </c>
      <c r="X571" s="15" t="str">
        <f>HYPERLINK("https://www.ejacket.nsf.gov/ej/showProposal.do?Continue=Y&amp;ID="&amp;RADataTable[[#This Row],[prop_id0]],"eJ")</f>
        <v>eJ</v>
      </c>
      <c r="Y571" s="15" t="str">
        <f>HYPERLINK("mailto:"&amp;RADataTable[[#This Row],[email]]&amp;"&amp;subject=Your NSF Proposal:  "&amp;RADataTable[[#This Row],[Div]]&amp;" "&amp;RADataTable[[#This Row],[prop_id0]], RADataTable[[#This Row],[email]])</f>
        <v>jsolomon@mit.edu</v>
      </c>
      <c r="Z571" s="15" t="str">
        <f>HYPERLINK("mailto:"&amp;RADataTable[[#This Row],[allPIemail]]&amp;"&amp;subject=NSF Proposal:  "&amp;RADataTable[[#This Row],[Div]]&amp;" "&amp;RADataTable[[#This Row],[prop_id0]], "PIs@")</f>
        <v>PIs@</v>
      </c>
      <c r="AA571" t="s">
        <v>245</v>
      </c>
      <c r="AB571" t="s">
        <v>669</v>
      </c>
      <c r="AC571" s="30" t="s">
        <v>766</v>
      </c>
      <c r="AD571" t="s">
        <v>767</v>
      </c>
      <c r="AE571" t="s">
        <v>244</v>
      </c>
      <c r="AF571" s="36">
        <v>550000</v>
      </c>
      <c r="AG571" s="36">
        <v>550000</v>
      </c>
      <c r="AH571" s="24"/>
      <c r="AJ571" s="34"/>
      <c r="AK571" t="s">
        <v>923</v>
      </c>
      <c r="AL571" t="s">
        <v>287</v>
      </c>
      <c r="AM571" s="34" t="s">
        <v>925</v>
      </c>
      <c r="AN571" s="34">
        <v>43032</v>
      </c>
      <c r="AO571" s="24">
        <v>13</v>
      </c>
      <c r="AP571" t="s">
        <v>947</v>
      </c>
      <c r="AR571" s="35"/>
      <c r="AS571"/>
      <c r="AT571" s="34"/>
      <c r="AV571" s="34"/>
      <c r="AX571" s="34"/>
      <c r="AY571"/>
      <c r="BA571" s="34"/>
      <c r="BB571"/>
      <c r="BC571" t="s">
        <v>770</v>
      </c>
      <c r="BD571" s="36">
        <v>550000</v>
      </c>
      <c r="BE571" s="36">
        <v>550000</v>
      </c>
      <c r="BF571">
        <v>0</v>
      </c>
      <c r="BG571" s="34">
        <v>43101</v>
      </c>
      <c r="BH571">
        <v>60</v>
      </c>
      <c r="BI571" t="s">
        <v>283</v>
      </c>
      <c r="BJ571" t="s">
        <v>928</v>
      </c>
      <c r="BK571" t="s">
        <v>234</v>
      </c>
      <c r="BL571" t="s">
        <v>194</v>
      </c>
      <c r="BM571" s="8" t="s">
        <v>192</v>
      </c>
      <c r="BN571" t="s">
        <v>189</v>
      </c>
      <c r="BO571" t="s">
        <v>190</v>
      </c>
      <c r="BP571" s="35" t="s">
        <v>726</v>
      </c>
      <c r="BQ571"/>
      <c r="BU571" s="35"/>
      <c r="BV571" s="35"/>
      <c r="BX571"/>
      <c r="CA571" s="35"/>
      <c r="CB571" s="35"/>
      <c r="CC571"/>
      <c r="CG571" s="35"/>
      <c r="CH571" s="35"/>
      <c r="CK571"/>
      <c r="CM571" s="35"/>
      <c r="CN571" s="35"/>
      <c r="CQ571"/>
      <c r="CS571" s="35"/>
      <c r="CT571" s="35"/>
      <c r="CX571"/>
      <c r="CZ571" s="35"/>
      <c r="DD571" s="34"/>
      <c r="DG571" t="s">
        <v>768</v>
      </c>
      <c r="DH571" t="s">
        <v>948</v>
      </c>
      <c r="DI571" t="s">
        <v>286</v>
      </c>
      <c r="DL571" t="s">
        <v>669</v>
      </c>
      <c r="DM571">
        <v>3</v>
      </c>
      <c r="DN571">
        <v>9</v>
      </c>
      <c r="DO571" t="s">
        <v>769</v>
      </c>
      <c r="DQ571" t="s">
        <v>927</v>
      </c>
      <c r="DR571">
        <v>14</v>
      </c>
      <c r="DS571">
        <v>2</v>
      </c>
      <c r="DU571">
        <v>14</v>
      </c>
      <c r="DV571">
        <v>2</v>
      </c>
      <c r="DX571">
        <v>14</v>
      </c>
      <c r="DY571">
        <v>2</v>
      </c>
      <c r="DZ571" t="s">
        <v>246</v>
      </c>
      <c r="EA571" t="s">
        <v>929</v>
      </c>
    </row>
    <row r="572" spans="1:131" x14ac:dyDescent="0.4">
      <c r="A572" s="34">
        <v>43067.305104166669</v>
      </c>
      <c r="B572" s="25">
        <v>42934.695138888892</v>
      </c>
      <c r="D572" s="34"/>
      <c r="E572" s="34" t="s">
        <v>193</v>
      </c>
      <c r="F572" s="34" t="s">
        <v>191</v>
      </c>
      <c r="G572" s="34" t="s">
        <v>100</v>
      </c>
      <c r="H572" t="s">
        <v>279</v>
      </c>
      <c r="I572" t="s">
        <v>243</v>
      </c>
      <c r="J572" t="s">
        <v>712</v>
      </c>
      <c r="K572" t="s">
        <v>713</v>
      </c>
      <c r="L572" t="s">
        <v>711</v>
      </c>
      <c r="M572" s="30">
        <v>3.13</v>
      </c>
      <c r="N572">
        <v>6.25</v>
      </c>
      <c r="P572" s="24" t="str">
        <f>IFERROR(MID(RADataTable[[#This Row],[RATemplate]],1,LEN(RADataTable[[#This Row],[RATemplate]])-8),"RA") &amp; " " &amp; RADataTable[[#This Row],[prop_id0]] &amp; " " &amp; RADataTable[[#This Row],[last0]]</f>
        <v>RA 1749977 Solomon</v>
      </c>
      <c r="T572">
        <v>4</v>
      </c>
      <c r="U572">
        <v>4</v>
      </c>
      <c r="V572" s="34">
        <v>43030.972222222219</v>
      </c>
      <c r="W572">
        <v>1</v>
      </c>
      <c r="X572" s="15" t="str">
        <f>HYPERLINK("https://www.ejacket.nsf.gov/ej/showProposal.do?Continue=Y&amp;ID="&amp;RADataTable[[#This Row],[prop_id0]],"eJ")</f>
        <v>eJ</v>
      </c>
      <c r="Y572" s="15" t="str">
        <f>HYPERLINK("mailto:"&amp;RADataTable[[#This Row],[email]]&amp;"&amp;subject=Your NSF Proposal:  "&amp;RADataTable[[#This Row],[Div]]&amp;" "&amp;RADataTable[[#This Row],[prop_id0]], RADataTable[[#This Row],[email]])</f>
        <v>jsolomon@mit.edu</v>
      </c>
      <c r="Z572" s="15" t="str">
        <f>HYPERLINK("mailto:"&amp;RADataTable[[#This Row],[allPIemail]]&amp;"&amp;subject=NSF Proposal:  "&amp;RADataTable[[#This Row],[Div]]&amp;" "&amp;RADataTable[[#This Row],[prop_id0]], "PIs@")</f>
        <v>PIs@</v>
      </c>
      <c r="AA572" t="s">
        <v>245</v>
      </c>
      <c r="AB572" t="s">
        <v>669</v>
      </c>
      <c r="AC572" s="30" t="s">
        <v>766</v>
      </c>
      <c r="AD572" t="s">
        <v>767</v>
      </c>
      <c r="AE572" t="s">
        <v>244</v>
      </c>
      <c r="AF572" s="36">
        <v>550000</v>
      </c>
      <c r="AG572" s="36">
        <v>550000</v>
      </c>
      <c r="AH572" s="24"/>
      <c r="AJ572" s="34"/>
      <c r="AK572" t="s">
        <v>923</v>
      </c>
      <c r="AL572" t="s">
        <v>287</v>
      </c>
      <c r="AM572" s="34" t="s">
        <v>925</v>
      </c>
      <c r="AN572" s="34">
        <v>43032</v>
      </c>
      <c r="AO572" s="24">
        <v>13</v>
      </c>
      <c r="AP572" t="s">
        <v>947</v>
      </c>
      <c r="AR572" s="35"/>
      <c r="AS572"/>
      <c r="AT572" s="34"/>
      <c r="AV572" s="34"/>
      <c r="AX572" s="34"/>
      <c r="AY572"/>
      <c r="BA572" s="34"/>
      <c r="BB572"/>
      <c r="BC572" t="s">
        <v>770</v>
      </c>
      <c r="BD572" s="36">
        <v>550000</v>
      </c>
      <c r="BE572" s="36">
        <v>550000</v>
      </c>
      <c r="BF572">
        <v>0</v>
      </c>
      <c r="BG572" s="34">
        <v>43101</v>
      </c>
      <c r="BH572">
        <v>60</v>
      </c>
      <c r="BI572" t="s">
        <v>283</v>
      </c>
      <c r="BJ572" t="s">
        <v>928</v>
      </c>
      <c r="BK572" t="s">
        <v>234</v>
      </c>
      <c r="BL572" t="s">
        <v>194</v>
      </c>
      <c r="BM572" s="8" t="s">
        <v>192</v>
      </c>
      <c r="BN572" t="s">
        <v>189</v>
      </c>
      <c r="BO572" t="s">
        <v>190</v>
      </c>
      <c r="BP572" s="35" t="s">
        <v>726</v>
      </c>
      <c r="BQ572"/>
      <c r="BU572" s="35"/>
      <c r="BV572" s="35"/>
      <c r="BX572"/>
      <c r="CA572" s="35"/>
      <c r="CB572" s="35"/>
      <c r="CC572"/>
      <c r="CG572" s="35"/>
      <c r="CH572" s="35"/>
      <c r="CK572"/>
      <c r="CM572" s="35"/>
      <c r="CN572" s="35"/>
      <c r="CQ572"/>
      <c r="CS572" s="35"/>
      <c r="CT572" s="35"/>
      <c r="CX572"/>
      <c r="CZ572" s="35"/>
      <c r="DD572" s="34"/>
      <c r="DG572" t="s">
        <v>768</v>
      </c>
      <c r="DH572" t="s">
        <v>948</v>
      </c>
      <c r="DI572" t="s">
        <v>286</v>
      </c>
      <c r="DL572" t="s">
        <v>669</v>
      </c>
      <c r="DM572">
        <v>3</v>
      </c>
      <c r="DN572">
        <v>9</v>
      </c>
      <c r="DO572" t="s">
        <v>769</v>
      </c>
      <c r="DQ572" t="s">
        <v>927</v>
      </c>
      <c r="DR572">
        <v>14</v>
      </c>
      <c r="DS572">
        <v>2</v>
      </c>
      <c r="DU572">
        <v>14</v>
      </c>
      <c r="DV572">
        <v>2</v>
      </c>
      <c r="DX572">
        <v>14</v>
      </c>
      <c r="DY572">
        <v>2</v>
      </c>
      <c r="DZ572" t="s">
        <v>246</v>
      </c>
      <c r="EA572" t="s">
        <v>929</v>
      </c>
    </row>
    <row r="573" spans="1:131" x14ac:dyDescent="0.4">
      <c r="A573" s="34">
        <v>43067.305104166669</v>
      </c>
      <c r="B573" s="25">
        <v>42934.695138888892</v>
      </c>
      <c r="D573" s="34"/>
      <c r="E573" s="34" t="s">
        <v>193</v>
      </c>
      <c r="F573" s="34" t="s">
        <v>191</v>
      </c>
      <c r="G573" s="34" t="s">
        <v>100</v>
      </c>
      <c r="H573" t="s">
        <v>279</v>
      </c>
      <c r="I573" t="s">
        <v>243</v>
      </c>
      <c r="J573" t="s">
        <v>712</v>
      </c>
      <c r="K573" t="s">
        <v>713</v>
      </c>
      <c r="L573" t="s">
        <v>711</v>
      </c>
      <c r="M573" s="30">
        <v>3.13</v>
      </c>
      <c r="N573">
        <v>6.25</v>
      </c>
      <c r="P573" s="24" t="str">
        <f>IFERROR(MID(RADataTable[[#This Row],[RATemplate]],1,LEN(RADataTable[[#This Row],[RATemplate]])-8),"RA") &amp; " " &amp; RADataTable[[#This Row],[prop_id0]] &amp; " " &amp; RADataTable[[#This Row],[last0]]</f>
        <v>RA 1749977 Solomon</v>
      </c>
      <c r="T573">
        <v>4</v>
      </c>
      <c r="U573">
        <v>4</v>
      </c>
      <c r="V573" s="34">
        <v>43030.972222222219</v>
      </c>
      <c r="W573">
        <v>1</v>
      </c>
      <c r="X573" s="15" t="str">
        <f>HYPERLINK("https://www.ejacket.nsf.gov/ej/showProposal.do?Continue=Y&amp;ID="&amp;RADataTable[[#This Row],[prop_id0]],"eJ")</f>
        <v>eJ</v>
      </c>
      <c r="Y573" s="15" t="str">
        <f>HYPERLINK("mailto:"&amp;RADataTable[[#This Row],[email]]&amp;"&amp;subject=Your NSF Proposal:  "&amp;RADataTable[[#This Row],[Div]]&amp;" "&amp;RADataTable[[#This Row],[prop_id0]], RADataTable[[#This Row],[email]])</f>
        <v>jsolomon@mit.edu</v>
      </c>
      <c r="Z573" s="15" t="str">
        <f>HYPERLINK("mailto:"&amp;RADataTable[[#This Row],[allPIemail]]&amp;"&amp;subject=NSF Proposal:  "&amp;RADataTable[[#This Row],[Div]]&amp;" "&amp;RADataTable[[#This Row],[prop_id0]], "PIs@")</f>
        <v>PIs@</v>
      </c>
      <c r="AA573" t="s">
        <v>245</v>
      </c>
      <c r="AB573" t="s">
        <v>669</v>
      </c>
      <c r="AC573" s="30" t="s">
        <v>766</v>
      </c>
      <c r="AD573" t="s">
        <v>767</v>
      </c>
      <c r="AE573" t="s">
        <v>244</v>
      </c>
      <c r="AF573" s="36">
        <v>550000</v>
      </c>
      <c r="AG573" s="36">
        <v>550000</v>
      </c>
      <c r="AH573" s="24"/>
      <c r="AJ573" s="34"/>
      <c r="AK573" t="s">
        <v>923</v>
      </c>
      <c r="AL573" t="s">
        <v>287</v>
      </c>
      <c r="AM573" s="34" t="s">
        <v>925</v>
      </c>
      <c r="AN573" s="34">
        <v>43032</v>
      </c>
      <c r="AO573" s="24">
        <v>13</v>
      </c>
      <c r="AP573" t="s">
        <v>947</v>
      </c>
      <c r="AR573" s="35"/>
      <c r="AS573"/>
      <c r="AT573" s="34"/>
      <c r="AV573" s="34"/>
      <c r="AX573" s="34"/>
      <c r="AY573"/>
      <c r="BA573" s="34"/>
      <c r="BB573"/>
      <c r="BC573" t="s">
        <v>770</v>
      </c>
      <c r="BD573" s="36">
        <v>550000</v>
      </c>
      <c r="BE573" s="36">
        <v>550000</v>
      </c>
      <c r="BF573">
        <v>0</v>
      </c>
      <c r="BG573" s="34">
        <v>43101</v>
      </c>
      <c r="BH573">
        <v>60</v>
      </c>
      <c r="BI573" t="s">
        <v>283</v>
      </c>
      <c r="BJ573" t="s">
        <v>928</v>
      </c>
      <c r="BK573" t="s">
        <v>234</v>
      </c>
      <c r="BL573" t="s">
        <v>194</v>
      </c>
      <c r="BM573" s="8" t="s">
        <v>192</v>
      </c>
      <c r="BN573" t="s">
        <v>189</v>
      </c>
      <c r="BO573" t="s">
        <v>190</v>
      </c>
      <c r="BP573" s="35" t="s">
        <v>726</v>
      </c>
      <c r="BQ573"/>
      <c r="BU573" s="35"/>
      <c r="BV573" s="35"/>
      <c r="BX573"/>
      <c r="CA573" s="35"/>
      <c r="CB573" s="35"/>
      <c r="CC573"/>
      <c r="CG573" s="35"/>
      <c r="CH573" s="35"/>
      <c r="CK573"/>
      <c r="CM573" s="35"/>
      <c r="CN573" s="35"/>
      <c r="CQ573"/>
      <c r="CS573" s="35"/>
      <c r="CT573" s="35"/>
      <c r="CX573"/>
      <c r="CZ573" s="35"/>
      <c r="DD573" s="34"/>
      <c r="DG573" t="s">
        <v>768</v>
      </c>
      <c r="DH573" t="s">
        <v>948</v>
      </c>
      <c r="DI573" t="s">
        <v>286</v>
      </c>
      <c r="DL573" t="s">
        <v>669</v>
      </c>
      <c r="DM573">
        <v>3</v>
      </c>
      <c r="DN573">
        <v>9</v>
      </c>
      <c r="DO573" t="s">
        <v>769</v>
      </c>
      <c r="DQ573" t="s">
        <v>927</v>
      </c>
      <c r="DR573">
        <v>14</v>
      </c>
      <c r="DS573">
        <v>2</v>
      </c>
      <c r="DU573">
        <v>14</v>
      </c>
      <c r="DV573">
        <v>2</v>
      </c>
      <c r="DX573">
        <v>14</v>
      </c>
      <c r="DY573">
        <v>2</v>
      </c>
      <c r="DZ573" t="s">
        <v>246</v>
      </c>
      <c r="EA573" t="s">
        <v>929</v>
      </c>
    </row>
    <row r="574" spans="1:131" x14ac:dyDescent="0.4">
      <c r="A574" s="34">
        <v>43067.305104166669</v>
      </c>
      <c r="B574" s="25">
        <v>42934.695138888892</v>
      </c>
      <c r="D574" s="34"/>
      <c r="E574" s="34" t="s">
        <v>193</v>
      </c>
      <c r="F574" s="34" t="s">
        <v>191</v>
      </c>
      <c r="G574" s="34" t="s">
        <v>100</v>
      </c>
      <c r="H574" t="s">
        <v>279</v>
      </c>
      <c r="I574" t="s">
        <v>243</v>
      </c>
      <c r="J574" t="s">
        <v>712</v>
      </c>
      <c r="K574" t="s">
        <v>713</v>
      </c>
      <c r="L574" t="s">
        <v>711</v>
      </c>
      <c r="M574" s="30">
        <v>3.13</v>
      </c>
      <c r="N574">
        <v>6.25</v>
      </c>
      <c r="P574" s="24" t="str">
        <f>IFERROR(MID(RADataTable[[#This Row],[RATemplate]],1,LEN(RADataTable[[#This Row],[RATemplate]])-8),"RA") &amp; " " &amp; RADataTable[[#This Row],[prop_id0]] &amp; " " &amp; RADataTable[[#This Row],[last0]]</f>
        <v>RA 1749977 Solomon</v>
      </c>
      <c r="T574">
        <v>4</v>
      </c>
      <c r="U574">
        <v>4</v>
      </c>
      <c r="V574" s="34">
        <v>43030.972222222219</v>
      </c>
      <c r="W574">
        <v>1</v>
      </c>
      <c r="X574" s="15" t="str">
        <f>HYPERLINK("https://www.ejacket.nsf.gov/ej/showProposal.do?Continue=Y&amp;ID="&amp;RADataTable[[#This Row],[prop_id0]],"eJ")</f>
        <v>eJ</v>
      </c>
      <c r="Y574" s="15" t="str">
        <f>HYPERLINK("mailto:"&amp;RADataTable[[#This Row],[email]]&amp;"&amp;subject=Your NSF Proposal:  "&amp;RADataTable[[#This Row],[Div]]&amp;" "&amp;RADataTable[[#This Row],[prop_id0]], RADataTable[[#This Row],[email]])</f>
        <v>jsolomon@mit.edu</v>
      </c>
      <c r="Z574" s="15" t="str">
        <f>HYPERLINK("mailto:"&amp;RADataTable[[#This Row],[allPIemail]]&amp;"&amp;subject=NSF Proposal:  "&amp;RADataTable[[#This Row],[Div]]&amp;" "&amp;RADataTable[[#This Row],[prop_id0]], "PIs@")</f>
        <v>PIs@</v>
      </c>
      <c r="AA574" t="s">
        <v>245</v>
      </c>
      <c r="AB574" t="s">
        <v>669</v>
      </c>
      <c r="AC574" s="30" t="s">
        <v>766</v>
      </c>
      <c r="AD574" t="s">
        <v>767</v>
      </c>
      <c r="AE574" t="s">
        <v>244</v>
      </c>
      <c r="AF574" s="36">
        <v>550000</v>
      </c>
      <c r="AG574" s="36">
        <v>550000</v>
      </c>
      <c r="AH574" s="24"/>
      <c r="AJ574" s="34"/>
      <c r="AK574" t="s">
        <v>923</v>
      </c>
      <c r="AL574" t="s">
        <v>287</v>
      </c>
      <c r="AM574" s="34" t="s">
        <v>925</v>
      </c>
      <c r="AN574" s="34">
        <v>43032</v>
      </c>
      <c r="AO574" s="24">
        <v>13</v>
      </c>
      <c r="AP574" t="s">
        <v>947</v>
      </c>
      <c r="AR574" s="35"/>
      <c r="AS574"/>
      <c r="AT574" s="34"/>
      <c r="AV574" s="34"/>
      <c r="AX574" s="34"/>
      <c r="AY574"/>
      <c r="BA574" s="34"/>
      <c r="BB574"/>
      <c r="BC574" t="s">
        <v>770</v>
      </c>
      <c r="BD574" s="36">
        <v>550000</v>
      </c>
      <c r="BE574" s="36">
        <v>550000</v>
      </c>
      <c r="BF574">
        <v>0</v>
      </c>
      <c r="BG574" s="34">
        <v>43101</v>
      </c>
      <c r="BH574">
        <v>60</v>
      </c>
      <c r="BI574" t="s">
        <v>283</v>
      </c>
      <c r="BJ574" t="s">
        <v>928</v>
      </c>
      <c r="BK574" t="s">
        <v>234</v>
      </c>
      <c r="BL574" t="s">
        <v>194</v>
      </c>
      <c r="BM574" s="8" t="s">
        <v>192</v>
      </c>
      <c r="BN574" t="s">
        <v>189</v>
      </c>
      <c r="BO574" t="s">
        <v>190</v>
      </c>
      <c r="BP574" s="35" t="s">
        <v>726</v>
      </c>
      <c r="BQ574"/>
      <c r="BU574" s="35"/>
      <c r="BV574" s="35"/>
      <c r="BX574"/>
      <c r="CA574" s="35"/>
      <c r="CB574" s="35"/>
      <c r="CC574"/>
      <c r="CG574" s="35"/>
      <c r="CH574" s="35"/>
      <c r="CK574"/>
      <c r="CM574" s="35"/>
      <c r="CN574" s="35"/>
      <c r="CQ574"/>
      <c r="CS574" s="35"/>
      <c r="CT574" s="35"/>
      <c r="CX574"/>
      <c r="CZ574" s="35"/>
      <c r="DD574" s="34"/>
      <c r="DG574" t="s">
        <v>768</v>
      </c>
      <c r="DH574" t="s">
        <v>948</v>
      </c>
      <c r="DI574" t="s">
        <v>286</v>
      </c>
      <c r="DL574" t="s">
        <v>669</v>
      </c>
      <c r="DM574">
        <v>3</v>
      </c>
      <c r="DN574">
        <v>9</v>
      </c>
      <c r="DO574" t="s">
        <v>769</v>
      </c>
      <c r="DQ574" t="s">
        <v>927</v>
      </c>
      <c r="DR574">
        <v>14</v>
      </c>
      <c r="DS574">
        <v>2</v>
      </c>
      <c r="DU574">
        <v>14</v>
      </c>
      <c r="DV574">
        <v>2</v>
      </c>
      <c r="DX574">
        <v>14</v>
      </c>
      <c r="DY574">
        <v>2</v>
      </c>
      <c r="DZ574" t="s">
        <v>246</v>
      </c>
      <c r="EA574" t="s">
        <v>929</v>
      </c>
    </row>
    <row r="575" spans="1:131" x14ac:dyDescent="0.4">
      <c r="A575" s="34">
        <v>43067.305104166669</v>
      </c>
      <c r="B575" s="25">
        <v>42934.695138888892</v>
      </c>
      <c r="D575" s="34"/>
      <c r="E575" s="34" t="s">
        <v>193</v>
      </c>
      <c r="F575" s="34" t="s">
        <v>191</v>
      </c>
      <c r="G575" s="34" t="s">
        <v>100</v>
      </c>
      <c r="H575" t="s">
        <v>279</v>
      </c>
      <c r="I575" t="s">
        <v>243</v>
      </c>
      <c r="J575" t="s">
        <v>712</v>
      </c>
      <c r="K575" t="s">
        <v>713</v>
      </c>
      <c r="L575" t="s">
        <v>711</v>
      </c>
      <c r="M575" s="30">
        <v>3.13</v>
      </c>
      <c r="N575">
        <v>6.25</v>
      </c>
      <c r="P575" s="24" t="str">
        <f>IFERROR(MID(RADataTable[[#This Row],[RATemplate]],1,LEN(RADataTable[[#This Row],[RATemplate]])-8),"RA") &amp; " " &amp; RADataTable[[#This Row],[prop_id0]] &amp; " " &amp; RADataTable[[#This Row],[last0]]</f>
        <v>RA 1749977 Solomon</v>
      </c>
      <c r="T575">
        <v>4</v>
      </c>
      <c r="U575">
        <v>4</v>
      </c>
      <c r="V575" s="34">
        <v>43030.972222222219</v>
      </c>
      <c r="W575">
        <v>1</v>
      </c>
      <c r="X575" s="15" t="str">
        <f>HYPERLINK("https://www.ejacket.nsf.gov/ej/showProposal.do?Continue=Y&amp;ID="&amp;RADataTable[[#This Row],[prop_id0]],"eJ")</f>
        <v>eJ</v>
      </c>
      <c r="Y575" s="15" t="str">
        <f>HYPERLINK("mailto:"&amp;RADataTable[[#This Row],[email]]&amp;"&amp;subject=Your NSF Proposal:  "&amp;RADataTable[[#This Row],[Div]]&amp;" "&amp;RADataTable[[#This Row],[prop_id0]], RADataTable[[#This Row],[email]])</f>
        <v>jsolomon@mit.edu</v>
      </c>
      <c r="Z575" s="15" t="str">
        <f>HYPERLINK("mailto:"&amp;RADataTable[[#This Row],[allPIemail]]&amp;"&amp;subject=NSF Proposal:  "&amp;RADataTable[[#This Row],[Div]]&amp;" "&amp;RADataTable[[#This Row],[prop_id0]], "PIs@")</f>
        <v>PIs@</v>
      </c>
      <c r="AA575" t="s">
        <v>245</v>
      </c>
      <c r="AB575" t="s">
        <v>669</v>
      </c>
      <c r="AC575" s="30" t="s">
        <v>766</v>
      </c>
      <c r="AD575" t="s">
        <v>767</v>
      </c>
      <c r="AE575" t="s">
        <v>244</v>
      </c>
      <c r="AF575" s="36">
        <v>550000</v>
      </c>
      <c r="AG575" s="36">
        <v>550000</v>
      </c>
      <c r="AH575" s="24"/>
      <c r="AJ575" s="34"/>
      <c r="AK575" t="s">
        <v>923</v>
      </c>
      <c r="AL575" t="s">
        <v>287</v>
      </c>
      <c r="AM575" s="34" t="s">
        <v>925</v>
      </c>
      <c r="AN575" s="34">
        <v>43032</v>
      </c>
      <c r="AO575" s="24">
        <v>13</v>
      </c>
      <c r="AP575" t="s">
        <v>947</v>
      </c>
      <c r="AR575" s="35"/>
      <c r="AS575"/>
      <c r="AT575" s="34"/>
      <c r="AV575" s="34"/>
      <c r="AX575" s="34"/>
      <c r="AY575"/>
      <c r="BA575" s="34"/>
      <c r="BB575"/>
      <c r="BC575" t="s">
        <v>770</v>
      </c>
      <c r="BD575" s="36">
        <v>550000</v>
      </c>
      <c r="BE575" s="36">
        <v>550000</v>
      </c>
      <c r="BF575">
        <v>0</v>
      </c>
      <c r="BG575" s="34">
        <v>43101</v>
      </c>
      <c r="BH575">
        <v>60</v>
      </c>
      <c r="BI575" t="s">
        <v>283</v>
      </c>
      <c r="BJ575" t="s">
        <v>928</v>
      </c>
      <c r="BK575" t="s">
        <v>234</v>
      </c>
      <c r="BL575" t="s">
        <v>194</v>
      </c>
      <c r="BM575" s="8" t="s">
        <v>192</v>
      </c>
      <c r="BN575" t="s">
        <v>189</v>
      </c>
      <c r="BO575" t="s">
        <v>190</v>
      </c>
      <c r="BP575" s="35" t="s">
        <v>726</v>
      </c>
      <c r="BQ575"/>
      <c r="BU575" s="35"/>
      <c r="BV575" s="35"/>
      <c r="BX575"/>
      <c r="CA575" s="35"/>
      <c r="CB575" s="35"/>
      <c r="CC575"/>
      <c r="CG575" s="35"/>
      <c r="CH575" s="35"/>
      <c r="CK575"/>
      <c r="CM575" s="35"/>
      <c r="CN575" s="35"/>
      <c r="CQ575"/>
      <c r="CS575" s="35"/>
      <c r="CT575" s="35"/>
      <c r="CX575"/>
      <c r="CZ575" s="35"/>
      <c r="DD575" s="34"/>
      <c r="DG575" t="s">
        <v>768</v>
      </c>
      <c r="DH575" t="s">
        <v>948</v>
      </c>
      <c r="DI575" t="s">
        <v>286</v>
      </c>
      <c r="DL575" t="s">
        <v>669</v>
      </c>
      <c r="DM575">
        <v>3</v>
      </c>
      <c r="DN575">
        <v>9</v>
      </c>
      <c r="DO575" t="s">
        <v>769</v>
      </c>
      <c r="DQ575" t="s">
        <v>927</v>
      </c>
      <c r="DR575">
        <v>14</v>
      </c>
      <c r="DS575">
        <v>2</v>
      </c>
      <c r="DU575">
        <v>14</v>
      </c>
      <c r="DV575">
        <v>2</v>
      </c>
      <c r="DX575">
        <v>14</v>
      </c>
      <c r="DY575">
        <v>2</v>
      </c>
      <c r="DZ575" t="s">
        <v>246</v>
      </c>
      <c r="EA575" t="s">
        <v>929</v>
      </c>
    </row>
    <row r="576" spans="1:131" x14ac:dyDescent="0.4">
      <c r="A576" s="34">
        <v>43067.305104166669</v>
      </c>
      <c r="B576" s="25">
        <v>42934.695138888892</v>
      </c>
      <c r="D576" s="34"/>
      <c r="E576" s="34" t="s">
        <v>193</v>
      </c>
      <c r="F576" s="34" t="s">
        <v>191</v>
      </c>
      <c r="G576" s="34" t="s">
        <v>100</v>
      </c>
      <c r="H576" t="s">
        <v>279</v>
      </c>
      <c r="I576" t="s">
        <v>243</v>
      </c>
      <c r="J576" t="s">
        <v>712</v>
      </c>
      <c r="K576" t="s">
        <v>713</v>
      </c>
      <c r="L576" t="s">
        <v>711</v>
      </c>
      <c r="M576" s="30">
        <v>3.13</v>
      </c>
      <c r="N576">
        <v>6.25</v>
      </c>
      <c r="P576" s="24" t="str">
        <f>IFERROR(MID(RADataTable[[#This Row],[RATemplate]],1,LEN(RADataTable[[#This Row],[RATemplate]])-8),"RA") &amp; " " &amp; RADataTable[[#This Row],[prop_id0]] &amp; " " &amp; RADataTable[[#This Row],[last0]]</f>
        <v>RA 1749977 Solomon</v>
      </c>
      <c r="T576">
        <v>4</v>
      </c>
      <c r="U576">
        <v>4</v>
      </c>
      <c r="V576" s="34">
        <v>43030.972222222219</v>
      </c>
      <c r="W576">
        <v>1</v>
      </c>
      <c r="X576" s="15" t="str">
        <f>HYPERLINK("https://www.ejacket.nsf.gov/ej/showProposal.do?Continue=Y&amp;ID="&amp;RADataTable[[#This Row],[prop_id0]],"eJ")</f>
        <v>eJ</v>
      </c>
      <c r="Y576" s="15" t="str">
        <f>HYPERLINK("mailto:"&amp;RADataTable[[#This Row],[email]]&amp;"&amp;subject=Your NSF Proposal:  "&amp;RADataTable[[#This Row],[Div]]&amp;" "&amp;RADataTable[[#This Row],[prop_id0]], RADataTable[[#This Row],[email]])</f>
        <v>jsolomon@mit.edu</v>
      </c>
      <c r="Z576" s="15" t="str">
        <f>HYPERLINK("mailto:"&amp;RADataTable[[#This Row],[allPIemail]]&amp;"&amp;subject=NSF Proposal:  "&amp;RADataTable[[#This Row],[Div]]&amp;" "&amp;RADataTable[[#This Row],[prop_id0]], "PIs@")</f>
        <v>PIs@</v>
      </c>
      <c r="AA576" t="s">
        <v>245</v>
      </c>
      <c r="AB576" t="s">
        <v>669</v>
      </c>
      <c r="AC576" s="30" t="s">
        <v>766</v>
      </c>
      <c r="AD576" t="s">
        <v>767</v>
      </c>
      <c r="AE576" t="s">
        <v>244</v>
      </c>
      <c r="AF576" s="36">
        <v>550000</v>
      </c>
      <c r="AG576" s="36">
        <v>550000</v>
      </c>
      <c r="AH576" s="24"/>
      <c r="AJ576" s="34"/>
      <c r="AK576" t="s">
        <v>923</v>
      </c>
      <c r="AL576" t="s">
        <v>287</v>
      </c>
      <c r="AM576" s="34" t="s">
        <v>925</v>
      </c>
      <c r="AN576" s="34">
        <v>43032</v>
      </c>
      <c r="AO576" s="24">
        <v>13</v>
      </c>
      <c r="AP576" t="s">
        <v>947</v>
      </c>
      <c r="AR576" s="35"/>
      <c r="AS576"/>
      <c r="AT576" s="34"/>
      <c r="AV576" s="34"/>
      <c r="AX576" s="34"/>
      <c r="AY576"/>
      <c r="BA576" s="34"/>
      <c r="BB576"/>
      <c r="BC576" t="s">
        <v>770</v>
      </c>
      <c r="BD576" s="36">
        <v>550000</v>
      </c>
      <c r="BE576" s="36">
        <v>550000</v>
      </c>
      <c r="BF576">
        <v>0</v>
      </c>
      <c r="BG576" s="34">
        <v>43101</v>
      </c>
      <c r="BH576">
        <v>60</v>
      </c>
      <c r="BI576" t="s">
        <v>283</v>
      </c>
      <c r="BJ576" t="s">
        <v>928</v>
      </c>
      <c r="BK576" t="s">
        <v>234</v>
      </c>
      <c r="BL576" t="s">
        <v>194</v>
      </c>
      <c r="BM576" s="8" t="s">
        <v>192</v>
      </c>
      <c r="BN576" t="s">
        <v>189</v>
      </c>
      <c r="BO576" t="s">
        <v>190</v>
      </c>
      <c r="BP576" s="35" t="s">
        <v>726</v>
      </c>
      <c r="BQ576"/>
      <c r="BU576" s="35"/>
      <c r="BV576" s="35"/>
      <c r="BX576"/>
      <c r="CA576" s="35"/>
      <c r="CB576" s="35"/>
      <c r="CC576"/>
      <c r="CG576" s="35"/>
      <c r="CH576" s="35"/>
      <c r="CK576"/>
      <c r="CM576" s="35"/>
      <c r="CN576" s="35"/>
      <c r="CQ576"/>
      <c r="CS576" s="35"/>
      <c r="CT576" s="35"/>
      <c r="CX576"/>
      <c r="CZ576" s="35"/>
      <c r="DD576" s="34"/>
      <c r="DG576" t="s">
        <v>768</v>
      </c>
      <c r="DH576" t="s">
        <v>948</v>
      </c>
      <c r="DI576" t="s">
        <v>286</v>
      </c>
      <c r="DL576" t="s">
        <v>669</v>
      </c>
      <c r="DM576">
        <v>3</v>
      </c>
      <c r="DN576">
        <v>9</v>
      </c>
      <c r="DO576" t="s">
        <v>769</v>
      </c>
      <c r="DQ576" t="s">
        <v>927</v>
      </c>
      <c r="DR576">
        <v>14</v>
      </c>
      <c r="DS576">
        <v>2</v>
      </c>
      <c r="DU576">
        <v>14</v>
      </c>
      <c r="DV576">
        <v>2</v>
      </c>
      <c r="DX576">
        <v>14</v>
      </c>
      <c r="DY576">
        <v>2</v>
      </c>
      <c r="DZ576" t="s">
        <v>246</v>
      </c>
      <c r="EA576" t="s">
        <v>929</v>
      </c>
    </row>
    <row r="577" spans="1:131" x14ac:dyDescent="0.4">
      <c r="A577" s="34">
        <v>43067.305104166669</v>
      </c>
      <c r="B577" s="25">
        <v>42934.695138888892</v>
      </c>
      <c r="D577" s="34"/>
      <c r="E577" s="34" t="s">
        <v>193</v>
      </c>
      <c r="F577" s="34" t="s">
        <v>191</v>
      </c>
      <c r="G577" s="34" t="s">
        <v>100</v>
      </c>
      <c r="H577" t="s">
        <v>279</v>
      </c>
      <c r="I577" t="s">
        <v>243</v>
      </c>
      <c r="J577" t="s">
        <v>712</v>
      </c>
      <c r="K577" t="s">
        <v>713</v>
      </c>
      <c r="L577" t="s">
        <v>711</v>
      </c>
      <c r="M577" s="30">
        <v>3.13</v>
      </c>
      <c r="N577">
        <v>6.25</v>
      </c>
      <c r="P577" s="24" t="str">
        <f>IFERROR(MID(RADataTable[[#This Row],[RATemplate]],1,LEN(RADataTable[[#This Row],[RATemplate]])-8),"RA") &amp; " " &amp; RADataTable[[#This Row],[prop_id0]] &amp; " " &amp; RADataTable[[#This Row],[last0]]</f>
        <v>RA 1749977 Solomon</v>
      </c>
      <c r="T577">
        <v>4</v>
      </c>
      <c r="U577">
        <v>4</v>
      </c>
      <c r="V577" s="34">
        <v>43030.972222222219</v>
      </c>
      <c r="W577">
        <v>1</v>
      </c>
      <c r="X577" s="15" t="str">
        <f>HYPERLINK("https://www.ejacket.nsf.gov/ej/showProposal.do?Continue=Y&amp;ID="&amp;RADataTable[[#This Row],[prop_id0]],"eJ")</f>
        <v>eJ</v>
      </c>
      <c r="Y577" s="15" t="str">
        <f>HYPERLINK("mailto:"&amp;RADataTable[[#This Row],[email]]&amp;"&amp;subject=Your NSF Proposal:  "&amp;RADataTable[[#This Row],[Div]]&amp;" "&amp;RADataTable[[#This Row],[prop_id0]], RADataTable[[#This Row],[email]])</f>
        <v>jsolomon@mit.edu</v>
      </c>
      <c r="Z577" s="15" t="str">
        <f>HYPERLINK("mailto:"&amp;RADataTable[[#This Row],[allPIemail]]&amp;"&amp;subject=NSF Proposal:  "&amp;RADataTable[[#This Row],[Div]]&amp;" "&amp;RADataTable[[#This Row],[prop_id0]], "PIs@")</f>
        <v>PIs@</v>
      </c>
      <c r="AA577" t="s">
        <v>245</v>
      </c>
      <c r="AB577" t="s">
        <v>669</v>
      </c>
      <c r="AC577" s="30" t="s">
        <v>766</v>
      </c>
      <c r="AD577" t="s">
        <v>767</v>
      </c>
      <c r="AE577" t="s">
        <v>244</v>
      </c>
      <c r="AF577" s="36">
        <v>550000</v>
      </c>
      <c r="AG577" s="36">
        <v>550000</v>
      </c>
      <c r="AH577" s="24"/>
      <c r="AJ577" s="34"/>
      <c r="AK577" t="s">
        <v>923</v>
      </c>
      <c r="AL577" t="s">
        <v>287</v>
      </c>
      <c r="AM577" s="34" t="s">
        <v>925</v>
      </c>
      <c r="AN577" s="34">
        <v>43032</v>
      </c>
      <c r="AO577" s="24">
        <v>13</v>
      </c>
      <c r="AP577" t="s">
        <v>947</v>
      </c>
      <c r="AR577" s="35"/>
      <c r="AS577"/>
      <c r="AT577" s="34"/>
      <c r="AV577" s="34"/>
      <c r="AX577" s="34"/>
      <c r="AY577"/>
      <c r="BA577" s="34"/>
      <c r="BB577"/>
      <c r="BC577" t="s">
        <v>770</v>
      </c>
      <c r="BD577" s="36">
        <v>550000</v>
      </c>
      <c r="BE577" s="36">
        <v>550000</v>
      </c>
      <c r="BF577">
        <v>0</v>
      </c>
      <c r="BG577" s="34">
        <v>43101</v>
      </c>
      <c r="BH577">
        <v>60</v>
      </c>
      <c r="BI577" t="s">
        <v>283</v>
      </c>
      <c r="BJ577" t="s">
        <v>928</v>
      </c>
      <c r="BK577" t="s">
        <v>234</v>
      </c>
      <c r="BL577" t="s">
        <v>194</v>
      </c>
      <c r="BM577" s="8" t="s">
        <v>192</v>
      </c>
      <c r="BN577" t="s">
        <v>189</v>
      </c>
      <c r="BO577" t="s">
        <v>190</v>
      </c>
      <c r="BP577" s="35" t="s">
        <v>726</v>
      </c>
      <c r="BQ577"/>
      <c r="BU577" s="35"/>
      <c r="BV577" s="35"/>
      <c r="BX577"/>
      <c r="CA577" s="35"/>
      <c r="CB577" s="35"/>
      <c r="CC577"/>
      <c r="CG577" s="35"/>
      <c r="CH577" s="35"/>
      <c r="CK577"/>
      <c r="CM577" s="35"/>
      <c r="CN577" s="35"/>
      <c r="CQ577"/>
      <c r="CS577" s="35"/>
      <c r="CT577" s="35"/>
      <c r="CX577"/>
      <c r="CZ577" s="35"/>
      <c r="DD577" s="34"/>
      <c r="DG577" t="s">
        <v>768</v>
      </c>
      <c r="DH577" t="s">
        <v>948</v>
      </c>
      <c r="DI577" t="s">
        <v>286</v>
      </c>
      <c r="DL577" t="s">
        <v>669</v>
      </c>
      <c r="DM577">
        <v>3</v>
      </c>
      <c r="DN577">
        <v>9</v>
      </c>
      <c r="DO577" t="s">
        <v>769</v>
      </c>
      <c r="DQ577" t="s">
        <v>927</v>
      </c>
      <c r="DR577">
        <v>14</v>
      </c>
      <c r="DS577">
        <v>2</v>
      </c>
      <c r="DU577">
        <v>14</v>
      </c>
      <c r="DV577">
        <v>2</v>
      </c>
      <c r="DX577">
        <v>14</v>
      </c>
      <c r="DY577">
        <v>2</v>
      </c>
      <c r="DZ577" t="s">
        <v>246</v>
      </c>
      <c r="EA577" t="s">
        <v>929</v>
      </c>
    </row>
    <row r="578" spans="1:131" x14ac:dyDescent="0.4">
      <c r="A578" s="34">
        <v>43067.305104166669</v>
      </c>
      <c r="B578" s="25">
        <v>42934.695138888892</v>
      </c>
      <c r="D578" s="34"/>
      <c r="E578" s="34" t="s">
        <v>193</v>
      </c>
      <c r="F578" s="34" t="s">
        <v>191</v>
      </c>
      <c r="G578" s="34" t="s">
        <v>100</v>
      </c>
      <c r="H578" t="s">
        <v>279</v>
      </c>
      <c r="I578" t="s">
        <v>243</v>
      </c>
      <c r="J578" t="s">
        <v>712</v>
      </c>
      <c r="K578" t="s">
        <v>713</v>
      </c>
      <c r="L578" t="s">
        <v>711</v>
      </c>
      <c r="M578" s="30">
        <v>3.13</v>
      </c>
      <c r="N578">
        <v>6.25</v>
      </c>
      <c r="P578" s="24" t="str">
        <f>IFERROR(MID(RADataTable[[#This Row],[RATemplate]],1,LEN(RADataTable[[#This Row],[RATemplate]])-8),"RA") &amp; " " &amp; RADataTable[[#This Row],[prop_id0]] &amp; " " &amp; RADataTable[[#This Row],[last0]]</f>
        <v>RA 1749977 Solomon</v>
      </c>
      <c r="T578">
        <v>4</v>
      </c>
      <c r="U578">
        <v>4</v>
      </c>
      <c r="V578" s="34">
        <v>43030.972222222219</v>
      </c>
      <c r="W578">
        <v>1</v>
      </c>
      <c r="X578" s="15" t="str">
        <f>HYPERLINK("https://www.ejacket.nsf.gov/ej/showProposal.do?Continue=Y&amp;ID="&amp;RADataTable[[#This Row],[prop_id0]],"eJ")</f>
        <v>eJ</v>
      </c>
      <c r="Y578" s="15" t="str">
        <f>HYPERLINK("mailto:"&amp;RADataTable[[#This Row],[email]]&amp;"&amp;subject=Your NSF Proposal:  "&amp;RADataTable[[#This Row],[Div]]&amp;" "&amp;RADataTable[[#This Row],[prop_id0]], RADataTable[[#This Row],[email]])</f>
        <v>jsolomon@mit.edu</v>
      </c>
      <c r="Z578" s="15" t="str">
        <f>HYPERLINK("mailto:"&amp;RADataTable[[#This Row],[allPIemail]]&amp;"&amp;subject=NSF Proposal:  "&amp;RADataTable[[#This Row],[Div]]&amp;" "&amp;RADataTable[[#This Row],[prop_id0]], "PIs@")</f>
        <v>PIs@</v>
      </c>
      <c r="AA578" t="s">
        <v>245</v>
      </c>
      <c r="AB578" t="s">
        <v>669</v>
      </c>
      <c r="AC578" s="30" t="s">
        <v>766</v>
      </c>
      <c r="AD578" t="s">
        <v>767</v>
      </c>
      <c r="AE578" t="s">
        <v>244</v>
      </c>
      <c r="AF578" s="36">
        <v>550000</v>
      </c>
      <c r="AG578" s="36">
        <v>550000</v>
      </c>
      <c r="AH578" s="24"/>
      <c r="AJ578" s="34"/>
      <c r="AK578" t="s">
        <v>923</v>
      </c>
      <c r="AL578" t="s">
        <v>287</v>
      </c>
      <c r="AM578" s="34" t="s">
        <v>925</v>
      </c>
      <c r="AN578" s="34">
        <v>43032</v>
      </c>
      <c r="AO578" s="24">
        <v>13</v>
      </c>
      <c r="AP578" t="s">
        <v>947</v>
      </c>
      <c r="AR578" s="35"/>
      <c r="AS578"/>
      <c r="AT578" s="34"/>
      <c r="AV578" s="34"/>
      <c r="AX578" s="34"/>
      <c r="AY578"/>
      <c r="BA578" s="34"/>
      <c r="BB578"/>
      <c r="BC578" t="s">
        <v>770</v>
      </c>
      <c r="BD578" s="36">
        <v>550000</v>
      </c>
      <c r="BE578" s="36">
        <v>550000</v>
      </c>
      <c r="BF578">
        <v>0</v>
      </c>
      <c r="BG578" s="34">
        <v>43101</v>
      </c>
      <c r="BH578">
        <v>60</v>
      </c>
      <c r="BI578" t="s">
        <v>283</v>
      </c>
      <c r="BJ578" t="s">
        <v>928</v>
      </c>
      <c r="BK578" t="s">
        <v>234</v>
      </c>
      <c r="BL578" t="s">
        <v>194</v>
      </c>
      <c r="BM578" s="8" t="s">
        <v>192</v>
      </c>
      <c r="BN578" t="s">
        <v>189</v>
      </c>
      <c r="BO578" t="s">
        <v>190</v>
      </c>
      <c r="BP578" s="35" t="s">
        <v>726</v>
      </c>
      <c r="BQ578"/>
      <c r="BU578" s="35"/>
      <c r="BV578" s="35"/>
      <c r="BX578"/>
      <c r="CA578" s="35"/>
      <c r="CB578" s="35"/>
      <c r="CC578"/>
      <c r="CG578" s="35"/>
      <c r="CH578" s="35"/>
      <c r="CK578"/>
      <c r="CM578" s="35"/>
      <c r="CN578" s="35"/>
      <c r="CQ578"/>
      <c r="CS578" s="35"/>
      <c r="CT578" s="35"/>
      <c r="CX578"/>
      <c r="CZ578" s="35"/>
      <c r="DD578" s="34"/>
      <c r="DG578" t="s">
        <v>768</v>
      </c>
      <c r="DH578" t="s">
        <v>948</v>
      </c>
      <c r="DI578" t="s">
        <v>286</v>
      </c>
      <c r="DL578" t="s">
        <v>669</v>
      </c>
      <c r="DM578">
        <v>3</v>
      </c>
      <c r="DN578">
        <v>9</v>
      </c>
      <c r="DO578" t="s">
        <v>769</v>
      </c>
      <c r="DQ578" t="s">
        <v>927</v>
      </c>
      <c r="DR578">
        <v>14</v>
      </c>
      <c r="DS578">
        <v>2</v>
      </c>
      <c r="DU578">
        <v>14</v>
      </c>
      <c r="DV578">
        <v>2</v>
      </c>
      <c r="DX578">
        <v>14</v>
      </c>
      <c r="DY578">
        <v>2</v>
      </c>
      <c r="DZ578" t="s">
        <v>246</v>
      </c>
      <c r="EA578" t="s">
        <v>929</v>
      </c>
    </row>
    <row r="579" spans="1:131" x14ac:dyDescent="0.4">
      <c r="A579" s="34">
        <v>43067.305104166669</v>
      </c>
      <c r="B579" s="25">
        <v>42934.695138888892</v>
      </c>
      <c r="D579" s="34"/>
      <c r="E579" s="34" t="s">
        <v>193</v>
      </c>
      <c r="F579" s="34" t="s">
        <v>191</v>
      </c>
      <c r="G579" s="34" t="s">
        <v>100</v>
      </c>
      <c r="H579" t="s">
        <v>279</v>
      </c>
      <c r="I579" t="s">
        <v>243</v>
      </c>
      <c r="J579" t="s">
        <v>712</v>
      </c>
      <c r="K579" t="s">
        <v>713</v>
      </c>
      <c r="L579" t="s">
        <v>711</v>
      </c>
      <c r="M579" s="30">
        <v>3.13</v>
      </c>
      <c r="N579">
        <v>6.25</v>
      </c>
      <c r="P579" s="24" t="str">
        <f>IFERROR(MID(RADataTable[[#This Row],[RATemplate]],1,LEN(RADataTable[[#This Row],[RATemplate]])-8),"RA") &amp; " " &amp; RADataTable[[#This Row],[prop_id0]] &amp; " " &amp; RADataTable[[#This Row],[last0]]</f>
        <v>RA 1749977 Solomon</v>
      </c>
      <c r="T579">
        <v>4</v>
      </c>
      <c r="U579">
        <v>4</v>
      </c>
      <c r="V579" s="34">
        <v>43030.972222222219</v>
      </c>
      <c r="W579">
        <v>1</v>
      </c>
      <c r="X579" s="15" t="str">
        <f>HYPERLINK("https://www.ejacket.nsf.gov/ej/showProposal.do?Continue=Y&amp;ID="&amp;RADataTable[[#This Row],[prop_id0]],"eJ")</f>
        <v>eJ</v>
      </c>
      <c r="Y579" s="15" t="str">
        <f>HYPERLINK("mailto:"&amp;RADataTable[[#This Row],[email]]&amp;"&amp;subject=Your NSF Proposal:  "&amp;RADataTable[[#This Row],[Div]]&amp;" "&amp;RADataTable[[#This Row],[prop_id0]], RADataTable[[#This Row],[email]])</f>
        <v>jsolomon@mit.edu</v>
      </c>
      <c r="Z579" s="15" t="str">
        <f>HYPERLINK("mailto:"&amp;RADataTable[[#This Row],[allPIemail]]&amp;"&amp;subject=NSF Proposal:  "&amp;RADataTable[[#This Row],[Div]]&amp;" "&amp;RADataTable[[#This Row],[prop_id0]], "PIs@")</f>
        <v>PIs@</v>
      </c>
      <c r="AA579" t="s">
        <v>245</v>
      </c>
      <c r="AB579" t="s">
        <v>669</v>
      </c>
      <c r="AC579" s="30" t="s">
        <v>766</v>
      </c>
      <c r="AD579" t="s">
        <v>767</v>
      </c>
      <c r="AE579" t="s">
        <v>244</v>
      </c>
      <c r="AF579" s="36">
        <v>550000</v>
      </c>
      <c r="AG579" s="36">
        <v>550000</v>
      </c>
      <c r="AH579" s="24"/>
      <c r="AJ579" s="34"/>
      <c r="AK579" t="s">
        <v>923</v>
      </c>
      <c r="AL579" t="s">
        <v>287</v>
      </c>
      <c r="AM579" s="34" t="s">
        <v>925</v>
      </c>
      <c r="AN579" s="34">
        <v>43032</v>
      </c>
      <c r="AO579" s="24">
        <v>13</v>
      </c>
      <c r="AP579" t="s">
        <v>947</v>
      </c>
      <c r="AR579" s="35"/>
      <c r="AS579"/>
      <c r="AT579" s="34"/>
      <c r="AV579" s="34"/>
      <c r="AX579" s="34"/>
      <c r="AY579"/>
      <c r="BA579" s="34"/>
      <c r="BB579"/>
      <c r="BC579" t="s">
        <v>770</v>
      </c>
      <c r="BD579" s="36">
        <v>550000</v>
      </c>
      <c r="BE579" s="36">
        <v>550000</v>
      </c>
      <c r="BF579">
        <v>0</v>
      </c>
      <c r="BG579" s="34">
        <v>43101</v>
      </c>
      <c r="BH579">
        <v>60</v>
      </c>
      <c r="BI579" t="s">
        <v>283</v>
      </c>
      <c r="BJ579" t="s">
        <v>928</v>
      </c>
      <c r="BK579" t="s">
        <v>234</v>
      </c>
      <c r="BL579" t="s">
        <v>194</v>
      </c>
      <c r="BM579" s="8" t="s">
        <v>192</v>
      </c>
      <c r="BN579" t="s">
        <v>189</v>
      </c>
      <c r="BO579" t="s">
        <v>190</v>
      </c>
      <c r="BP579" s="35" t="s">
        <v>726</v>
      </c>
      <c r="BQ579"/>
      <c r="BU579" s="35"/>
      <c r="BV579" s="35"/>
      <c r="BX579"/>
      <c r="CA579" s="35"/>
      <c r="CB579" s="35"/>
      <c r="CC579"/>
      <c r="CG579" s="35"/>
      <c r="CH579" s="35"/>
      <c r="CK579"/>
      <c r="CM579" s="35"/>
      <c r="CN579" s="35"/>
      <c r="CQ579"/>
      <c r="CS579" s="35"/>
      <c r="CT579" s="35"/>
      <c r="CX579"/>
      <c r="CZ579" s="35"/>
      <c r="DD579" s="34"/>
      <c r="DG579" t="s">
        <v>768</v>
      </c>
      <c r="DH579" t="s">
        <v>948</v>
      </c>
      <c r="DI579" t="s">
        <v>286</v>
      </c>
      <c r="DL579" t="s">
        <v>669</v>
      </c>
      <c r="DM579">
        <v>3</v>
      </c>
      <c r="DN579">
        <v>9</v>
      </c>
      <c r="DO579" t="s">
        <v>769</v>
      </c>
      <c r="DQ579" t="s">
        <v>927</v>
      </c>
      <c r="DR579">
        <v>14</v>
      </c>
      <c r="DS579">
        <v>2</v>
      </c>
      <c r="DU579">
        <v>14</v>
      </c>
      <c r="DV579">
        <v>2</v>
      </c>
      <c r="DX579">
        <v>14</v>
      </c>
      <c r="DY579">
        <v>2</v>
      </c>
      <c r="DZ579" t="s">
        <v>246</v>
      </c>
      <c r="EA579" t="s">
        <v>929</v>
      </c>
    </row>
    <row r="580" spans="1:131" x14ac:dyDescent="0.4">
      <c r="A580" s="34">
        <v>43067.305104166669</v>
      </c>
      <c r="B580" s="25">
        <v>42934.695138888892</v>
      </c>
      <c r="D580" s="34"/>
      <c r="E580" s="34" t="s">
        <v>193</v>
      </c>
      <c r="F580" s="34" t="s">
        <v>191</v>
      </c>
      <c r="G580" s="34" t="s">
        <v>100</v>
      </c>
      <c r="H580" t="s">
        <v>279</v>
      </c>
      <c r="I580" t="s">
        <v>243</v>
      </c>
      <c r="J580" t="s">
        <v>712</v>
      </c>
      <c r="K580" t="s">
        <v>713</v>
      </c>
      <c r="L580" t="s">
        <v>711</v>
      </c>
      <c r="M580" s="30">
        <v>3.13</v>
      </c>
      <c r="N580">
        <v>6.25</v>
      </c>
      <c r="P580" s="24" t="str">
        <f>IFERROR(MID(RADataTable[[#This Row],[RATemplate]],1,LEN(RADataTable[[#This Row],[RATemplate]])-8),"RA") &amp; " " &amp; RADataTable[[#This Row],[prop_id0]] &amp; " " &amp; RADataTable[[#This Row],[last0]]</f>
        <v>RA 1749977 Solomon</v>
      </c>
      <c r="T580">
        <v>4</v>
      </c>
      <c r="U580">
        <v>4</v>
      </c>
      <c r="V580" s="34">
        <v>43030.972222222219</v>
      </c>
      <c r="W580">
        <v>1</v>
      </c>
      <c r="X580" s="15" t="str">
        <f>HYPERLINK("https://www.ejacket.nsf.gov/ej/showProposal.do?Continue=Y&amp;ID="&amp;RADataTable[[#This Row],[prop_id0]],"eJ")</f>
        <v>eJ</v>
      </c>
      <c r="Y580" s="15" t="str">
        <f>HYPERLINK("mailto:"&amp;RADataTable[[#This Row],[email]]&amp;"&amp;subject=Your NSF Proposal:  "&amp;RADataTable[[#This Row],[Div]]&amp;" "&amp;RADataTable[[#This Row],[prop_id0]], RADataTable[[#This Row],[email]])</f>
        <v>jsolomon@mit.edu</v>
      </c>
      <c r="Z580" s="15" t="str">
        <f>HYPERLINK("mailto:"&amp;RADataTable[[#This Row],[allPIemail]]&amp;"&amp;subject=NSF Proposal:  "&amp;RADataTable[[#This Row],[Div]]&amp;" "&amp;RADataTable[[#This Row],[prop_id0]], "PIs@")</f>
        <v>PIs@</v>
      </c>
      <c r="AA580" t="s">
        <v>245</v>
      </c>
      <c r="AB580" t="s">
        <v>669</v>
      </c>
      <c r="AC580" s="30" t="s">
        <v>766</v>
      </c>
      <c r="AD580" t="s">
        <v>767</v>
      </c>
      <c r="AE580" t="s">
        <v>244</v>
      </c>
      <c r="AF580" s="36">
        <v>550000</v>
      </c>
      <c r="AG580" s="36">
        <v>550000</v>
      </c>
      <c r="AH580" s="24"/>
      <c r="AJ580" s="34"/>
      <c r="AK580" t="s">
        <v>923</v>
      </c>
      <c r="AL580" t="s">
        <v>287</v>
      </c>
      <c r="AM580" s="34" t="s">
        <v>925</v>
      </c>
      <c r="AN580" s="34">
        <v>43032</v>
      </c>
      <c r="AO580" s="24">
        <v>13</v>
      </c>
      <c r="AP580" t="s">
        <v>947</v>
      </c>
      <c r="AR580" s="35"/>
      <c r="AS580"/>
      <c r="AT580" s="34"/>
      <c r="AV580" s="34"/>
      <c r="AX580" s="34"/>
      <c r="AY580"/>
      <c r="BA580" s="34"/>
      <c r="BB580"/>
      <c r="BC580" t="s">
        <v>770</v>
      </c>
      <c r="BD580" s="36">
        <v>550000</v>
      </c>
      <c r="BE580" s="36">
        <v>550000</v>
      </c>
      <c r="BF580">
        <v>0</v>
      </c>
      <c r="BG580" s="34">
        <v>43101</v>
      </c>
      <c r="BH580">
        <v>60</v>
      </c>
      <c r="BI580" t="s">
        <v>283</v>
      </c>
      <c r="BJ580" t="s">
        <v>928</v>
      </c>
      <c r="BK580" t="s">
        <v>234</v>
      </c>
      <c r="BL580" t="s">
        <v>194</v>
      </c>
      <c r="BM580" s="8" t="s">
        <v>192</v>
      </c>
      <c r="BN580" t="s">
        <v>189</v>
      </c>
      <c r="BO580" t="s">
        <v>190</v>
      </c>
      <c r="BP580" s="35" t="s">
        <v>726</v>
      </c>
      <c r="BQ580"/>
      <c r="BU580" s="35"/>
      <c r="BV580" s="35"/>
      <c r="BX580"/>
      <c r="CA580" s="35"/>
      <c r="CB580" s="35"/>
      <c r="CC580"/>
      <c r="CG580" s="35"/>
      <c r="CH580" s="35"/>
      <c r="CK580"/>
      <c r="CM580" s="35"/>
      <c r="CN580" s="35"/>
      <c r="CQ580"/>
      <c r="CS580" s="35"/>
      <c r="CT580" s="35"/>
      <c r="CX580"/>
      <c r="CZ580" s="35"/>
      <c r="DD580" s="34"/>
      <c r="DG580" t="s">
        <v>768</v>
      </c>
      <c r="DH580" t="s">
        <v>948</v>
      </c>
      <c r="DI580" t="s">
        <v>286</v>
      </c>
      <c r="DL580" t="s">
        <v>669</v>
      </c>
      <c r="DM580">
        <v>3</v>
      </c>
      <c r="DN580">
        <v>9</v>
      </c>
      <c r="DO580" t="s">
        <v>769</v>
      </c>
      <c r="DQ580" t="s">
        <v>927</v>
      </c>
      <c r="DR580">
        <v>14</v>
      </c>
      <c r="DS580">
        <v>2</v>
      </c>
      <c r="DU580">
        <v>14</v>
      </c>
      <c r="DV580">
        <v>2</v>
      </c>
      <c r="DX580">
        <v>14</v>
      </c>
      <c r="DY580">
        <v>2</v>
      </c>
      <c r="DZ580" t="s">
        <v>246</v>
      </c>
      <c r="EA580" t="s">
        <v>929</v>
      </c>
    </row>
    <row r="581" spans="1:131" x14ac:dyDescent="0.4">
      <c r="A581" s="34">
        <v>43067.305104166669</v>
      </c>
      <c r="B581" s="25">
        <v>42934.695138888892</v>
      </c>
      <c r="D581" s="34"/>
      <c r="E581" s="34" t="s">
        <v>193</v>
      </c>
      <c r="F581" s="34" t="s">
        <v>191</v>
      </c>
      <c r="G581" s="34" t="s">
        <v>100</v>
      </c>
      <c r="H581" t="s">
        <v>279</v>
      </c>
      <c r="I581" t="s">
        <v>243</v>
      </c>
      <c r="J581" t="s">
        <v>712</v>
      </c>
      <c r="K581" t="s">
        <v>713</v>
      </c>
      <c r="L581" t="s">
        <v>711</v>
      </c>
      <c r="M581" s="30">
        <v>3.13</v>
      </c>
      <c r="N581">
        <v>6.25</v>
      </c>
      <c r="P581" s="24" t="str">
        <f>IFERROR(MID(RADataTable[[#This Row],[RATemplate]],1,LEN(RADataTable[[#This Row],[RATemplate]])-8),"RA") &amp; " " &amp; RADataTable[[#This Row],[prop_id0]] &amp; " " &amp; RADataTable[[#This Row],[last0]]</f>
        <v>RA 1749977 Solomon</v>
      </c>
      <c r="T581">
        <v>4</v>
      </c>
      <c r="U581">
        <v>4</v>
      </c>
      <c r="V581" s="34">
        <v>43030.972222222219</v>
      </c>
      <c r="W581">
        <v>1</v>
      </c>
      <c r="X581" s="15" t="str">
        <f>HYPERLINK("https://www.ejacket.nsf.gov/ej/showProposal.do?Continue=Y&amp;ID="&amp;RADataTable[[#This Row],[prop_id0]],"eJ")</f>
        <v>eJ</v>
      </c>
      <c r="Y581" s="15" t="str">
        <f>HYPERLINK("mailto:"&amp;RADataTable[[#This Row],[email]]&amp;"&amp;subject=Your NSF Proposal:  "&amp;RADataTable[[#This Row],[Div]]&amp;" "&amp;RADataTable[[#This Row],[prop_id0]], RADataTable[[#This Row],[email]])</f>
        <v>jsolomon@mit.edu</v>
      </c>
      <c r="Z581" s="15" t="str">
        <f>HYPERLINK("mailto:"&amp;RADataTable[[#This Row],[allPIemail]]&amp;"&amp;subject=NSF Proposal:  "&amp;RADataTable[[#This Row],[Div]]&amp;" "&amp;RADataTable[[#This Row],[prop_id0]], "PIs@")</f>
        <v>PIs@</v>
      </c>
      <c r="AA581" t="s">
        <v>245</v>
      </c>
      <c r="AB581" t="s">
        <v>669</v>
      </c>
      <c r="AC581" s="30" t="s">
        <v>766</v>
      </c>
      <c r="AD581" t="s">
        <v>767</v>
      </c>
      <c r="AE581" t="s">
        <v>244</v>
      </c>
      <c r="AF581" s="36">
        <v>550000</v>
      </c>
      <c r="AG581" s="36">
        <v>550000</v>
      </c>
      <c r="AH581" s="24"/>
      <c r="AJ581" s="34"/>
      <c r="AK581" t="s">
        <v>923</v>
      </c>
      <c r="AL581" t="s">
        <v>287</v>
      </c>
      <c r="AM581" s="34" t="s">
        <v>925</v>
      </c>
      <c r="AN581" s="34">
        <v>43032</v>
      </c>
      <c r="AO581" s="24">
        <v>13</v>
      </c>
      <c r="AP581" t="s">
        <v>947</v>
      </c>
      <c r="AR581" s="35"/>
      <c r="AS581"/>
      <c r="AT581" s="34"/>
      <c r="AV581" s="34"/>
      <c r="AX581" s="34"/>
      <c r="AY581"/>
      <c r="BA581" s="34"/>
      <c r="BB581"/>
      <c r="BC581" t="s">
        <v>770</v>
      </c>
      <c r="BD581" s="36">
        <v>550000</v>
      </c>
      <c r="BE581" s="36">
        <v>550000</v>
      </c>
      <c r="BF581">
        <v>0</v>
      </c>
      <c r="BG581" s="34">
        <v>43101</v>
      </c>
      <c r="BH581">
        <v>60</v>
      </c>
      <c r="BI581" t="s">
        <v>283</v>
      </c>
      <c r="BJ581" t="s">
        <v>928</v>
      </c>
      <c r="BK581" t="s">
        <v>234</v>
      </c>
      <c r="BL581" t="s">
        <v>194</v>
      </c>
      <c r="BM581" s="8" t="s">
        <v>192</v>
      </c>
      <c r="BN581" t="s">
        <v>189</v>
      </c>
      <c r="BO581" t="s">
        <v>190</v>
      </c>
      <c r="BP581" s="35" t="s">
        <v>726</v>
      </c>
      <c r="BQ581"/>
      <c r="BU581" s="35"/>
      <c r="BV581" s="35"/>
      <c r="BX581"/>
      <c r="CA581" s="35"/>
      <c r="CB581" s="35"/>
      <c r="CC581"/>
      <c r="CG581" s="35"/>
      <c r="CH581" s="35"/>
      <c r="CK581"/>
      <c r="CM581" s="35"/>
      <c r="CN581" s="35"/>
      <c r="CQ581"/>
      <c r="CS581" s="35"/>
      <c r="CT581" s="35"/>
      <c r="CX581"/>
      <c r="CZ581" s="35"/>
      <c r="DD581" s="34"/>
      <c r="DG581" t="s">
        <v>768</v>
      </c>
      <c r="DH581" t="s">
        <v>948</v>
      </c>
      <c r="DI581" t="s">
        <v>286</v>
      </c>
      <c r="DL581" t="s">
        <v>669</v>
      </c>
      <c r="DM581">
        <v>3</v>
      </c>
      <c r="DN581">
        <v>9</v>
      </c>
      <c r="DO581" t="s">
        <v>769</v>
      </c>
      <c r="DQ581" t="s">
        <v>927</v>
      </c>
      <c r="DR581">
        <v>14</v>
      </c>
      <c r="DS581">
        <v>2</v>
      </c>
      <c r="DU581">
        <v>14</v>
      </c>
      <c r="DV581">
        <v>2</v>
      </c>
      <c r="DX581">
        <v>14</v>
      </c>
      <c r="DY581">
        <v>2</v>
      </c>
      <c r="DZ581" t="s">
        <v>246</v>
      </c>
      <c r="EA581" t="s">
        <v>929</v>
      </c>
    </row>
    <row r="582" spans="1:131" x14ac:dyDescent="0.4">
      <c r="A582" s="34">
        <v>43067.305104166669</v>
      </c>
      <c r="B582" s="25">
        <v>42934.695138888892</v>
      </c>
      <c r="D582" s="34"/>
      <c r="E582" s="34" t="s">
        <v>193</v>
      </c>
      <c r="F582" s="34" t="s">
        <v>191</v>
      </c>
      <c r="G582" s="34" t="s">
        <v>100</v>
      </c>
      <c r="H582" t="s">
        <v>279</v>
      </c>
      <c r="I582" t="s">
        <v>243</v>
      </c>
      <c r="J582" t="s">
        <v>712</v>
      </c>
      <c r="K582" t="s">
        <v>713</v>
      </c>
      <c r="L582" t="s">
        <v>711</v>
      </c>
      <c r="M582" s="30">
        <v>3.13</v>
      </c>
      <c r="N582">
        <v>6.25</v>
      </c>
      <c r="P582" s="24" t="str">
        <f>IFERROR(MID(RADataTable[[#This Row],[RATemplate]],1,LEN(RADataTable[[#This Row],[RATemplate]])-8),"RA") &amp; " " &amp; RADataTable[[#This Row],[prop_id0]] &amp; " " &amp; RADataTable[[#This Row],[last0]]</f>
        <v>RA 1749977 Solomon</v>
      </c>
      <c r="T582">
        <v>4</v>
      </c>
      <c r="U582">
        <v>4</v>
      </c>
      <c r="V582" s="34">
        <v>43030.972222222219</v>
      </c>
      <c r="W582">
        <v>1</v>
      </c>
      <c r="X582" s="15" t="str">
        <f>HYPERLINK("https://www.ejacket.nsf.gov/ej/showProposal.do?Continue=Y&amp;ID="&amp;RADataTable[[#This Row],[prop_id0]],"eJ")</f>
        <v>eJ</v>
      </c>
      <c r="Y582" s="15" t="str">
        <f>HYPERLINK("mailto:"&amp;RADataTable[[#This Row],[email]]&amp;"&amp;subject=Your NSF Proposal:  "&amp;RADataTable[[#This Row],[Div]]&amp;" "&amp;RADataTable[[#This Row],[prop_id0]], RADataTable[[#This Row],[email]])</f>
        <v>jsolomon@mit.edu</v>
      </c>
      <c r="Z582" s="15" t="str">
        <f>HYPERLINK("mailto:"&amp;RADataTable[[#This Row],[allPIemail]]&amp;"&amp;subject=NSF Proposal:  "&amp;RADataTable[[#This Row],[Div]]&amp;" "&amp;RADataTable[[#This Row],[prop_id0]], "PIs@")</f>
        <v>PIs@</v>
      </c>
      <c r="AA582" t="s">
        <v>245</v>
      </c>
      <c r="AB582" t="s">
        <v>669</v>
      </c>
      <c r="AC582" s="30" t="s">
        <v>766</v>
      </c>
      <c r="AD582" t="s">
        <v>767</v>
      </c>
      <c r="AE582" t="s">
        <v>244</v>
      </c>
      <c r="AF582" s="36">
        <v>550000</v>
      </c>
      <c r="AG582" s="36">
        <v>550000</v>
      </c>
      <c r="AH582" s="24"/>
      <c r="AJ582" s="34"/>
      <c r="AK582" t="s">
        <v>923</v>
      </c>
      <c r="AL582" t="s">
        <v>287</v>
      </c>
      <c r="AM582" s="34" t="s">
        <v>925</v>
      </c>
      <c r="AN582" s="34">
        <v>43032</v>
      </c>
      <c r="AO582" s="24">
        <v>13</v>
      </c>
      <c r="AP582" t="s">
        <v>947</v>
      </c>
      <c r="AR582" s="35"/>
      <c r="AS582"/>
      <c r="AT582" s="34"/>
      <c r="AV582" s="34"/>
      <c r="AX582" s="34"/>
      <c r="AY582"/>
      <c r="BA582" s="34"/>
      <c r="BB582"/>
      <c r="BC582" t="s">
        <v>770</v>
      </c>
      <c r="BD582" s="36">
        <v>550000</v>
      </c>
      <c r="BE582" s="36">
        <v>550000</v>
      </c>
      <c r="BF582">
        <v>0</v>
      </c>
      <c r="BG582" s="34">
        <v>43101</v>
      </c>
      <c r="BH582">
        <v>60</v>
      </c>
      <c r="BI582" t="s">
        <v>283</v>
      </c>
      <c r="BJ582" t="s">
        <v>928</v>
      </c>
      <c r="BK582" t="s">
        <v>234</v>
      </c>
      <c r="BL582" t="s">
        <v>194</v>
      </c>
      <c r="BM582" s="8" t="s">
        <v>192</v>
      </c>
      <c r="BN582" t="s">
        <v>189</v>
      </c>
      <c r="BO582" t="s">
        <v>190</v>
      </c>
      <c r="BP582" s="35" t="s">
        <v>726</v>
      </c>
      <c r="BQ582"/>
      <c r="BU582" s="35"/>
      <c r="BV582" s="35"/>
      <c r="BX582"/>
      <c r="CA582" s="35"/>
      <c r="CB582" s="35"/>
      <c r="CC582"/>
      <c r="CG582" s="35"/>
      <c r="CH582" s="35"/>
      <c r="CK582"/>
      <c r="CM582" s="35"/>
      <c r="CN582" s="35"/>
      <c r="CQ582"/>
      <c r="CS582" s="35"/>
      <c r="CT582" s="35"/>
      <c r="CX582"/>
      <c r="CZ582" s="35"/>
      <c r="DD582" s="34"/>
      <c r="DG582" t="s">
        <v>768</v>
      </c>
      <c r="DH582" t="s">
        <v>948</v>
      </c>
      <c r="DI582" t="s">
        <v>286</v>
      </c>
      <c r="DL582" t="s">
        <v>669</v>
      </c>
      <c r="DM582">
        <v>3</v>
      </c>
      <c r="DN582">
        <v>9</v>
      </c>
      <c r="DO582" t="s">
        <v>769</v>
      </c>
      <c r="DQ582" t="s">
        <v>927</v>
      </c>
      <c r="DR582">
        <v>14</v>
      </c>
      <c r="DS582">
        <v>2</v>
      </c>
      <c r="DU582">
        <v>14</v>
      </c>
      <c r="DV582">
        <v>2</v>
      </c>
      <c r="DX582">
        <v>14</v>
      </c>
      <c r="DY582">
        <v>2</v>
      </c>
      <c r="DZ582" t="s">
        <v>246</v>
      </c>
      <c r="EA582" t="s">
        <v>929</v>
      </c>
    </row>
    <row r="583" spans="1:131" x14ac:dyDescent="0.4">
      <c r="A583" s="34">
        <v>43067.305104166669</v>
      </c>
      <c r="B583" s="25">
        <v>42934.695138888892</v>
      </c>
      <c r="D583" s="34"/>
      <c r="E583" s="34" t="s">
        <v>193</v>
      </c>
      <c r="F583" s="34" t="s">
        <v>191</v>
      </c>
      <c r="G583" s="34" t="s">
        <v>100</v>
      </c>
      <c r="H583" t="s">
        <v>279</v>
      </c>
      <c r="I583" t="s">
        <v>243</v>
      </c>
      <c r="J583" t="s">
        <v>712</v>
      </c>
      <c r="K583" t="s">
        <v>713</v>
      </c>
      <c r="L583" t="s">
        <v>711</v>
      </c>
      <c r="M583" s="30">
        <v>3.13</v>
      </c>
      <c r="N583">
        <v>6.25</v>
      </c>
      <c r="P583" s="24" t="str">
        <f>IFERROR(MID(RADataTable[[#This Row],[RATemplate]],1,LEN(RADataTable[[#This Row],[RATemplate]])-8),"RA") &amp; " " &amp; RADataTable[[#This Row],[prop_id0]] &amp; " " &amp; RADataTable[[#This Row],[last0]]</f>
        <v>RA 1749977 Solomon</v>
      </c>
      <c r="T583">
        <v>4</v>
      </c>
      <c r="U583">
        <v>4</v>
      </c>
      <c r="V583" s="34">
        <v>43030.972222222219</v>
      </c>
      <c r="W583">
        <v>1</v>
      </c>
      <c r="X583" s="15" t="str">
        <f>HYPERLINK("https://www.ejacket.nsf.gov/ej/showProposal.do?Continue=Y&amp;ID="&amp;RADataTable[[#This Row],[prop_id0]],"eJ")</f>
        <v>eJ</v>
      </c>
      <c r="Y583" s="15" t="str">
        <f>HYPERLINK("mailto:"&amp;RADataTable[[#This Row],[email]]&amp;"&amp;subject=Your NSF Proposal:  "&amp;RADataTable[[#This Row],[Div]]&amp;" "&amp;RADataTable[[#This Row],[prop_id0]], RADataTable[[#This Row],[email]])</f>
        <v>jsolomon@mit.edu</v>
      </c>
      <c r="Z583" s="15" t="str">
        <f>HYPERLINK("mailto:"&amp;RADataTable[[#This Row],[allPIemail]]&amp;"&amp;subject=NSF Proposal:  "&amp;RADataTable[[#This Row],[Div]]&amp;" "&amp;RADataTable[[#This Row],[prop_id0]], "PIs@")</f>
        <v>PIs@</v>
      </c>
      <c r="AA583" t="s">
        <v>245</v>
      </c>
      <c r="AB583" t="s">
        <v>669</v>
      </c>
      <c r="AC583" s="30" t="s">
        <v>766</v>
      </c>
      <c r="AD583" t="s">
        <v>767</v>
      </c>
      <c r="AE583" t="s">
        <v>244</v>
      </c>
      <c r="AF583" s="36">
        <v>550000</v>
      </c>
      <c r="AG583" s="36">
        <v>550000</v>
      </c>
      <c r="AH583" s="24"/>
      <c r="AJ583" s="34"/>
      <c r="AK583" t="s">
        <v>923</v>
      </c>
      <c r="AL583" t="s">
        <v>287</v>
      </c>
      <c r="AM583" s="34" t="s">
        <v>925</v>
      </c>
      <c r="AN583" s="34">
        <v>43032</v>
      </c>
      <c r="AO583" s="24">
        <v>13</v>
      </c>
      <c r="AP583" t="s">
        <v>947</v>
      </c>
      <c r="AR583" s="35"/>
      <c r="AS583"/>
      <c r="AT583" s="34"/>
      <c r="AV583" s="34"/>
      <c r="AX583" s="34"/>
      <c r="AY583"/>
      <c r="BA583" s="34"/>
      <c r="BB583"/>
      <c r="BC583" t="s">
        <v>770</v>
      </c>
      <c r="BD583" s="36">
        <v>550000</v>
      </c>
      <c r="BE583" s="36">
        <v>550000</v>
      </c>
      <c r="BF583">
        <v>0</v>
      </c>
      <c r="BG583" s="34">
        <v>43101</v>
      </c>
      <c r="BH583">
        <v>60</v>
      </c>
      <c r="BI583" t="s">
        <v>283</v>
      </c>
      <c r="BJ583" t="s">
        <v>928</v>
      </c>
      <c r="BK583" t="s">
        <v>234</v>
      </c>
      <c r="BL583" t="s">
        <v>194</v>
      </c>
      <c r="BM583" s="8" t="s">
        <v>192</v>
      </c>
      <c r="BN583" t="s">
        <v>189</v>
      </c>
      <c r="BO583" t="s">
        <v>190</v>
      </c>
      <c r="BP583" s="35" t="s">
        <v>726</v>
      </c>
      <c r="BQ583"/>
      <c r="BU583" s="35"/>
      <c r="BV583" s="35"/>
      <c r="BX583"/>
      <c r="CA583" s="35"/>
      <c r="CB583" s="35"/>
      <c r="CC583"/>
      <c r="CG583" s="35"/>
      <c r="CH583" s="35"/>
      <c r="CK583"/>
      <c r="CM583" s="35"/>
      <c r="CN583" s="35"/>
      <c r="CQ583"/>
      <c r="CS583" s="35"/>
      <c r="CT583" s="35"/>
      <c r="CX583"/>
      <c r="CZ583" s="35"/>
      <c r="DD583" s="34"/>
      <c r="DG583" t="s">
        <v>768</v>
      </c>
      <c r="DH583" t="s">
        <v>948</v>
      </c>
      <c r="DI583" t="s">
        <v>286</v>
      </c>
      <c r="DL583" t="s">
        <v>669</v>
      </c>
      <c r="DM583">
        <v>3</v>
      </c>
      <c r="DN583">
        <v>9</v>
      </c>
      <c r="DO583" t="s">
        <v>769</v>
      </c>
      <c r="DQ583" t="s">
        <v>927</v>
      </c>
      <c r="DR583">
        <v>14</v>
      </c>
      <c r="DS583">
        <v>2</v>
      </c>
      <c r="DU583">
        <v>14</v>
      </c>
      <c r="DV583">
        <v>2</v>
      </c>
      <c r="DX583">
        <v>14</v>
      </c>
      <c r="DY583">
        <v>2</v>
      </c>
      <c r="DZ583" t="s">
        <v>246</v>
      </c>
      <c r="EA583" t="s">
        <v>929</v>
      </c>
    </row>
    <row r="584" spans="1:131" x14ac:dyDescent="0.4">
      <c r="A584" s="34">
        <v>43067.305104166669</v>
      </c>
      <c r="B584" s="25">
        <v>42934.695138888892</v>
      </c>
      <c r="D584" s="34"/>
      <c r="E584" s="34" t="s">
        <v>193</v>
      </c>
      <c r="F584" s="34" t="s">
        <v>191</v>
      </c>
      <c r="G584" s="34" t="s">
        <v>100</v>
      </c>
      <c r="H584" t="s">
        <v>279</v>
      </c>
      <c r="I584" t="s">
        <v>243</v>
      </c>
      <c r="J584" t="s">
        <v>712</v>
      </c>
      <c r="K584" t="s">
        <v>713</v>
      </c>
      <c r="L584" t="s">
        <v>711</v>
      </c>
      <c r="M584" s="30">
        <v>3.13</v>
      </c>
      <c r="N584">
        <v>6.25</v>
      </c>
      <c r="P584" s="24" t="str">
        <f>IFERROR(MID(RADataTable[[#This Row],[RATemplate]],1,LEN(RADataTable[[#This Row],[RATemplate]])-8),"RA") &amp; " " &amp; RADataTable[[#This Row],[prop_id0]] &amp; " " &amp; RADataTable[[#This Row],[last0]]</f>
        <v>RA 1749977 Solomon</v>
      </c>
      <c r="T584">
        <v>4</v>
      </c>
      <c r="U584">
        <v>4</v>
      </c>
      <c r="V584" s="34">
        <v>43030.972222222219</v>
      </c>
      <c r="W584">
        <v>1</v>
      </c>
      <c r="X584" s="15" t="str">
        <f>HYPERLINK("https://www.ejacket.nsf.gov/ej/showProposal.do?Continue=Y&amp;ID="&amp;RADataTable[[#This Row],[prop_id0]],"eJ")</f>
        <v>eJ</v>
      </c>
      <c r="Y584" s="15" t="str">
        <f>HYPERLINK("mailto:"&amp;RADataTable[[#This Row],[email]]&amp;"&amp;subject=Your NSF Proposal:  "&amp;RADataTable[[#This Row],[Div]]&amp;" "&amp;RADataTable[[#This Row],[prop_id0]], RADataTable[[#This Row],[email]])</f>
        <v>jsolomon@mit.edu</v>
      </c>
      <c r="Z584" s="15" t="str">
        <f>HYPERLINK("mailto:"&amp;RADataTable[[#This Row],[allPIemail]]&amp;"&amp;subject=NSF Proposal:  "&amp;RADataTable[[#This Row],[Div]]&amp;" "&amp;RADataTable[[#This Row],[prop_id0]], "PIs@")</f>
        <v>PIs@</v>
      </c>
      <c r="AA584" t="s">
        <v>245</v>
      </c>
      <c r="AB584" t="s">
        <v>669</v>
      </c>
      <c r="AC584" s="30" t="s">
        <v>766</v>
      </c>
      <c r="AD584" t="s">
        <v>767</v>
      </c>
      <c r="AE584" t="s">
        <v>244</v>
      </c>
      <c r="AF584" s="36">
        <v>550000</v>
      </c>
      <c r="AG584" s="36">
        <v>550000</v>
      </c>
      <c r="AH584" s="24"/>
      <c r="AJ584" s="34"/>
      <c r="AK584" t="s">
        <v>923</v>
      </c>
      <c r="AL584" t="s">
        <v>287</v>
      </c>
      <c r="AM584" s="34" t="s">
        <v>925</v>
      </c>
      <c r="AN584" s="34">
        <v>43032</v>
      </c>
      <c r="AO584" s="24">
        <v>13</v>
      </c>
      <c r="AP584" t="s">
        <v>947</v>
      </c>
      <c r="AR584" s="35"/>
      <c r="AS584"/>
      <c r="AT584" s="34"/>
      <c r="AV584" s="34"/>
      <c r="AX584" s="34"/>
      <c r="AY584"/>
      <c r="BA584" s="34"/>
      <c r="BB584"/>
      <c r="BC584" t="s">
        <v>770</v>
      </c>
      <c r="BD584" s="36">
        <v>550000</v>
      </c>
      <c r="BE584" s="36">
        <v>550000</v>
      </c>
      <c r="BF584">
        <v>0</v>
      </c>
      <c r="BG584" s="34">
        <v>43101</v>
      </c>
      <c r="BH584">
        <v>60</v>
      </c>
      <c r="BI584" t="s">
        <v>283</v>
      </c>
      <c r="BJ584" t="s">
        <v>928</v>
      </c>
      <c r="BK584" t="s">
        <v>234</v>
      </c>
      <c r="BL584" t="s">
        <v>194</v>
      </c>
      <c r="BM584" s="8" t="s">
        <v>192</v>
      </c>
      <c r="BN584" t="s">
        <v>189</v>
      </c>
      <c r="BO584" t="s">
        <v>190</v>
      </c>
      <c r="BP584" s="35" t="s">
        <v>726</v>
      </c>
      <c r="BQ584"/>
      <c r="BU584" s="35"/>
      <c r="BV584" s="35"/>
      <c r="BX584"/>
      <c r="CA584" s="35"/>
      <c r="CB584" s="35"/>
      <c r="CC584"/>
      <c r="CG584" s="35"/>
      <c r="CH584" s="35"/>
      <c r="CK584"/>
      <c r="CM584" s="35"/>
      <c r="CN584" s="35"/>
      <c r="CQ584"/>
      <c r="CS584" s="35"/>
      <c r="CT584" s="35"/>
      <c r="CX584"/>
      <c r="CZ584" s="35"/>
      <c r="DD584" s="34"/>
      <c r="DG584" t="s">
        <v>768</v>
      </c>
      <c r="DH584" t="s">
        <v>948</v>
      </c>
      <c r="DI584" t="s">
        <v>286</v>
      </c>
      <c r="DL584" t="s">
        <v>669</v>
      </c>
      <c r="DM584">
        <v>3</v>
      </c>
      <c r="DN584">
        <v>9</v>
      </c>
      <c r="DO584" t="s">
        <v>769</v>
      </c>
      <c r="DQ584" t="s">
        <v>927</v>
      </c>
      <c r="DR584">
        <v>14</v>
      </c>
      <c r="DS584">
        <v>2</v>
      </c>
      <c r="DU584">
        <v>14</v>
      </c>
      <c r="DV584">
        <v>2</v>
      </c>
      <c r="DX584">
        <v>14</v>
      </c>
      <c r="DY584">
        <v>2</v>
      </c>
      <c r="DZ584" t="s">
        <v>246</v>
      </c>
      <c r="EA584" t="s">
        <v>929</v>
      </c>
    </row>
    <row r="585" spans="1:131" x14ac:dyDescent="0.4">
      <c r="A585" s="34">
        <v>43067.305104166669</v>
      </c>
      <c r="B585" s="25">
        <v>42934.695138888892</v>
      </c>
      <c r="D585" s="34"/>
      <c r="E585" s="34" t="s">
        <v>193</v>
      </c>
      <c r="F585" s="34" t="s">
        <v>191</v>
      </c>
      <c r="G585" s="34" t="s">
        <v>100</v>
      </c>
      <c r="H585" t="s">
        <v>279</v>
      </c>
      <c r="I585" t="s">
        <v>243</v>
      </c>
      <c r="J585" t="s">
        <v>712</v>
      </c>
      <c r="K585" t="s">
        <v>713</v>
      </c>
      <c r="L585" t="s">
        <v>711</v>
      </c>
      <c r="M585" s="30">
        <v>3.13</v>
      </c>
      <c r="N585">
        <v>6.25</v>
      </c>
      <c r="P585" s="24" t="str">
        <f>IFERROR(MID(RADataTable[[#This Row],[RATemplate]],1,LEN(RADataTable[[#This Row],[RATemplate]])-8),"RA") &amp; " " &amp; RADataTable[[#This Row],[prop_id0]] &amp; " " &amp; RADataTable[[#This Row],[last0]]</f>
        <v>RA 1749977 Solomon</v>
      </c>
      <c r="T585">
        <v>4</v>
      </c>
      <c r="U585">
        <v>4</v>
      </c>
      <c r="V585" s="34">
        <v>43030.972222222219</v>
      </c>
      <c r="W585">
        <v>1</v>
      </c>
      <c r="X585" s="15" t="str">
        <f>HYPERLINK("https://www.ejacket.nsf.gov/ej/showProposal.do?Continue=Y&amp;ID="&amp;RADataTable[[#This Row],[prop_id0]],"eJ")</f>
        <v>eJ</v>
      </c>
      <c r="Y585" s="15" t="str">
        <f>HYPERLINK("mailto:"&amp;RADataTable[[#This Row],[email]]&amp;"&amp;subject=Your NSF Proposal:  "&amp;RADataTable[[#This Row],[Div]]&amp;" "&amp;RADataTable[[#This Row],[prop_id0]], RADataTable[[#This Row],[email]])</f>
        <v>jsolomon@mit.edu</v>
      </c>
      <c r="Z585" s="15" t="str">
        <f>HYPERLINK("mailto:"&amp;RADataTable[[#This Row],[allPIemail]]&amp;"&amp;subject=NSF Proposal:  "&amp;RADataTable[[#This Row],[Div]]&amp;" "&amp;RADataTable[[#This Row],[prop_id0]], "PIs@")</f>
        <v>PIs@</v>
      </c>
      <c r="AA585" t="s">
        <v>245</v>
      </c>
      <c r="AB585" t="s">
        <v>669</v>
      </c>
      <c r="AC585" s="30" t="s">
        <v>766</v>
      </c>
      <c r="AD585" t="s">
        <v>767</v>
      </c>
      <c r="AE585" t="s">
        <v>244</v>
      </c>
      <c r="AF585" s="36">
        <v>550000</v>
      </c>
      <c r="AG585" s="36">
        <v>550000</v>
      </c>
      <c r="AH585" s="24"/>
      <c r="AJ585" s="34"/>
      <c r="AK585" t="s">
        <v>923</v>
      </c>
      <c r="AL585" t="s">
        <v>287</v>
      </c>
      <c r="AM585" s="34" t="s">
        <v>925</v>
      </c>
      <c r="AN585" s="34">
        <v>43032</v>
      </c>
      <c r="AO585" s="24">
        <v>13</v>
      </c>
      <c r="AP585" t="s">
        <v>947</v>
      </c>
      <c r="AR585" s="35"/>
      <c r="AS585"/>
      <c r="AT585" s="34"/>
      <c r="AV585" s="34"/>
      <c r="AX585" s="34"/>
      <c r="AY585"/>
      <c r="BA585" s="34"/>
      <c r="BB585"/>
      <c r="BC585" t="s">
        <v>770</v>
      </c>
      <c r="BD585" s="36">
        <v>550000</v>
      </c>
      <c r="BE585" s="36">
        <v>550000</v>
      </c>
      <c r="BF585">
        <v>0</v>
      </c>
      <c r="BG585" s="34">
        <v>43101</v>
      </c>
      <c r="BH585">
        <v>60</v>
      </c>
      <c r="BI585" t="s">
        <v>283</v>
      </c>
      <c r="BJ585" t="s">
        <v>928</v>
      </c>
      <c r="BK585" t="s">
        <v>234</v>
      </c>
      <c r="BL585" t="s">
        <v>194</v>
      </c>
      <c r="BM585" s="8" t="s">
        <v>192</v>
      </c>
      <c r="BN585" t="s">
        <v>189</v>
      </c>
      <c r="BO585" t="s">
        <v>190</v>
      </c>
      <c r="BP585" s="35" t="s">
        <v>726</v>
      </c>
      <c r="BQ585"/>
      <c r="BU585" s="35"/>
      <c r="BV585" s="35"/>
      <c r="BX585"/>
      <c r="CA585" s="35"/>
      <c r="CB585" s="35"/>
      <c r="CC585"/>
      <c r="CG585" s="35"/>
      <c r="CH585" s="35"/>
      <c r="CK585"/>
      <c r="CM585" s="35"/>
      <c r="CN585" s="35"/>
      <c r="CQ585"/>
      <c r="CS585" s="35"/>
      <c r="CT585" s="35"/>
      <c r="CX585"/>
      <c r="CZ585" s="35"/>
      <c r="DD585" s="34"/>
      <c r="DG585" t="s">
        <v>768</v>
      </c>
      <c r="DH585" t="s">
        <v>948</v>
      </c>
      <c r="DI585" t="s">
        <v>286</v>
      </c>
      <c r="DL585" t="s">
        <v>669</v>
      </c>
      <c r="DM585">
        <v>3</v>
      </c>
      <c r="DN585">
        <v>9</v>
      </c>
      <c r="DO585" t="s">
        <v>769</v>
      </c>
      <c r="DQ585" t="s">
        <v>927</v>
      </c>
      <c r="DR585">
        <v>14</v>
      </c>
      <c r="DS585">
        <v>2</v>
      </c>
      <c r="DU585">
        <v>14</v>
      </c>
      <c r="DV585">
        <v>2</v>
      </c>
      <c r="DX585">
        <v>14</v>
      </c>
      <c r="DY585">
        <v>2</v>
      </c>
      <c r="DZ585" t="s">
        <v>246</v>
      </c>
      <c r="EA585" t="s">
        <v>929</v>
      </c>
    </row>
    <row r="586" spans="1:131" x14ac:dyDescent="0.4">
      <c r="A586" s="34">
        <v>43067.305104166669</v>
      </c>
      <c r="B586" s="25">
        <v>42934.695138888892</v>
      </c>
      <c r="D586" s="34"/>
      <c r="E586" s="34" t="s">
        <v>193</v>
      </c>
      <c r="F586" s="34" t="s">
        <v>191</v>
      </c>
      <c r="G586" s="34" t="s">
        <v>100</v>
      </c>
      <c r="H586" t="s">
        <v>279</v>
      </c>
      <c r="I586" t="s">
        <v>243</v>
      </c>
      <c r="J586" t="s">
        <v>712</v>
      </c>
      <c r="K586" t="s">
        <v>713</v>
      </c>
      <c r="L586" t="s">
        <v>711</v>
      </c>
      <c r="M586" s="30">
        <v>3.13</v>
      </c>
      <c r="N586">
        <v>6.25</v>
      </c>
      <c r="P586" s="24" t="str">
        <f>IFERROR(MID(RADataTable[[#This Row],[RATemplate]],1,LEN(RADataTable[[#This Row],[RATemplate]])-8),"RA") &amp; " " &amp; RADataTable[[#This Row],[prop_id0]] &amp; " " &amp; RADataTable[[#This Row],[last0]]</f>
        <v>RA 1749977 Solomon</v>
      </c>
      <c r="T586">
        <v>4</v>
      </c>
      <c r="U586">
        <v>4</v>
      </c>
      <c r="V586" s="34">
        <v>43030.972222222219</v>
      </c>
      <c r="W586">
        <v>1</v>
      </c>
      <c r="X586" s="15" t="str">
        <f>HYPERLINK("https://www.ejacket.nsf.gov/ej/showProposal.do?Continue=Y&amp;ID="&amp;RADataTable[[#This Row],[prop_id0]],"eJ")</f>
        <v>eJ</v>
      </c>
      <c r="Y586" s="15" t="str">
        <f>HYPERLINK("mailto:"&amp;RADataTable[[#This Row],[email]]&amp;"&amp;subject=Your NSF Proposal:  "&amp;RADataTable[[#This Row],[Div]]&amp;" "&amp;RADataTable[[#This Row],[prop_id0]], RADataTable[[#This Row],[email]])</f>
        <v>jsolomon@mit.edu</v>
      </c>
      <c r="Z586" s="15" t="str">
        <f>HYPERLINK("mailto:"&amp;RADataTable[[#This Row],[allPIemail]]&amp;"&amp;subject=NSF Proposal:  "&amp;RADataTable[[#This Row],[Div]]&amp;" "&amp;RADataTable[[#This Row],[prop_id0]], "PIs@")</f>
        <v>PIs@</v>
      </c>
      <c r="AA586" t="s">
        <v>245</v>
      </c>
      <c r="AB586" t="s">
        <v>669</v>
      </c>
      <c r="AC586" s="30" t="s">
        <v>766</v>
      </c>
      <c r="AD586" t="s">
        <v>767</v>
      </c>
      <c r="AE586" t="s">
        <v>244</v>
      </c>
      <c r="AF586" s="36">
        <v>550000</v>
      </c>
      <c r="AG586" s="36">
        <v>550000</v>
      </c>
      <c r="AH586" s="24"/>
      <c r="AJ586" s="34"/>
      <c r="AK586" t="s">
        <v>923</v>
      </c>
      <c r="AL586" t="s">
        <v>287</v>
      </c>
      <c r="AM586" s="34" t="s">
        <v>925</v>
      </c>
      <c r="AN586" s="34">
        <v>43032</v>
      </c>
      <c r="AO586" s="24">
        <v>13</v>
      </c>
      <c r="AP586" t="s">
        <v>947</v>
      </c>
      <c r="AR586" s="35"/>
      <c r="AS586"/>
      <c r="AT586" s="34"/>
      <c r="AV586" s="34"/>
      <c r="AX586" s="34"/>
      <c r="AY586"/>
      <c r="BA586" s="34"/>
      <c r="BB586"/>
      <c r="BC586" t="s">
        <v>770</v>
      </c>
      <c r="BD586" s="36">
        <v>550000</v>
      </c>
      <c r="BE586" s="36">
        <v>550000</v>
      </c>
      <c r="BF586">
        <v>0</v>
      </c>
      <c r="BG586" s="34">
        <v>43101</v>
      </c>
      <c r="BH586">
        <v>60</v>
      </c>
      <c r="BI586" t="s">
        <v>283</v>
      </c>
      <c r="BJ586" t="s">
        <v>928</v>
      </c>
      <c r="BK586" t="s">
        <v>234</v>
      </c>
      <c r="BL586" t="s">
        <v>194</v>
      </c>
      <c r="BM586" s="8" t="s">
        <v>192</v>
      </c>
      <c r="BN586" t="s">
        <v>189</v>
      </c>
      <c r="BO586" t="s">
        <v>190</v>
      </c>
      <c r="BP586" s="35" t="s">
        <v>726</v>
      </c>
      <c r="BQ586"/>
      <c r="BU586" s="35"/>
      <c r="BV586" s="35"/>
      <c r="BX586"/>
      <c r="CA586" s="35"/>
      <c r="CB586" s="35"/>
      <c r="CC586"/>
      <c r="CG586" s="35"/>
      <c r="CH586" s="35"/>
      <c r="CK586"/>
      <c r="CM586" s="35"/>
      <c r="CN586" s="35"/>
      <c r="CQ586"/>
      <c r="CS586" s="35"/>
      <c r="CT586" s="35"/>
      <c r="CX586"/>
      <c r="CZ586" s="35"/>
      <c r="DD586" s="34"/>
      <c r="DG586" t="s">
        <v>768</v>
      </c>
      <c r="DH586" t="s">
        <v>948</v>
      </c>
      <c r="DI586" t="s">
        <v>286</v>
      </c>
      <c r="DL586" t="s">
        <v>669</v>
      </c>
      <c r="DM586">
        <v>3</v>
      </c>
      <c r="DN586">
        <v>9</v>
      </c>
      <c r="DO586" t="s">
        <v>769</v>
      </c>
      <c r="DQ586" t="s">
        <v>927</v>
      </c>
      <c r="DR586">
        <v>14</v>
      </c>
      <c r="DS586">
        <v>2</v>
      </c>
      <c r="DU586">
        <v>14</v>
      </c>
      <c r="DV586">
        <v>2</v>
      </c>
      <c r="DX586">
        <v>14</v>
      </c>
      <c r="DY586">
        <v>2</v>
      </c>
      <c r="DZ586" t="s">
        <v>246</v>
      </c>
      <c r="EA586" t="s">
        <v>929</v>
      </c>
    </row>
    <row r="587" spans="1:131" x14ac:dyDescent="0.4">
      <c r="A587" s="34">
        <v>43067.305104166669</v>
      </c>
      <c r="B587" s="25">
        <v>42934.695138888892</v>
      </c>
      <c r="D587" s="34"/>
      <c r="E587" s="34" t="s">
        <v>193</v>
      </c>
      <c r="F587" s="34" t="s">
        <v>191</v>
      </c>
      <c r="G587" s="34" t="s">
        <v>100</v>
      </c>
      <c r="H587" t="s">
        <v>279</v>
      </c>
      <c r="I587" t="s">
        <v>243</v>
      </c>
      <c r="J587" t="s">
        <v>712</v>
      </c>
      <c r="K587" t="s">
        <v>713</v>
      </c>
      <c r="L587" t="s">
        <v>711</v>
      </c>
      <c r="M587" s="30">
        <v>3.13</v>
      </c>
      <c r="N587">
        <v>6.25</v>
      </c>
      <c r="P587" s="24" t="str">
        <f>IFERROR(MID(RADataTable[[#This Row],[RATemplate]],1,LEN(RADataTable[[#This Row],[RATemplate]])-8),"RA") &amp; " " &amp; RADataTable[[#This Row],[prop_id0]] &amp; " " &amp; RADataTable[[#This Row],[last0]]</f>
        <v>RA 1749977 Solomon</v>
      </c>
      <c r="T587">
        <v>4</v>
      </c>
      <c r="U587">
        <v>4</v>
      </c>
      <c r="V587" s="34">
        <v>43030.972222222219</v>
      </c>
      <c r="W587">
        <v>1</v>
      </c>
      <c r="X587" s="15" t="str">
        <f>HYPERLINK("https://www.ejacket.nsf.gov/ej/showProposal.do?Continue=Y&amp;ID="&amp;RADataTable[[#This Row],[prop_id0]],"eJ")</f>
        <v>eJ</v>
      </c>
      <c r="Y587" s="15" t="str">
        <f>HYPERLINK("mailto:"&amp;RADataTable[[#This Row],[email]]&amp;"&amp;subject=Your NSF Proposal:  "&amp;RADataTable[[#This Row],[Div]]&amp;" "&amp;RADataTable[[#This Row],[prop_id0]], RADataTable[[#This Row],[email]])</f>
        <v>jsolomon@mit.edu</v>
      </c>
      <c r="Z587" s="15" t="str">
        <f>HYPERLINK("mailto:"&amp;RADataTable[[#This Row],[allPIemail]]&amp;"&amp;subject=NSF Proposal:  "&amp;RADataTable[[#This Row],[Div]]&amp;" "&amp;RADataTable[[#This Row],[prop_id0]], "PIs@")</f>
        <v>PIs@</v>
      </c>
      <c r="AA587" t="s">
        <v>245</v>
      </c>
      <c r="AB587" t="s">
        <v>669</v>
      </c>
      <c r="AC587" s="30" t="s">
        <v>766</v>
      </c>
      <c r="AD587" t="s">
        <v>767</v>
      </c>
      <c r="AE587" t="s">
        <v>244</v>
      </c>
      <c r="AF587" s="36">
        <v>550000</v>
      </c>
      <c r="AG587" s="36">
        <v>550000</v>
      </c>
      <c r="AH587" s="24"/>
      <c r="AJ587" s="34"/>
      <c r="AK587" t="s">
        <v>923</v>
      </c>
      <c r="AL587" t="s">
        <v>287</v>
      </c>
      <c r="AM587" s="34" t="s">
        <v>925</v>
      </c>
      <c r="AN587" s="34">
        <v>43032</v>
      </c>
      <c r="AO587" s="24">
        <v>13</v>
      </c>
      <c r="AP587" t="s">
        <v>947</v>
      </c>
      <c r="AR587" s="35"/>
      <c r="AS587"/>
      <c r="AT587" s="34"/>
      <c r="AV587" s="34"/>
      <c r="AX587" s="34"/>
      <c r="AY587"/>
      <c r="BA587" s="34"/>
      <c r="BB587"/>
      <c r="BC587" t="s">
        <v>770</v>
      </c>
      <c r="BD587" s="36">
        <v>550000</v>
      </c>
      <c r="BE587" s="36">
        <v>550000</v>
      </c>
      <c r="BF587">
        <v>0</v>
      </c>
      <c r="BG587" s="34">
        <v>43101</v>
      </c>
      <c r="BH587">
        <v>60</v>
      </c>
      <c r="BI587" t="s">
        <v>283</v>
      </c>
      <c r="BJ587" t="s">
        <v>928</v>
      </c>
      <c r="BK587" t="s">
        <v>234</v>
      </c>
      <c r="BL587" t="s">
        <v>194</v>
      </c>
      <c r="BM587" s="8" t="s">
        <v>192</v>
      </c>
      <c r="BN587" t="s">
        <v>189</v>
      </c>
      <c r="BO587" t="s">
        <v>190</v>
      </c>
      <c r="BP587" s="35" t="s">
        <v>726</v>
      </c>
      <c r="BQ587"/>
      <c r="BU587" s="35"/>
      <c r="BV587" s="35"/>
      <c r="BX587"/>
      <c r="CA587" s="35"/>
      <c r="CB587" s="35"/>
      <c r="CC587"/>
      <c r="CG587" s="35"/>
      <c r="CH587" s="35"/>
      <c r="CK587"/>
      <c r="CM587" s="35"/>
      <c r="CN587" s="35"/>
      <c r="CQ587"/>
      <c r="CS587" s="35"/>
      <c r="CT587" s="35"/>
      <c r="CX587"/>
      <c r="CZ587" s="35"/>
      <c r="DD587" s="34"/>
      <c r="DG587" t="s">
        <v>768</v>
      </c>
      <c r="DH587" t="s">
        <v>948</v>
      </c>
      <c r="DI587" t="s">
        <v>286</v>
      </c>
      <c r="DL587" t="s">
        <v>669</v>
      </c>
      <c r="DM587">
        <v>3</v>
      </c>
      <c r="DN587">
        <v>9</v>
      </c>
      <c r="DO587" t="s">
        <v>769</v>
      </c>
      <c r="DQ587" t="s">
        <v>927</v>
      </c>
      <c r="DR587">
        <v>14</v>
      </c>
      <c r="DS587">
        <v>2</v>
      </c>
      <c r="DU587">
        <v>14</v>
      </c>
      <c r="DV587">
        <v>2</v>
      </c>
      <c r="DX587">
        <v>14</v>
      </c>
      <c r="DY587">
        <v>2</v>
      </c>
      <c r="DZ587" t="s">
        <v>246</v>
      </c>
      <c r="EA587" t="s">
        <v>929</v>
      </c>
    </row>
    <row r="588" spans="1:131" x14ac:dyDescent="0.4">
      <c r="A588" s="34">
        <v>43067.305104166669</v>
      </c>
      <c r="B588" s="25">
        <v>42934.695138888892</v>
      </c>
      <c r="D588" s="34"/>
      <c r="E588" s="34" t="s">
        <v>193</v>
      </c>
      <c r="F588" s="34" t="s">
        <v>191</v>
      </c>
      <c r="G588" s="34" t="s">
        <v>100</v>
      </c>
      <c r="H588" t="s">
        <v>279</v>
      </c>
      <c r="I588" t="s">
        <v>243</v>
      </c>
      <c r="J588" t="s">
        <v>712</v>
      </c>
      <c r="K588" t="s">
        <v>713</v>
      </c>
      <c r="L588" t="s">
        <v>711</v>
      </c>
      <c r="M588" s="30">
        <v>3.13</v>
      </c>
      <c r="N588">
        <v>6.25</v>
      </c>
      <c r="P588" s="24" t="str">
        <f>IFERROR(MID(RADataTable[[#This Row],[RATemplate]],1,LEN(RADataTable[[#This Row],[RATemplate]])-8),"RA") &amp; " " &amp; RADataTable[[#This Row],[prop_id0]] &amp; " " &amp; RADataTable[[#This Row],[last0]]</f>
        <v>RA 1749977 Solomon</v>
      </c>
      <c r="T588">
        <v>4</v>
      </c>
      <c r="U588">
        <v>4</v>
      </c>
      <c r="V588" s="34">
        <v>43030.972222222219</v>
      </c>
      <c r="W588">
        <v>1</v>
      </c>
      <c r="X588" s="15" t="str">
        <f>HYPERLINK("https://www.ejacket.nsf.gov/ej/showProposal.do?Continue=Y&amp;ID="&amp;RADataTable[[#This Row],[prop_id0]],"eJ")</f>
        <v>eJ</v>
      </c>
      <c r="Y588" s="15" t="str">
        <f>HYPERLINK("mailto:"&amp;RADataTable[[#This Row],[email]]&amp;"&amp;subject=Your NSF Proposal:  "&amp;RADataTable[[#This Row],[Div]]&amp;" "&amp;RADataTable[[#This Row],[prop_id0]], RADataTable[[#This Row],[email]])</f>
        <v>jsolomon@mit.edu</v>
      </c>
      <c r="Z588" s="15" t="str">
        <f>HYPERLINK("mailto:"&amp;RADataTable[[#This Row],[allPIemail]]&amp;"&amp;subject=NSF Proposal:  "&amp;RADataTable[[#This Row],[Div]]&amp;" "&amp;RADataTable[[#This Row],[prop_id0]], "PIs@")</f>
        <v>PIs@</v>
      </c>
      <c r="AA588" t="s">
        <v>245</v>
      </c>
      <c r="AB588" t="s">
        <v>669</v>
      </c>
      <c r="AC588" s="30" t="s">
        <v>766</v>
      </c>
      <c r="AD588" t="s">
        <v>767</v>
      </c>
      <c r="AE588" t="s">
        <v>244</v>
      </c>
      <c r="AF588" s="36">
        <v>550000</v>
      </c>
      <c r="AG588" s="36">
        <v>550000</v>
      </c>
      <c r="AH588" s="24"/>
      <c r="AJ588" s="34"/>
      <c r="AK588" t="s">
        <v>923</v>
      </c>
      <c r="AL588" t="s">
        <v>287</v>
      </c>
      <c r="AM588" s="34" t="s">
        <v>925</v>
      </c>
      <c r="AN588" s="34">
        <v>43032</v>
      </c>
      <c r="AO588" s="24">
        <v>13</v>
      </c>
      <c r="AP588" t="s">
        <v>947</v>
      </c>
      <c r="AR588" s="35"/>
      <c r="AS588"/>
      <c r="AT588" s="34"/>
      <c r="AV588" s="34"/>
      <c r="AX588" s="34"/>
      <c r="AY588"/>
      <c r="BA588" s="34"/>
      <c r="BB588"/>
      <c r="BC588" t="s">
        <v>770</v>
      </c>
      <c r="BD588" s="36">
        <v>550000</v>
      </c>
      <c r="BE588" s="36">
        <v>550000</v>
      </c>
      <c r="BF588">
        <v>0</v>
      </c>
      <c r="BG588" s="34">
        <v>43101</v>
      </c>
      <c r="BH588">
        <v>60</v>
      </c>
      <c r="BI588" t="s">
        <v>283</v>
      </c>
      <c r="BJ588" t="s">
        <v>928</v>
      </c>
      <c r="BK588" t="s">
        <v>234</v>
      </c>
      <c r="BL588" t="s">
        <v>194</v>
      </c>
      <c r="BM588" s="8" t="s">
        <v>192</v>
      </c>
      <c r="BN588" t="s">
        <v>189</v>
      </c>
      <c r="BO588" t="s">
        <v>190</v>
      </c>
      <c r="BP588" s="35" t="s">
        <v>726</v>
      </c>
      <c r="BQ588"/>
      <c r="BU588" s="35"/>
      <c r="BV588" s="35"/>
      <c r="BX588"/>
      <c r="CA588" s="35"/>
      <c r="CB588" s="35"/>
      <c r="CC588"/>
      <c r="CG588" s="35"/>
      <c r="CH588" s="35"/>
      <c r="CK588"/>
      <c r="CM588" s="35"/>
      <c r="CN588" s="35"/>
      <c r="CQ588"/>
      <c r="CS588" s="35"/>
      <c r="CT588" s="35"/>
      <c r="CX588"/>
      <c r="CZ588" s="35"/>
      <c r="DD588" s="34"/>
      <c r="DG588" t="s">
        <v>768</v>
      </c>
      <c r="DH588" t="s">
        <v>948</v>
      </c>
      <c r="DI588" t="s">
        <v>286</v>
      </c>
      <c r="DL588" t="s">
        <v>669</v>
      </c>
      <c r="DM588">
        <v>3</v>
      </c>
      <c r="DN588">
        <v>9</v>
      </c>
      <c r="DO588" t="s">
        <v>769</v>
      </c>
      <c r="DQ588" t="s">
        <v>927</v>
      </c>
      <c r="DR588">
        <v>14</v>
      </c>
      <c r="DS588">
        <v>2</v>
      </c>
      <c r="DU588">
        <v>14</v>
      </c>
      <c r="DV588">
        <v>2</v>
      </c>
      <c r="DX588">
        <v>14</v>
      </c>
      <c r="DY588">
        <v>2</v>
      </c>
      <c r="DZ588" t="s">
        <v>246</v>
      </c>
      <c r="EA588" t="s">
        <v>929</v>
      </c>
    </row>
    <row r="589" spans="1:131" x14ac:dyDescent="0.4">
      <c r="A589" s="34">
        <v>43067.305104166669</v>
      </c>
      <c r="B589" s="25">
        <v>42934.695138888892</v>
      </c>
      <c r="D589" s="34"/>
      <c r="E589" s="34" t="s">
        <v>193</v>
      </c>
      <c r="F589" s="34" t="s">
        <v>191</v>
      </c>
      <c r="G589" s="34" t="s">
        <v>100</v>
      </c>
      <c r="H589" t="s">
        <v>279</v>
      </c>
      <c r="I589" t="s">
        <v>243</v>
      </c>
      <c r="J589" t="s">
        <v>712</v>
      </c>
      <c r="K589" t="s">
        <v>713</v>
      </c>
      <c r="L589" t="s">
        <v>711</v>
      </c>
      <c r="M589" s="30">
        <v>3.13</v>
      </c>
      <c r="N589">
        <v>6.25</v>
      </c>
      <c r="P589" s="24" t="str">
        <f>IFERROR(MID(RADataTable[[#This Row],[RATemplate]],1,LEN(RADataTable[[#This Row],[RATemplate]])-8),"RA") &amp; " " &amp; RADataTable[[#This Row],[prop_id0]] &amp; " " &amp; RADataTable[[#This Row],[last0]]</f>
        <v>RA 1749977 Solomon</v>
      </c>
      <c r="T589">
        <v>4</v>
      </c>
      <c r="U589">
        <v>4</v>
      </c>
      <c r="V589" s="34">
        <v>43030.972222222219</v>
      </c>
      <c r="W589">
        <v>1</v>
      </c>
      <c r="X589" s="15" t="str">
        <f>HYPERLINK("https://www.ejacket.nsf.gov/ej/showProposal.do?Continue=Y&amp;ID="&amp;RADataTable[[#This Row],[prop_id0]],"eJ")</f>
        <v>eJ</v>
      </c>
      <c r="Y589" s="15" t="str">
        <f>HYPERLINK("mailto:"&amp;RADataTable[[#This Row],[email]]&amp;"&amp;subject=Your NSF Proposal:  "&amp;RADataTable[[#This Row],[Div]]&amp;" "&amp;RADataTable[[#This Row],[prop_id0]], RADataTable[[#This Row],[email]])</f>
        <v>jsolomon@mit.edu</v>
      </c>
      <c r="Z589" s="15" t="str">
        <f>HYPERLINK("mailto:"&amp;RADataTable[[#This Row],[allPIemail]]&amp;"&amp;subject=NSF Proposal:  "&amp;RADataTable[[#This Row],[Div]]&amp;" "&amp;RADataTable[[#This Row],[prop_id0]], "PIs@")</f>
        <v>PIs@</v>
      </c>
      <c r="AA589" t="s">
        <v>245</v>
      </c>
      <c r="AB589" t="s">
        <v>669</v>
      </c>
      <c r="AC589" s="30" t="s">
        <v>766</v>
      </c>
      <c r="AD589" t="s">
        <v>767</v>
      </c>
      <c r="AE589" t="s">
        <v>244</v>
      </c>
      <c r="AF589" s="36">
        <v>550000</v>
      </c>
      <c r="AG589" s="36">
        <v>550000</v>
      </c>
      <c r="AH589" s="24"/>
      <c r="AJ589" s="34"/>
      <c r="AK589" t="s">
        <v>923</v>
      </c>
      <c r="AL589" t="s">
        <v>287</v>
      </c>
      <c r="AM589" s="34" t="s">
        <v>925</v>
      </c>
      <c r="AN589" s="34">
        <v>43032</v>
      </c>
      <c r="AO589" s="24">
        <v>13</v>
      </c>
      <c r="AP589" t="s">
        <v>947</v>
      </c>
      <c r="AR589" s="35"/>
      <c r="AS589"/>
      <c r="AT589" s="34"/>
      <c r="AV589" s="34"/>
      <c r="AX589" s="34"/>
      <c r="AY589"/>
      <c r="BA589" s="34"/>
      <c r="BB589"/>
      <c r="BC589" t="s">
        <v>770</v>
      </c>
      <c r="BD589" s="36">
        <v>550000</v>
      </c>
      <c r="BE589" s="36">
        <v>550000</v>
      </c>
      <c r="BF589">
        <v>0</v>
      </c>
      <c r="BG589" s="34">
        <v>43101</v>
      </c>
      <c r="BH589">
        <v>60</v>
      </c>
      <c r="BI589" t="s">
        <v>283</v>
      </c>
      <c r="BJ589" t="s">
        <v>928</v>
      </c>
      <c r="BK589" t="s">
        <v>234</v>
      </c>
      <c r="BL589" t="s">
        <v>194</v>
      </c>
      <c r="BM589" s="8" t="s">
        <v>192</v>
      </c>
      <c r="BN589" t="s">
        <v>189</v>
      </c>
      <c r="BO589" t="s">
        <v>190</v>
      </c>
      <c r="BP589" s="35" t="s">
        <v>726</v>
      </c>
      <c r="BQ589"/>
      <c r="BU589" s="35"/>
      <c r="BV589" s="35"/>
      <c r="BX589"/>
      <c r="CA589" s="35"/>
      <c r="CB589" s="35"/>
      <c r="CC589"/>
      <c r="CG589" s="35"/>
      <c r="CH589" s="35"/>
      <c r="CK589"/>
      <c r="CM589" s="35"/>
      <c r="CN589" s="35"/>
      <c r="CQ589"/>
      <c r="CS589" s="35"/>
      <c r="CT589" s="35"/>
      <c r="CX589"/>
      <c r="CZ589" s="35"/>
      <c r="DD589" s="34"/>
      <c r="DG589" t="s">
        <v>768</v>
      </c>
      <c r="DH589" t="s">
        <v>948</v>
      </c>
      <c r="DI589" t="s">
        <v>286</v>
      </c>
      <c r="DL589" t="s">
        <v>669</v>
      </c>
      <c r="DM589">
        <v>3</v>
      </c>
      <c r="DN589">
        <v>9</v>
      </c>
      <c r="DO589" t="s">
        <v>769</v>
      </c>
      <c r="DQ589" t="s">
        <v>927</v>
      </c>
      <c r="DR589">
        <v>14</v>
      </c>
      <c r="DS589">
        <v>2</v>
      </c>
      <c r="DU589">
        <v>14</v>
      </c>
      <c r="DV589">
        <v>2</v>
      </c>
      <c r="DX589">
        <v>14</v>
      </c>
      <c r="DY589">
        <v>2</v>
      </c>
      <c r="DZ589" t="s">
        <v>246</v>
      </c>
      <c r="EA589" t="s">
        <v>929</v>
      </c>
    </row>
    <row r="590" spans="1:131" x14ac:dyDescent="0.4">
      <c r="A590" s="34">
        <v>43067.305104166669</v>
      </c>
      <c r="B590" s="25">
        <v>42934.695138888892</v>
      </c>
      <c r="D590" s="34"/>
      <c r="E590" s="34" t="s">
        <v>193</v>
      </c>
      <c r="F590" s="34" t="s">
        <v>191</v>
      </c>
      <c r="G590" s="34" t="s">
        <v>100</v>
      </c>
      <c r="H590" t="s">
        <v>279</v>
      </c>
      <c r="I590" t="s">
        <v>243</v>
      </c>
      <c r="J590" t="s">
        <v>712</v>
      </c>
      <c r="K590" t="s">
        <v>713</v>
      </c>
      <c r="L590" t="s">
        <v>711</v>
      </c>
      <c r="M590" s="30">
        <v>3.13</v>
      </c>
      <c r="N590">
        <v>6.25</v>
      </c>
      <c r="P590" s="24" t="str">
        <f>IFERROR(MID(RADataTable[[#This Row],[RATemplate]],1,LEN(RADataTable[[#This Row],[RATemplate]])-8),"RA") &amp; " " &amp; RADataTable[[#This Row],[prop_id0]] &amp; " " &amp; RADataTable[[#This Row],[last0]]</f>
        <v>RA 1749977 Solomon</v>
      </c>
      <c r="T590">
        <v>4</v>
      </c>
      <c r="U590">
        <v>4</v>
      </c>
      <c r="V590" s="34">
        <v>43030.972222222219</v>
      </c>
      <c r="W590">
        <v>1</v>
      </c>
      <c r="X590" s="15" t="str">
        <f>HYPERLINK("https://www.ejacket.nsf.gov/ej/showProposal.do?Continue=Y&amp;ID="&amp;RADataTable[[#This Row],[prop_id0]],"eJ")</f>
        <v>eJ</v>
      </c>
      <c r="Y590" s="15" t="str">
        <f>HYPERLINK("mailto:"&amp;RADataTable[[#This Row],[email]]&amp;"&amp;subject=Your NSF Proposal:  "&amp;RADataTable[[#This Row],[Div]]&amp;" "&amp;RADataTable[[#This Row],[prop_id0]], RADataTable[[#This Row],[email]])</f>
        <v>jsolomon@mit.edu</v>
      </c>
      <c r="Z590" s="15" t="str">
        <f>HYPERLINK("mailto:"&amp;RADataTable[[#This Row],[allPIemail]]&amp;"&amp;subject=NSF Proposal:  "&amp;RADataTable[[#This Row],[Div]]&amp;" "&amp;RADataTable[[#This Row],[prop_id0]], "PIs@")</f>
        <v>PIs@</v>
      </c>
      <c r="AA590" t="s">
        <v>245</v>
      </c>
      <c r="AB590" t="s">
        <v>669</v>
      </c>
      <c r="AC590" s="30" t="s">
        <v>766</v>
      </c>
      <c r="AD590" t="s">
        <v>767</v>
      </c>
      <c r="AE590" t="s">
        <v>244</v>
      </c>
      <c r="AF590" s="36">
        <v>550000</v>
      </c>
      <c r="AG590" s="36">
        <v>550000</v>
      </c>
      <c r="AH590" s="24"/>
      <c r="AJ590" s="34"/>
      <c r="AK590" t="s">
        <v>923</v>
      </c>
      <c r="AL590" t="s">
        <v>287</v>
      </c>
      <c r="AM590" s="34" t="s">
        <v>925</v>
      </c>
      <c r="AN590" s="34">
        <v>43032</v>
      </c>
      <c r="AO590" s="24">
        <v>13</v>
      </c>
      <c r="AP590" t="s">
        <v>947</v>
      </c>
      <c r="AR590" s="35"/>
      <c r="AS590"/>
      <c r="AT590" s="34"/>
      <c r="AV590" s="34"/>
      <c r="AX590" s="34"/>
      <c r="AY590"/>
      <c r="BA590" s="34"/>
      <c r="BB590"/>
      <c r="BC590" t="s">
        <v>770</v>
      </c>
      <c r="BD590" s="36">
        <v>550000</v>
      </c>
      <c r="BE590" s="36">
        <v>550000</v>
      </c>
      <c r="BF590">
        <v>0</v>
      </c>
      <c r="BG590" s="34">
        <v>43101</v>
      </c>
      <c r="BH590">
        <v>60</v>
      </c>
      <c r="BI590" t="s">
        <v>283</v>
      </c>
      <c r="BJ590" t="s">
        <v>928</v>
      </c>
      <c r="BK590" t="s">
        <v>234</v>
      </c>
      <c r="BL590" t="s">
        <v>194</v>
      </c>
      <c r="BM590" s="8" t="s">
        <v>192</v>
      </c>
      <c r="BN590" t="s">
        <v>189</v>
      </c>
      <c r="BO590" t="s">
        <v>190</v>
      </c>
      <c r="BP590" s="35" t="s">
        <v>726</v>
      </c>
      <c r="BQ590"/>
      <c r="BU590" s="35"/>
      <c r="BV590" s="35"/>
      <c r="BX590"/>
      <c r="CA590" s="35"/>
      <c r="CB590" s="35"/>
      <c r="CC590"/>
      <c r="CG590" s="35"/>
      <c r="CH590" s="35"/>
      <c r="CK590"/>
      <c r="CM590" s="35"/>
      <c r="CN590" s="35"/>
      <c r="CQ590"/>
      <c r="CS590" s="35"/>
      <c r="CT590" s="35"/>
      <c r="CX590"/>
      <c r="CZ590" s="35"/>
      <c r="DD590" s="34"/>
      <c r="DG590" t="s">
        <v>768</v>
      </c>
      <c r="DH590" t="s">
        <v>948</v>
      </c>
      <c r="DI590" t="s">
        <v>286</v>
      </c>
      <c r="DL590" t="s">
        <v>669</v>
      </c>
      <c r="DM590">
        <v>3</v>
      </c>
      <c r="DN590">
        <v>9</v>
      </c>
      <c r="DO590" t="s">
        <v>769</v>
      </c>
      <c r="DQ590" t="s">
        <v>927</v>
      </c>
      <c r="DR590">
        <v>14</v>
      </c>
      <c r="DS590">
        <v>2</v>
      </c>
      <c r="DU590">
        <v>14</v>
      </c>
      <c r="DV590">
        <v>2</v>
      </c>
      <c r="DX590">
        <v>14</v>
      </c>
      <c r="DY590">
        <v>2</v>
      </c>
      <c r="DZ590" t="s">
        <v>246</v>
      </c>
      <c r="EA590" t="s">
        <v>929</v>
      </c>
    </row>
    <row r="591" spans="1:131" x14ac:dyDescent="0.4">
      <c r="A591" s="34">
        <v>43067.305104166669</v>
      </c>
      <c r="B591" s="25">
        <v>42934.695138888892</v>
      </c>
      <c r="D591" s="34"/>
      <c r="E591" s="34" t="s">
        <v>193</v>
      </c>
      <c r="F591" s="34" t="s">
        <v>191</v>
      </c>
      <c r="G591" s="34" t="s">
        <v>100</v>
      </c>
      <c r="H591" t="s">
        <v>279</v>
      </c>
      <c r="I591" t="s">
        <v>243</v>
      </c>
      <c r="J591" t="s">
        <v>712</v>
      </c>
      <c r="K591" t="s">
        <v>713</v>
      </c>
      <c r="L591" t="s">
        <v>711</v>
      </c>
      <c r="M591" s="30">
        <v>3.13</v>
      </c>
      <c r="N591">
        <v>6.25</v>
      </c>
      <c r="P591" s="24" t="str">
        <f>IFERROR(MID(RADataTable[[#This Row],[RATemplate]],1,LEN(RADataTable[[#This Row],[RATemplate]])-8),"RA") &amp; " " &amp; RADataTable[[#This Row],[prop_id0]] &amp; " " &amp; RADataTable[[#This Row],[last0]]</f>
        <v>RA 1749977 Solomon</v>
      </c>
      <c r="T591">
        <v>4</v>
      </c>
      <c r="U591">
        <v>4</v>
      </c>
      <c r="V591" s="34">
        <v>43030.972222222219</v>
      </c>
      <c r="W591">
        <v>1</v>
      </c>
      <c r="X591" s="15" t="str">
        <f>HYPERLINK("https://www.ejacket.nsf.gov/ej/showProposal.do?Continue=Y&amp;ID="&amp;RADataTable[[#This Row],[prop_id0]],"eJ")</f>
        <v>eJ</v>
      </c>
      <c r="Y591" s="15" t="str">
        <f>HYPERLINK("mailto:"&amp;RADataTable[[#This Row],[email]]&amp;"&amp;subject=Your NSF Proposal:  "&amp;RADataTable[[#This Row],[Div]]&amp;" "&amp;RADataTable[[#This Row],[prop_id0]], RADataTable[[#This Row],[email]])</f>
        <v>jsolomon@mit.edu</v>
      </c>
      <c r="Z591" s="15" t="str">
        <f>HYPERLINK("mailto:"&amp;RADataTable[[#This Row],[allPIemail]]&amp;"&amp;subject=NSF Proposal:  "&amp;RADataTable[[#This Row],[Div]]&amp;" "&amp;RADataTable[[#This Row],[prop_id0]], "PIs@")</f>
        <v>PIs@</v>
      </c>
      <c r="AA591" t="s">
        <v>245</v>
      </c>
      <c r="AB591" t="s">
        <v>669</v>
      </c>
      <c r="AC591" s="30" t="s">
        <v>766</v>
      </c>
      <c r="AD591" t="s">
        <v>767</v>
      </c>
      <c r="AE591" t="s">
        <v>244</v>
      </c>
      <c r="AF591" s="36">
        <v>550000</v>
      </c>
      <c r="AG591" s="36">
        <v>550000</v>
      </c>
      <c r="AH591" s="24"/>
      <c r="AJ591" s="34"/>
      <c r="AK591" t="s">
        <v>923</v>
      </c>
      <c r="AL591" t="s">
        <v>287</v>
      </c>
      <c r="AM591" s="34" t="s">
        <v>925</v>
      </c>
      <c r="AN591" s="34">
        <v>43032</v>
      </c>
      <c r="AO591" s="24">
        <v>13</v>
      </c>
      <c r="AP591" t="s">
        <v>947</v>
      </c>
      <c r="AR591" s="35"/>
      <c r="AS591"/>
      <c r="AT591" s="34"/>
      <c r="AV591" s="34"/>
      <c r="AX591" s="34"/>
      <c r="AY591"/>
      <c r="BA591" s="34"/>
      <c r="BB591"/>
      <c r="BC591" t="s">
        <v>770</v>
      </c>
      <c r="BD591" s="36">
        <v>550000</v>
      </c>
      <c r="BE591" s="36">
        <v>550000</v>
      </c>
      <c r="BF591">
        <v>0</v>
      </c>
      <c r="BG591" s="34">
        <v>43101</v>
      </c>
      <c r="BH591">
        <v>60</v>
      </c>
      <c r="BI591" t="s">
        <v>283</v>
      </c>
      <c r="BJ591" t="s">
        <v>928</v>
      </c>
      <c r="BK591" t="s">
        <v>234</v>
      </c>
      <c r="BL591" t="s">
        <v>194</v>
      </c>
      <c r="BM591" s="8" t="s">
        <v>192</v>
      </c>
      <c r="BN591" t="s">
        <v>189</v>
      </c>
      <c r="BO591" t="s">
        <v>190</v>
      </c>
      <c r="BP591" s="35" t="s">
        <v>726</v>
      </c>
      <c r="BQ591"/>
      <c r="BU591" s="35"/>
      <c r="BV591" s="35"/>
      <c r="BX591"/>
      <c r="CA591" s="35"/>
      <c r="CB591" s="35"/>
      <c r="CC591"/>
      <c r="CG591" s="35"/>
      <c r="CH591" s="35"/>
      <c r="CK591"/>
      <c r="CM591" s="35"/>
      <c r="CN591" s="35"/>
      <c r="CQ591"/>
      <c r="CS591" s="35"/>
      <c r="CT591" s="35"/>
      <c r="CX591"/>
      <c r="CZ591" s="35"/>
      <c r="DD591" s="34"/>
      <c r="DG591" t="s">
        <v>768</v>
      </c>
      <c r="DH591" t="s">
        <v>948</v>
      </c>
      <c r="DI591" t="s">
        <v>286</v>
      </c>
      <c r="DL591" t="s">
        <v>669</v>
      </c>
      <c r="DM591">
        <v>3</v>
      </c>
      <c r="DN591">
        <v>9</v>
      </c>
      <c r="DO591" t="s">
        <v>769</v>
      </c>
      <c r="DQ591" t="s">
        <v>927</v>
      </c>
      <c r="DR591">
        <v>14</v>
      </c>
      <c r="DS591">
        <v>2</v>
      </c>
      <c r="DU591">
        <v>14</v>
      </c>
      <c r="DV591">
        <v>2</v>
      </c>
      <c r="DX591">
        <v>14</v>
      </c>
      <c r="DY591">
        <v>2</v>
      </c>
      <c r="DZ591" t="s">
        <v>246</v>
      </c>
      <c r="EA591" t="s">
        <v>929</v>
      </c>
    </row>
    <row r="592" spans="1:131" x14ac:dyDescent="0.4">
      <c r="A592" s="34">
        <v>43067.305104166669</v>
      </c>
      <c r="B592" s="25">
        <v>42934.737500000003</v>
      </c>
      <c r="D592" s="34"/>
      <c r="E592" s="34" t="s">
        <v>193</v>
      </c>
      <c r="F592" s="34" t="s">
        <v>191</v>
      </c>
      <c r="G592" s="34" t="s">
        <v>100</v>
      </c>
      <c r="H592" t="s">
        <v>279</v>
      </c>
      <c r="I592" t="s">
        <v>243</v>
      </c>
      <c r="J592" t="s">
        <v>712</v>
      </c>
      <c r="K592" t="s">
        <v>758</v>
      </c>
      <c r="L592" t="s">
        <v>711</v>
      </c>
      <c r="M592" s="30">
        <v>3.13</v>
      </c>
      <c r="N592">
        <v>4.5</v>
      </c>
      <c r="P592" s="24" t="str">
        <f>IFERROR(MID(RADataTable[[#This Row],[RATemplate]],1,LEN(RADataTable[[#This Row],[RATemplate]])-8),"RA") &amp; " " &amp; RADataTable[[#This Row],[prop_id0]] &amp; " " &amp; RADataTable[[#This Row],[last0]]</f>
        <v>RA 1750039 Solomonik</v>
      </c>
      <c r="T592">
        <v>4</v>
      </c>
      <c r="U592">
        <v>4</v>
      </c>
      <c r="V592" s="34">
        <v>43031.922222222223</v>
      </c>
      <c r="W592">
        <v>1</v>
      </c>
      <c r="X592" s="15" t="str">
        <f>HYPERLINK("https://www.ejacket.nsf.gov/ej/showProposal.do?Continue=Y&amp;ID="&amp;RADataTable[[#This Row],[prop_id0]],"eJ")</f>
        <v>eJ</v>
      </c>
      <c r="Y592" s="15" t="str">
        <f>HYPERLINK("mailto:"&amp;RADataTable[[#This Row],[email]]&amp;"&amp;subject=Your NSF Proposal:  "&amp;RADataTable[[#This Row],[Div]]&amp;" "&amp;RADataTable[[#This Row],[prop_id0]], RADataTable[[#This Row],[email]])</f>
        <v>solomon2@illinois.edu</v>
      </c>
      <c r="Z592" s="15" t="str">
        <f>HYPERLINK("mailto:"&amp;RADataTable[[#This Row],[allPIemail]]&amp;"&amp;subject=NSF Proposal:  "&amp;RADataTable[[#This Row],[Div]]&amp;" "&amp;RADataTable[[#This Row],[prop_id0]], "PIs@")</f>
        <v>PIs@</v>
      </c>
      <c r="AA592" t="s">
        <v>245</v>
      </c>
      <c r="AB592" t="s">
        <v>670</v>
      </c>
      <c r="AC592" s="30" t="s">
        <v>771</v>
      </c>
      <c r="AD592" t="s">
        <v>772</v>
      </c>
      <c r="AE592" t="s">
        <v>761</v>
      </c>
      <c r="AF592" s="36">
        <v>524117</v>
      </c>
      <c r="AG592" s="36">
        <v>524117</v>
      </c>
      <c r="AH592" s="24"/>
      <c r="AJ592" s="34"/>
      <c r="AK592" t="s">
        <v>923</v>
      </c>
      <c r="AL592" t="s">
        <v>287</v>
      </c>
      <c r="AM592" s="34" t="s">
        <v>925</v>
      </c>
      <c r="AN592" s="34">
        <v>43032</v>
      </c>
      <c r="AO592" s="24">
        <v>13</v>
      </c>
      <c r="AP592" t="s">
        <v>949</v>
      </c>
      <c r="AR592" s="35"/>
      <c r="AS592"/>
      <c r="AT592" s="34"/>
      <c r="AV592" s="34"/>
      <c r="AX592" s="34"/>
      <c r="AY592"/>
      <c r="BA592" s="34"/>
      <c r="BB592"/>
      <c r="BC592" t="s">
        <v>775</v>
      </c>
      <c r="BD592" s="36">
        <v>524117</v>
      </c>
      <c r="BE592" s="36">
        <v>524117</v>
      </c>
      <c r="BF592">
        <v>0</v>
      </c>
      <c r="BG592" s="34">
        <v>43132</v>
      </c>
      <c r="BH592">
        <v>60</v>
      </c>
      <c r="BI592" t="s">
        <v>283</v>
      </c>
      <c r="BJ592" t="s">
        <v>928</v>
      </c>
      <c r="BK592" t="s">
        <v>945</v>
      </c>
      <c r="BL592" t="s">
        <v>194</v>
      </c>
      <c r="BM592" s="8" t="s">
        <v>192</v>
      </c>
      <c r="BN592" t="s">
        <v>189</v>
      </c>
      <c r="BO592" t="s">
        <v>190</v>
      </c>
      <c r="BP592" s="35" t="s">
        <v>733</v>
      </c>
      <c r="BQ592"/>
      <c r="BU592" s="35"/>
      <c r="BV592" s="35"/>
      <c r="BX592"/>
      <c r="CA592" s="35"/>
      <c r="CB592" s="35"/>
      <c r="CC592"/>
      <c r="CG592" s="35"/>
      <c r="CH592" s="35"/>
      <c r="CK592"/>
      <c r="CM592" s="35"/>
      <c r="CN592" s="35"/>
      <c r="CQ592"/>
      <c r="CS592" s="35"/>
      <c r="CT592" s="35"/>
      <c r="CX592"/>
      <c r="CZ592" s="35"/>
      <c r="DD592" s="34"/>
      <c r="DG592" t="s">
        <v>773</v>
      </c>
      <c r="DH592" t="s">
        <v>950</v>
      </c>
      <c r="DI592" t="s">
        <v>286</v>
      </c>
      <c r="DL592" t="s">
        <v>670</v>
      </c>
      <c r="DM592">
        <v>3</v>
      </c>
      <c r="DN592">
        <v>5</v>
      </c>
      <c r="DO592" t="s">
        <v>774</v>
      </c>
      <c r="DQ592" t="s">
        <v>927</v>
      </c>
      <c r="DR592">
        <v>14</v>
      </c>
      <c r="DS592">
        <v>2</v>
      </c>
      <c r="DU592">
        <v>14</v>
      </c>
      <c r="DV592">
        <v>2</v>
      </c>
      <c r="DX592">
        <v>14</v>
      </c>
      <c r="DY592">
        <v>2</v>
      </c>
      <c r="DZ592" t="s">
        <v>246</v>
      </c>
      <c r="EA592" t="s">
        <v>929</v>
      </c>
    </row>
    <row r="593" spans="1:131" x14ac:dyDescent="0.4">
      <c r="A593" s="34">
        <v>43067.305104166669</v>
      </c>
      <c r="B593" s="25">
        <v>42934.737500000003</v>
      </c>
      <c r="D593" s="34"/>
      <c r="E593" s="34" t="s">
        <v>193</v>
      </c>
      <c r="F593" s="34" t="s">
        <v>191</v>
      </c>
      <c r="G593" s="34" t="s">
        <v>100</v>
      </c>
      <c r="H593" t="s">
        <v>279</v>
      </c>
      <c r="I593" t="s">
        <v>243</v>
      </c>
      <c r="J593" t="s">
        <v>712</v>
      </c>
      <c r="K593" t="s">
        <v>758</v>
      </c>
      <c r="L593" t="s">
        <v>711</v>
      </c>
      <c r="M593" s="30">
        <v>3.13</v>
      </c>
      <c r="N593">
        <v>4.5</v>
      </c>
      <c r="P593" s="24" t="str">
        <f>IFERROR(MID(RADataTable[[#This Row],[RATemplate]],1,LEN(RADataTable[[#This Row],[RATemplate]])-8),"RA") &amp; " " &amp; RADataTable[[#This Row],[prop_id0]] &amp; " " &amp; RADataTable[[#This Row],[last0]]</f>
        <v>RA 1750039 Solomonik</v>
      </c>
      <c r="T593">
        <v>4</v>
      </c>
      <c r="U593">
        <v>4</v>
      </c>
      <c r="V593" s="34">
        <v>43031.922222222223</v>
      </c>
      <c r="W593">
        <v>1</v>
      </c>
      <c r="X593" s="15" t="str">
        <f>HYPERLINK("https://www.ejacket.nsf.gov/ej/showProposal.do?Continue=Y&amp;ID="&amp;RADataTable[[#This Row],[prop_id0]],"eJ")</f>
        <v>eJ</v>
      </c>
      <c r="Y593" s="15" t="str">
        <f>HYPERLINK("mailto:"&amp;RADataTable[[#This Row],[email]]&amp;"&amp;subject=Your NSF Proposal:  "&amp;RADataTable[[#This Row],[Div]]&amp;" "&amp;RADataTable[[#This Row],[prop_id0]], RADataTable[[#This Row],[email]])</f>
        <v>solomon2@illinois.edu</v>
      </c>
      <c r="Z593" s="15" t="str">
        <f>HYPERLINK("mailto:"&amp;RADataTable[[#This Row],[allPIemail]]&amp;"&amp;subject=NSF Proposal:  "&amp;RADataTable[[#This Row],[Div]]&amp;" "&amp;RADataTable[[#This Row],[prop_id0]], "PIs@")</f>
        <v>PIs@</v>
      </c>
      <c r="AA593" t="s">
        <v>245</v>
      </c>
      <c r="AB593" t="s">
        <v>670</v>
      </c>
      <c r="AC593" s="30" t="s">
        <v>771</v>
      </c>
      <c r="AD593" t="s">
        <v>772</v>
      </c>
      <c r="AE593" t="s">
        <v>761</v>
      </c>
      <c r="AF593" s="36">
        <v>524117</v>
      </c>
      <c r="AG593" s="36">
        <v>524117</v>
      </c>
      <c r="AH593" s="24"/>
      <c r="AJ593" s="34"/>
      <c r="AK593" t="s">
        <v>923</v>
      </c>
      <c r="AL593" t="s">
        <v>287</v>
      </c>
      <c r="AM593" s="34" t="s">
        <v>925</v>
      </c>
      <c r="AN593" s="34">
        <v>43032</v>
      </c>
      <c r="AO593" s="24">
        <v>13</v>
      </c>
      <c r="AP593" t="s">
        <v>949</v>
      </c>
      <c r="AR593" s="35"/>
      <c r="AS593"/>
      <c r="AT593" s="34"/>
      <c r="AV593" s="34"/>
      <c r="AX593" s="34"/>
      <c r="AY593"/>
      <c r="BA593" s="34"/>
      <c r="BB593"/>
      <c r="BC593" t="s">
        <v>775</v>
      </c>
      <c r="BD593" s="36">
        <v>524117</v>
      </c>
      <c r="BE593" s="36">
        <v>524117</v>
      </c>
      <c r="BF593">
        <v>0</v>
      </c>
      <c r="BG593" s="34">
        <v>43132</v>
      </c>
      <c r="BH593">
        <v>60</v>
      </c>
      <c r="BI593" t="s">
        <v>283</v>
      </c>
      <c r="BJ593" t="s">
        <v>928</v>
      </c>
      <c r="BK593" t="s">
        <v>945</v>
      </c>
      <c r="BL593" t="s">
        <v>194</v>
      </c>
      <c r="BM593" s="8" t="s">
        <v>192</v>
      </c>
      <c r="BN593" t="s">
        <v>189</v>
      </c>
      <c r="BO593" t="s">
        <v>190</v>
      </c>
      <c r="BP593" s="35" t="s">
        <v>733</v>
      </c>
      <c r="BQ593"/>
      <c r="BU593" s="35"/>
      <c r="BV593" s="35"/>
      <c r="BX593"/>
      <c r="CA593" s="35"/>
      <c r="CB593" s="35"/>
      <c r="CC593"/>
      <c r="CG593" s="35"/>
      <c r="CH593" s="35"/>
      <c r="CK593"/>
      <c r="CM593" s="35"/>
      <c r="CN593" s="35"/>
      <c r="CQ593"/>
      <c r="CS593" s="35"/>
      <c r="CT593" s="35"/>
      <c r="CX593"/>
      <c r="CZ593" s="35"/>
      <c r="DD593" s="34"/>
      <c r="DG593" t="s">
        <v>773</v>
      </c>
      <c r="DH593" t="s">
        <v>950</v>
      </c>
      <c r="DI593" t="s">
        <v>286</v>
      </c>
      <c r="DL593" t="s">
        <v>670</v>
      </c>
      <c r="DM593">
        <v>3</v>
      </c>
      <c r="DN593">
        <v>5</v>
      </c>
      <c r="DO593" t="s">
        <v>774</v>
      </c>
      <c r="DQ593" t="s">
        <v>927</v>
      </c>
      <c r="DR593">
        <v>14</v>
      </c>
      <c r="DS593">
        <v>2</v>
      </c>
      <c r="DU593">
        <v>14</v>
      </c>
      <c r="DV593">
        <v>2</v>
      </c>
      <c r="DX593">
        <v>14</v>
      </c>
      <c r="DY593">
        <v>2</v>
      </c>
      <c r="DZ593" t="s">
        <v>246</v>
      </c>
      <c r="EA593" t="s">
        <v>929</v>
      </c>
    </row>
    <row r="594" spans="1:131" x14ac:dyDescent="0.4">
      <c r="A594" s="34">
        <v>43067.305104166669</v>
      </c>
      <c r="B594" s="25">
        <v>42934.737500000003</v>
      </c>
      <c r="D594" s="34"/>
      <c r="E594" s="34" t="s">
        <v>193</v>
      </c>
      <c r="F594" s="34" t="s">
        <v>191</v>
      </c>
      <c r="G594" s="34" t="s">
        <v>100</v>
      </c>
      <c r="H594" t="s">
        <v>279</v>
      </c>
      <c r="I594" t="s">
        <v>243</v>
      </c>
      <c r="J594" t="s">
        <v>712</v>
      </c>
      <c r="K594" t="s">
        <v>758</v>
      </c>
      <c r="L594" t="s">
        <v>711</v>
      </c>
      <c r="M594" s="30">
        <v>3.13</v>
      </c>
      <c r="N594">
        <v>4.5</v>
      </c>
      <c r="P594" s="24" t="str">
        <f>IFERROR(MID(RADataTable[[#This Row],[RATemplate]],1,LEN(RADataTable[[#This Row],[RATemplate]])-8),"RA") &amp; " " &amp; RADataTable[[#This Row],[prop_id0]] &amp; " " &amp; RADataTable[[#This Row],[last0]]</f>
        <v>RA 1750039 Solomonik</v>
      </c>
      <c r="T594">
        <v>4</v>
      </c>
      <c r="U594">
        <v>4</v>
      </c>
      <c r="V594" s="34">
        <v>43031.922222222223</v>
      </c>
      <c r="W594">
        <v>1</v>
      </c>
      <c r="X594" s="15" t="str">
        <f>HYPERLINK("https://www.ejacket.nsf.gov/ej/showProposal.do?Continue=Y&amp;ID="&amp;RADataTable[[#This Row],[prop_id0]],"eJ")</f>
        <v>eJ</v>
      </c>
      <c r="Y594" s="15" t="str">
        <f>HYPERLINK("mailto:"&amp;RADataTable[[#This Row],[email]]&amp;"&amp;subject=Your NSF Proposal:  "&amp;RADataTable[[#This Row],[Div]]&amp;" "&amp;RADataTable[[#This Row],[prop_id0]], RADataTable[[#This Row],[email]])</f>
        <v>solomon2@illinois.edu</v>
      </c>
      <c r="Z594" s="15" t="str">
        <f>HYPERLINK("mailto:"&amp;RADataTable[[#This Row],[allPIemail]]&amp;"&amp;subject=NSF Proposal:  "&amp;RADataTable[[#This Row],[Div]]&amp;" "&amp;RADataTable[[#This Row],[prop_id0]], "PIs@")</f>
        <v>PIs@</v>
      </c>
      <c r="AA594" t="s">
        <v>245</v>
      </c>
      <c r="AB594" t="s">
        <v>670</v>
      </c>
      <c r="AC594" s="30" t="s">
        <v>771</v>
      </c>
      <c r="AD594" t="s">
        <v>772</v>
      </c>
      <c r="AE594" t="s">
        <v>761</v>
      </c>
      <c r="AF594" s="36">
        <v>524117</v>
      </c>
      <c r="AG594" s="36">
        <v>524117</v>
      </c>
      <c r="AH594" s="24"/>
      <c r="AJ594" s="34"/>
      <c r="AK594" t="s">
        <v>923</v>
      </c>
      <c r="AL594" t="s">
        <v>287</v>
      </c>
      <c r="AM594" s="34" t="s">
        <v>925</v>
      </c>
      <c r="AN594" s="34">
        <v>43032</v>
      </c>
      <c r="AO594" s="24">
        <v>13</v>
      </c>
      <c r="AP594" t="s">
        <v>949</v>
      </c>
      <c r="AR594" s="35"/>
      <c r="AS594"/>
      <c r="AT594" s="34"/>
      <c r="AV594" s="34"/>
      <c r="AX594" s="34"/>
      <c r="AY594"/>
      <c r="BA594" s="34"/>
      <c r="BB594"/>
      <c r="BC594" t="s">
        <v>775</v>
      </c>
      <c r="BD594" s="36">
        <v>524117</v>
      </c>
      <c r="BE594" s="36">
        <v>524117</v>
      </c>
      <c r="BF594">
        <v>0</v>
      </c>
      <c r="BG594" s="34">
        <v>43132</v>
      </c>
      <c r="BH594">
        <v>60</v>
      </c>
      <c r="BI594" t="s">
        <v>283</v>
      </c>
      <c r="BJ594" t="s">
        <v>928</v>
      </c>
      <c r="BK594" t="s">
        <v>945</v>
      </c>
      <c r="BL594" t="s">
        <v>194</v>
      </c>
      <c r="BM594" s="8" t="s">
        <v>192</v>
      </c>
      <c r="BN594" t="s">
        <v>189</v>
      </c>
      <c r="BO594" t="s">
        <v>190</v>
      </c>
      <c r="BP594" s="35" t="s">
        <v>733</v>
      </c>
      <c r="BQ594"/>
      <c r="BU594" s="35"/>
      <c r="BV594" s="35"/>
      <c r="BX594"/>
      <c r="CA594" s="35"/>
      <c r="CB594" s="35"/>
      <c r="CC594"/>
      <c r="CG594" s="35"/>
      <c r="CH594" s="35"/>
      <c r="CK594"/>
      <c r="CM594" s="35"/>
      <c r="CN594" s="35"/>
      <c r="CQ594"/>
      <c r="CS594" s="35"/>
      <c r="CT594" s="35"/>
      <c r="CX594"/>
      <c r="CZ594" s="35"/>
      <c r="DD594" s="34"/>
      <c r="DG594" t="s">
        <v>773</v>
      </c>
      <c r="DH594" t="s">
        <v>950</v>
      </c>
      <c r="DI594" t="s">
        <v>286</v>
      </c>
      <c r="DL594" t="s">
        <v>670</v>
      </c>
      <c r="DM594">
        <v>3</v>
      </c>
      <c r="DN594">
        <v>5</v>
      </c>
      <c r="DO594" t="s">
        <v>774</v>
      </c>
      <c r="DQ594" t="s">
        <v>927</v>
      </c>
      <c r="DR594">
        <v>14</v>
      </c>
      <c r="DS594">
        <v>2</v>
      </c>
      <c r="DU594">
        <v>14</v>
      </c>
      <c r="DV594">
        <v>2</v>
      </c>
      <c r="DX594">
        <v>14</v>
      </c>
      <c r="DY594">
        <v>2</v>
      </c>
      <c r="DZ594" t="s">
        <v>246</v>
      </c>
      <c r="EA594" t="s">
        <v>929</v>
      </c>
    </row>
    <row r="595" spans="1:131" x14ac:dyDescent="0.4">
      <c r="A595" s="34">
        <v>43067.305104166669</v>
      </c>
      <c r="B595" s="25">
        <v>42934.737500000003</v>
      </c>
      <c r="D595" s="34"/>
      <c r="E595" s="34" t="s">
        <v>193</v>
      </c>
      <c r="F595" s="34" t="s">
        <v>191</v>
      </c>
      <c r="G595" s="34" t="s">
        <v>100</v>
      </c>
      <c r="H595" t="s">
        <v>279</v>
      </c>
      <c r="I595" t="s">
        <v>243</v>
      </c>
      <c r="J595" t="s">
        <v>712</v>
      </c>
      <c r="K595" t="s">
        <v>758</v>
      </c>
      <c r="L595" t="s">
        <v>711</v>
      </c>
      <c r="M595" s="30">
        <v>3.13</v>
      </c>
      <c r="N595">
        <v>4.5</v>
      </c>
      <c r="P595" s="24" t="str">
        <f>IFERROR(MID(RADataTable[[#This Row],[RATemplate]],1,LEN(RADataTable[[#This Row],[RATemplate]])-8),"RA") &amp; " " &amp; RADataTable[[#This Row],[prop_id0]] &amp; " " &amp; RADataTable[[#This Row],[last0]]</f>
        <v>RA 1750039 Solomonik</v>
      </c>
      <c r="T595">
        <v>4</v>
      </c>
      <c r="U595">
        <v>4</v>
      </c>
      <c r="V595" s="34">
        <v>43031.922222222223</v>
      </c>
      <c r="W595">
        <v>1</v>
      </c>
      <c r="X595" s="15" t="str">
        <f>HYPERLINK("https://www.ejacket.nsf.gov/ej/showProposal.do?Continue=Y&amp;ID="&amp;RADataTable[[#This Row],[prop_id0]],"eJ")</f>
        <v>eJ</v>
      </c>
      <c r="Y595" s="15" t="str">
        <f>HYPERLINK("mailto:"&amp;RADataTable[[#This Row],[email]]&amp;"&amp;subject=Your NSF Proposal:  "&amp;RADataTable[[#This Row],[Div]]&amp;" "&amp;RADataTable[[#This Row],[prop_id0]], RADataTable[[#This Row],[email]])</f>
        <v>solomon2@illinois.edu</v>
      </c>
      <c r="Z595" s="15" t="str">
        <f>HYPERLINK("mailto:"&amp;RADataTable[[#This Row],[allPIemail]]&amp;"&amp;subject=NSF Proposal:  "&amp;RADataTable[[#This Row],[Div]]&amp;" "&amp;RADataTable[[#This Row],[prop_id0]], "PIs@")</f>
        <v>PIs@</v>
      </c>
      <c r="AA595" t="s">
        <v>245</v>
      </c>
      <c r="AB595" t="s">
        <v>670</v>
      </c>
      <c r="AC595" s="30" t="s">
        <v>771</v>
      </c>
      <c r="AD595" t="s">
        <v>772</v>
      </c>
      <c r="AE595" t="s">
        <v>761</v>
      </c>
      <c r="AF595" s="36">
        <v>524117</v>
      </c>
      <c r="AG595" s="36">
        <v>524117</v>
      </c>
      <c r="AH595" s="24"/>
      <c r="AJ595" s="34"/>
      <c r="AK595" t="s">
        <v>923</v>
      </c>
      <c r="AL595" t="s">
        <v>287</v>
      </c>
      <c r="AM595" s="34" t="s">
        <v>925</v>
      </c>
      <c r="AN595" s="34">
        <v>43032</v>
      </c>
      <c r="AO595" s="24">
        <v>13</v>
      </c>
      <c r="AP595" t="s">
        <v>949</v>
      </c>
      <c r="AR595" s="35"/>
      <c r="AS595"/>
      <c r="AT595" s="34"/>
      <c r="AV595" s="34"/>
      <c r="AX595" s="34"/>
      <c r="AY595"/>
      <c r="BA595" s="34"/>
      <c r="BB595"/>
      <c r="BC595" t="s">
        <v>775</v>
      </c>
      <c r="BD595" s="36">
        <v>524117</v>
      </c>
      <c r="BE595" s="36">
        <v>524117</v>
      </c>
      <c r="BF595">
        <v>0</v>
      </c>
      <c r="BG595" s="34">
        <v>43132</v>
      </c>
      <c r="BH595">
        <v>60</v>
      </c>
      <c r="BI595" t="s">
        <v>283</v>
      </c>
      <c r="BJ595" t="s">
        <v>928</v>
      </c>
      <c r="BK595" t="s">
        <v>945</v>
      </c>
      <c r="BL595" t="s">
        <v>194</v>
      </c>
      <c r="BM595" s="8" t="s">
        <v>192</v>
      </c>
      <c r="BN595" t="s">
        <v>189</v>
      </c>
      <c r="BO595" t="s">
        <v>190</v>
      </c>
      <c r="BP595" s="35" t="s">
        <v>733</v>
      </c>
      <c r="BQ595"/>
      <c r="BU595" s="35"/>
      <c r="BV595" s="35"/>
      <c r="BX595"/>
      <c r="CA595" s="35"/>
      <c r="CB595" s="35"/>
      <c r="CC595"/>
      <c r="CG595" s="35"/>
      <c r="CH595" s="35"/>
      <c r="CK595"/>
      <c r="CM595" s="35"/>
      <c r="CN595" s="35"/>
      <c r="CQ595"/>
      <c r="CS595" s="35"/>
      <c r="CT595" s="35"/>
      <c r="CX595"/>
      <c r="CZ595" s="35"/>
      <c r="DD595" s="34"/>
      <c r="DG595" t="s">
        <v>773</v>
      </c>
      <c r="DH595" t="s">
        <v>950</v>
      </c>
      <c r="DI595" t="s">
        <v>286</v>
      </c>
      <c r="DL595" t="s">
        <v>670</v>
      </c>
      <c r="DM595">
        <v>3</v>
      </c>
      <c r="DN595">
        <v>5</v>
      </c>
      <c r="DO595" t="s">
        <v>774</v>
      </c>
      <c r="DQ595" t="s">
        <v>927</v>
      </c>
      <c r="DR595">
        <v>14</v>
      </c>
      <c r="DS595">
        <v>2</v>
      </c>
      <c r="DU595">
        <v>14</v>
      </c>
      <c r="DV595">
        <v>2</v>
      </c>
      <c r="DX595">
        <v>14</v>
      </c>
      <c r="DY595">
        <v>2</v>
      </c>
      <c r="DZ595" t="s">
        <v>246</v>
      </c>
      <c r="EA595" t="s">
        <v>929</v>
      </c>
    </row>
    <row r="596" spans="1:131" x14ac:dyDescent="0.4">
      <c r="A596" s="34">
        <v>43067.305104166669</v>
      </c>
      <c r="B596" s="25">
        <v>42934.737500000003</v>
      </c>
      <c r="D596" s="34"/>
      <c r="E596" s="34" t="s">
        <v>193</v>
      </c>
      <c r="F596" s="34" t="s">
        <v>191</v>
      </c>
      <c r="G596" s="34" t="s">
        <v>100</v>
      </c>
      <c r="H596" t="s">
        <v>279</v>
      </c>
      <c r="I596" t="s">
        <v>243</v>
      </c>
      <c r="J596" t="s">
        <v>712</v>
      </c>
      <c r="K596" t="s">
        <v>758</v>
      </c>
      <c r="L596" t="s">
        <v>711</v>
      </c>
      <c r="M596" s="30">
        <v>3.13</v>
      </c>
      <c r="N596">
        <v>4.5</v>
      </c>
      <c r="P596" s="24" t="str">
        <f>IFERROR(MID(RADataTable[[#This Row],[RATemplate]],1,LEN(RADataTable[[#This Row],[RATemplate]])-8),"RA") &amp; " " &amp; RADataTable[[#This Row],[prop_id0]] &amp; " " &amp; RADataTable[[#This Row],[last0]]</f>
        <v>RA 1750039 Solomonik</v>
      </c>
      <c r="T596">
        <v>4</v>
      </c>
      <c r="U596">
        <v>4</v>
      </c>
      <c r="V596" s="34">
        <v>43031.922222222223</v>
      </c>
      <c r="W596">
        <v>1</v>
      </c>
      <c r="X596" s="15" t="str">
        <f>HYPERLINK("https://www.ejacket.nsf.gov/ej/showProposal.do?Continue=Y&amp;ID="&amp;RADataTable[[#This Row],[prop_id0]],"eJ")</f>
        <v>eJ</v>
      </c>
      <c r="Y596" s="15" t="str">
        <f>HYPERLINK("mailto:"&amp;RADataTable[[#This Row],[email]]&amp;"&amp;subject=Your NSF Proposal:  "&amp;RADataTable[[#This Row],[Div]]&amp;" "&amp;RADataTable[[#This Row],[prop_id0]], RADataTable[[#This Row],[email]])</f>
        <v>solomon2@illinois.edu</v>
      </c>
      <c r="Z596" s="15" t="str">
        <f>HYPERLINK("mailto:"&amp;RADataTable[[#This Row],[allPIemail]]&amp;"&amp;subject=NSF Proposal:  "&amp;RADataTable[[#This Row],[Div]]&amp;" "&amp;RADataTable[[#This Row],[prop_id0]], "PIs@")</f>
        <v>PIs@</v>
      </c>
      <c r="AA596" t="s">
        <v>245</v>
      </c>
      <c r="AB596" t="s">
        <v>670</v>
      </c>
      <c r="AC596" s="30" t="s">
        <v>771</v>
      </c>
      <c r="AD596" t="s">
        <v>772</v>
      </c>
      <c r="AE596" t="s">
        <v>761</v>
      </c>
      <c r="AF596" s="36">
        <v>524117</v>
      </c>
      <c r="AG596" s="36">
        <v>524117</v>
      </c>
      <c r="AH596" s="24"/>
      <c r="AJ596" s="34"/>
      <c r="AK596" t="s">
        <v>923</v>
      </c>
      <c r="AL596" t="s">
        <v>287</v>
      </c>
      <c r="AM596" s="34" t="s">
        <v>925</v>
      </c>
      <c r="AN596" s="34">
        <v>43032</v>
      </c>
      <c r="AO596" s="24">
        <v>13</v>
      </c>
      <c r="AP596" t="s">
        <v>949</v>
      </c>
      <c r="AR596" s="35"/>
      <c r="AS596"/>
      <c r="AT596" s="34"/>
      <c r="AV596" s="34"/>
      <c r="AX596" s="34"/>
      <c r="AY596"/>
      <c r="BA596" s="34"/>
      <c r="BB596"/>
      <c r="BC596" t="s">
        <v>775</v>
      </c>
      <c r="BD596" s="36">
        <v>524117</v>
      </c>
      <c r="BE596" s="36">
        <v>524117</v>
      </c>
      <c r="BF596">
        <v>0</v>
      </c>
      <c r="BG596" s="34">
        <v>43132</v>
      </c>
      <c r="BH596">
        <v>60</v>
      </c>
      <c r="BI596" t="s">
        <v>283</v>
      </c>
      <c r="BJ596" t="s">
        <v>928</v>
      </c>
      <c r="BK596" t="s">
        <v>945</v>
      </c>
      <c r="BL596" t="s">
        <v>194</v>
      </c>
      <c r="BM596" s="8" t="s">
        <v>192</v>
      </c>
      <c r="BN596" t="s">
        <v>189</v>
      </c>
      <c r="BO596" t="s">
        <v>190</v>
      </c>
      <c r="BP596" s="35" t="s">
        <v>733</v>
      </c>
      <c r="BQ596"/>
      <c r="BU596" s="35"/>
      <c r="BV596" s="35"/>
      <c r="BX596"/>
      <c r="CA596" s="35"/>
      <c r="CB596" s="35"/>
      <c r="CC596"/>
      <c r="CG596" s="35"/>
      <c r="CH596" s="35"/>
      <c r="CK596"/>
      <c r="CM596" s="35"/>
      <c r="CN596" s="35"/>
      <c r="CQ596"/>
      <c r="CS596" s="35"/>
      <c r="CT596" s="35"/>
      <c r="CX596"/>
      <c r="CZ596" s="35"/>
      <c r="DD596" s="34"/>
      <c r="DG596" t="s">
        <v>773</v>
      </c>
      <c r="DH596" t="s">
        <v>950</v>
      </c>
      <c r="DI596" t="s">
        <v>286</v>
      </c>
      <c r="DL596" t="s">
        <v>670</v>
      </c>
      <c r="DM596">
        <v>3</v>
      </c>
      <c r="DN596">
        <v>5</v>
      </c>
      <c r="DO596" t="s">
        <v>774</v>
      </c>
      <c r="DQ596" t="s">
        <v>927</v>
      </c>
      <c r="DR596">
        <v>14</v>
      </c>
      <c r="DS596">
        <v>2</v>
      </c>
      <c r="DU596">
        <v>14</v>
      </c>
      <c r="DV596">
        <v>2</v>
      </c>
      <c r="DX596">
        <v>14</v>
      </c>
      <c r="DY596">
        <v>2</v>
      </c>
      <c r="DZ596" t="s">
        <v>246</v>
      </c>
      <c r="EA596" t="s">
        <v>929</v>
      </c>
    </row>
    <row r="597" spans="1:131" x14ac:dyDescent="0.4">
      <c r="A597" s="34">
        <v>43067.305104166669</v>
      </c>
      <c r="B597" s="25">
        <v>42934.737500000003</v>
      </c>
      <c r="D597" s="34"/>
      <c r="E597" s="34" t="s">
        <v>193</v>
      </c>
      <c r="F597" s="34" t="s">
        <v>191</v>
      </c>
      <c r="G597" s="34" t="s">
        <v>100</v>
      </c>
      <c r="H597" t="s">
        <v>279</v>
      </c>
      <c r="I597" t="s">
        <v>243</v>
      </c>
      <c r="J597" t="s">
        <v>712</v>
      </c>
      <c r="K597" t="s">
        <v>758</v>
      </c>
      <c r="L597" t="s">
        <v>711</v>
      </c>
      <c r="M597" s="30">
        <v>3.13</v>
      </c>
      <c r="N597">
        <v>4.5</v>
      </c>
      <c r="P597" s="24" t="str">
        <f>IFERROR(MID(RADataTable[[#This Row],[RATemplate]],1,LEN(RADataTable[[#This Row],[RATemplate]])-8),"RA") &amp; " " &amp; RADataTable[[#This Row],[prop_id0]] &amp; " " &amp; RADataTable[[#This Row],[last0]]</f>
        <v>RA 1750039 Solomonik</v>
      </c>
      <c r="T597">
        <v>4</v>
      </c>
      <c r="U597">
        <v>4</v>
      </c>
      <c r="V597" s="34">
        <v>43031.922222222223</v>
      </c>
      <c r="W597">
        <v>1</v>
      </c>
      <c r="X597" s="15" t="str">
        <f>HYPERLINK("https://www.ejacket.nsf.gov/ej/showProposal.do?Continue=Y&amp;ID="&amp;RADataTable[[#This Row],[prop_id0]],"eJ")</f>
        <v>eJ</v>
      </c>
      <c r="Y597" s="15" t="str">
        <f>HYPERLINK("mailto:"&amp;RADataTable[[#This Row],[email]]&amp;"&amp;subject=Your NSF Proposal:  "&amp;RADataTable[[#This Row],[Div]]&amp;" "&amp;RADataTable[[#This Row],[prop_id0]], RADataTable[[#This Row],[email]])</f>
        <v>solomon2@illinois.edu</v>
      </c>
      <c r="Z597" s="15" t="str">
        <f>HYPERLINK("mailto:"&amp;RADataTable[[#This Row],[allPIemail]]&amp;"&amp;subject=NSF Proposal:  "&amp;RADataTable[[#This Row],[Div]]&amp;" "&amp;RADataTable[[#This Row],[prop_id0]], "PIs@")</f>
        <v>PIs@</v>
      </c>
      <c r="AA597" t="s">
        <v>245</v>
      </c>
      <c r="AB597" t="s">
        <v>670</v>
      </c>
      <c r="AC597" s="30" t="s">
        <v>771</v>
      </c>
      <c r="AD597" t="s">
        <v>772</v>
      </c>
      <c r="AE597" t="s">
        <v>761</v>
      </c>
      <c r="AF597" s="36">
        <v>524117</v>
      </c>
      <c r="AG597" s="36">
        <v>524117</v>
      </c>
      <c r="AH597" s="24"/>
      <c r="AJ597" s="34"/>
      <c r="AK597" t="s">
        <v>923</v>
      </c>
      <c r="AL597" t="s">
        <v>287</v>
      </c>
      <c r="AM597" s="34" t="s">
        <v>925</v>
      </c>
      <c r="AN597" s="34">
        <v>43032</v>
      </c>
      <c r="AO597" s="24">
        <v>13</v>
      </c>
      <c r="AP597" t="s">
        <v>949</v>
      </c>
      <c r="AR597" s="35"/>
      <c r="AS597"/>
      <c r="AT597" s="34"/>
      <c r="AV597" s="34"/>
      <c r="AX597" s="34"/>
      <c r="AY597"/>
      <c r="BA597" s="34"/>
      <c r="BB597"/>
      <c r="BC597" t="s">
        <v>775</v>
      </c>
      <c r="BD597" s="36">
        <v>524117</v>
      </c>
      <c r="BE597" s="36">
        <v>524117</v>
      </c>
      <c r="BF597">
        <v>0</v>
      </c>
      <c r="BG597" s="34">
        <v>43132</v>
      </c>
      <c r="BH597">
        <v>60</v>
      </c>
      <c r="BI597" t="s">
        <v>283</v>
      </c>
      <c r="BJ597" t="s">
        <v>928</v>
      </c>
      <c r="BK597" t="s">
        <v>945</v>
      </c>
      <c r="BL597" t="s">
        <v>194</v>
      </c>
      <c r="BM597" s="8" t="s">
        <v>192</v>
      </c>
      <c r="BN597" t="s">
        <v>189</v>
      </c>
      <c r="BO597" t="s">
        <v>190</v>
      </c>
      <c r="BP597" s="35" t="s">
        <v>733</v>
      </c>
      <c r="BQ597"/>
      <c r="BU597" s="35"/>
      <c r="BV597" s="35"/>
      <c r="BX597"/>
      <c r="CA597" s="35"/>
      <c r="CB597" s="35"/>
      <c r="CC597"/>
      <c r="CG597" s="35"/>
      <c r="CH597" s="35"/>
      <c r="CK597"/>
      <c r="CM597" s="35"/>
      <c r="CN597" s="35"/>
      <c r="CQ597"/>
      <c r="CS597" s="35"/>
      <c r="CT597" s="35"/>
      <c r="CX597"/>
      <c r="CZ597" s="35"/>
      <c r="DD597" s="34"/>
      <c r="DG597" t="s">
        <v>773</v>
      </c>
      <c r="DH597" t="s">
        <v>950</v>
      </c>
      <c r="DI597" t="s">
        <v>286</v>
      </c>
      <c r="DL597" t="s">
        <v>670</v>
      </c>
      <c r="DM597">
        <v>3</v>
      </c>
      <c r="DN597">
        <v>5</v>
      </c>
      <c r="DO597" t="s">
        <v>774</v>
      </c>
      <c r="DQ597" t="s">
        <v>927</v>
      </c>
      <c r="DR597">
        <v>14</v>
      </c>
      <c r="DS597">
        <v>2</v>
      </c>
      <c r="DU597">
        <v>14</v>
      </c>
      <c r="DV597">
        <v>2</v>
      </c>
      <c r="DX597">
        <v>14</v>
      </c>
      <c r="DY597">
        <v>2</v>
      </c>
      <c r="DZ597" t="s">
        <v>246</v>
      </c>
      <c r="EA597" t="s">
        <v>929</v>
      </c>
    </row>
    <row r="598" spans="1:131" x14ac:dyDescent="0.4">
      <c r="A598" s="34">
        <v>43067.305104166669</v>
      </c>
      <c r="B598" s="25">
        <v>42934.737500000003</v>
      </c>
      <c r="D598" s="34"/>
      <c r="E598" s="34" t="s">
        <v>193</v>
      </c>
      <c r="F598" s="34" t="s">
        <v>191</v>
      </c>
      <c r="G598" s="34" t="s">
        <v>100</v>
      </c>
      <c r="H598" t="s">
        <v>279</v>
      </c>
      <c r="I598" t="s">
        <v>243</v>
      </c>
      <c r="J598" t="s">
        <v>712</v>
      </c>
      <c r="K598" t="s">
        <v>758</v>
      </c>
      <c r="L598" t="s">
        <v>711</v>
      </c>
      <c r="M598" s="30">
        <v>3.13</v>
      </c>
      <c r="N598">
        <v>4.5</v>
      </c>
      <c r="P598" s="24" t="str">
        <f>IFERROR(MID(RADataTable[[#This Row],[RATemplate]],1,LEN(RADataTable[[#This Row],[RATemplate]])-8),"RA") &amp; " " &amp; RADataTable[[#This Row],[prop_id0]] &amp; " " &amp; RADataTable[[#This Row],[last0]]</f>
        <v>RA 1750039 Solomonik</v>
      </c>
      <c r="T598">
        <v>4</v>
      </c>
      <c r="U598">
        <v>4</v>
      </c>
      <c r="V598" s="34">
        <v>43031.922222222223</v>
      </c>
      <c r="W598">
        <v>1</v>
      </c>
      <c r="X598" s="15" t="str">
        <f>HYPERLINK("https://www.ejacket.nsf.gov/ej/showProposal.do?Continue=Y&amp;ID="&amp;RADataTable[[#This Row],[prop_id0]],"eJ")</f>
        <v>eJ</v>
      </c>
      <c r="Y598" s="15" t="str">
        <f>HYPERLINK("mailto:"&amp;RADataTable[[#This Row],[email]]&amp;"&amp;subject=Your NSF Proposal:  "&amp;RADataTable[[#This Row],[Div]]&amp;" "&amp;RADataTable[[#This Row],[prop_id0]], RADataTable[[#This Row],[email]])</f>
        <v>solomon2@illinois.edu</v>
      </c>
      <c r="Z598" s="15" t="str">
        <f>HYPERLINK("mailto:"&amp;RADataTable[[#This Row],[allPIemail]]&amp;"&amp;subject=NSF Proposal:  "&amp;RADataTable[[#This Row],[Div]]&amp;" "&amp;RADataTable[[#This Row],[prop_id0]], "PIs@")</f>
        <v>PIs@</v>
      </c>
      <c r="AA598" t="s">
        <v>245</v>
      </c>
      <c r="AB598" t="s">
        <v>670</v>
      </c>
      <c r="AC598" s="30" t="s">
        <v>771</v>
      </c>
      <c r="AD598" t="s">
        <v>772</v>
      </c>
      <c r="AE598" t="s">
        <v>761</v>
      </c>
      <c r="AF598" s="36">
        <v>524117</v>
      </c>
      <c r="AG598" s="36">
        <v>524117</v>
      </c>
      <c r="AH598" s="24"/>
      <c r="AJ598" s="34"/>
      <c r="AK598" t="s">
        <v>923</v>
      </c>
      <c r="AL598" t="s">
        <v>287</v>
      </c>
      <c r="AM598" s="34" t="s">
        <v>925</v>
      </c>
      <c r="AN598" s="34">
        <v>43032</v>
      </c>
      <c r="AO598" s="24">
        <v>13</v>
      </c>
      <c r="AP598" t="s">
        <v>949</v>
      </c>
      <c r="AR598" s="35"/>
      <c r="AS598"/>
      <c r="AT598" s="34"/>
      <c r="AV598" s="34"/>
      <c r="AX598" s="34"/>
      <c r="AY598"/>
      <c r="BA598" s="34"/>
      <c r="BB598"/>
      <c r="BC598" t="s">
        <v>775</v>
      </c>
      <c r="BD598" s="36">
        <v>524117</v>
      </c>
      <c r="BE598" s="36">
        <v>524117</v>
      </c>
      <c r="BF598">
        <v>0</v>
      </c>
      <c r="BG598" s="34">
        <v>43132</v>
      </c>
      <c r="BH598">
        <v>60</v>
      </c>
      <c r="BI598" t="s">
        <v>283</v>
      </c>
      <c r="BJ598" t="s">
        <v>928</v>
      </c>
      <c r="BK598" t="s">
        <v>945</v>
      </c>
      <c r="BL598" t="s">
        <v>194</v>
      </c>
      <c r="BM598" s="8" t="s">
        <v>192</v>
      </c>
      <c r="BN598" t="s">
        <v>189</v>
      </c>
      <c r="BO598" t="s">
        <v>190</v>
      </c>
      <c r="BP598" s="35" t="s">
        <v>733</v>
      </c>
      <c r="BQ598"/>
      <c r="BU598" s="35"/>
      <c r="BV598" s="35"/>
      <c r="BX598"/>
      <c r="CA598" s="35"/>
      <c r="CB598" s="35"/>
      <c r="CC598"/>
      <c r="CG598" s="35"/>
      <c r="CH598" s="35"/>
      <c r="CK598"/>
      <c r="CM598" s="35"/>
      <c r="CN598" s="35"/>
      <c r="CQ598"/>
      <c r="CS598" s="35"/>
      <c r="CT598" s="35"/>
      <c r="CX598"/>
      <c r="CZ598" s="35"/>
      <c r="DD598" s="34"/>
      <c r="DG598" t="s">
        <v>773</v>
      </c>
      <c r="DH598" t="s">
        <v>950</v>
      </c>
      <c r="DI598" t="s">
        <v>286</v>
      </c>
      <c r="DL598" t="s">
        <v>670</v>
      </c>
      <c r="DM598">
        <v>3</v>
      </c>
      <c r="DN598">
        <v>5</v>
      </c>
      <c r="DO598" t="s">
        <v>774</v>
      </c>
      <c r="DQ598" t="s">
        <v>927</v>
      </c>
      <c r="DR598">
        <v>14</v>
      </c>
      <c r="DS598">
        <v>2</v>
      </c>
      <c r="DU598">
        <v>14</v>
      </c>
      <c r="DV598">
        <v>2</v>
      </c>
      <c r="DX598">
        <v>14</v>
      </c>
      <c r="DY598">
        <v>2</v>
      </c>
      <c r="DZ598" t="s">
        <v>246</v>
      </c>
      <c r="EA598" t="s">
        <v>929</v>
      </c>
    </row>
    <row r="599" spans="1:131" x14ac:dyDescent="0.4">
      <c r="A599" s="34">
        <v>43067.305104166669</v>
      </c>
      <c r="B599" s="25">
        <v>42934.737500000003</v>
      </c>
      <c r="D599" s="34"/>
      <c r="E599" s="34" t="s">
        <v>193</v>
      </c>
      <c r="F599" s="34" t="s">
        <v>191</v>
      </c>
      <c r="G599" s="34" t="s">
        <v>100</v>
      </c>
      <c r="H599" t="s">
        <v>279</v>
      </c>
      <c r="I599" t="s">
        <v>243</v>
      </c>
      <c r="J599" t="s">
        <v>712</v>
      </c>
      <c r="K599" t="s">
        <v>758</v>
      </c>
      <c r="L599" t="s">
        <v>711</v>
      </c>
      <c r="M599" s="30">
        <v>3.13</v>
      </c>
      <c r="N599">
        <v>4.5</v>
      </c>
      <c r="P599" s="24" t="str">
        <f>IFERROR(MID(RADataTable[[#This Row],[RATemplate]],1,LEN(RADataTable[[#This Row],[RATemplate]])-8),"RA") &amp; " " &amp; RADataTable[[#This Row],[prop_id0]] &amp; " " &amp; RADataTable[[#This Row],[last0]]</f>
        <v>RA 1750039 Solomonik</v>
      </c>
      <c r="T599">
        <v>4</v>
      </c>
      <c r="U599">
        <v>4</v>
      </c>
      <c r="V599" s="34">
        <v>43031.922222222223</v>
      </c>
      <c r="W599">
        <v>1</v>
      </c>
      <c r="X599" s="15" t="str">
        <f>HYPERLINK("https://www.ejacket.nsf.gov/ej/showProposal.do?Continue=Y&amp;ID="&amp;RADataTable[[#This Row],[prop_id0]],"eJ")</f>
        <v>eJ</v>
      </c>
      <c r="Y599" s="15" t="str">
        <f>HYPERLINK("mailto:"&amp;RADataTable[[#This Row],[email]]&amp;"&amp;subject=Your NSF Proposal:  "&amp;RADataTable[[#This Row],[Div]]&amp;" "&amp;RADataTable[[#This Row],[prop_id0]], RADataTable[[#This Row],[email]])</f>
        <v>solomon2@illinois.edu</v>
      </c>
      <c r="Z599" s="15" t="str">
        <f>HYPERLINK("mailto:"&amp;RADataTable[[#This Row],[allPIemail]]&amp;"&amp;subject=NSF Proposal:  "&amp;RADataTable[[#This Row],[Div]]&amp;" "&amp;RADataTable[[#This Row],[prop_id0]], "PIs@")</f>
        <v>PIs@</v>
      </c>
      <c r="AA599" t="s">
        <v>245</v>
      </c>
      <c r="AB599" t="s">
        <v>670</v>
      </c>
      <c r="AC599" s="30" t="s">
        <v>771</v>
      </c>
      <c r="AD599" t="s">
        <v>772</v>
      </c>
      <c r="AE599" t="s">
        <v>761</v>
      </c>
      <c r="AF599" s="36">
        <v>524117</v>
      </c>
      <c r="AG599" s="36">
        <v>524117</v>
      </c>
      <c r="AH599" s="24"/>
      <c r="AJ599" s="34"/>
      <c r="AK599" t="s">
        <v>923</v>
      </c>
      <c r="AL599" t="s">
        <v>287</v>
      </c>
      <c r="AM599" s="34" t="s">
        <v>925</v>
      </c>
      <c r="AN599" s="34">
        <v>43032</v>
      </c>
      <c r="AO599" s="24">
        <v>13</v>
      </c>
      <c r="AP599" t="s">
        <v>949</v>
      </c>
      <c r="AR599" s="35"/>
      <c r="AS599"/>
      <c r="AT599" s="34"/>
      <c r="AV599" s="34"/>
      <c r="AX599" s="34"/>
      <c r="AY599"/>
      <c r="BA599" s="34"/>
      <c r="BB599"/>
      <c r="BC599" t="s">
        <v>775</v>
      </c>
      <c r="BD599" s="36">
        <v>524117</v>
      </c>
      <c r="BE599" s="36">
        <v>524117</v>
      </c>
      <c r="BF599">
        <v>0</v>
      </c>
      <c r="BG599" s="34">
        <v>43132</v>
      </c>
      <c r="BH599">
        <v>60</v>
      </c>
      <c r="BI599" t="s">
        <v>283</v>
      </c>
      <c r="BJ599" t="s">
        <v>928</v>
      </c>
      <c r="BK599" t="s">
        <v>945</v>
      </c>
      <c r="BL599" t="s">
        <v>194</v>
      </c>
      <c r="BM599" s="8" t="s">
        <v>192</v>
      </c>
      <c r="BN599" t="s">
        <v>189</v>
      </c>
      <c r="BO599" t="s">
        <v>190</v>
      </c>
      <c r="BP599" s="35" t="s">
        <v>733</v>
      </c>
      <c r="BQ599"/>
      <c r="BU599" s="35"/>
      <c r="BV599" s="35"/>
      <c r="BX599"/>
      <c r="CA599" s="35"/>
      <c r="CB599" s="35"/>
      <c r="CC599"/>
      <c r="CG599" s="35"/>
      <c r="CH599" s="35"/>
      <c r="CK599"/>
      <c r="CM599" s="35"/>
      <c r="CN599" s="35"/>
      <c r="CQ599"/>
      <c r="CS599" s="35"/>
      <c r="CT599" s="35"/>
      <c r="CX599"/>
      <c r="CZ599" s="35"/>
      <c r="DD599" s="34"/>
      <c r="DG599" t="s">
        <v>773</v>
      </c>
      <c r="DH599" t="s">
        <v>950</v>
      </c>
      <c r="DI599" t="s">
        <v>286</v>
      </c>
      <c r="DL599" t="s">
        <v>670</v>
      </c>
      <c r="DM599">
        <v>3</v>
      </c>
      <c r="DN599">
        <v>5</v>
      </c>
      <c r="DO599" t="s">
        <v>774</v>
      </c>
      <c r="DQ599" t="s">
        <v>927</v>
      </c>
      <c r="DR599">
        <v>14</v>
      </c>
      <c r="DS599">
        <v>2</v>
      </c>
      <c r="DU599">
        <v>14</v>
      </c>
      <c r="DV599">
        <v>2</v>
      </c>
      <c r="DX599">
        <v>14</v>
      </c>
      <c r="DY599">
        <v>2</v>
      </c>
      <c r="DZ599" t="s">
        <v>246</v>
      </c>
      <c r="EA599" t="s">
        <v>929</v>
      </c>
    </row>
    <row r="600" spans="1:131" x14ac:dyDescent="0.4">
      <c r="A600" s="34">
        <v>43067.305104166669</v>
      </c>
      <c r="B600" s="25">
        <v>42934.737500000003</v>
      </c>
      <c r="D600" s="34"/>
      <c r="E600" s="34" t="s">
        <v>193</v>
      </c>
      <c r="F600" s="34" t="s">
        <v>191</v>
      </c>
      <c r="G600" s="34" t="s">
        <v>100</v>
      </c>
      <c r="H600" t="s">
        <v>279</v>
      </c>
      <c r="I600" t="s">
        <v>243</v>
      </c>
      <c r="J600" t="s">
        <v>712</v>
      </c>
      <c r="K600" t="s">
        <v>758</v>
      </c>
      <c r="L600" t="s">
        <v>711</v>
      </c>
      <c r="M600" s="30">
        <v>3.13</v>
      </c>
      <c r="N600">
        <v>4.5</v>
      </c>
      <c r="P600" s="24" t="str">
        <f>IFERROR(MID(RADataTable[[#This Row],[RATemplate]],1,LEN(RADataTable[[#This Row],[RATemplate]])-8),"RA") &amp; " " &amp; RADataTable[[#This Row],[prop_id0]] &amp; " " &amp; RADataTable[[#This Row],[last0]]</f>
        <v>RA 1750039 Solomonik</v>
      </c>
      <c r="T600">
        <v>4</v>
      </c>
      <c r="U600">
        <v>4</v>
      </c>
      <c r="V600" s="34">
        <v>43031.922222222223</v>
      </c>
      <c r="W600">
        <v>1</v>
      </c>
      <c r="X600" s="15" t="str">
        <f>HYPERLINK("https://www.ejacket.nsf.gov/ej/showProposal.do?Continue=Y&amp;ID="&amp;RADataTable[[#This Row],[prop_id0]],"eJ")</f>
        <v>eJ</v>
      </c>
      <c r="Y600" s="15" t="str">
        <f>HYPERLINK("mailto:"&amp;RADataTable[[#This Row],[email]]&amp;"&amp;subject=Your NSF Proposal:  "&amp;RADataTable[[#This Row],[Div]]&amp;" "&amp;RADataTable[[#This Row],[prop_id0]], RADataTable[[#This Row],[email]])</f>
        <v>solomon2@illinois.edu</v>
      </c>
      <c r="Z600" s="15" t="str">
        <f>HYPERLINK("mailto:"&amp;RADataTable[[#This Row],[allPIemail]]&amp;"&amp;subject=NSF Proposal:  "&amp;RADataTable[[#This Row],[Div]]&amp;" "&amp;RADataTable[[#This Row],[prop_id0]], "PIs@")</f>
        <v>PIs@</v>
      </c>
      <c r="AA600" t="s">
        <v>245</v>
      </c>
      <c r="AB600" t="s">
        <v>670</v>
      </c>
      <c r="AC600" s="30" t="s">
        <v>771</v>
      </c>
      <c r="AD600" t="s">
        <v>772</v>
      </c>
      <c r="AE600" t="s">
        <v>761</v>
      </c>
      <c r="AF600" s="36">
        <v>524117</v>
      </c>
      <c r="AG600" s="36">
        <v>524117</v>
      </c>
      <c r="AH600" s="24"/>
      <c r="AJ600" s="34"/>
      <c r="AK600" t="s">
        <v>923</v>
      </c>
      <c r="AL600" t="s">
        <v>287</v>
      </c>
      <c r="AM600" s="34" t="s">
        <v>925</v>
      </c>
      <c r="AN600" s="34">
        <v>43032</v>
      </c>
      <c r="AO600" s="24">
        <v>13</v>
      </c>
      <c r="AP600" t="s">
        <v>949</v>
      </c>
      <c r="AR600" s="35"/>
      <c r="AS600"/>
      <c r="AT600" s="34"/>
      <c r="AV600" s="34"/>
      <c r="AX600" s="34"/>
      <c r="AY600"/>
      <c r="BA600" s="34"/>
      <c r="BB600"/>
      <c r="BC600" t="s">
        <v>775</v>
      </c>
      <c r="BD600" s="36">
        <v>524117</v>
      </c>
      <c r="BE600" s="36">
        <v>524117</v>
      </c>
      <c r="BF600">
        <v>0</v>
      </c>
      <c r="BG600" s="34">
        <v>43132</v>
      </c>
      <c r="BH600">
        <v>60</v>
      </c>
      <c r="BI600" t="s">
        <v>283</v>
      </c>
      <c r="BJ600" t="s">
        <v>928</v>
      </c>
      <c r="BK600" t="s">
        <v>945</v>
      </c>
      <c r="BL600" t="s">
        <v>194</v>
      </c>
      <c r="BM600" s="8" t="s">
        <v>192</v>
      </c>
      <c r="BN600" t="s">
        <v>189</v>
      </c>
      <c r="BO600" t="s">
        <v>190</v>
      </c>
      <c r="BP600" s="35" t="s">
        <v>733</v>
      </c>
      <c r="BQ600"/>
      <c r="BU600" s="35"/>
      <c r="BV600" s="35"/>
      <c r="BX600"/>
      <c r="CA600" s="35"/>
      <c r="CB600" s="35"/>
      <c r="CC600"/>
      <c r="CG600" s="35"/>
      <c r="CH600" s="35"/>
      <c r="CK600"/>
      <c r="CM600" s="35"/>
      <c r="CN600" s="35"/>
      <c r="CQ600"/>
      <c r="CS600" s="35"/>
      <c r="CT600" s="35"/>
      <c r="CX600"/>
      <c r="CZ600" s="35"/>
      <c r="DD600" s="34"/>
      <c r="DG600" t="s">
        <v>773</v>
      </c>
      <c r="DH600" t="s">
        <v>950</v>
      </c>
      <c r="DI600" t="s">
        <v>286</v>
      </c>
      <c r="DL600" t="s">
        <v>670</v>
      </c>
      <c r="DM600">
        <v>3</v>
      </c>
      <c r="DN600">
        <v>5</v>
      </c>
      <c r="DO600" t="s">
        <v>774</v>
      </c>
      <c r="DQ600" t="s">
        <v>927</v>
      </c>
      <c r="DR600">
        <v>14</v>
      </c>
      <c r="DS600">
        <v>2</v>
      </c>
      <c r="DU600">
        <v>14</v>
      </c>
      <c r="DV600">
        <v>2</v>
      </c>
      <c r="DX600">
        <v>14</v>
      </c>
      <c r="DY600">
        <v>2</v>
      </c>
      <c r="DZ600" t="s">
        <v>246</v>
      </c>
      <c r="EA600" t="s">
        <v>929</v>
      </c>
    </row>
    <row r="601" spans="1:131" x14ac:dyDescent="0.4">
      <c r="A601" s="34">
        <v>43067.305104166669</v>
      </c>
      <c r="B601" s="25">
        <v>42934.737500000003</v>
      </c>
      <c r="D601" s="34"/>
      <c r="E601" s="34" t="s">
        <v>193</v>
      </c>
      <c r="F601" s="34" t="s">
        <v>191</v>
      </c>
      <c r="G601" s="34" t="s">
        <v>100</v>
      </c>
      <c r="H601" t="s">
        <v>279</v>
      </c>
      <c r="I601" t="s">
        <v>243</v>
      </c>
      <c r="J601" t="s">
        <v>712</v>
      </c>
      <c r="K601" t="s">
        <v>758</v>
      </c>
      <c r="L601" t="s">
        <v>711</v>
      </c>
      <c r="M601" s="30">
        <v>3.13</v>
      </c>
      <c r="N601">
        <v>4.5</v>
      </c>
      <c r="P601" s="24" t="str">
        <f>IFERROR(MID(RADataTable[[#This Row],[RATemplate]],1,LEN(RADataTable[[#This Row],[RATemplate]])-8),"RA") &amp; " " &amp; RADataTable[[#This Row],[prop_id0]] &amp; " " &amp; RADataTable[[#This Row],[last0]]</f>
        <v>RA 1750039 Solomonik</v>
      </c>
      <c r="T601">
        <v>4</v>
      </c>
      <c r="U601">
        <v>4</v>
      </c>
      <c r="V601" s="34">
        <v>43031.922222222223</v>
      </c>
      <c r="W601">
        <v>1</v>
      </c>
      <c r="X601" s="15" t="str">
        <f>HYPERLINK("https://www.ejacket.nsf.gov/ej/showProposal.do?Continue=Y&amp;ID="&amp;RADataTable[[#This Row],[prop_id0]],"eJ")</f>
        <v>eJ</v>
      </c>
      <c r="Y601" s="15" t="str">
        <f>HYPERLINK("mailto:"&amp;RADataTable[[#This Row],[email]]&amp;"&amp;subject=Your NSF Proposal:  "&amp;RADataTable[[#This Row],[Div]]&amp;" "&amp;RADataTable[[#This Row],[prop_id0]], RADataTable[[#This Row],[email]])</f>
        <v>solomon2@illinois.edu</v>
      </c>
      <c r="Z601" s="15" t="str">
        <f>HYPERLINK("mailto:"&amp;RADataTable[[#This Row],[allPIemail]]&amp;"&amp;subject=NSF Proposal:  "&amp;RADataTable[[#This Row],[Div]]&amp;" "&amp;RADataTable[[#This Row],[prop_id0]], "PIs@")</f>
        <v>PIs@</v>
      </c>
      <c r="AA601" t="s">
        <v>245</v>
      </c>
      <c r="AB601" t="s">
        <v>670</v>
      </c>
      <c r="AC601" s="30" t="s">
        <v>771</v>
      </c>
      <c r="AD601" t="s">
        <v>772</v>
      </c>
      <c r="AE601" t="s">
        <v>761</v>
      </c>
      <c r="AF601" s="36">
        <v>524117</v>
      </c>
      <c r="AG601" s="36">
        <v>524117</v>
      </c>
      <c r="AH601" s="24"/>
      <c r="AJ601" s="34"/>
      <c r="AK601" t="s">
        <v>923</v>
      </c>
      <c r="AL601" t="s">
        <v>287</v>
      </c>
      <c r="AM601" s="34" t="s">
        <v>925</v>
      </c>
      <c r="AN601" s="34">
        <v>43032</v>
      </c>
      <c r="AO601" s="24">
        <v>13</v>
      </c>
      <c r="AP601" t="s">
        <v>949</v>
      </c>
      <c r="AR601" s="35"/>
      <c r="AS601"/>
      <c r="AT601" s="34"/>
      <c r="AV601" s="34"/>
      <c r="AX601" s="34"/>
      <c r="AY601"/>
      <c r="BA601" s="34"/>
      <c r="BB601"/>
      <c r="BC601" t="s">
        <v>775</v>
      </c>
      <c r="BD601" s="36">
        <v>524117</v>
      </c>
      <c r="BE601" s="36">
        <v>524117</v>
      </c>
      <c r="BF601">
        <v>0</v>
      </c>
      <c r="BG601" s="34">
        <v>43132</v>
      </c>
      <c r="BH601">
        <v>60</v>
      </c>
      <c r="BI601" t="s">
        <v>283</v>
      </c>
      <c r="BJ601" t="s">
        <v>928</v>
      </c>
      <c r="BK601" t="s">
        <v>945</v>
      </c>
      <c r="BL601" t="s">
        <v>194</v>
      </c>
      <c r="BM601" s="8" t="s">
        <v>192</v>
      </c>
      <c r="BN601" t="s">
        <v>189</v>
      </c>
      <c r="BO601" t="s">
        <v>190</v>
      </c>
      <c r="BP601" s="35" t="s">
        <v>733</v>
      </c>
      <c r="BQ601"/>
      <c r="BU601" s="35"/>
      <c r="BV601" s="35"/>
      <c r="BX601"/>
      <c r="CA601" s="35"/>
      <c r="CB601" s="35"/>
      <c r="CC601"/>
      <c r="CG601" s="35"/>
      <c r="CH601" s="35"/>
      <c r="CK601"/>
      <c r="CM601" s="35"/>
      <c r="CN601" s="35"/>
      <c r="CQ601"/>
      <c r="CS601" s="35"/>
      <c r="CT601" s="35"/>
      <c r="CX601"/>
      <c r="CZ601" s="35"/>
      <c r="DD601" s="34"/>
      <c r="DG601" t="s">
        <v>773</v>
      </c>
      <c r="DH601" t="s">
        <v>950</v>
      </c>
      <c r="DI601" t="s">
        <v>286</v>
      </c>
      <c r="DL601" t="s">
        <v>670</v>
      </c>
      <c r="DM601">
        <v>3</v>
      </c>
      <c r="DN601">
        <v>5</v>
      </c>
      <c r="DO601" t="s">
        <v>774</v>
      </c>
      <c r="DQ601" t="s">
        <v>927</v>
      </c>
      <c r="DR601">
        <v>14</v>
      </c>
      <c r="DS601">
        <v>2</v>
      </c>
      <c r="DU601">
        <v>14</v>
      </c>
      <c r="DV601">
        <v>2</v>
      </c>
      <c r="DX601">
        <v>14</v>
      </c>
      <c r="DY601">
        <v>2</v>
      </c>
      <c r="DZ601" t="s">
        <v>246</v>
      </c>
      <c r="EA601" t="s">
        <v>929</v>
      </c>
    </row>
    <row r="602" spans="1:131" x14ac:dyDescent="0.4">
      <c r="A602" s="34">
        <v>43067.305104166669</v>
      </c>
      <c r="B602" s="25">
        <v>42934.737500000003</v>
      </c>
      <c r="D602" s="34"/>
      <c r="E602" s="34" t="s">
        <v>193</v>
      </c>
      <c r="F602" s="34" t="s">
        <v>191</v>
      </c>
      <c r="G602" s="34" t="s">
        <v>100</v>
      </c>
      <c r="H602" t="s">
        <v>279</v>
      </c>
      <c r="I602" t="s">
        <v>243</v>
      </c>
      <c r="J602" t="s">
        <v>712</v>
      </c>
      <c r="K602" t="s">
        <v>758</v>
      </c>
      <c r="L602" t="s">
        <v>711</v>
      </c>
      <c r="M602" s="30">
        <v>3.13</v>
      </c>
      <c r="N602">
        <v>4.5</v>
      </c>
      <c r="P602" s="24" t="str">
        <f>IFERROR(MID(RADataTable[[#This Row],[RATemplate]],1,LEN(RADataTable[[#This Row],[RATemplate]])-8),"RA") &amp; " " &amp; RADataTable[[#This Row],[prop_id0]] &amp; " " &amp; RADataTable[[#This Row],[last0]]</f>
        <v>RA 1750039 Solomonik</v>
      </c>
      <c r="T602">
        <v>4</v>
      </c>
      <c r="U602">
        <v>4</v>
      </c>
      <c r="V602" s="34">
        <v>43031.922222222223</v>
      </c>
      <c r="W602">
        <v>1</v>
      </c>
      <c r="X602" s="15" t="str">
        <f>HYPERLINK("https://www.ejacket.nsf.gov/ej/showProposal.do?Continue=Y&amp;ID="&amp;RADataTable[[#This Row],[prop_id0]],"eJ")</f>
        <v>eJ</v>
      </c>
      <c r="Y602" s="15" t="str">
        <f>HYPERLINK("mailto:"&amp;RADataTable[[#This Row],[email]]&amp;"&amp;subject=Your NSF Proposal:  "&amp;RADataTable[[#This Row],[Div]]&amp;" "&amp;RADataTable[[#This Row],[prop_id0]], RADataTable[[#This Row],[email]])</f>
        <v>solomon2@illinois.edu</v>
      </c>
      <c r="Z602" s="15" t="str">
        <f>HYPERLINK("mailto:"&amp;RADataTable[[#This Row],[allPIemail]]&amp;"&amp;subject=NSF Proposal:  "&amp;RADataTable[[#This Row],[Div]]&amp;" "&amp;RADataTable[[#This Row],[prop_id0]], "PIs@")</f>
        <v>PIs@</v>
      </c>
      <c r="AA602" t="s">
        <v>245</v>
      </c>
      <c r="AB602" t="s">
        <v>670</v>
      </c>
      <c r="AC602" s="30" t="s">
        <v>771</v>
      </c>
      <c r="AD602" t="s">
        <v>772</v>
      </c>
      <c r="AE602" t="s">
        <v>761</v>
      </c>
      <c r="AF602" s="36">
        <v>524117</v>
      </c>
      <c r="AG602" s="36">
        <v>524117</v>
      </c>
      <c r="AH602" s="24"/>
      <c r="AJ602" s="34"/>
      <c r="AK602" t="s">
        <v>923</v>
      </c>
      <c r="AL602" t="s">
        <v>287</v>
      </c>
      <c r="AM602" s="34" t="s">
        <v>925</v>
      </c>
      <c r="AN602" s="34">
        <v>43032</v>
      </c>
      <c r="AO602" s="24">
        <v>13</v>
      </c>
      <c r="AP602" t="s">
        <v>949</v>
      </c>
      <c r="AR602" s="35"/>
      <c r="AS602"/>
      <c r="AT602" s="34"/>
      <c r="AV602" s="34"/>
      <c r="AX602" s="34"/>
      <c r="AY602"/>
      <c r="BA602" s="34"/>
      <c r="BB602"/>
      <c r="BC602" t="s">
        <v>775</v>
      </c>
      <c r="BD602" s="36">
        <v>524117</v>
      </c>
      <c r="BE602" s="36">
        <v>524117</v>
      </c>
      <c r="BF602">
        <v>0</v>
      </c>
      <c r="BG602" s="34">
        <v>43132</v>
      </c>
      <c r="BH602">
        <v>60</v>
      </c>
      <c r="BI602" t="s">
        <v>283</v>
      </c>
      <c r="BJ602" t="s">
        <v>928</v>
      </c>
      <c r="BK602" t="s">
        <v>945</v>
      </c>
      <c r="BL602" t="s">
        <v>194</v>
      </c>
      <c r="BM602" s="8" t="s">
        <v>192</v>
      </c>
      <c r="BN602" t="s">
        <v>189</v>
      </c>
      <c r="BO602" t="s">
        <v>190</v>
      </c>
      <c r="BP602" s="35" t="s">
        <v>733</v>
      </c>
      <c r="BQ602"/>
      <c r="BU602" s="35"/>
      <c r="BV602" s="35"/>
      <c r="BX602"/>
      <c r="CA602" s="35"/>
      <c r="CB602" s="35"/>
      <c r="CC602"/>
      <c r="CG602" s="35"/>
      <c r="CH602" s="35"/>
      <c r="CK602"/>
      <c r="CM602" s="35"/>
      <c r="CN602" s="35"/>
      <c r="CQ602"/>
      <c r="CS602" s="35"/>
      <c r="CT602" s="35"/>
      <c r="CX602"/>
      <c r="CZ602" s="35"/>
      <c r="DD602" s="34"/>
      <c r="DG602" t="s">
        <v>773</v>
      </c>
      <c r="DH602" t="s">
        <v>950</v>
      </c>
      <c r="DI602" t="s">
        <v>286</v>
      </c>
      <c r="DL602" t="s">
        <v>670</v>
      </c>
      <c r="DM602">
        <v>3</v>
      </c>
      <c r="DN602">
        <v>5</v>
      </c>
      <c r="DO602" t="s">
        <v>774</v>
      </c>
      <c r="DQ602" t="s">
        <v>927</v>
      </c>
      <c r="DR602">
        <v>14</v>
      </c>
      <c r="DS602">
        <v>2</v>
      </c>
      <c r="DU602">
        <v>14</v>
      </c>
      <c r="DV602">
        <v>2</v>
      </c>
      <c r="DX602">
        <v>14</v>
      </c>
      <c r="DY602">
        <v>2</v>
      </c>
      <c r="DZ602" t="s">
        <v>246</v>
      </c>
      <c r="EA602" t="s">
        <v>929</v>
      </c>
    </row>
    <row r="603" spans="1:131" x14ac:dyDescent="0.4">
      <c r="A603" s="34">
        <v>43067.305104166669</v>
      </c>
      <c r="B603" s="25">
        <v>42934.737500000003</v>
      </c>
      <c r="D603" s="34"/>
      <c r="E603" s="34" t="s">
        <v>193</v>
      </c>
      <c r="F603" s="34" t="s">
        <v>191</v>
      </c>
      <c r="G603" s="34" t="s">
        <v>100</v>
      </c>
      <c r="H603" t="s">
        <v>279</v>
      </c>
      <c r="I603" t="s">
        <v>243</v>
      </c>
      <c r="J603" t="s">
        <v>712</v>
      </c>
      <c r="K603" t="s">
        <v>758</v>
      </c>
      <c r="L603" t="s">
        <v>711</v>
      </c>
      <c r="M603" s="30">
        <v>3.13</v>
      </c>
      <c r="N603">
        <v>4.5</v>
      </c>
      <c r="P603" s="24" t="str">
        <f>IFERROR(MID(RADataTable[[#This Row],[RATemplate]],1,LEN(RADataTable[[#This Row],[RATemplate]])-8),"RA") &amp; " " &amp; RADataTable[[#This Row],[prop_id0]] &amp; " " &amp; RADataTable[[#This Row],[last0]]</f>
        <v>RA 1750039 Solomonik</v>
      </c>
      <c r="T603">
        <v>4</v>
      </c>
      <c r="U603">
        <v>4</v>
      </c>
      <c r="V603" s="34">
        <v>43031.922222222223</v>
      </c>
      <c r="W603">
        <v>1</v>
      </c>
      <c r="X603" s="15" t="str">
        <f>HYPERLINK("https://www.ejacket.nsf.gov/ej/showProposal.do?Continue=Y&amp;ID="&amp;RADataTable[[#This Row],[prop_id0]],"eJ")</f>
        <v>eJ</v>
      </c>
      <c r="Y603" s="15" t="str">
        <f>HYPERLINK("mailto:"&amp;RADataTable[[#This Row],[email]]&amp;"&amp;subject=Your NSF Proposal:  "&amp;RADataTable[[#This Row],[Div]]&amp;" "&amp;RADataTable[[#This Row],[prop_id0]], RADataTable[[#This Row],[email]])</f>
        <v>solomon2@illinois.edu</v>
      </c>
      <c r="Z603" s="15" t="str">
        <f>HYPERLINK("mailto:"&amp;RADataTable[[#This Row],[allPIemail]]&amp;"&amp;subject=NSF Proposal:  "&amp;RADataTable[[#This Row],[Div]]&amp;" "&amp;RADataTable[[#This Row],[prop_id0]], "PIs@")</f>
        <v>PIs@</v>
      </c>
      <c r="AA603" t="s">
        <v>245</v>
      </c>
      <c r="AB603" t="s">
        <v>670</v>
      </c>
      <c r="AC603" s="30" t="s">
        <v>771</v>
      </c>
      <c r="AD603" t="s">
        <v>772</v>
      </c>
      <c r="AE603" t="s">
        <v>761</v>
      </c>
      <c r="AF603" s="36">
        <v>524117</v>
      </c>
      <c r="AG603" s="36">
        <v>524117</v>
      </c>
      <c r="AH603" s="24"/>
      <c r="AJ603" s="34"/>
      <c r="AK603" t="s">
        <v>923</v>
      </c>
      <c r="AL603" t="s">
        <v>287</v>
      </c>
      <c r="AM603" s="34" t="s">
        <v>925</v>
      </c>
      <c r="AN603" s="34">
        <v>43032</v>
      </c>
      <c r="AO603" s="24">
        <v>13</v>
      </c>
      <c r="AP603" t="s">
        <v>949</v>
      </c>
      <c r="AR603" s="35"/>
      <c r="AS603"/>
      <c r="AT603" s="34"/>
      <c r="AV603" s="34"/>
      <c r="AX603" s="34"/>
      <c r="AY603"/>
      <c r="BA603" s="34"/>
      <c r="BB603"/>
      <c r="BC603" t="s">
        <v>775</v>
      </c>
      <c r="BD603" s="36">
        <v>524117</v>
      </c>
      <c r="BE603" s="36">
        <v>524117</v>
      </c>
      <c r="BF603">
        <v>0</v>
      </c>
      <c r="BG603" s="34">
        <v>43132</v>
      </c>
      <c r="BH603">
        <v>60</v>
      </c>
      <c r="BI603" t="s">
        <v>283</v>
      </c>
      <c r="BJ603" t="s">
        <v>928</v>
      </c>
      <c r="BK603" t="s">
        <v>945</v>
      </c>
      <c r="BL603" t="s">
        <v>194</v>
      </c>
      <c r="BM603" s="8" t="s">
        <v>192</v>
      </c>
      <c r="BN603" t="s">
        <v>189</v>
      </c>
      <c r="BO603" t="s">
        <v>190</v>
      </c>
      <c r="BP603" s="35" t="s">
        <v>733</v>
      </c>
      <c r="BQ603"/>
      <c r="BU603" s="35"/>
      <c r="BV603" s="35"/>
      <c r="BX603"/>
      <c r="CA603" s="35"/>
      <c r="CB603" s="35"/>
      <c r="CC603"/>
      <c r="CG603" s="35"/>
      <c r="CH603" s="35"/>
      <c r="CK603"/>
      <c r="CM603" s="35"/>
      <c r="CN603" s="35"/>
      <c r="CQ603"/>
      <c r="CS603" s="35"/>
      <c r="CT603" s="35"/>
      <c r="CX603"/>
      <c r="CZ603" s="35"/>
      <c r="DD603" s="34"/>
      <c r="DG603" t="s">
        <v>773</v>
      </c>
      <c r="DH603" t="s">
        <v>950</v>
      </c>
      <c r="DI603" t="s">
        <v>286</v>
      </c>
      <c r="DL603" t="s">
        <v>670</v>
      </c>
      <c r="DM603">
        <v>3</v>
      </c>
      <c r="DN603">
        <v>5</v>
      </c>
      <c r="DO603" t="s">
        <v>774</v>
      </c>
      <c r="DQ603" t="s">
        <v>927</v>
      </c>
      <c r="DR603">
        <v>14</v>
      </c>
      <c r="DS603">
        <v>2</v>
      </c>
      <c r="DU603">
        <v>14</v>
      </c>
      <c r="DV603">
        <v>2</v>
      </c>
      <c r="DX603">
        <v>14</v>
      </c>
      <c r="DY603">
        <v>2</v>
      </c>
      <c r="DZ603" t="s">
        <v>246</v>
      </c>
      <c r="EA603" t="s">
        <v>929</v>
      </c>
    </row>
    <row r="604" spans="1:131" x14ac:dyDescent="0.4">
      <c r="A604" s="34">
        <v>43067.305104166669</v>
      </c>
      <c r="B604" s="25">
        <v>42934.737500000003</v>
      </c>
      <c r="D604" s="34"/>
      <c r="E604" s="34" t="s">
        <v>193</v>
      </c>
      <c r="F604" s="34" t="s">
        <v>191</v>
      </c>
      <c r="G604" s="34" t="s">
        <v>100</v>
      </c>
      <c r="H604" t="s">
        <v>279</v>
      </c>
      <c r="I604" t="s">
        <v>243</v>
      </c>
      <c r="J604" t="s">
        <v>712</v>
      </c>
      <c r="K604" t="s">
        <v>758</v>
      </c>
      <c r="L604" t="s">
        <v>711</v>
      </c>
      <c r="M604" s="30">
        <v>3.13</v>
      </c>
      <c r="N604">
        <v>4.5</v>
      </c>
      <c r="P604" s="24" t="str">
        <f>IFERROR(MID(RADataTable[[#This Row],[RATemplate]],1,LEN(RADataTable[[#This Row],[RATemplate]])-8),"RA") &amp; " " &amp; RADataTable[[#This Row],[prop_id0]] &amp; " " &amp; RADataTable[[#This Row],[last0]]</f>
        <v>RA 1750039 Solomonik</v>
      </c>
      <c r="T604">
        <v>4</v>
      </c>
      <c r="U604">
        <v>4</v>
      </c>
      <c r="V604" s="34">
        <v>43031.922222222223</v>
      </c>
      <c r="W604">
        <v>1</v>
      </c>
      <c r="X604" s="15" t="str">
        <f>HYPERLINK("https://www.ejacket.nsf.gov/ej/showProposal.do?Continue=Y&amp;ID="&amp;RADataTable[[#This Row],[prop_id0]],"eJ")</f>
        <v>eJ</v>
      </c>
      <c r="Y604" s="15" t="str">
        <f>HYPERLINK("mailto:"&amp;RADataTable[[#This Row],[email]]&amp;"&amp;subject=Your NSF Proposal:  "&amp;RADataTable[[#This Row],[Div]]&amp;" "&amp;RADataTable[[#This Row],[prop_id0]], RADataTable[[#This Row],[email]])</f>
        <v>solomon2@illinois.edu</v>
      </c>
      <c r="Z604" s="15" t="str">
        <f>HYPERLINK("mailto:"&amp;RADataTable[[#This Row],[allPIemail]]&amp;"&amp;subject=NSF Proposal:  "&amp;RADataTable[[#This Row],[Div]]&amp;" "&amp;RADataTable[[#This Row],[prop_id0]], "PIs@")</f>
        <v>PIs@</v>
      </c>
      <c r="AA604" t="s">
        <v>245</v>
      </c>
      <c r="AB604" t="s">
        <v>670</v>
      </c>
      <c r="AC604" s="30" t="s">
        <v>771</v>
      </c>
      <c r="AD604" t="s">
        <v>772</v>
      </c>
      <c r="AE604" t="s">
        <v>761</v>
      </c>
      <c r="AF604" s="36">
        <v>524117</v>
      </c>
      <c r="AG604" s="36">
        <v>524117</v>
      </c>
      <c r="AH604" s="24"/>
      <c r="AJ604" s="34"/>
      <c r="AK604" t="s">
        <v>923</v>
      </c>
      <c r="AL604" t="s">
        <v>287</v>
      </c>
      <c r="AM604" s="34" t="s">
        <v>925</v>
      </c>
      <c r="AN604" s="34">
        <v>43032</v>
      </c>
      <c r="AO604" s="24">
        <v>13</v>
      </c>
      <c r="AP604" t="s">
        <v>949</v>
      </c>
      <c r="AR604" s="35"/>
      <c r="AS604"/>
      <c r="AT604" s="34"/>
      <c r="AV604" s="34"/>
      <c r="AX604" s="34"/>
      <c r="AY604"/>
      <c r="BA604" s="34"/>
      <c r="BB604"/>
      <c r="BC604" t="s">
        <v>775</v>
      </c>
      <c r="BD604" s="36">
        <v>524117</v>
      </c>
      <c r="BE604" s="36">
        <v>524117</v>
      </c>
      <c r="BF604">
        <v>0</v>
      </c>
      <c r="BG604" s="34">
        <v>43132</v>
      </c>
      <c r="BH604">
        <v>60</v>
      </c>
      <c r="BI604" t="s">
        <v>283</v>
      </c>
      <c r="BJ604" t="s">
        <v>928</v>
      </c>
      <c r="BK604" t="s">
        <v>945</v>
      </c>
      <c r="BL604" t="s">
        <v>194</v>
      </c>
      <c r="BM604" s="8" t="s">
        <v>192</v>
      </c>
      <c r="BN604" t="s">
        <v>189</v>
      </c>
      <c r="BO604" t="s">
        <v>190</v>
      </c>
      <c r="BP604" s="35" t="s">
        <v>733</v>
      </c>
      <c r="BQ604"/>
      <c r="BU604" s="35"/>
      <c r="BV604" s="35"/>
      <c r="BX604"/>
      <c r="CA604" s="35"/>
      <c r="CB604" s="35"/>
      <c r="CC604"/>
      <c r="CG604" s="35"/>
      <c r="CH604" s="35"/>
      <c r="CK604"/>
      <c r="CM604" s="35"/>
      <c r="CN604" s="35"/>
      <c r="CQ604"/>
      <c r="CS604" s="35"/>
      <c r="CT604" s="35"/>
      <c r="CX604"/>
      <c r="CZ604" s="35"/>
      <c r="DD604" s="34"/>
      <c r="DG604" t="s">
        <v>773</v>
      </c>
      <c r="DH604" t="s">
        <v>950</v>
      </c>
      <c r="DI604" t="s">
        <v>286</v>
      </c>
      <c r="DL604" t="s">
        <v>670</v>
      </c>
      <c r="DM604">
        <v>3</v>
      </c>
      <c r="DN604">
        <v>5</v>
      </c>
      <c r="DO604" t="s">
        <v>774</v>
      </c>
      <c r="DQ604" t="s">
        <v>927</v>
      </c>
      <c r="DR604">
        <v>14</v>
      </c>
      <c r="DS604">
        <v>2</v>
      </c>
      <c r="DU604">
        <v>14</v>
      </c>
      <c r="DV604">
        <v>2</v>
      </c>
      <c r="DX604">
        <v>14</v>
      </c>
      <c r="DY604">
        <v>2</v>
      </c>
      <c r="DZ604" t="s">
        <v>246</v>
      </c>
      <c r="EA604" t="s">
        <v>929</v>
      </c>
    </row>
    <row r="605" spans="1:131" x14ac:dyDescent="0.4">
      <c r="A605" s="34">
        <v>43067.305104166669</v>
      </c>
      <c r="B605" s="25">
        <v>42934.737500000003</v>
      </c>
      <c r="D605" s="34"/>
      <c r="E605" s="34" t="s">
        <v>193</v>
      </c>
      <c r="F605" s="34" t="s">
        <v>191</v>
      </c>
      <c r="G605" s="34" t="s">
        <v>100</v>
      </c>
      <c r="H605" t="s">
        <v>279</v>
      </c>
      <c r="I605" t="s">
        <v>243</v>
      </c>
      <c r="J605" t="s">
        <v>712</v>
      </c>
      <c r="K605" t="s">
        <v>758</v>
      </c>
      <c r="L605" t="s">
        <v>711</v>
      </c>
      <c r="M605" s="30">
        <v>3.13</v>
      </c>
      <c r="N605">
        <v>4.5</v>
      </c>
      <c r="P605" s="24" t="str">
        <f>IFERROR(MID(RADataTable[[#This Row],[RATemplate]],1,LEN(RADataTable[[#This Row],[RATemplate]])-8),"RA") &amp; " " &amp; RADataTable[[#This Row],[prop_id0]] &amp; " " &amp; RADataTable[[#This Row],[last0]]</f>
        <v>RA 1750039 Solomonik</v>
      </c>
      <c r="T605">
        <v>4</v>
      </c>
      <c r="U605">
        <v>4</v>
      </c>
      <c r="V605" s="34">
        <v>43031.922222222223</v>
      </c>
      <c r="W605">
        <v>1</v>
      </c>
      <c r="X605" s="15" t="str">
        <f>HYPERLINK("https://www.ejacket.nsf.gov/ej/showProposal.do?Continue=Y&amp;ID="&amp;RADataTable[[#This Row],[prop_id0]],"eJ")</f>
        <v>eJ</v>
      </c>
      <c r="Y605" s="15" t="str">
        <f>HYPERLINK("mailto:"&amp;RADataTable[[#This Row],[email]]&amp;"&amp;subject=Your NSF Proposal:  "&amp;RADataTable[[#This Row],[Div]]&amp;" "&amp;RADataTable[[#This Row],[prop_id0]], RADataTable[[#This Row],[email]])</f>
        <v>solomon2@illinois.edu</v>
      </c>
      <c r="Z605" s="15" t="str">
        <f>HYPERLINK("mailto:"&amp;RADataTable[[#This Row],[allPIemail]]&amp;"&amp;subject=NSF Proposal:  "&amp;RADataTable[[#This Row],[Div]]&amp;" "&amp;RADataTable[[#This Row],[prop_id0]], "PIs@")</f>
        <v>PIs@</v>
      </c>
      <c r="AA605" t="s">
        <v>245</v>
      </c>
      <c r="AB605" t="s">
        <v>670</v>
      </c>
      <c r="AC605" s="30" t="s">
        <v>771</v>
      </c>
      <c r="AD605" t="s">
        <v>772</v>
      </c>
      <c r="AE605" t="s">
        <v>761</v>
      </c>
      <c r="AF605" s="36">
        <v>524117</v>
      </c>
      <c r="AG605" s="36">
        <v>524117</v>
      </c>
      <c r="AH605" s="24"/>
      <c r="AJ605" s="34"/>
      <c r="AK605" t="s">
        <v>923</v>
      </c>
      <c r="AL605" t="s">
        <v>287</v>
      </c>
      <c r="AM605" s="34" t="s">
        <v>925</v>
      </c>
      <c r="AN605" s="34">
        <v>43032</v>
      </c>
      <c r="AO605" s="24">
        <v>13</v>
      </c>
      <c r="AP605" t="s">
        <v>949</v>
      </c>
      <c r="AR605" s="35"/>
      <c r="AS605"/>
      <c r="AT605" s="34"/>
      <c r="AV605" s="34"/>
      <c r="AX605" s="34"/>
      <c r="AY605"/>
      <c r="BA605" s="34"/>
      <c r="BB605"/>
      <c r="BC605" t="s">
        <v>775</v>
      </c>
      <c r="BD605" s="36">
        <v>524117</v>
      </c>
      <c r="BE605" s="36">
        <v>524117</v>
      </c>
      <c r="BF605">
        <v>0</v>
      </c>
      <c r="BG605" s="34">
        <v>43132</v>
      </c>
      <c r="BH605">
        <v>60</v>
      </c>
      <c r="BI605" t="s">
        <v>283</v>
      </c>
      <c r="BJ605" t="s">
        <v>928</v>
      </c>
      <c r="BK605" t="s">
        <v>945</v>
      </c>
      <c r="BL605" t="s">
        <v>194</v>
      </c>
      <c r="BM605" s="8" t="s">
        <v>192</v>
      </c>
      <c r="BN605" t="s">
        <v>189</v>
      </c>
      <c r="BO605" t="s">
        <v>190</v>
      </c>
      <c r="BP605" s="35" t="s">
        <v>733</v>
      </c>
      <c r="BQ605"/>
      <c r="BU605" s="35"/>
      <c r="BV605" s="35"/>
      <c r="BX605"/>
      <c r="CA605" s="35"/>
      <c r="CB605" s="35"/>
      <c r="CC605"/>
      <c r="CG605" s="35"/>
      <c r="CH605" s="35"/>
      <c r="CK605"/>
      <c r="CM605" s="35"/>
      <c r="CN605" s="35"/>
      <c r="CQ605"/>
      <c r="CS605" s="35"/>
      <c r="CT605" s="35"/>
      <c r="CX605"/>
      <c r="CZ605" s="35"/>
      <c r="DD605" s="34"/>
      <c r="DG605" t="s">
        <v>773</v>
      </c>
      <c r="DH605" t="s">
        <v>950</v>
      </c>
      <c r="DI605" t="s">
        <v>286</v>
      </c>
      <c r="DL605" t="s">
        <v>670</v>
      </c>
      <c r="DM605">
        <v>3</v>
      </c>
      <c r="DN605">
        <v>5</v>
      </c>
      <c r="DO605" t="s">
        <v>774</v>
      </c>
      <c r="DQ605" t="s">
        <v>927</v>
      </c>
      <c r="DR605">
        <v>14</v>
      </c>
      <c r="DS605">
        <v>2</v>
      </c>
      <c r="DU605">
        <v>14</v>
      </c>
      <c r="DV605">
        <v>2</v>
      </c>
      <c r="DX605">
        <v>14</v>
      </c>
      <c r="DY605">
        <v>2</v>
      </c>
      <c r="DZ605" t="s">
        <v>246</v>
      </c>
      <c r="EA605" t="s">
        <v>929</v>
      </c>
    </row>
    <row r="606" spans="1:131" x14ac:dyDescent="0.4">
      <c r="A606" s="34">
        <v>43067.305104166669</v>
      </c>
      <c r="B606" s="25">
        <v>42934.737500000003</v>
      </c>
      <c r="D606" s="34"/>
      <c r="E606" s="34" t="s">
        <v>193</v>
      </c>
      <c r="F606" s="34" t="s">
        <v>191</v>
      </c>
      <c r="G606" s="34" t="s">
        <v>100</v>
      </c>
      <c r="H606" t="s">
        <v>279</v>
      </c>
      <c r="I606" t="s">
        <v>243</v>
      </c>
      <c r="J606" t="s">
        <v>712</v>
      </c>
      <c r="K606" t="s">
        <v>758</v>
      </c>
      <c r="L606" t="s">
        <v>711</v>
      </c>
      <c r="M606" s="30">
        <v>3.13</v>
      </c>
      <c r="N606">
        <v>4.5</v>
      </c>
      <c r="P606" s="24" t="str">
        <f>IFERROR(MID(RADataTable[[#This Row],[RATemplate]],1,LEN(RADataTable[[#This Row],[RATemplate]])-8),"RA") &amp; " " &amp; RADataTable[[#This Row],[prop_id0]] &amp; " " &amp; RADataTable[[#This Row],[last0]]</f>
        <v>RA 1750039 Solomonik</v>
      </c>
      <c r="T606">
        <v>4</v>
      </c>
      <c r="U606">
        <v>4</v>
      </c>
      <c r="V606" s="34">
        <v>43031.922222222223</v>
      </c>
      <c r="W606">
        <v>1</v>
      </c>
      <c r="X606" s="15" t="str">
        <f>HYPERLINK("https://www.ejacket.nsf.gov/ej/showProposal.do?Continue=Y&amp;ID="&amp;RADataTable[[#This Row],[prop_id0]],"eJ")</f>
        <v>eJ</v>
      </c>
      <c r="Y606" s="15" t="str">
        <f>HYPERLINK("mailto:"&amp;RADataTable[[#This Row],[email]]&amp;"&amp;subject=Your NSF Proposal:  "&amp;RADataTable[[#This Row],[Div]]&amp;" "&amp;RADataTable[[#This Row],[prop_id0]], RADataTable[[#This Row],[email]])</f>
        <v>solomon2@illinois.edu</v>
      </c>
      <c r="Z606" s="15" t="str">
        <f>HYPERLINK("mailto:"&amp;RADataTable[[#This Row],[allPIemail]]&amp;"&amp;subject=NSF Proposal:  "&amp;RADataTable[[#This Row],[Div]]&amp;" "&amp;RADataTable[[#This Row],[prop_id0]], "PIs@")</f>
        <v>PIs@</v>
      </c>
      <c r="AA606" t="s">
        <v>245</v>
      </c>
      <c r="AB606" t="s">
        <v>670</v>
      </c>
      <c r="AC606" s="30" t="s">
        <v>771</v>
      </c>
      <c r="AD606" t="s">
        <v>772</v>
      </c>
      <c r="AE606" t="s">
        <v>761</v>
      </c>
      <c r="AF606" s="36">
        <v>524117</v>
      </c>
      <c r="AG606" s="36">
        <v>524117</v>
      </c>
      <c r="AH606" s="24"/>
      <c r="AJ606" s="34"/>
      <c r="AK606" t="s">
        <v>923</v>
      </c>
      <c r="AL606" t="s">
        <v>287</v>
      </c>
      <c r="AM606" s="34" t="s">
        <v>925</v>
      </c>
      <c r="AN606" s="34">
        <v>43032</v>
      </c>
      <c r="AO606" s="24">
        <v>13</v>
      </c>
      <c r="AP606" t="s">
        <v>949</v>
      </c>
      <c r="AR606" s="35"/>
      <c r="AS606"/>
      <c r="AT606" s="34"/>
      <c r="AV606" s="34"/>
      <c r="AX606" s="34"/>
      <c r="AY606"/>
      <c r="BA606" s="34"/>
      <c r="BB606"/>
      <c r="BC606" t="s">
        <v>775</v>
      </c>
      <c r="BD606" s="36">
        <v>524117</v>
      </c>
      <c r="BE606" s="36">
        <v>524117</v>
      </c>
      <c r="BF606">
        <v>0</v>
      </c>
      <c r="BG606" s="34">
        <v>43132</v>
      </c>
      <c r="BH606">
        <v>60</v>
      </c>
      <c r="BI606" t="s">
        <v>283</v>
      </c>
      <c r="BJ606" t="s">
        <v>928</v>
      </c>
      <c r="BK606" t="s">
        <v>945</v>
      </c>
      <c r="BL606" t="s">
        <v>194</v>
      </c>
      <c r="BM606" s="8" t="s">
        <v>192</v>
      </c>
      <c r="BN606" t="s">
        <v>189</v>
      </c>
      <c r="BO606" t="s">
        <v>190</v>
      </c>
      <c r="BP606" s="35" t="s">
        <v>733</v>
      </c>
      <c r="BQ606"/>
      <c r="BU606" s="35"/>
      <c r="BV606" s="35"/>
      <c r="BX606"/>
      <c r="CA606" s="35"/>
      <c r="CB606" s="35"/>
      <c r="CC606"/>
      <c r="CG606" s="35"/>
      <c r="CH606" s="35"/>
      <c r="CK606"/>
      <c r="CM606" s="35"/>
      <c r="CN606" s="35"/>
      <c r="CQ606"/>
      <c r="CS606" s="35"/>
      <c r="CT606" s="35"/>
      <c r="CX606"/>
      <c r="CZ606" s="35"/>
      <c r="DD606" s="34"/>
      <c r="DG606" t="s">
        <v>773</v>
      </c>
      <c r="DH606" t="s">
        <v>950</v>
      </c>
      <c r="DI606" t="s">
        <v>286</v>
      </c>
      <c r="DL606" t="s">
        <v>670</v>
      </c>
      <c r="DM606">
        <v>3</v>
      </c>
      <c r="DN606">
        <v>5</v>
      </c>
      <c r="DO606" t="s">
        <v>774</v>
      </c>
      <c r="DQ606" t="s">
        <v>927</v>
      </c>
      <c r="DR606">
        <v>14</v>
      </c>
      <c r="DS606">
        <v>2</v>
      </c>
      <c r="DU606">
        <v>14</v>
      </c>
      <c r="DV606">
        <v>2</v>
      </c>
      <c r="DX606">
        <v>14</v>
      </c>
      <c r="DY606">
        <v>2</v>
      </c>
      <c r="DZ606" t="s">
        <v>246</v>
      </c>
      <c r="EA606" t="s">
        <v>929</v>
      </c>
    </row>
    <row r="607" spans="1:131" x14ac:dyDescent="0.4">
      <c r="A607" s="34">
        <v>43067.305104166669</v>
      </c>
      <c r="B607" s="25">
        <v>42934.737500000003</v>
      </c>
      <c r="D607" s="34"/>
      <c r="E607" s="34" t="s">
        <v>193</v>
      </c>
      <c r="F607" s="34" t="s">
        <v>191</v>
      </c>
      <c r="G607" s="34" t="s">
        <v>100</v>
      </c>
      <c r="H607" t="s">
        <v>279</v>
      </c>
      <c r="I607" t="s">
        <v>243</v>
      </c>
      <c r="J607" t="s">
        <v>712</v>
      </c>
      <c r="K607" t="s">
        <v>758</v>
      </c>
      <c r="L607" t="s">
        <v>711</v>
      </c>
      <c r="M607" s="30">
        <v>3.13</v>
      </c>
      <c r="N607">
        <v>4.5</v>
      </c>
      <c r="P607" s="24" t="str">
        <f>IFERROR(MID(RADataTable[[#This Row],[RATemplate]],1,LEN(RADataTable[[#This Row],[RATemplate]])-8),"RA") &amp; " " &amp; RADataTable[[#This Row],[prop_id0]] &amp; " " &amp; RADataTable[[#This Row],[last0]]</f>
        <v>RA 1750039 Solomonik</v>
      </c>
      <c r="T607">
        <v>4</v>
      </c>
      <c r="U607">
        <v>4</v>
      </c>
      <c r="V607" s="34">
        <v>43031.922222222223</v>
      </c>
      <c r="W607">
        <v>1</v>
      </c>
      <c r="X607" s="15" t="str">
        <f>HYPERLINK("https://www.ejacket.nsf.gov/ej/showProposal.do?Continue=Y&amp;ID="&amp;RADataTable[[#This Row],[prop_id0]],"eJ")</f>
        <v>eJ</v>
      </c>
      <c r="Y607" s="15" t="str">
        <f>HYPERLINK("mailto:"&amp;RADataTable[[#This Row],[email]]&amp;"&amp;subject=Your NSF Proposal:  "&amp;RADataTable[[#This Row],[Div]]&amp;" "&amp;RADataTable[[#This Row],[prop_id0]], RADataTable[[#This Row],[email]])</f>
        <v>solomon2@illinois.edu</v>
      </c>
      <c r="Z607" s="15" t="str">
        <f>HYPERLINK("mailto:"&amp;RADataTable[[#This Row],[allPIemail]]&amp;"&amp;subject=NSF Proposal:  "&amp;RADataTable[[#This Row],[Div]]&amp;" "&amp;RADataTable[[#This Row],[prop_id0]], "PIs@")</f>
        <v>PIs@</v>
      </c>
      <c r="AA607" t="s">
        <v>245</v>
      </c>
      <c r="AB607" t="s">
        <v>670</v>
      </c>
      <c r="AC607" s="30" t="s">
        <v>771</v>
      </c>
      <c r="AD607" t="s">
        <v>772</v>
      </c>
      <c r="AE607" t="s">
        <v>761</v>
      </c>
      <c r="AF607" s="36">
        <v>524117</v>
      </c>
      <c r="AG607" s="36">
        <v>524117</v>
      </c>
      <c r="AH607" s="24"/>
      <c r="AJ607" s="34"/>
      <c r="AK607" t="s">
        <v>923</v>
      </c>
      <c r="AL607" t="s">
        <v>287</v>
      </c>
      <c r="AM607" s="34" t="s">
        <v>925</v>
      </c>
      <c r="AN607" s="34">
        <v>43032</v>
      </c>
      <c r="AO607" s="24">
        <v>13</v>
      </c>
      <c r="AP607" t="s">
        <v>949</v>
      </c>
      <c r="AR607" s="35"/>
      <c r="AS607"/>
      <c r="AT607" s="34"/>
      <c r="AV607" s="34"/>
      <c r="AX607" s="34"/>
      <c r="AY607"/>
      <c r="BA607" s="34"/>
      <c r="BB607"/>
      <c r="BC607" t="s">
        <v>775</v>
      </c>
      <c r="BD607" s="36">
        <v>524117</v>
      </c>
      <c r="BE607" s="36">
        <v>524117</v>
      </c>
      <c r="BF607">
        <v>0</v>
      </c>
      <c r="BG607" s="34">
        <v>43132</v>
      </c>
      <c r="BH607">
        <v>60</v>
      </c>
      <c r="BI607" t="s">
        <v>283</v>
      </c>
      <c r="BJ607" t="s">
        <v>928</v>
      </c>
      <c r="BK607" t="s">
        <v>945</v>
      </c>
      <c r="BL607" t="s">
        <v>194</v>
      </c>
      <c r="BM607" s="8" t="s">
        <v>192</v>
      </c>
      <c r="BN607" t="s">
        <v>189</v>
      </c>
      <c r="BO607" t="s">
        <v>190</v>
      </c>
      <c r="BP607" s="35" t="s">
        <v>733</v>
      </c>
      <c r="BQ607"/>
      <c r="BU607" s="35"/>
      <c r="BV607" s="35"/>
      <c r="BX607"/>
      <c r="CA607" s="35"/>
      <c r="CB607" s="35"/>
      <c r="CC607"/>
      <c r="CG607" s="35"/>
      <c r="CH607" s="35"/>
      <c r="CK607"/>
      <c r="CM607" s="35"/>
      <c r="CN607" s="35"/>
      <c r="CQ607"/>
      <c r="CS607" s="35"/>
      <c r="CT607" s="35"/>
      <c r="CX607"/>
      <c r="CZ607" s="35"/>
      <c r="DD607" s="34"/>
      <c r="DG607" t="s">
        <v>773</v>
      </c>
      <c r="DH607" t="s">
        <v>950</v>
      </c>
      <c r="DI607" t="s">
        <v>286</v>
      </c>
      <c r="DL607" t="s">
        <v>670</v>
      </c>
      <c r="DM607">
        <v>3</v>
      </c>
      <c r="DN607">
        <v>5</v>
      </c>
      <c r="DO607" t="s">
        <v>774</v>
      </c>
      <c r="DQ607" t="s">
        <v>927</v>
      </c>
      <c r="DR607">
        <v>14</v>
      </c>
      <c r="DS607">
        <v>2</v>
      </c>
      <c r="DU607">
        <v>14</v>
      </c>
      <c r="DV607">
        <v>2</v>
      </c>
      <c r="DX607">
        <v>14</v>
      </c>
      <c r="DY607">
        <v>2</v>
      </c>
      <c r="DZ607" t="s">
        <v>246</v>
      </c>
      <c r="EA607" t="s">
        <v>929</v>
      </c>
    </row>
    <row r="608" spans="1:131" x14ac:dyDescent="0.4">
      <c r="A608" s="34">
        <v>43067.305104166669</v>
      </c>
      <c r="B608" s="25">
        <v>42934.737500000003</v>
      </c>
      <c r="D608" s="34"/>
      <c r="E608" s="34" t="s">
        <v>193</v>
      </c>
      <c r="F608" s="34" t="s">
        <v>191</v>
      </c>
      <c r="G608" s="34" t="s">
        <v>100</v>
      </c>
      <c r="H608" t="s">
        <v>279</v>
      </c>
      <c r="I608" t="s">
        <v>243</v>
      </c>
      <c r="J608" t="s">
        <v>712</v>
      </c>
      <c r="K608" t="s">
        <v>758</v>
      </c>
      <c r="L608" t="s">
        <v>711</v>
      </c>
      <c r="M608" s="30">
        <v>3.13</v>
      </c>
      <c r="N608">
        <v>4.5</v>
      </c>
      <c r="P608" s="24" t="str">
        <f>IFERROR(MID(RADataTable[[#This Row],[RATemplate]],1,LEN(RADataTable[[#This Row],[RATemplate]])-8),"RA") &amp; " " &amp; RADataTable[[#This Row],[prop_id0]] &amp; " " &amp; RADataTable[[#This Row],[last0]]</f>
        <v>RA 1750039 Solomonik</v>
      </c>
      <c r="T608">
        <v>4</v>
      </c>
      <c r="U608">
        <v>4</v>
      </c>
      <c r="V608" s="34">
        <v>43031.922222222223</v>
      </c>
      <c r="W608">
        <v>1</v>
      </c>
      <c r="X608" s="15" t="str">
        <f>HYPERLINK("https://www.ejacket.nsf.gov/ej/showProposal.do?Continue=Y&amp;ID="&amp;RADataTable[[#This Row],[prop_id0]],"eJ")</f>
        <v>eJ</v>
      </c>
      <c r="Y608" s="15" t="str">
        <f>HYPERLINK("mailto:"&amp;RADataTable[[#This Row],[email]]&amp;"&amp;subject=Your NSF Proposal:  "&amp;RADataTable[[#This Row],[Div]]&amp;" "&amp;RADataTable[[#This Row],[prop_id0]], RADataTable[[#This Row],[email]])</f>
        <v>solomon2@illinois.edu</v>
      </c>
      <c r="Z608" s="15" t="str">
        <f>HYPERLINK("mailto:"&amp;RADataTable[[#This Row],[allPIemail]]&amp;"&amp;subject=NSF Proposal:  "&amp;RADataTable[[#This Row],[Div]]&amp;" "&amp;RADataTable[[#This Row],[prop_id0]], "PIs@")</f>
        <v>PIs@</v>
      </c>
      <c r="AA608" t="s">
        <v>245</v>
      </c>
      <c r="AB608" t="s">
        <v>670</v>
      </c>
      <c r="AC608" s="30" t="s">
        <v>771</v>
      </c>
      <c r="AD608" t="s">
        <v>772</v>
      </c>
      <c r="AE608" t="s">
        <v>761</v>
      </c>
      <c r="AF608" s="36">
        <v>524117</v>
      </c>
      <c r="AG608" s="36">
        <v>524117</v>
      </c>
      <c r="AH608" s="24"/>
      <c r="AJ608" s="34"/>
      <c r="AK608" t="s">
        <v>923</v>
      </c>
      <c r="AL608" t="s">
        <v>287</v>
      </c>
      <c r="AM608" s="34" t="s">
        <v>925</v>
      </c>
      <c r="AN608" s="34">
        <v>43032</v>
      </c>
      <c r="AO608" s="24">
        <v>13</v>
      </c>
      <c r="AP608" t="s">
        <v>949</v>
      </c>
      <c r="AR608" s="35"/>
      <c r="AS608"/>
      <c r="AT608" s="34"/>
      <c r="AV608" s="34"/>
      <c r="AX608" s="34"/>
      <c r="AY608"/>
      <c r="BA608" s="34"/>
      <c r="BB608"/>
      <c r="BC608" t="s">
        <v>775</v>
      </c>
      <c r="BD608" s="36">
        <v>524117</v>
      </c>
      <c r="BE608" s="36">
        <v>524117</v>
      </c>
      <c r="BF608">
        <v>0</v>
      </c>
      <c r="BG608" s="34">
        <v>43132</v>
      </c>
      <c r="BH608">
        <v>60</v>
      </c>
      <c r="BI608" t="s">
        <v>283</v>
      </c>
      <c r="BJ608" t="s">
        <v>928</v>
      </c>
      <c r="BK608" t="s">
        <v>945</v>
      </c>
      <c r="BL608" t="s">
        <v>194</v>
      </c>
      <c r="BM608" s="8" t="s">
        <v>192</v>
      </c>
      <c r="BN608" t="s">
        <v>189</v>
      </c>
      <c r="BO608" t="s">
        <v>190</v>
      </c>
      <c r="BP608" s="35" t="s">
        <v>733</v>
      </c>
      <c r="BQ608"/>
      <c r="BU608" s="35"/>
      <c r="BV608" s="35"/>
      <c r="BX608"/>
      <c r="CA608" s="35"/>
      <c r="CB608" s="35"/>
      <c r="CC608"/>
      <c r="CG608" s="35"/>
      <c r="CH608" s="35"/>
      <c r="CK608"/>
      <c r="CM608" s="35"/>
      <c r="CN608" s="35"/>
      <c r="CQ608"/>
      <c r="CS608" s="35"/>
      <c r="CT608" s="35"/>
      <c r="CX608"/>
      <c r="CZ608" s="35"/>
      <c r="DD608" s="34"/>
      <c r="DG608" t="s">
        <v>773</v>
      </c>
      <c r="DH608" t="s">
        <v>950</v>
      </c>
      <c r="DI608" t="s">
        <v>286</v>
      </c>
      <c r="DL608" t="s">
        <v>670</v>
      </c>
      <c r="DM608">
        <v>3</v>
      </c>
      <c r="DN608">
        <v>5</v>
      </c>
      <c r="DO608" t="s">
        <v>774</v>
      </c>
      <c r="DQ608" t="s">
        <v>927</v>
      </c>
      <c r="DR608">
        <v>14</v>
      </c>
      <c r="DS608">
        <v>2</v>
      </c>
      <c r="DU608">
        <v>14</v>
      </c>
      <c r="DV608">
        <v>2</v>
      </c>
      <c r="DX608">
        <v>14</v>
      </c>
      <c r="DY608">
        <v>2</v>
      </c>
      <c r="DZ608" t="s">
        <v>246</v>
      </c>
      <c r="EA608" t="s">
        <v>929</v>
      </c>
    </row>
    <row r="609" spans="1:131" x14ac:dyDescent="0.4">
      <c r="A609" s="34">
        <v>43067.305104166669</v>
      </c>
      <c r="B609" s="25">
        <v>42934.737500000003</v>
      </c>
      <c r="D609" s="34"/>
      <c r="E609" s="34" t="s">
        <v>193</v>
      </c>
      <c r="F609" s="34" t="s">
        <v>191</v>
      </c>
      <c r="G609" s="34" t="s">
        <v>100</v>
      </c>
      <c r="H609" t="s">
        <v>279</v>
      </c>
      <c r="I609" t="s">
        <v>243</v>
      </c>
      <c r="J609" t="s">
        <v>712</v>
      </c>
      <c r="K609" t="s">
        <v>758</v>
      </c>
      <c r="L609" t="s">
        <v>711</v>
      </c>
      <c r="M609" s="30">
        <v>3.13</v>
      </c>
      <c r="N609">
        <v>4.5</v>
      </c>
      <c r="P609" s="24" t="str">
        <f>IFERROR(MID(RADataTable[[#This Row],[RATemplate]],1,LEN(RADataTable[[#This Row],[RATemplate]])-8),"RA") &amp; " " &amp; RADataTable[[#This Row],[prop_id0]] &amp; " " &amp; RADataTable[[#This Row],[last0]]</f>
        <v>RA 1750039 Solomonik</v>
      </c>
      <c r="T609">
        <v>4</v>
      </c>
      <c r="U609">
        <v>4</v>
      </c>
      <c r="V609" s="34">
        <v>43031.922222222223</v>
      </c>
      <c r="W609">
        <v>1</v>
      </c>
      <c r="X609" s="15" t="str">
        <f>HYPERLINK("https://www.ejacket.nsf.gov/ej/showProposal.do?Continue=Y&amp;ID="&amp;RADataTable[[#This Row],[prop_id0]],"eJ")</f>
        <v>eJ</v>
      </c>
      <c r="Y609" s="15" t="str">
        <f>HYPERLINK("mailto:"&amp;RADataTable[[#This Row],[email]]&amp;"&amp;subject=Your NSF Proposal:  "&amp;RADataTable[[#This Row],[Div]]&amp;" "&amp;RADataTable[[#This Row],[prop_id0]], RADataTable[[#This Row],[email]])</f>
        <v>solomon2@illinois.edu</v>
      </c>
      <c r="Z609" s="15" t="str">
        <f>HYPERLINK("mailto:"&amp;RADataTable[[#This Row],[allPIemail]]&amp;"&amp;subject=NSF Proposal:  "&amp;RADataTable[[#This Row],[Div]]&amp;" "&amp;RADataTable[[#This Row],[prop_id0]], "PIs@")</f>
        <v>PIs@</v>
      </c>
      <c r="AA609" t="s">
        <v>245</v>
      </c>
      <c r="AB609" t="s">
        <v>670</v>
      </c>
      <c r="AC609" s="30" t="s">
        <v>771</v>
      </c>
      <c r="AD609" t="s">
        <v>772</v>
      </c>
      <c r="AE609" t="s">
        <v>761</v>
      </c>
      <c r="AF609" s="36">
        <v>524117</v>
      </c>
      <c r="AG609" s="36">
        <v>524117</v>
      </c>
      <c r="AH609" s="24"/>
      <c r="AJ609" s="34"/>
      <c r="AK609" t="s">
        <v>923</v>
      </c>
      <c r="AL609" t="s">
        <v>287</v>
      </c>
      <c r="AM609" s="34" t="s">
        <v>925</v>
      </c>
      <c r="AN609" s="34">
        <v>43032</v>
      </c>
      <c r="AO609" s="24">
        <v>13</v>
      </c>
      <c r="AP609" t="s">
        <v>949</v>
      </c>
      <c r="AR609" s="35"/>
      <c r="AS609"/>
      <c r="AT609" s="34"/>
      <c r="AV609" s="34"/>
      <c r="AX609" s="34"/>
      <c r="AY609"/>
      <c r="BA609" s="34"/>
      <c r="BB609"/>
      <c r="BC609" t="s">
        <v>775</v>
      </c>
      <c r="BD609" s="36">
        <v>524117</v>
      </c>
      <c r="BE609" s="36">
        <v>524117</v>
      </c>
      <c r="BF609">
        <v>0</v>
      </c>
      <c r="BG609" s="34">
        <v>43132</v>
      </c>
      <c r="BH609">
        <v>60</v>
      </c>
      <c r="BI609" t="s">
        <v>283</v>
      </c>
      <c r="BJ609" t="s">
        <v>928</v>
      </c>
      <c r="BK609" t="s">
        <v>945</v>
      </c>
      <c r="BL609" t="s">
        <v>194</v>
      </c>
      <c r="BM609" s="8" t="s">
        <v>192</v>
      </c>
      <c r="BN609" t="s">
        <v>189</v>
      </c>
      <c r="BO609" t="s">
        <v>190</v>
      </c>
      <c r="BP609" s="35" t="s">
        <v>733</v>
      </c>
      <c r="BQ609"/>
      <c r="BU609" s="35"/>
      <c r="BV609" s="35"/>
      <c r="BX609"/>
      <c r="CA609" s="35"/>
      <c r="CB609" s="35"/>
      <c r="CC609"/>
      <c r="CG609" s="35"/>
      <c r="CH609" s="35"/>
      <c r="CK609"/>
      <c r="CM609" s="35"/>
      <c r="CN609" s="35"/>
      <c r="CQ609"/>
      <c r="CS609" s="35"/>
      <c r="CT609" s="35"/>
      <c r="CX609"/>
      <c r="CZ609" s="35"/>
      <c r="DD609" s="34"/>
      <c r="DG609" t="s">
        <v>773</v>
      </c>
      <c r="DH609" t="s">
        <v>950</v>
      </c>
      <c r="DI609" t="s">
        <v>286</v>
      </c>
      <c r="DL609" t="s">
        <v>670</v>
      </c>
      <c r="DM609">
        <v>3</v>
      </c>
      <c r="DN609">
        <v>5</v>
      </c>
      <c r="DO609" t="s">
        <v>774</v>
      </c>
      <c r="DQ609" t="s">
        <v>927</v>
      </c>
      <c r="DR609">
        <v>14</v>
      </c>
      <c r="DS609">
        <v>2</v>
      </c>
      <c r="DU609">
        <v>14</v>
      </c>
      <c r="DV609">
        <v>2</v>
      </c>
      <c r="DX609">
        <v>14</v>
      </c>
      <c r="DY609">
        <v>2</v>
      </c>
      <c r="DZ609" t="s">
        <v>246</v>
      </c>
      <c r="EA609" t="s">
        <v>929</v>
      </c>
    </row>
    <row r="610" spans="1:131" x14ac:dyDescent="0.4">
      <c r="A610" s="34">
        <v>43067.305104166669</v>
      </c>
      <c r="B610" s="25">
        <v>42934.737500000003</v>
      </c>
      <c r="D610" s="34"/>
      <c r="E610" s="34" t="s">
        <v>193</v>
      </c>
      <c r="F610" s="34" t="s">
        <v>191</v>
      </c>
      <c r="G610" s="34" t="s">
        <v>100</v>
      </c>
      <c r="H610" t="s">
        <v>279</v>
      </c>
      <c r="I610" t="s">
        <v>243</v>
      </c>
      <c r="J610" t="s">
        <v>712</v>
      </c>
      <c r="K610" t="s">
        <v>758</v>
      </c>
      <c r="L610" t="s">
        <v>711</v>
      </c>
      <c r="M610" s="30">
        <v>3.13</v>
      </c>
      <c r="N610">
        <v>4.5</v>
      </c>
      <c r="P610" s="24" t="str">
        <f>IFERROR(MID(RADataTable[[#This Row],[RATemplate]],1,LEN(RADataTable[[#This Row],[RATemplate]])-8),"RA") &amp; " " &amp; RADataTable[[#This Row],[prop_id0]] &amp; " " &amp; RADataTable[[#This Row],[last0]]</f>
        <v>RA 1750039 Solomonik</v>
      </c>
      <c r="T610">
        <v>4</v>
      </c>
      <c r="U610">
        <v>4</v>
      </c>
      <c r="V610" s="34">
        <v>43031.922222222223</v>
      </c>
      <c r="W610">
        <v>1</v>
      </c>
      <c r="X610" s="15" t="str">
        <f>HYPERLINK("https://www.ejacket.nsf.gov/ej/showProposal.do?Continue=Y&amp;ID="&amp;RADataTable[[#This Row],[prop_id0]],"eJ")</f>
        <v>eJ</v>
      </c>
      <c r="Y610" s="15" t="str">
        <f>HYPERLINK("mailto:"&amp;RADataTable[[#This Row],[email]]&amp;"&amp;subject=Your NSF Proposal:  "&amp;RADataTable[[#This Row],[Div]]&amp;" "&amp;RADataTable[[#This Row],[prop_id0]], RADataTable[[#This Row],[email]])</f>
        <v>solomon2@illinois.edu</v>
      </c>
      <c r="Z610" s="15" t="str">
        <f>HYPERLINK("mailto:"&amp;RADataTable[[#This Row],[allPIemail]]&amp;"&amp;subject=NSF Proposal:  "&amp;RADataTable[[#This Row],[Div]]&amp;" "&amp;RADataTable[[#This Row],[prop_id0]], "PIs@")</f>
        <v>PIs@</v>
      </c>
      <c r="AA610" t="s">
        <v>245</v>
      </c>
      <c r="AB610" t="s">
        <v>670</v>
      </c>
      <c r="AC610" s="30" t="s">
        <v>771</v>
      </c>
      <c r="AD610" t="s">
        <v>772</v>
      </c>
      <c r="AE610" t="s">
        <v>761</v>
      </c>
      <c r="AF610" s="36">
        <v>524117</v>
      </c>
      <c r="AG610" s="36">
        <v>524117</v>
      </c>
      <c r="AH610" s="24"/>
      <c r="AJ610" s="34"/>
      <c r="AK610" t="s">
        <v>923</v>
      </c>
      <c r="AL610" t="s">
        <v>287</v>
      </c>
      <c r="AM610" s="34" t="s">
        <v>925</v>
      </c>
      <c r="AN610" s="34">
        <v>43032</v>
      </c>
      <c r="AO610" s="24">
        <v>13</v>
      </c>
      <c r="AP610" t="s">
        <v>949</v>
      </c>
      <c r="AR610" s="35"/>
      <c r="AS610"/>
      <c r="AT610" s="34"/>
      <c r="AV610" s="34"/>
      <c r="AX610" s="34"/>
      <c r="AY610"/>
      <c r="BA610" s="34"/>
      <c r="BB610"/>
      <c r="BC610" t="s">
        <v>775</v>
      </c>
      <c r="BD610" s="36">
        <v>524117</v>
      </c>
      <c r="BE610" s="36">
        <v>524117</v>
      </c>
      <c r="BF610">
        <v>0</v>
      </c>
      <c r="BG610" s="34">
        <v>43132</v>
      </c>
      <c r="BH610">
        <v>60</v>
      </c>
      <c r="BI610" t="s">
        <v>283</v>
      </c>
      <c r="BJ610" t="s">
        <v>928</v>
      </c>
      <c r="BK610" t="s">
        <v>945</v>
      </c>
      <c r="BL610" t="s">
        <v>194</v>
      </c>
      <c r="BM610" s="8" t="s">
        <v>192</v>
      </c>
      <c r="BN610" t="s">
        <v>189</v>
      </c>
      <c r="BO610" t="s">
        <v>190</v>
      </c>
      <c r="BP610" s="35" t="s">
        <v>733</v>
      </c>
      <c r="BQ610"/>
      <c r="BU610" s="35"/>
      <c r="BV610" s="35"/>
      <c r="BX610"/>
      <c r="CA610" s="35"/>
      <c r="CB610" s="35"/>
      <c r="CC610"/>
      <c r="CG610" s="35"/>
      <c r="CH610" s="35"/>
      <c r="CK610"/>
      <c r="CM610" s="35"/>
      <c r="CN610" s="35"/>
      <c r="CQ610"/>
      <c r="CS610" s="35"/>
      <c r="CT610" s="35"/>
      <c r="CX610"/>
      <c r="CZ610" s="35"/>
      <c r="DD610" s="34"/>
      <c r="DG610" t="s">
        <v>773</v>
      </c>
      <c r="DH610" t="s">
        <v>950</v>
      </c>
      <c r="DI610" t="s">
        <v>286</v>
      </c>
      <c r="DL610" t="s">
        <v>670</v>
      </c>
      <c r="DM610">
        <v>3</v>
      </c>
      <c r="DN610">
        <v>5</v>
      </c>
      <c r="DO610" t="s">
        <v>774</v>
      </c>
      <c r="DQ610" t="s">
        <v>927</v>
      </c>
      <c r="DR610">
        <v>14</v>
      </c>
      <c r="DS610">
        <v>2</v>
      </c>
      <c r="DU610">
        <v>14</v>
      </c>
      <c r="DV610">
        <v>2</v>
      </c>
      <c r="DX610">
        <v>14</v>
      </c>
      <c r="DY610">
        <v>2</v>
      </c>
      <c r="DZ610" t="s">
        <v>246</v>
      </c>
      <c r="EA610" t="s">
        <v>929</v>
      </c>
    </row>
    <row r="611" spans="1:131" x14ac:dyDescent="0.4">
      <c r="A611" s="34">
        <v>43067.305104166669</v>
      </c>
      <c r="B611" s="25">
        <v>42934.737500000003</v>
      </c>
      <c r="D611" s="34"/>
      <c r="E611" s="34" t="s">
        <v>193</v>
      </c>
      <c r="F611" s="34" t="s">
        <v>191</v>
      </c>
      <c r="G611" s="34" t="s">
        <v>100</v>
      </c>
      <c r="H611" t="s">
        <v>279</v>
      </c>
      <c r="I611" t="s">
        <v>243</v>
      </c>
      <c r="J611" t="s">
        <v>712</v>
      </c>
      <c r="K611" t="s">
        <v>758</v>
      </c>
      <c r="L611" t="s">
        <v>711</v>
      </c>
      <c r="M611" s="30">
        <v>3.13</v>
      </c>
      <c r="N611">
        <v>4.5</v>
      </c>
      <c r="P611" s="24" t="str">
        <f>IFERROR(MID(RADataTable[[#This Row],[RATemplate]],1,LEN(RADataTable[[#This Row],[RATemplate]])-8),"RA") &amp; " " &amp; RADataTable[[#This Row],[prop_id0]] &amp; " " &amp; RADataTable[[#This Row],[last0]]</f>
        <v>RA 1750039 Solomonik</v>
      </c>
      <c r="T611">
        <v>4</v>
      </c>
      <c r="U611">
        <v>4</v>
      </c>
      <c r="V611" s="34">
        <v>43031.922222222223</v>
      </c>
      <c r="W611">
        <v>1</v>
      </c>
      <c r="X611" s="15" t="str">
        <f>HYPERLINK("https://www.ejacket.nsf.gov/ej/showProposal.do?Continue=Y&amp;ID="&amp;RADataTable[[#This Row],[prop_id0]],"eJ")</f>
        <v>eJ</v>
      </c>
      <c r="Y611" s="15" t="str">
        <f>HYPERLINK("mailto:"&amp;RADataTable[[#This Row],[email]]&amp;"&amp;subject=Your NSF Proposal:  "&amp;RADataTable[[#This Row],[Div]]&amp;" "&amp;RADataTable[[#This Row],[prop_id0]], RADataTable[[#This Row],[email]])</f>
        <v>solomon2@illinois.edu</v>
      </c>
      <c r="Z611" s="15" t="str">
        <f>HYPERLINK("mailto:"&amp;RADataTable[[#This Row],[allPIemail]]&amp;"&amp;subject=NSF Proposal:  "&amp;RADataTable[[#This Row],[Div]]&amp;" "&amp;RADataTable[[#This Row],[prop_id0]], "PIs@")</f>
        <v>PIs@</v>
      </c>
      <c r="AA611" t="s">
        <v>245</v>
      </c>
      <c r="AB611" t="s">
        <v>670</v>
      </c>
      <c r="AC611" s="30" t="s">
        <v>771</v>
      </c>
      <c r="AD611" t="s">
        <v>772</v>
      </c>
      <c r="AE611" t="s">
        <v>761</v>
      </c>
      <c r="AF611" s="36">
        <v>524117</v>
      </c>
      <c r="AG611" s="36">
        <v>524117</v>
      </c>
      <c r="AH611" s="24"/>
      <c r="AJ611" s="34"/>
      <c r="AK611" t="s">
        <v>923</v>
      </c>
      <c r="AL611" t="s">
        <v>287</v>
      </c>
      <c r="AM611" s="34" t="s">
        <v>925</v>
      </c>
      <c r="AN611" s="34">
        <v>43032</v>
      </c>
      <c r="AO611" s="24">
        <v>13</v>
      </c>
      <c r="AP611" t="s">
        <v>949</v>
      </c>
      <c r="AR611" s="35"/>
      <c r="AS611"/>
      <c r="AT611" s="34"/>
      <c r="AV611" s="34"/>
      <c r="AX611" s="34"/>
      <c r="AY611"/>
      <c r="BA611" s="34"/>
      <c r="BB611"/>
      <c r="BC611" t="s">
        <v>775</v>
      </c>
      <c r="BD611" s="36">
        <v>524117</v>
      </c>
      <c r="BE611" s="36">
        <v>524117</v>
      </c>
      <c r="BF611">
        <v>0</v>
      </c>
      <c r="BG611" s="34">
        <v>43132</v>
      </c>
      <c r="BH611">
        <v>60</v>
      </c>
      <c r="BI611" t="s">
        <v>283</v>
      </c>
      <c r="BJ611" t="s">
        <v>928</v>
      </c>
      <c r="BK611" t="s">
        <v>945</v>
      </c>
      <c r="BL611" t="s">
        <v>194</v>
      </c>
      <c r="BM611" s="8" t="s">
        <v>192</v>
      </c>
      <c r="BN611" t="s">
        <v>189</v>
      </c>
      <c r="BO611" t="s">
        <v>190</v>
      </c>
      <c r="BP611" s="35" t="s">
        <v>733</v>
      </c>
      <c r="BQ611"/>
      <c r="BU611" s="35"/>
      <c r="BV611" s="35"/>
      <c r="BX611"/>
      <c r="CA611" s="35"/>
      <c r="CB611" s="35"/>
      <c r="CC611"/>
      <c r="CG611" s="35"/>
      <c r="CH611" s="35"/>
      <c r="CK611"/>
      <c r="CM611" s="35"/>
      <c r="CN611" s="35"/>
      <c r="CQ611"/>
      <c r="CS611" s="35"/>
      <c r="CT611" s="35"/>
      <c r="CX611"/>
      <c r="CZ611" s="35"/>
      <c r="DD611" s="34"/>
      <c r="DG611" t="s">
        <v>773</v>
      </c>
      <c r="DH611" t="s">
        <v>950</v>
      </c>
      <c r="DI611" t="s">
        <v>286</v>
      </c>
      <c r="DL611" t="s">
        <v>670</v>
      </c>
      <c r="DM611">
        <v>3</v>
      </c>
      <c r="DN611">
        <v>5</v>
      </c>
      <c r="DO611" t="s">
        <v>774</v>
      </c>
      <c r="DQ611" t="s">
        <v>927</v>
      </c>
      <c r="DR611">
        <v>14</v>
      </c>
      <c r="DS611">
        <v>2</v>
      </c>
      <c r="DU611">
        <v>14</v>
      </c>
      <c r="DV611">
        <v>2</v>
      </c>
      <c r="DX611">
        <v>14</v>
      </c>
      <c r="DY611">
        <v>2</v>
      </c>
      <c r="DZ611" t="s">
        <v>246</v>
      </c>
      <c r="EA611" t="s">
        <v>929</v>
      </c>
    </row>
    <row r="612" spans="1:131" x14ac:dyDescent="0.4">
      <c r="A612" s="34">
        <v>43067.305104166669</v>
      </c>
      <c r="B612" s="25">
        <v>42934.737500000003</v>
      </c>
      <c r="D612" s="34"/>
      <c r="E612" s="34" t="s">
        <v>193</v>
      </c>
      <c r="F612" s="34" t="s">
        <v>191</v>
      </c>
      <c r="G612" s="34" t="s">
        <v>100</v>
      </c>
      <c r="H612" t="s">
        <v>279</v>
      </c>
      <c r="I612" t="s">
        <v>243</v>
      </c>
      <c r="J612" t="s">
        <v>712</v>
      </c>
      <c r="K612" t="s">
        <v>758</v>
      </c>
      <c r="L612" t="s">
        <v>711</v>
      </c>
      <c r="M612" s="30">
        <v>3.13</v>
      </c>
      <c r="N612">
        <v>4.5</v>
      </c>
      <c r="P612" s="24" t="str">
        <f>IFERROR(MID(RADataTable[[#This Row],[RATemplate]],1,LEN(RADataTable[[#This Row],[RATemplate]])-8),"RA") &amp; " " &amp; RADataTable[[#This Row],[prop_id0]] &amp; " " &amp; RADataTable[[#This Row],[last0]]</f>
        <v>RA 1750039 Solomonik</v>
      </c>
      <c r="T612">
        <v>4</v>
      </c>
      <c r="U612">
        <v>4</v>
      </c>
      <c r="V612" s="34">
        <v>43031.922222222223</v>
      </c>
      <c r="W612">
        <v>1</v>
      </c>
      <c r="X612" s="15" t="str">
        <f>HYPERLINK("https://www.ejacket.nsf.gov/ej/showProposal.do?Continue=Y&amp;ID="&amp;RADataTable[[#This Row],[prop_id0]],"eJ")</f>
        <v>eJ</v>
      </c>
      <c r="Y612" s="15" t="str">
        <f>HYPERLINK("mailto:"&amp;RADataTable[[#This Row],[email]]&amp;"&amp;subject=Your NSF Proposal:  "&amp;RADataTable[[#This Row],[Div]]&amp;" "&amp;RADataTable[[#This Row],[prop_id0]], RADataTable[[#This Row],[email]])</f>
        <v>solomon2@illinois.edu</v>
      </c>
      <c r="Z612" s="15" t="str">
        <f>HYPERLINK("mailto:"&amp;RADataTable[[#This Row],[allPIemail]]&amp;"&amp;subject=NSF Proposal:  "&amp;RADataTable[[#This Row],[Div]]&amp;" "&amp;RADataTable[[#This Row],[prop_id0]], "PIs@")</f>
        <v>PIs@</v>
      </c>
      <c r="AA612" t="s">
        <v>245</v>
      </c>
      <c r="AB612" t="s">
        <v>670</v>
      </c>
      <c r="AC612" s="30" t="s">
        <v>771</v>
      </c>
      <c r="AD612" t="s">
        <v>772</v>
      </c>
      <c r="AE612" t="s">
        <v>761</v>
      </c>
      <c r="AF612" s="36">
        <v>524117</v>
      </c>
      <c r="AG612" s="36">
        <v>524117</v>
      </c>
      <c r="AH612" s="24"/>
      <c r="AJ612" s="34"/>
      <c r="AK612" t="s">
        <v>923</v>
      </c>
      <c r="AL612" t="s">
        <v>287</v>
      </c>
      <c r="AM612" s="34" t="s">
        <v>925</v>
      </c>
      <c r="AN612" s="34">
        <v>43032</v>
      </c>
      <c r="AO612" s="24">
        <v>13</v>
      </c>
      <c r="AP612" t="s">
        <v>949</v>
      </c>
      <c r="AR612" s="35"/>
      <c r="AS612"/>
      <c r="AT612" s="34"/>
      <c r="AV612" s="34"/>
      <c r="AX612" s="34"/>
      <c r="AY612"/>
      <c r="BA612" s="34"/>
      <c r="BB612"/>
      <c r="BC612" t="s">
        <v>775</v>
      </c>
      <c r="BD612" s="36">
        <v>524117</v>
      </c>
      <c r="BE612" s="36">
        <v>524117</v>
      </c>
      <c r="BF612">
        <v>0</v>
      </c>
      <c r="BG612" s="34">
        <v>43132</v>
      </c>
      <c r="BH612">
        <v>60</v>
      </c>
      <c r="BI612" t="s">
        <v>283</v>
      </c>
      <c r="BJ612" t="s">
        <v>928</v>
      </c>
      <c r="BK612" t="s">
        <v>945</v>
      </c>
      <c r="BL612" t="s">
        <v>194</v>
      </c>
      <c r="BM612" s="8" t="s">
        <v>192</v>
      </c>
      <c r="BN612" t="s">
        <v>189</v>
      </c>
      <c r="BO612" t="s">
        <v>190</v>
      </c>
      <c r="BP612" s="35" t="s">
        <v>733</v>
      </c>
      <c r="BQ612"/>
      <c r="BU612" s="35"/>
      <c r="BV612" s="35"/>
      <c r="BX612"/>
      <c r="CA612" s="35"/>
      <c r="CB612" s="35"/>
      <c r="CC612"/>
      <c r="CG612" s="35"/>
      <c r="CH612" s="35"/>
      <c r="CK612"/>
      <c r="CM612" s="35"/>
      <c r="CN612" s="35"/>
      <c r="CQ612"/>
      <c r="CS612" s="35"/>
      <c r="CT612" s="35"/>
      <c r="CX612"/>
      <c r="CZ612" s="35"/>
      <c r="DD612" s="34"/>
      <c r="DG612" t="s">
        <v>773</v>
      </c>
      <c r="DH612" t="s">
        <v>950</v>
      </c>
      <c r="DI612" t="s">
        <v>286</v>
      </c>
      <c r="DL612" t="s">
        <v>670</v>
      </c>
      <c r="DM612">
        <v>3</v>
      </c>
      <c r="DN612">
        <v>5</v>
      </c>
      <c r="DO612" t="s">
        <v>774</v>
      </c>
      <c r="DQ612" t="s">
        <v>927</v>
      </c>
      <c r="DR612">
        <v>14</v>
      </c>
      <c r="DS612">
        <v>2</v>
      </c>
      <c r="DU612">
        <v>14</v>
      </c>
      <c r="DV612">
        <v>2</v>
      </c>
      <c r="DX612">
        <v>14</v>
      </c>
      <c r="DY612">
        <v>2</v>
      </c>
      <c r="DZ612" t="s">
        <v>246</v>
      </c>
      <c r="EA612" t="s">
        <v>929</v>
      </c>
    </row>
    <row r="613" spans="1:131" x14ac:dyDescent="0.4">
      <c r="A613" s="34">
        <v>43067.305104166669</v>
      </c>
      <c r="B613" s="25">
        <v>42934.737500000003</v>
      </c>
      <c r="D613" s="34"/>
      <c r="E613" s="34" t="s">
        <v>193</v>
      </c>
      <c r="F613" s="34" t="s">
        <v>191</v>
      </c>
      <c r="G613" s="34" t="s">
        <v>100</v>
      </c>
      <c r="H613" t="s">
        <v>279</v>
      </c>
      <c r="I613" t="s">
        <v>243</v>
      </c>
      <c r="J613" t="s">
        <v>712</v>
      </c>
      <c r="K613" t="s">
        <v>758</v>
      </c>
      <c r="L613" t="s">
        <v>711</v>
      </c>
      <c r="M613" s="30">
        <v>3.13</v>
      </c>
      <c r="N613">
        <v>4.5</v>
      </c>
      <c r="P613" s="24" t="str">
        <f>IFERROR(MID(RADataTable[[#This Row],[RATemplate]],1,LEN(RADataTable[[#This Row],[RATemplate]])-8),"RA") &amp; " " &amp; RADataTable[[#This Row],[prop_id0]] &amp; " " &amp; RADataTable[[#This Row],[last0]]</f>
        <v>RA 1750039 Solomonik</v>
      </c>
      <c r="T613">
        <v>4</v>
      </c>
      <c r="U613">
        <v>4</v>
      </c>
      <c r="V613" s="34">
        <v>43031.922222222223</v>
      </c>
      <c r="W613">
        <v>1</v>
      </c>
      <c r="X613" s="15" t="str">
        <f>HYPERLINK("https://www.ejacket.nsf.gov/ej/showProposal.do?Continue=Y&amp;ID="&amp;RADataTable[[#This Row],[prop_id0]],"eJ")</f>
        <v>eJ</v>
      </c>
      <c r="Y613" s="15" t="str">
        <f>HYPERLINK("mailto:"&amp;RADataTable[[#This Row],[email]]&amp;"&amp;subject=Your NSF Proposal:  "&amp;RADataTable[[#This Row],[Div]]&amp;" "&amp;RADataTable[[#This Row],[prop_id0]], RADataTable[[#This Row],[email]])</f>
        <v>solomon2@illinois.edu</v>
      </c>
      <c r="Z613" s="15" t="str">
        <f>HYPERLINK("mailto:"&amp;RADataTable[[#This Row],[allPIemail]]&amp;"&amp;subject=NSF Proposal:  "&amp;RADataTable[[#This Row],[Div]]&amp;" "&amp;RADataTable[[#This Row],[prop_id0]], "PIs@")</f>
        <v>PIs@</v>
      </c>
      <c r="AA613" t="s">
        <v>245</v>
      </c>
      <c r="AB613" t="s">
        <v>670</v>
      </c>
      <c r="AC613" s="30" t="s">
        <v>771</v>
      </c>
      <c r="AD613" t="s">
        <v>772</v>
      </c>
      <c r="AE613" t="s">
        <v>761</v>
      </c>
      <c r="AF613" s="36">
        <v>524117</v>
      </c>
      <c r="AG613" s="36">
        <v>524117</v>
      </c>
      <c r="AH613" s="24"/>
      <c r="AJ613" s="34"/>
      <c r="AK613" t="s">
        <v>923</v>
      </c>
      <c r="AL613" t="s">
        <v>287</v>
      </c>
      <c r="AM613" s="34" t="s">
        <v>925</v>
      </c>
      <c r="AN613" s="34">
        <v>43032</v>
      </c>
      <c r="AO613" s="24">
        <v>13</v>
      </c>
      <c r="AP613" t="s">
        <v>949</v>
      </c>
      <c r="AR613" s="35"/>
      <c r="AS613"/>
      <c r="AT613" s="34"/>
      <c r="AV613" s="34"/>
      <c r="AX613" s="34"/>
      <c r="AY613"/>
      <c r="BA613" s="34"/>
      <c r="BB613"/>
      <c r="BC613" t="s">
        <v>775</v>
      </c>
      <c r="BD613" s="36">
        <v>524117</v>
      </c>
      <c r="BE613" s="36">
        <v>524117</v>
      </c>
      <c r="BF613">
        <v>0</v>
      </c>
      <c r="BG613" s="34">
        <v>43132</v>
      </c>
      <c r="BH613">
        <v>60</v>
      </c>
      <c r="BI613" t="s">
        <v>283</v>
      </c>
      <c r="BJ613" t="s">
        <v>928</v>
      </c>
      <c r="BK613" t="s">
        <v>945</v>
      </c>
      <c r="BL613" t="s">
        <v>194</v>
      </c>
      <c r="BM613" s="8" t="s">
        <v>192</v>
      </c>
      <c r="BN613" t="s">
        <v>189</v>
      </c>
      <c r="BO613" t="s">
        <v>190</v>
      </c>
      <c r="BP613" s="35" t="s">
        <v>733</v>
      </c>
      <c r="BQ613"/>
      <c r="BU613" s="35"/>
      <c r="BV613" s="35"/>
      <c r="BX613"/>
      <c r="CA613" s="35"/>
      <c r="CB613" s="35"/>
      <c r="CC613"/>
      <c r="CG613" s="35"/>
      <c r="CH613" s="35"/>
      <c r="CK613"/>
      <c r="CM613" s="35"/>
      <c r="CN613" s="35"/>
      <c r="CQ613"/>
      <c r="CS613" s="35"/>
      <c r="CT613" s="35"/>
      <c r="CX613"/>
      <c r="CZ613" s="35"/>
      <c r="DD613" s="34"/>
      <c r="DG613" t="s">
        <v>773</v>
      </c>
      <c r="DH613" t="s">
        <v>950</v>
      </c>
      <c r="DI613" t="s">
        <v>286</v>
      </c>
      <c r="DL613" t="s">
        <v>670</v>
      </c>
      <c r="DM613">
        <v>3</v>
      </c>
      <c r="DN613">
        <v>5</v>
      </c>
      <c r="DO613" t="s">
        <v>774</v>
      </c>
      <c r="DQ613" t="s">
        <v>927</v>
      </c>
      <c r="DR613">
        <v>14</v>
      </c>
      <c r="DS613">
        <v>2</v>
      </c>
      <c r="DU613">
        <v>14</v>
      </c>
      <c r="DV613">
        <v>2</v>
      </c>
      <c r="DX613">
        <v>14</v>
      </c>
      <c r="DY613">
        <v>2</v>
      </c>
      <c r="DZ613" t="s">
        <v>246</v>
      </c>
      <c r="EA613" t="s">
        <v>929</v>
      </c>
    </row>
    <row r="614" spans="1:131" x14ac:dyDescent="0.4">
      <c r="A614" s="34">
        <v>43067.305104166669</v>
      </c>
      <c r="B614" s="25">
        <v>42934.737500000003</v>
      </c>
      <c r="D614" s="34"/>
      <c r="E614" s="34" t="s">
        <v>193</v>
      </c>
      <c r="F614" s="34" t="s">
        <v>191</v>
      </c>
      <c r="G614" s="34" t="s">
        <v>100</v>
      </c>
      <c r="H614" t="s">
        <v>279</v>
      </c>
      <c r="I614" t="s">
        <v>243</v>
      </c>
      <c r="J614" t="s">
        <v>712</v>
      </c>
      <c r="K614" t="s">
        <v>758</v>
      </c>
      <c r="L614" t="s">
        <v>711</v>
      </c>
      <c r="M614" s="30">
        <v>3.13</v>
      </c>
      <c r="N614">
        <v>4.5</v>
      </c>
      <c r="P614" s="24" t="str">
        <f>IFERROR(MID(RADataTable[[#This Row],[RATemplate]],1,LEN(RADataTable[[#This Row],[RATemplate]])-8),"RA") &amp; " " &amp; RADataTable[[#This Row],[prop_id0]] &amp; " " &amp; RADataTable[[#This Row],[last0]]</f>
        <v>RA 1750039 Solomonik</v>
      </c>
      <c r="T614">
        <v>4</v>
      </c>
      <c r="U614">
        <v>4</v>
      </c>
      <c r="V614" s="34">
        <v>43031.922222222223</v>
      </c>
      <c r="W614">
        <v>1</v>
      </c>
      <c r="X614" s="15" t="str">
        <f>HYPERLINK("https://www.ejacket.nsf.gov/ej/showProposal.do?Continue=Y&amp;ID="&amp;RADataTable[[#This Row],[prop_id0]],"eJ")</f>
        <v>eJ</v>
      </c>
      <c r="Y614" s="15" t="str">
        <f>HYPERLINK("mailto:"&amp;RADataTable[[#This Row],[email]]&amp;"&amp;subject=Your NSF Proposal:  "&amp;RADataTable[[#This Row],[Div]]&amp;" "&amp;RADataTable[[#This Row],[prop_id0]], RADataTable[[#This Row],[email]])</f>
        <v>solomon2@illinois.edu</v>
      </c>
      <c r="Z614" s="15" t="str">
        <f>HYPERLINK("mailto:"&amp;RADataTable[[#This Row],[allPIemail]]&amp;"&amp;subject=NSF Proposal:  "&amp;RADataTable[[#This Row],[Div]]&amp;" "&amp;RADataTable[[#This Row],[prop_id0]], "PIs@")</f>
        <v>PIs@</v>
      </c>
      <c r="AA614" t="s">
        <v>245</v>
      </c>
      <c r="AB614" t="s">
        <v>670</v>
      </c>
      <c r="AC614" s="30" t="s">
        <v>771</v>
      </c>
      <c r="AD614" t="s">
        <v>772</v>
      </c>
      <c r="AE614" t="s">
        <v>761</v>
      </c>
      <c r="AF614" s="36">
        <v>524117</v>
      </c>
      <c r="AG614" s="36">
        <v>524117</v>
      </c>
      <c r="AH614" s="24"/>
      <c r="AJ614" s="34"/>
      <c r="AK614" t="s">
        <v>923</v>
      </c>
      <c r="AL614" t="s">
        <v>287</v>
      </c>
      <c r="AM614" s="34" t="s">
        <v>925</v>
      </c>
      <c r="AN614" s="34">
        <v>43032</v>
      </c>
      <c r="AO614" s="24">
        <v>13</v>
      </c>
      <c r="AP614" t="s">
        <v>949</v>
      </c>
      <c r="AR614" s="35"/>
      <c r="AS614"/>
      <c r="AT614" s="34"/>
      <c r="AV614" s="34"/>
      <c r="AX614" s="34"/>
      <c r="AY614"/>
      <c r="BA614" s="34"/>
      <c r="BB614"/>
      <c r="BC614" t="s">
        <v>775</v>
      </c>
      <c r="BD614" s="36">
        <v>524117</v>
      </c>
      <c r="BE614" s="36">
        <v>524117</v>
      </c>
      <c r="BF614">
        <v>0</v>
      </c>
      <c r="BG614" s="34">
        <v>43132</v>
      </c>
      <c r="BH614">
        <v>60</v>
      </c>
      <c r="BI614" t="s">
        <v>283</v>
      </c>
      <c r="BJ614" t="s">
        <v>928</v>
      </c>
      <c r="BK614" t="s">
        <v>945</v>
      </c>
      <c r="BL614" t="s">
        <v>194</v>
      </c>
      <c r="BM614" s="8" t="s">
        <v>192</v>
      </c>
      <c r="BN614" t="s">
        <v>189</v>
      </c>
      <c r="BO614" t="s">
        <v>190</v>
      </c>
      <c r="BP614" s="35" t="s">
        <v>733</v>
      </c>
      <c r="BQ614"/>
      <c r="BU614" s="35"/>
      <c r="BV614" s="35"/>
      <c r="BX614"/>
      <c r="CA614" s="35"/>
      <c r="CB614" s="35"/>
      <c r="CC614"/>
      <c r="CG614" s="35"/>
      <c r="CH614" s="35"/>
      <c r="CK614"/>
      <c r="CM614" s="35"/>
      <c r="CN614" s="35"/>
      <c r="CQ614"/>
      <c r="CS614" s="35"/>
      <c r="CT614" s="35"/>
      <c r="CX614"/>
      <c r="CZ614" s="35"/>
      <c r="DD614" s="34"/>
      <c r="DG614" t="s">
        <v>773</v>
      </c>
      <c r="DH614" t="s">
        <v>950</v>
      </c>
      <c r="DI614" t="s">
        <v>286</v>
      </c>
      <c r="DL614" t="s">
        <v>670</v>
      </c>
      <c r="DM614">
        <v>3</v>
      </c>
      <c r="DN614">
        <v>5</v>
      </c>
      <c r="DO614" t="s">
        <v>774</v>
      </c>
      <c r="DQ614" t="s">
        <v>927</v>
      </c>
      <c r="DR614">
        <v>14</v>
      </c>
      <c r="DS614">
        <v>2</v>
      </c>
      <c r="DU614">
        <v>14</v>
      </c>
      <c r="DV614">
        <v>2</v>
      </c>
      <c r="DX614">
        <v>14</v>
      </c>
      <c r="DY614">
        <v>2</v>
      </c>
      <c r="DZ614" t="s">
        <v>246</v>
      </c>
      <c r="EA614" t="s">
        <v>929</v>
      </c>
    </row>
    <row r="615" spans="1:131" x14ac:dyDescent="0.4">
      <c r="A615" s="34">
        <v>43067.305104166669</v>
      </c>
      <c r="B615" s="25">
        <v>42934.737500000003</v>
      </c>
      <c r="D615" s="34"/>
      <c r="E615" s="34" t="s">
        <v>193</v>
      </c>
      <c r="F615" s="34" t="s">
        <v>191</v>
      </c>
      <c r="G615" s="34" t="s">
        <v>100</v>
      </c>
      <c r="H615" t="s">
        <v>279</v>
      </c>
      <c r="I615" t="s">
        <v>243</v>
      </c>
      <c r="J615" t="s">
        <v>712</v>
      </c>
      <c r="K615" t="s">
        <v>758</v>
      </c>
      <c r="L615" t="s">
        <v>711</v>
      </c>
      <c r="M615" s="30">
        <v>3.13</v>
      </c>
      <c r="N615">
        <v>4.5</v>
      </c>
      <c r="P615" s="24" t="str">
        <f>IFERROR(MID(RADataTable[[#This Row],[RATemplate]],1,LEN(RADataTable[[#This Row],[RATemplate]])-8),"RA") &amp; " " &amp; RADataTable[[#This Row],[prop_id0]] &amp; " " &amp; RADataTable[[#This Row],[last0]]</f>
        <v>RA 1750039 Solomonik</v>
      </c>
      <c r="T615">
        <v>4</v>
      </c>
      <c r="U615">
        <v>4</v>
      </c>
      <c r="V615" s="34">
        <v>43031.922222222223</v>
      </c>
      <c r="W615">
        <v>1</v>
      </c>
      <c r="X615" s="15" t="str">
        <f>HYPERLINK("https://www.ejacket.nsf.gov/ej/showProposal.do?Continue=Y&amp;ID="&amp;RADataTable[[#This Row],[prop_id0]],"eJ")</f>
        <v>eJ</v>
      </c>
      <c r="Y615" s="15" t="str">
        <f>HYPERLINK("mailto:"&amp;RADataTable[[#This Row],[email]]&amp;"&amp;subject=Your NSF Proposal:  "&amp;RADataTable[[#This Row],[Div]]&amp;" "&amp;RADataTable[[#This Row],[prop_id0]], RADataTable[[#This Row],[email]])</f>
        <v>solomon2@illinois.edu</v>
      </c>
      <c r="Z615" s="15" t="str">
        <f>HYPERLINK("mailto:"&amp;RADataTable[[#This Row],[allPIemail]]&amp;"&amp;subject=NSF Proposal:  "&amp;RADataTable[[#This Row],[Div]]&amp;" "&amp;RADataTable[[#This Row],[prop_id0]], "PIs@")</f>
        <v>PIs@</v>
      </c>
      <c r="AA615" t="s">
        <v>245</v>
      </c>
      <c r="AB615" t="s">
        <v>670</v>
      </c>
      <c r="AC615" s="30" t="s">
        <v>771</v>
      </c>
      <c r="AD615" t="s">
        <v>772</v>
      </c>
      <c r="AE615" t="s">
        <v>761</v>
      </c>
      <c r="AF615" s="36">
        <v>524117</v>
      </c>
      <c r="AG615" s="36">
        <v>524117</v>
      </c>
      <c r="AH615" s="24"/>
      <c r="AJ615" s="34"/>
      <c r="AK615" t="s">
        <v>923</v>
      </c>
      <c r="AL615" t="s">
        <v>287</v>
      </c>
      <c r="AM615" s="34" t="s">
        <v>925</v>
      </c>
      <c r="AN615" s="34">
        <v>43032</v>
      </c>
      <c r="AO615" s="24">
        <v>13</v>
      </c>
      <c r="AP615" t="s">
        <v>949</v>
      </c>
      <c r="AR615" s="35"/>
      <c r="AS615"/>
      <c r="AT615" s="34"/>
      <c r="AV615" s="34"/>
      <c r="AX615" s="34"/>
      <c r="AY615"/>
      <c r="BA615" s="34"/>
      <c r="BB615"/>
      <c r="BC615" t="s">
        <v>775</v>
      </c>
      <c r="BD615" s="36">
        <v>524117</v>
      </c>
      <c r="BE615" s="36">
        <v>524117</v>
      </c>
      <c r="BF615">
        <v>0</v>
      </c>
      <c r="BG615" s="34">
        <v>43132</v>
      </c>
      <c r="BH615">
        <v>60</v>
      </c>
      <c r="BI615" t="s">
        <v>283</v>
      </c>
      <c r="BJ615" t="s">
        <v>928</v>
      </c>
      <c r="BK615" t="s">
        <v>945</v>
      </c>
      <c r="BL615" t="s">
        <v>194</v>
      </c>
      <c r="BM615" s="8" t="s">
        <v>192</v>
      </c>
      <c r="BN615" t="s">
        <v>189</v>
      </c>
      <c r="BO615" t="s">
        <v>190</v>
      </c>
      <c r="BP615" s="35" t="s">
        <v>733</v>
      </c>
      <c r="BQ615"/>
      <c r="BU615" s="35"/>
      <c r="BV615" s="35"/>
      <c r="BX615"/>
      <c r="CA615" s="35"/>
      <c r="CB615" s="35"/>
      <c r="CC615"/>
      <c r="CG615" s="35"/>
      <c r="CH615" s="35"/>
      <c r="CK615"/>
      <c r="CM615" s="35"/>
      <c r="CN615" s="35"/>
      <c r="CQ615"/>
      <c r="CS615" s="35"/>
      <c r="CT615" s="35"/>
      <c r="CX615"/>
      <c r="CZ615" s="35"/>
      <c r="DD615" s="34"/>
      <c r="DG615" t="s">
        <v>773</v>
      </c>
      <c r="DH615" t="s">
        <v>950</v>
      </c>
      <c r="DI615" t="s">
        <v>286</v>
      </c>
      <c r="DL615" t="s">
        <v>670</v>
      </c>
      <c r="DM615">
        <v>3</v>
      </c>
      <c r="DN615">
        <v>5</v>
      </c>
      <c r="DO615" t="s">
        <v>774</v>
      </c>
      <c r="DQ615" t="s">
        <v>927</v>
      </c>
      <c r="DR615">
        <v>14</v>
      </c>
      <c r="DS615">
        <v>2</v>
      </c>
      <c r="DU615">
        <v>14</v>
      </c>
      <c r="DV615">
        <v>2</v>
      </c>
      <c r="DX615">
        <v>14</v>
      </c>
      <c r="DY615">
        <v>2</v>
      </c>
      <c r="DZ615" t="s">
        <v>246</v>
      </c>
      <c r="EA615" t="s">
        <v>929</v>
      </c>
    </row>
    <row r="616" spans="1:131" x14ac:dyDescent="0.4">
      <c r="A616" s="34">
        <v>43067.305104166669</v>
      </c>
      <c r="B616" s="25">
        <v>42934.737500000003</v>
      </c>
      <c r="D616" s="34"/>
      <c r="E616" s="34" t="s">
        <v>193</v>
      </c>
      <c r="F616" s="34" t="s">
        <v>191</v>
      </c>
      <c r="G616" s="34" t="s">
        <v>100</v>
      </c>
      <c r="H616" t="s">
        <v>279</v>
      </c>
      <c r="I616" t="s">
        <v>243</v>
      </c>
      <c r="J616" t="s">
        <v>712</v>
      </c>
      <c r="K616" t="s">
        <v>758</v>
      </c>
      <c r="L616" t="s">
        <v>711</v>
      </c>
      <c r="M616" s="30">
        <v>3.13</v>
      </c>
      <c r="N616">
        <v>4.5</v>
      </c>
      <c r="P616" s="24" t="str">
        <f>IFERROR(MID(RADataTable[[#This Row],[RATemplate]],1,LEN(RADataTable[[#This Row],[RATemplate]])-8),"RA") &amp; " " &amp; RADataTable[[#This Row],[prop_id0]] &amp; " " &amp; RADataTable[[#This Row],[last0]]</f>
        <v>RA 1750039 Solomonik</v>
      </c>
      <c r="T616">
        <v>4</v>
      </c>
      <c r="U616">
        <v>4</v>
      </c>
      <c r="V616" s="34">
        <v>43031.922222222223</v>
      </c>
      <c r="W616">
        <v>1</v>
      </c>
      <c r="X616" s="15" t="str">
        <f>HYPERLINK("https://www.ejacket.nsf.gov/ej/showProposal.do?Continue=Y&amp;ID="&amp;RADataTable[[#This Row],[prop_id0]],"eJ")</f>
        <v>eJ</v>
      </c>
      <c r="Y616" s="15" t="str">
        <f>HYPERLINK("mailto:"&amp;RADataTable[[#This Row],[email]]&amp;"&amp;subject=Your NSF Proposal:  "&amp;RADataTable[[#This Row],[Div]]&amp;" "&amp;RADataTable[[#This Row],[prop_id0]], RADataTable[[#This Row],[email]])</f>
        <v>solomon2@illinois.edu</v>
      </c>
      <c r="Z616" s="15" t="str">
        <f>HYPERLINK("mailto:"&amp;RADataTable[[#This Row],[allPIemail]]&amp;"&amp;subject=NSF Proposal:  "&amp;RADataTable[[#This Row],[Div]]&amp;" "&amp;RADataTable[[#This Row],[prop_id0]], "PIs@")</f>
        <v>PIs@</v>
      </c>
      <c r="AA616" t="s">
        <v>245</v>
      </c>
      <c r="AB616" t="s">
        <v>670</v>
      </c>
      <c r="AC616" s="30" t="s">
        <v>771</v>
      </c>
      <c r="AD616" t="s">
        <v>772</v>
      </c>
      <c r="AE616" t="s">
        <v>761</v>
      </c>
      <c r="AF616" s="36">
        <v>524117</v>
      </c>
      <c r="AG616" s="36">
        <v>524117</v>
      </c>
      <c r="AH616" s="24"/>
      <c r="AJ616" s="34"/>
      <c r="AK616" t="s">
        <v>923</v>
      </c>
      <c r="AL616" t="s">
        <v>287</v>
      </c>
      <c r="AM616" s="34" t="s">
        <v>925</v>
      </c>
      <c r="AN616" s="34">
        <v>43032</v>
      </c>
      <c r="AO616" s="24">
        <v>13</v>
      </c>
      <c r="AP616" t="s">
        <v>949</v>
      </c>
      <c r="AR616" s="35"/>
      <c r="AS616"/>
      <c r="AT616" s="34"/>
      <c r="AV616" s="34"/>
      <c r="AX616" s="34"/>
      <c r="AY616"/>
      <c r="BA616" s="34"/>
      <c r="BB616"/>
      <c r="BC616" t="s">
        <v>775</v>
      </c>
      <c r="BD616" s="36">
        <v>524117</v>
      </c>
      <c r="BE616" s="36">
        <v>524117</v>
      </c>
      <c r="BF616">
        <v>0</v>
      </c>
      <c r="BG616" s="34">
        <v>43132</v>
      </c>
      <c r="BH616">
        <v>60</v>
      </c>
      <c r="BI616" t="s">
        <v>283</v>
      </c>
      <c r="BJ616" t="s">
        <v>928</v>
      </c>
      <c r="BK616" t="s">
        <v>945</v>
      </c>
      <c r="BL616" t="s">
        <v>194</v>
      </c>
      <c r="BM616" s="8" t="s">
        <v>192</v>
      </c>
      <c r="BN616" t="s">
        <v>189</v>
      </c>
      <c r="BO616" t="s">
        <v>190</v>
      </c>
      <c r="BP616" s="35" t="s">
        <v>733</v>
      </c>
      <c r="BQ616"/>
      <c r="BU616" s="35"/>
      <c r="BV616" s="35"/>
      <c r="BX616"/>
      <c r="CA616" s="35"/>
      <c r="CB616" s="35"/>
      <c r="CC616"/>
      <c r="CG616" s="35"/>
      <c r="CH616" s="35"/>
      <c r="CK616"/>
      <c r="CM616" s="35"/>
      <c r="CN616" s="35"/>
      <c r="CQ616"/>
      <c r="CS616" s="35"/>
      <c r="CT616" s="35"/>
      <c r="CX616"/>
      <c r="CZ616" s="35"/>
      <c r="DD616" s="34"/>
      <c r="DG616" t="s">
        <v>773</v>
      </c>
      <c r="DH616" t="s">
        <v>950</v>
      </c>
      <c r="DI616" t="s">
        <v>286</v>
      </c>
      <c r="DL616" t="s">
        <v>670</v>
      </c>
      <c r="DM616">
        <v>3</v>
      </c>
      <c r="DN616">
        <v>5</v>
      </c>
      <c r="DO616" t="s">
        <v>774</v>
      </c>
      <c r="DQ616" t="s">
        <v>927</v>
      </c>
      <c r="DR616">
        <v>14</v>
      </c>
      <c r="DS616">
        <v>2</v>
      </c>
      <c r="DU616">
        <v>14</v>
      </c>
      <c r="DV616">
        <v>2</v>
      </c>
      <c r="DX616">
        <v>14</v>
      </c>
      <c r="DY616">
        <v>2</v>
      </c>
      <c r="DZ616" t="s">
        <v>246</v>
      </c>
      <c r="EA616" t="s">
        <v>929</v>
      </c>
    </row>
    <row r="617" spans="1:131" x14ac:dyDescent="0.4">
      <c r="A617" s="34">
        <v>43067.305104166669</v>
      </c>
      <c r="B617" s="25">
        <v>42934.737500000003</v>
      </c>
      <c r="D617" s="34"/>
      <c r="E617" s="34" t="s">
        <v>193</v>
      </c>
      <c r="F617" s="34" t="s">
        <v>191</v>
      </c>
      <c r="G617" s="34" t="s">
        <v>100</v>
      </c>
      <c r="H617" t="s">
        <v>279</v>
      </c>
      <c r="I617" t="s">
        <v>243</v>
      </c>
      <c r="J617" t="s">
        <v>712</v>
      </c>
      <c r="K617" t="s">
        <v>758</v>
      </c>
      <c r="L617" t="s">
        <v>711</v>
      </c>
      <c r="M617" s="30">
        <v>3.13</v>
      </c>
      <c r="N617">
        <v>4.5</v>
      </c>
      <c r="P617" s="24" t="str">
        <f>IFERROR(MID(RADataTable[[#This Row],[RATemplate]],1,LEN(RADataTable[[#This Row],[RATemplate]])-8),"RA") &amp; " " &amp; RADataTable[[#This Row],[prop_id0]] &amp; " " &amp; RADataTable[[#This Row],[last0]]</f>
        <v>RA 1750039 Solomonik</v>
      </c>
      <c r="T617">
        <v>4</v>
      </c>
      <c r="U617">
        <v>4</v>
      </c>
      <c r="V617" s="34">
        <v>43031.922222222223</v>
      </c>
      <c r="W617">
        <v>1</v>
      </c>
      <c r="X617" s="15" t="str">
        <f>HYPERLINK("https://www.ejacket.nsf.gov/ej/showProposal.do?Continue=Y&amp;ID="&amp;RADataTable[[#This Row],[prop_id0]],"eJ")</f>
        <v>eJ</v>
      </c>
      <c r="Y617" s="15" t="str">
        <f>HYPERLINK("mailto:"&amp;RADataTable[[#This Row],[email]]&amp;"&amp;subject=Your NSF Proposal:  "&amp;RADataTable[[#This Row],[Div]]&amp;" "&amp;RADataTable[[#This Row],[prop_id0]], RADataTable[[#This Row],[email]])</f>
        <v>solomon2@illinois.edu</v>
      </c>
      <c r="Z617" s="15" t="str">
        <f>HYPERLINK("mailto:"&amp;RADataTable[[#This Row],[allPIemail]]&amp;"&amp;subject=NSF Proposal:  "&amp;RADataTable[[#This Row],[Div]]&amp;" "&amp;RADataTable[[#This Row],[prop_id0]], "PIs@")</f>
        <v>PIs@</v>
      </c>
      <c r="AA617" t="s">
        <v>245</v>
      </c>
      <c r="AB617" t="s">
        <v>670</v>
      </c>
      <c r="AC617" s="30" t="s">
        <v>771</v>
      </c>
      <c r="AD617" t="s">
        <v>772</v>
      </c>
      <c r="AE617" t="s">
        <v>761</v>
      </c>
      <c r="AF617" s="36">
        <v>524117</v>
      </c>
      <c r="AG617" s="36">
        <v>524117</v>
      </c>
      <c r="AH617" s="24"/>
      <c r="AJ617" s="34"/>
      <c r="AK617" t="s">
        <v>923</v>
      </c>
      <c r="AL617" t="s">
        <v>287</v>
      </c>
      <c r="AM617" s="34" t="s">
        <v>925</v>
      </c>
      <c r="AN617" s="34">
        <v>43032</v>
      </c>
      <c r="AO617" s="24">
        <v>13</v>
      </c>
      <c r="AP617" t="s">
        <v>949</v>
      </c>
      <c r="AR617" s="35"/>
      <c r="AS617"/>
      <c r="AT617" s="34"/>
      <c r="AV617" s="34"/>
      <c r="AX617" s="34"/>
      <c r="AY617"/>
      <c r="BA617" s="34"/>
      <c r="BB617"/>
      <c r="BC617" t="s">
        <v>775</v>
      </c>
      <c r="BD617" s="36">
        <v>524117</v>
      </c>
      <c r="BE617" s="36">
        <v>524117</v>
      </c>
      <c r="BF617">
        <v>0</v>
      </c>
      <c r="BG617" s="34">
        <v>43132</v>
      </c>
      <c r="BH617">
        <v>60</v>
      </c>
      <c r="BI617" t="s">
        <v>283</v>
      </c>
      <c r="BJ617" t="s">
        <v>928</v>
      </c>
      <c r="BK617" t="s">
        <v>945</v>
      </c>
      <c r="BL617" t="s">
        <v>194</v>
      </c>
      <c r="BM617" s="8" t="s">
        <v>192</v>
      </c>
      <c r="BN617" t="s">
        <v>189</v>
      </c>
      <c r="BO617" t="s">
        <v>190</v>
      </c>
      <c r="BP617" s="35" t="s">
        <v>733</v>
      </c>
      <c r="BQ617"/>
      <c r="BU617" s="35"/>
      <c r="BV617" s="35"/>
      <c r="BX617"/>
      <c r="CA617" s="35"/>
      <c r="CB617" s="35"/>
      <c r="CC617"/>
      <c r="CG617" s="35"/>
      <c r="CH617" s="35"/>
      <c r="CK617"/>
      <c r="CM617" s="35"/>
      <c r="CN617" s="35"/>
      <c r="CQ617"/>
      <c r="CS617" s="35"/>
      <c r="CT617" s="35"/>
      <c r="CX617"/>
      <c r="CZ617" s="35"/>
      <c r="DD617" s="34"/>
      <c r="DG617" t="s">
        <v>773</v>
      </c>
      <c r="DH617" t="s">
        <v>950</v>
      </c>
      <c r="DI617" t="s">
        <v>286</v>
      </c>
      <c r="DL617" t="s">
        <v>670</v>
      </c>
      <c r="DM617">
        <v>3</v>
      </c>
      <c r="DN617">
        <v>5</v>
      </c>
      <c r="DO617" t="s">
        <v>774</v>
      </c>
      <c r="DQ617" t="s">
        <v>927</v>
      </c>
      <c r="DR617">
        <v>14</v>
      </c>
      <c r="DS617">
        <v>2</v>
      </c>
      <c r="DU617">
        <v>14</v>
      </c>
      <c r="DV617">
        <v>2</v>
      </c>
      <c r="DX617">
        <v>14</v>
      </c>
      <c r="DY617">
        <v>2</v>
      </c>
      <c r="DZ617" t="s">
        <v>246</v>
      </c>
      <c r="EA617" t="s">
        <v>929</v>
      </c>
    </row>
    <row r="618" spans="1:131" x14ac:dyDescent="0.4">
      <c r="A618" s="34">
        <v>43067.305104166669</v>
      </c>
      <c r="B618" s="25">
        <v>42934.737500000003</v>
      </c>
      <c r="D618" s="34"/>
      <c r="E618" s="34" t="s">
        <v>193</v>
      </c>
      <c r="F618" s="34" t="s">
        <v>191</v>
      </c>
      <c r="G618" s="34" t="s">
        <v>100</v>
      </c>
      <c r="H618" t="s">
        <v>279</v>
      </c>
      <c r="I618" t="s">
        <v>243</v>
      </c>
      <c r="J618" t="s">
        <v>712</v>
      </c>
      <c r="K618" t="s">
        <v>758</v>
      </c>
      <c r="L618" t="s">
        <v>711</v>
      </c>
      <c r="M618" s="30">
        <v>3.13</v>
      </c>
      <c r="N618">
        <v>4.5</v>
      </c>
      <c r="P618" s="24" t="str">
        <f>IFERROR(MID(RADataTable[[#This Row],[RATemplate]],1,LEN(RADataTable[[#This Row],[RATemplate]])-8),"RA") &amp; " " &amp; RADataTable[[#This Row],[prop_id0]] &amp; " " &amp; RADataTable[[#This Row],[last0]]</f>
        <v>RA 1750039 Solomonik</v>
      </c>
      <c r="T618">
        <v>4</v>
      </c>
      <c r="U618">
        <v>4</v>
      </c>
      <c r="V618" s="34">
        <v>43031.922222222223</v>
      </c>
      <c r="W618">
        <v>1</v>
      </c>
      <c r="X618" s="15" t="str">
        <f>HYPERLINK("https://www.ejacket.nsf.gov/ej/showProposal.do?Continue=Y&amp;ID="&amp;RADataTable[[#This Row],[prop_id0]],"eJ")</f>
        <v>eJ</v>
      </c>
      <c r="Y618" s="15" t="str">
        <f>HYPERLINK("mailto:"&amp;RADataTable[[#This Row],[email]]&amp;"&amp;subject=Your NSF Proposal:  "&amp;RADataTable[[#This Row],[Div]]&amp;" "&amp;RADataTable[[#This Row],[prop_id0]], RADataTable[[#This Row],[email]])</f>
        <v>solomon2@illinois.edu</v>
      </c>
      <c r="Z618" s="15" t="str">
        <f>HYPERLINK("mailto:"&amp;RADataTable[[#This Row],[allPIemail]]&amp;"&amp;subject=NSF Proposal:  "&amp;RADataTable[[#This Row],[Div]]&amp;" "&amp;RADataTable[[#This Row],[prop_id0]], "PIs@")</f>
        <v>PIs@</v>
      </c>
      <c r="AA618" t="s">
        <v>245</v>
      </c>
      <c r="AB618" t="s">
        <v>670</v>
      </c>
      <c r="AC618" s="30" t="s">
        <v>771</v>
      </c>
      <c r="AD618" t="s">
        <v>772</v>
      </c>
      <c r="AE618" t="s">
        <v>761</v>
      </c>
      <c r="AF618" s="36">
        <v>524117</v>
      </c>
      <c r="AG618" s="36">
        <v>524117</v>
      </c>
      <c r="AH618" s="24"/>
      <c r="AJ618" s="34"/>
      <c r="AK618" t="s">
        <v>923</v>
      </c>
      <c r="AL618" t="s">
        <v>287</v>
      </c>
      <c r="AM618" s="34" t="s">
        <v>925</v>
      </c>
      <c r="AN618" s="34">
        <v>43032</v>
      </c>
      <c r="AO618" s="24">
        <v>13</v>
      </c>
      <c r="AP618" t="s">
        <v>949</v>
      </c>
      <c r="AR618" s="35"/>
      <c r="AS618"/>
      <c r="AT618" s="34"/>
      <c r="AV618" s="34"/>
      <c r="AX618" s="34"/>
      <c r="AY618"/>
      <c r="BA618" s="34"/>
      <c r="BB618"/>
      <c r="BC618" t="s">
        <v>775</v>
      </c>
      <c r="BD618" s="36">
        <v>524117</v>
      </c>
      <c r="BE618" s="36">
        <v>524117</v>
      </c>
      <c r="BF618">
        <v>0</v>
      </c>
      <c r="BG618" s="34">
        <v>43132</v>
      </c>
      <c r="BH618">
        <v>60</v>
      </c>
      <c r="BI618" t="s">
        <v>283</v>
      </c>
      <c r="BJ618" t="s">
        <v>928</v>
      </c>
      <c r="BK618" t="s">
        <v>945</v>
      </c>
      <c r="BL618" t="s">
        <v>194</v>
      </c>
      <c r="BM618" s="8" t="s">
        <v>192</v>
      </c>
      <c r="BN618" t="s">
        <v>189</v>
      </c>
      <c r="BO618" t="s">
        <v>190</v>
      </c>
      <c r="BP618" s="35" t="s">
        <v>733</v>
      </c>
      <c r="BQ618"/>
      <c r="BU618" s="35"/>
      <c r="BV618" s="35"/>
      <c r="BX618"/>
      <c r="CA618" s="35"/>
      <c r="CB618" s="35"/>
      <c r="CC618"/>
      <c r="CG618" s="35"/>
      <c r="CH618" s="35"/>
      <c r="CK618"/>
      <c r="CM618" s="35"/>
      <c r="CN618" s="35"/>
      <c r="CQ618"/>
      <c r="CS618" s="35"/>
      <c r="CT618" s="35"/>
      <c r="CX618"/>
      <c r="CZ618" s="35"/>
      <c r="DD618" s="34"/>
      <c r="DG618" t="s">
        <v>773</v>
      </c>
      <c r="DH618" t="s">
        <v>950</v>
      </c>
      <c r="DI618" t="s">
        <v>286</v>
      </c>
      <c r="DL618" t="s">
        <v>670</v>
      </c>
      <c r="DM618">
        <v>3</v>
      </c>
      <c r="DN618">
        <v>5</v>
      </c>
      <c r="DO618" t="s">
        <v>774</v>
      </c>
      <c r="DQ618" t="s">
        <v>927</v>
      </c>
      <c r="DR618">
        <v>14</v>
      </c>
      <c r="DS618">
        <v>2</v>
      </c>
      <c r="DU618">
        <v>14</v>
      </c>
      <c r="DV618">
        <v>2</v>
      </c>
      <c r="DX618">
        <v>14</v>
      </c>
      <c r="DY618">
        <v>2</v>
      </c>
      <c r="DZ618" t="s">
        <v>246</v>
      </c>
      <c r="EA618" t="s">
        <v>929</v>
      </c>
    </row>
    <row r="619" spans="1:131" x14ac:dyDescent="0.4">
      <c r="A619" s="34">
        <v>43067.305104166669</v>
      </c>
      <c r="B619" s="25">
        <v>42934.737500000003</v>
      </c>
      <c r="D619" s="34"/>
      <c r="E619" s="34" t="s">
        <v>193</v>
      </c>
      <c r="F619" s="34" t="s">
        <v>191</v>
      </c>
      <c r="G619" s="34" t="s">
        <v>100</v>
      </c>
      <c r="H619" t="s">
        <v>279</v>
      </c>
      <c r="I619" t="s">
        <v>243</v>
      </c>
      <c r="J619" t="s">
        <v>712</v>
      </c>
      <c r="K619" t="s">
        <v>758</v>
      </c>
      <c r="L619" t="s">
        <v>711</v>
      </c>
      <c r="M619" s="30">
        <v>3.13</v>
      </c>
      <c r="N619">
        <v>4.5</v>
      </c>
      <c r="P619" s="24" t="str">
        <f>IFERROR(MID(RADataTable[[#This Row],[RATemplate]],1,LEN(RADataTable[[#This Row],[RATemplate]])-8),"RA") &amp; " " &amp; RADataTable[[#This Row],[prop_id0]] &amp; " " &amp; RADataTable[[#This Row],[last0]]</f>
        <v>RA 1750039 Solomonik</v>
      </c>
      <c r="T619">
        <v>4</v>
      </c>
      <c r="U619">
        <v>4</v>
      </c>
      <c r="V619" s="34">
        <v>43031.922222222223</v>
      </c>
      <c r="W619">
        <v>1</v>
      </c>
      <c r="X619" s="15" t="str">
        <f>HYPERLINK("https://www.ejacket.nsf.gov/ej/showProposal.do?Continue=Y&amp;ID="&amp;RADataTable[[#This Row],[prop_id0]],"eJ")</f>
        <v>eJ</v>
      </c>
      <c r="Y619" s="15" t="str">
        <f>HYPERLINK("mailto:"&amp;RADataTable[[#This Row],[email]]&amp;"&amp;subject=Your NSF Proposal:  "&amp;RADataTable[[#This Row],[Div]]&amp;" "&amp;RADataTable[[#This Row],[prop_id0]], RADataTable[[#This Row],[email]])</f>
        <v>solomon2@illinois.edu</v>
      </c>
      <c r="Z619" s="15" t="str">
        <f>HYPERLINK("mailto:"&amp;RADataTable[[#This Row],[allPIemail]]&amp;"&amp;subject=NSF Proposal:  "&amp;RADataTable[[#This Row],[Div]]&amp;" "&amp;RADataTable[[#This Row],[prop_id0]], "PIs@")</f>
        <v>PIs@</v>
      </c>
      <c r="AA619" t="s">
        <v>245</v>
      </c>
      <c r="AB619" t="s">
        <v>670</v>
      </c>
      <c r="AC619" s="30" t="s">
        <v>771</v>
      </c>
      <c r="AD619" t="s">
        <v>772</v>
      </c>
      <c r="AE619" t="s">
        <v>761</v>
      </c>
      <c r="AF619" s="36">
        <v>524117</v>
      </c>
      <c r="AG619" s="36">
        <v>524117</v>
      </c>
      <c r="AH619" s="24"/>
      <c r="AJ619" s="34"/>
      <c r="AK619" t="s">
        <v>923</v>
      </c>
      <c r="AL619" t="s">
        <v>287</v>
      </c>
      <c r="AM619" s="34" t="s">
        <v>925</v>
      </c>
      <c r="AN619" s="34">
        <v>43032</v>
      </c>
      <c r="AO619" s="24">
        <v>13</v>
      </c>
      <c r="AP619" t="s">
        <v>949</v>
      </c>
      <c r="AR619" s="35"/>
      <c r="AS619"/>
      <c r="AT619" s="34"/>
      <c r="AV619" s="34"/>
      <c r="AX619" s="34"/>
      <c r="AY619"/>
      <c r="BA619" s="34"/>
      <c r="BB619"/>
      <c r="BC619" t="s">
        <v>775</v>
      </c>
      <c r="BD619" s="36">
        <v>524117</v>
      </c>
      <c r="BE619" s="36">
        <v>524117</v>
      </c>
      <c r="BF619">
        <v>0</v>
      </c>
      <c r="BG619" s="34">
        <v>43132</v>
      </c>
      <c r="BH619">
        <v>60</v>
      </c>
      <c r="BI619" t="s">
        <v>283</v>
      </c>
      <c r="BJ619" t="s">
        <v>928</v>
      </c>
      <c r="BK619" t="s">
        <v>945</v>
      </c>
      <c r="BL619" t="s">
        <v>194</v>
      </c>
      <c r="BM619" s="8" t="s">
        <v>192</v>
      </c>
      <c r="BN619" t="s">
        <v>189</v>
      </c>
      <c r="BO619" t="s">
        <v>190</v>
      </c>
      <c r="BP619" s="35" t="s">
        <v>733</v>
      </c>
      <c r="BQ619"/>
      <c r="BU619" s="35"/>
      <c r="BV619" s="35"/>
      <c r="BX619"/>
      <c r="CA619" s="35"/>
      <c r="CB619" s="35"/>
      <c r="CC619"/>
      <c r="CG619" s="35"/>
      <c r="CH619" s="35"/>
      <c r="CK619"/>
      <c r="CM619" s="35"/>
      <c r="CN619" s="35"/>
      <c r="CQ619"/>
      <c r="CS619" s="35"/>
      <c r="CT619" s="35"/>
      <c r="CX619"/>
      <c r="CZ619" s="35"/>
      <c r="DD619" s="34"/>
      <c r="DG619" t="s">
        <v>773</v>
      </c>
      <c r="DH619" t="s">
        <v>950</v>
      </c>
      <c r="DI619" t="s">
        <v>286</v>
      </c>
      <c r="DL619" t="s">
        <v>670</v>
      </c>
      <c r="DM619">
        <v>3</v>
      </c>
      <c r="DN619">
        <v>5</v>
      </c>
      <c r="DO619" t="s">
        <v>774</v>
      </c>
      <c r="DQ619" t="s">
        <v>927</v>
      </c>
      <c r="DR619">
        <v>14</v>
      </c>
      <c r="DS619">
        <v>2</v>
      </c>
      <c r="DU619">
        <v>14</v>
      </c>
      <c r="DV619">
        <v>2</v>
      </c>
      <c r="DX619">
        <v>14</v>
      </c>
      <c r="DY619">
        <v>2</v>
      </c>
      <c r="DZ619" t="s">
        <v>246</v>
      </c>
      <c r="EA619" t="s">
        <v>929</v>
      </c>
    </row>
    <row r="620" spans="1:131" x14ac:dyDescent="0.4">
      <c r="A620" s="34">
        <v>43067.305104166669</v>
      </c>
      <c r="B620" s="25">
        <v>42934.737500000003</v>
      </c>
      <c r="D620" s="34"/>
      <c r="E620" s="34" t="s">
        <v>193</v>
      </c>
      <c r="F620" s="34" t="s">
        <v>191</v>
      </c>
      <c r="G620" s="34" t="s">
        <v>100</v>
      </c>
      <c r="H620" t="s">
        <v>279</v>
      </c>
      <c r="I620" t="s">
        <v>243</v>
      </c>
      <c r="J620" t="s">
        <v>712</v>
      </c>
      <c r="K620" t="s">
        <v>758</v>
      </c>
      <c r="L620" t="s">
        <v>711</v>
      </c>
      <c r="M620" s="30">
        <v>3.13</v>
      </c>
      <c r="N620">
        <v>4.5</v>
      </c>
      <c r="P620" s="24" t="str">
        <f>IFERROR(MID(RADataTable[[#This Row],[RATemplate]],1,LEN(RADataTable[[#This Row],[RATemplate]])-8),"RA") &amp; " " &amp; RADataTable[[#This Row],[prop_id0]] &amp; " " &amp; RADataTable[[#This Row],[last0]]</f>
        <v>RA 1750039 Solomonik</v>
      </c>
      <c r="T620">
        <v>4</v>
      </c>
      <c r="U620">
        <v>4</v>
      </c>
      <c r="V620" s="34">
        <v>43031.922222222223</v>
      </c>
      <c r="W620">
        <v>1</v>
      </c>
      <c r="X620" s="15" t="str">
        <f>HYPERLINK("https://www.ejacket.nsf.gov/ej/showProposal.do?Continue=Y&amp;ID="&amp;RADataTable[[#This Row],[prop_id0]],"eJ")</f>
        <v>eJ</v>
      </c>
      <c r="Y620" s="15" t="str">
        <f>HYPERLINK("mailto:"&amp;RADataTable[[#This Row],[email]]&amp;"&amp;subject=Your NSF Proposal:  "&amp;RADataTable[[#This Row],[Div]]&amp;" "&amp;RADataTable[[#This Row],[prop_id0]], RADataTable[[#This Row],[email]])</f>
        <v>solomon2@illinois.edu</v>
      </c>
      <c r="Z620" s="15" t="str">
        <f>HYPERLINK("mailto:"&amp;RADataTable[[#This Row],[allPIemail]]&amp;"&amp;subject=NSF Proposal:  "&amp;RADataTable[[#This Row],[Div]]&amp;" "&amp;RADataTable[[#This Row],[prop_id0]], "PIs@")</f>
        <v>PIs@</v>
      </c>
      <c r="AA620" t="s">
        <v>245</v>
      </c>
      <c r="AB620" t="s">
        <v>670</v>
      </c>
      <c r="AC620" s="30" t="s">
        <v>771</v>
      </c>
      <c r="AD620" t="s">
        <v>772</v>
      </c>
      <c r="AE620" t="s">
        <v>761</v>
      </c>
      <c r="AF620" s="36">
        <v>524117</v>
      </c>
      <c r="AG620" s="36">
        <v>524117</v>
      </c>
      <c r="AH620" s="24"/>
      <c r="AJ620" s="34"/>
      <c r="AK620" t="s">
        <v>923</v>
      </c>
      <c r="AL620" t="s">
        <v>287</v>
      </c>
      <c r="AM620" s="34" t="s">
        <v>925</v>
      </c>
      <c r="AN620" s="34">
        <v>43032</v>
      </c>
      <c r="AO620" s="24">
        <v>13</v>
      </c>
      <c r="AP620" t="s">
        <v>949</v>
      </c>
      <c r="AR620" s="35"/>
      <c r="AS620"/>
      <c r="AT620" s="34"/>
      <c r="AV620" s="34"/>
      <c r="AX620" s="34"/>
      <c r="AY620"/>
      <c r="BA620" s="34"/>
      <c r="BB620"/>
      <c r="BC620" t="s">
        <v>775</v>
      </c>
      <c r="BD620" s="36">
        <v>524117</v>
      </c>
      <c r="BE620" s="36">
        <v>524117</v>
      </c>
      <c r="BF620">
        <v>0</v>
      </c>
      <c r="BG620" s="34">
        <v>43132</v>
      </c>
      <c r="BH620">
        <v>60</v>
      </c>
      <c r="BI620" t="s">
        <v>283</v>
      </c>
      <c r="BJ620" t="s">
        <v>928</v>
      </c>
      <c r="BK620" t="s">
        <v>945</v>
      </c>
      <c r="BL620" t="s">
        <v>194</v>
      </c>
      <c r="BM620" s="8" t="s">
        <v>192</v>
      </c>
      <c r="BN620" t="s">
        <v>189</v>
      </c>
      <c r="BO620" t="s">
        <v>190</v>
      </c>
      <c r="BP620" s="35" t="s">
        <v>733</v>
      </c>
      <c r="BQ620"/>
      <c r="BU620" s="35"/>
      <c r="BV620" s="35"/>
      <c r="BX620"/>
      <c r="CA620" s="35"/>
      <c r="CB620" s="35"/>
      <c r="CC620"/>
      <c r="CG620" s="35"/>
      <c r="CH620" s="35"/>
      <c r="CK620"/>
      <c r="CM620" s="35"/>
      <c r="CN620" s="35"/>
      <c r="CQ620"/>
      <c r="CS620" s="35"/>
      <c r="CT620" s="35"/>
      <c r="CX620"/>
      <c r="CZ620" s="35"/>
      <c r="DD620" s="34"/>
      <c r="DG620" t="s">
        <v>773</v>
      </c>
      <c r="DH620" t="s">
        <v>950</v>
      </c>
      <c r="DI620" t="s">
        <v>286</v>
      </c>
      <c r="DL620" t="s">
        <v>670</v>
      </c>
      <c r="DM620">
        <v>3</v>
      </c>
      <c r="DN620">
        <v>5</v>
      </c>
      <c r="DO620" t="s">
        <v>774</v>
      </c>
      <c r="DQ620" t="s">
        <v>927</v>
      </c>
      <c r="DR620">
        <v>14</v>
      </c>
      <c r="DS620">
        <v>2</v>
      </c>
      <c r="DU620">
        <v>14</v>
      </c>
      <c r="DV620">
        <v>2</v>
      </c>
      <c r="DX620">
        <v>14</v>
      </c>
      <c r="DY620">
        <v>2</v>
      </c>
      <c r="DZ620" t="s">
        <v>246</v>
      </c>
      <c r="EA620" t="s">
        <v>929</v>
      </c>
    </row>
    <row r="621" spans="1:131" x14ac:dyDescent="0.4">
      <c r="A621" s="34">
        <v>43067.305104166669</v>
      </c>
      <c r="B621" s="25">
        <v>42934.737500000003</v>
      </c>
      <c r="D621" s="34"/>
      <c r="E621" s="34" t="s">
        <v>193</v>
      </c>
      <c r="F621" s="34" t="s">
        <v>191</v>
      </c>
      <c r="G621" s="34" t="s">
        <v>100</v>
      </c>
      <c r="H621" t="s">
        <v>279</v>
      </c>
      <c r="I621" t="s">
        <v>243</v>
      </c>
      <c r="J621" t="s">
        <v>712</v>
      </c>
      <c r="K621" t="s">
        <v>758</v>
      </c>
      <c r="L621" t="s">
        <v>711</v>
      </c>
      <c r="M621" s="30">
        <v>3.13</v>
      </c>
      <c r="N621">
        <v>4.5</v>
      </c>
      <c r="P621" s="24" t="str">
        <f>IFERROR(MID(RADataTable[[#This Row],[RATemplate]],1,LEN(RADataTable[[#This Row],[RATemplate]])-8),"RA") &amp; " " &amp; RADataTable[[#This Row],[prop_id0]] &amp; " " &amp; RADataTable[[#This Row],[last0]]</f>
        <v>RA 1750039 Solomonik</v>
      </c>
      <c r="T621">
        <v>4</v>
      </c>
      <c r="U621">
        <v>4</v>
      </c>
      <c r="V621" s="34">
        <v>43031.922222222223</v>
      </c>
      <c r="W621">
        <v>1</v>
      </c>
      <c r="X621" s="15" t="str">
        <f>HYPERLINK("https://www.ejacket.nsf.gov/ej/showProposal.do?Continue=Y&amp;ID="&amp;RADataTable[[#This Row],[prop_id0]],"eJ")</f>
        <v>eJ</v>
      </c>
      <c r="Y621" s="15" t="str">
        <f>HYPERLINK("mailto:"&amp;RADataTable[[#This Row],[email]]&amp;"&amp;subject=Your NSF Proposal:  "&amp;RADataTable[[#This Row],[Div]]&amp;" "&amp;RADataTable[[#This Row],[prop_id0]], RADataTable[[#This Row],[email]])</f>
        <v>solomon2@illinois.edu</v>
      </c>
      <c r="Z621" s="15" t="str">
        <f>HYPERLINK("mailto:"&amp;RADataTable[[#This Row],[allPIemail]]&amp;"&amp;subject=NSF Proposal:  "&amp;RADataTable[[#This Row],[Div]]&amp;" "&amp;RADataTable[[#This Row],[prop_id0]], "PIs@")</f>
        <v>PIs@</v>
      </c>
      <c r="AA621" t="s">
        <v>245</v>
      </c>
      <c r="AB621" t="s">
        <v>670</v>
      </c>
      <c r="AC621" s="30" t="s">
        <v>771</v>
      </c>
      <c r="AD621" t="s">
        <v>772</v>
      </c>
      <c r="AE621" t="s">
        <v>761</v>
      </c>
      <c r="AF621" s="36">
        <v>524117</v>
      </c>
      <c r="AG621" s="36">
        <v>524117</v>
      </c>
      <c r="AH621" s="24"/>
      <c r="AJ621" s="34"/>
      <c r="AK621" t="s">
        <v>923</v>
      </c>
      <c r="AL621" t="s">
        <v>287</v>
      </c>
      <c r="AM621" s="34" t="s">
        <v>925</v>
      </c>
      <c r="AN621" s="34">
        <v>43032</v>
      </c>
      <c r="AO621" s="24">
        <v>13</v>
      </c>
      <c r="AP621" t="s">
        <v>949</v>
      </c>
      <c r="AR621" s="35"/>
      <c r="AS621"/>
      <c r="AT621" s="34"/>
      <c r="AV621" s="34"/>
      <c r="AX621" s="34"/>
      <c r="AY621"/>
      <c r="BA621" s="34"/>
      <c r="BB621"/>
      <c r="BC621" t="s">
        <v>775</v>
      </c>
      <c r="BD621" s="36">
        <v>524117</v>
      </c>
      <c r="BE621" s="36">
        <v>524117</v>
      </c>
      <c r="BF621">
        <v>0</v>
      </c>
      <c r="BG621" s="34">
        <v>43132</v>
      </c>
      <c r="BH621">
        <v>60</v>
      </c>
      <c r="BI621" t="s">
        <v>283</v>
      </c>
      <c r="BJ621" t="s">
        <v>928</v>
      </c>
      <c r="BK621" t="s">
        <v>945</v>
      </c>
      <c r="BL621" t="s">
        <v>194</v>
      </c>
      <c r="BM621" s="8" t="s">
        <v>192</v>
      </c>
      <c r="BN621" t="s">
        <v>189</v>
      </c>
      <c r="BO621" t="s">
        <v>190</v>
      </c>
      <c r="BP621" s="35" t="s">
        <v>733</v>
      </c>
      <c r="BQ621"/>
      <c r="BU621" s="35"/>
      <c r="BV621" s="35"/>
      <c r="BX621"/>
      <c r="CA621" s="35"/>
      <c r="CB621" s="35"/>
      <c r="CC621"/>
      <c r="CG621" s="35"/>
      <c r="CH621" s="35"/>
      <c r="CK621"/>
      <c r="CM621" s="35"/>
      <c r="CN621" s="35"/>
      <c r="CQ621"/>
      <c r="CS621" s="35"/>
      <c r="CT621" s="35"/>
      <c r="CX621"/>
      <c r="CZ621" s="35"/>
      <c r="DD621" s="34"/>
      <c r="DG621" t="s">
        <v>773</v>
      </c>
      <c r="DH621" t="s">
        <v>950</v>
      </c>
      <c r="DI621" t="s">
        <v>286</v>
      </c>
      <c r="DL621" t="s">
        <v>670</v>
      </c>
      <c r="DM621">
        <v>3</v>
      </c>
      <c r="DN621">
        <v>5</v>
      </c>
      <c r="DO621" t="s">
        <v>774</v>
      </c>
      <c r="DQ621" t="s">
        <v>927</v>
      </c>
      <c r="DR621">
        <v>14</v>
      </c>
      <c r="DS621">
        <v>2</v>
      </c>
      <c r="DU621">
        <v>14</v>
      </c>
      <c r="DV621">
        <v>2</v>
      </c>
      <c r="DX621">
        <v>14</v>
      </c>
      <c r="DY621">
        <v>2</v>
      </c>
      <c r="DZ621" t="s">
        <v>246</v>
      </c>
      <c r="EA621" t="s">
        <v>929</v>
      </c>
    </row>
    <row r="622" spans="1:131" x14ac:dyDescent="0.4">
      <c r="A622" s="34">
        <v>43067.305104166669</v>
      </c>
      <c r="B622" s="25">
        <v>42934.737500000003</v>
      </c>
      <c r="D622" s="34"/>
      <c r="E622" s="34" t="s">
        <v>193</v>
      </c>
      <c r="F622" s="34" t="s">
        <v>191</v>
      </c>
      <c r="G622" s="34" t="s">
        <v>100</v>
      </c>
      <c r="H622" t="s">
        <v>279</v>
      </c>
      <c r="I622" t="s">
        <v>243</v>
      </c>
      <c r="J622" t="s">
        <v>712</v>
      </c>
      <c r="K622" t="s">
        <v>758</v>
      </c>
      <c r="L622" t="s">
        <v>711</v>
      </c>
      <c r="M622" s="30">
        <v>3.13</v>
      </c>
      <c r="N622">
        <v>4.5</v>
      </c>
      <c r="P622" s="24" t="str">
        <f>IFERROR(MID(RADataTable[[#This Row],[RATemplate]],1,LEN(RADataTable[[#This Row],[RATemplate]])-8),"RA") &amp; " " &amp; RADataTable[[#This Row],[prop_id0]] &amp; " " &amp; RADataTable[[#This Row],[last0]]</f>
        <v>RA 1750039 Solomonik</v>
      </c>
      <c r="T622">
        <v>4</v>
      </c>
      <c r="U622">
        <v>4</v>
      </c>
      <c r="V622" s="34">
        <v>43031.922222222223</v>
      </c>
      <c r="W622">
        <v>1</v>
      </c>
      <c r="X622" s="15" t="str">
        <f>HYPERLINK("https://www.ejacket.nsf.gov/ej/showProposal.do?Continue=Y&amp;ID="&amp;RADataTable[[#This Row],[prop_id0]],"eJ")</f>
        <v>eJ</v>
      </c>
      <c r="Y622" s="15" t="str">
        <f>HYPERLINK("mailto:"&amp;RADataTable[[#This Row],[email]]&amp;"&amp;subject=Your NSF Proposal:  "&amp;RADataTable[[#This Row],[Div]]&amp;" "&amp;RADataTable[[#This Row],[prop_id0]], RADataTable[[#This Row],[email]])</f>
        <v>solomon2@illinois.edu</v>
      </c>
      <c r="Z622" s="15" t="str">
        <f>HYPERLINK("mailto:"&amp;RADataTable[[#This Row],[allPIemail]]&amp;"&amp;subject=NSF Proposal:  "&amp;RADataTable[[#This Row],[Div]]&amp;" "&amp;RADataTable[[#This Row],[prop_id0]], "PIs@")</f>
        <v>PIs@</v>
      </c>
      <c r="AA622" t="s">
        <v>245</v>
      </c>
      <c r="AB622" t="s">
        <v>670</v>
      </c>
      <c r="AC622" s="30" t="s">
        <v>771</v>
      </c>
      <c r="AD622" t="s">
        <v>772</v>
      </c>
      <c r="AE622" t="s">
        <v>761</v>
      </c>
      <c r="AF622" s="36">
        <v>524117</v>
      </c>
      <c r="AG622" s="36">
        <v>524117</v>
      </c>
      <c r="AH622" s="24"/>
      <c r="AJ622" s="34"/>
      <c r="AK622" t="s">
        <v>923</v>
      </c>
      <c r="AL622" t="s">
        <v>287</v>
      </c>
      <c r="AM622" s="34" t="s">
        <v>925</v>
      </c>
      <c r="AN622" s="34">
        <v>43032</v>
      </c>
      <c r="AO622" s="24">
        <v>13</v>
      </c>
      <c r="AP622" t="s">
        <v>949</v>
      </c>
      <c r="AR622" s="35"/>
      <c r="AS622"/>
      <c r="AT622" s="34"/>
      <c r="AV622" s="34"/>
      <c r="AX622" s="34"/>
      <c r="AY622"/>
      <c r="BA622" s="34"/>
      <c r="BB622"/>
      <c r="BC622" t="s">
        <v>775</v>
      </c>
      <c r="BD622" s="36">
        <v>524117</v>
      </c>
      <c r="BE622" s="36">
        <v>524117</v>
      </c>
      <c r="BF622">
        <v>0</v>
      </c>
      <c r="BG622" s="34">
        <v>43132</v>
      </c>
      <c r="BH622">
        <v>60</v>
      </c>
      <c r="BI622" t="s">
        <v>283</v>
      </c>
      <c r="BJ622" t="s">
        <v>928</v>
      </c>
      <c r="BK622" t="s">
        <v>945</v>
      </c>
      <c r="BL622" t="s">
        <v>194</v>
      </c>
      <c r="BM622" s="8" t="s">
        <v>192</v>
      </c>
      <c r="BN622" t="s">
        <v>189</v>
      </c>
      <c r="BO622" t="s">
        <v>190</v>
      </c>
      <c r="BP622" s="35" t="s">
        <v>733</v>
      </c>
      <c r="BQ622"/>
      <c r="BU622" s="35"/>
      <c r="BV622" s="35"/>
      <c r="BX622"/>
      <c r="CA622" s="35"/>
      <c r="CB622" s="35"/>
      <c r="CC622"/>
      <c r="CG622" s="35"/>
      <c r="CH622" s="35"/>
      <c r="CK622"/>
      <c r="CM622" s="35"/>
      <c r="CN622" s="35"/>
      <c r="CQ622"/>
      <c r="CS622" s="35"/>
      <c r="CT622" s="35"/>
      <c r="CX622"/>
      <c r="CZ622" s="35"/>
      <c r="DD622" s="34"/>
      <c r="DG622" t="s">
        <v>773</v>
      </c>
      <c r="DH622" t="s">
        <v>950</v>
      </c>
      <c r="DI622" t="s">
        <v>286</v>
      </c>
      <c r="DL622" t="s">
        <v>670</v>
      </c>
      <c r="DM622">
        <v>3</v>
      </c>
      <c r="DN622">
        <v>5</v>
      </c>
      <c r="DO622" t="s">
        <v>774</v>
      </c>
      <c r="DQ622" t="s">
        <v>927</v>
      </c>
      <c r="DR622">
        <v>14</v>
      </c>
      <c r="DS622">
        <v>2</v>
      </c>
      <c r="DU622">
        <v>14</v>
      </c>
      <c r="DV622">
        <v>2</v>
      </c>
      <c r="DX622">
        <v>14</v>
      </c>
      <c r="DY622">
        <v>2</v>
      </c>
      <c r="DZ622" t="s">
        <v>246</v>
      </c>
      <c r="EA622" t="s">
        <v>929</v>
      </c>
    </row>
    <row r="623" spans="1:131" x14ac:dyDescent="0.4">
      <c r="A623" s="34">
        <v>43067.305104166669</v>
      </c>
      <c r="B623" s="25">
        <v>42935.359027777777</v>
      </c>
      <c r="D623" s="34"/>
      <c r="E623" s="34" t="s">
        <v>193</v>
      </c>
      <c r="F623" s="34" t="s">
        <v>191</v>
      </c>
      <c r="G623" s="34" t="s">
        <v>100</v>
      </c>
      <c r="H623" t="s">
        <v>279</v>
      </c>
      <c r="I623" t="s">
        <v>243</v>
      </c>
      <c r="J623" t="s">
        <v>712</v>
      </c>
      <c r="K623" t="s">
        <v>729</v>
      </c>
      <c r="L623" t="s">
        <v>711</v>
      </c>
      <c r="M623" s="30">
        <v>3.13</v>
      </c>
      <c r="N623">
        <v>5.25</v>
      </c>
      <c r="P623" s="24" t="str">
        <f>IFERROR(MID(RADataTable[[#This Row],[RATemplate]],1,LEN(RADataTable[[#This Row],[RATemplate]])-8),"RA") &amp; " " &amp; RADataTable[[#This Row],[prop_id0]] &amp; " " &amp; RADataTable[[#This Row],[last0]]</f>
        <v>RA 1750118 Li</v>
      </c>
      <c r="T623">
        <v>4</v>
      </c>
      <c r="U623">
        <v>4</v>
      </c>
      <c r="V623" s="34">
        <v>43031.584722222222</v>
      </c>
      <c r="W623">
        <v>1</v>
      </c>
      <c r="X623" s="15" t="str">
        <f>HYPERLINK("https://www.ejacket.nsf.gov/ej/showProposal.do?Continue=Y&amp;ID="&amp;RADataTable[[#This Row],[prop_id0]],"eJ")</f>
        <v>eJ</v>
      </c>
      <c r="Y623" s="15" t="str">
        <f>HYPERLINK("mailto:"&amp;RADataTable[[#This Row],[email]]&amp;"&amp;subject=Your NSF Proposal:  "&amp;RADataTable[[#This Row],[Div]]&amp;" "&amp;RADataTable[[#This Row],[prop_id0]], RADataTable[[#This Row],[email]])</f>
        <v>shil@buffalo.edu</v>
      </c>
      <c r="Z623" s="15" t="str">
        <f>HYPERLINK("mailto:"&amp;RADataTable[[#This Row],[allPIemail]]&amp;"&amp;subject=NSF Proposal:  "&amp;RADataTable[[#This Row],[Div]]&amp;" "&amp;RADataTable[[#This Row],[prop_id0]], "PIs@")</f>
        <v>PIs@</v>
      </c>
      <c r="AA623" t="s">
        <v>245</v>
      </c>
      <c r="AB623" t="s">
        <v>672</v>
      </c>
      <c r="AC623" s="30" t="s">
        <v>783</v>
      </c>
      <c r="AD623" t="s">
        <v>784</v>
      </c>
      <c r="AE623" t="s">
        <v>241</v>
      </c>
      <c r="AF623" s="36">
        <v>530842</v>
      </c>
      <c r="AG623" s="36">
        <v>530842</v>
      </c>
      <c r="AH623" s="24"/>
      <c r="AJ623" s="34"/>
      <c r="AK623" t="s">
        <v>923</v>
      </c>
      <c r="AL623" t="s">
        <v>287</v>
      </c>
      <c r="AM623" s="34" t="s">
        <v>925</v>
      </c>
      <c r="AN623" s="34">
        <v>43032</v>
      </c>
      <c r="AO623" s="24">
        <v>13</v>
      </c>
      <c r="AP623" t="s">
        <v>953</v>
      </c>
      <c r="AR623" s="35"/>
      <c r="AS623"/>
      <c r="AT623" s="34"/>
      <c r="AV623" s="34"/>
      <c r="AX623" s="34"/>
      <c r="AY623"/>
      <c r="BA623" s="34"/>
      <c r="BB623"/>
      <c r="BC623" t="s">
        <v>787</v>
      </c>
      <c r="BD623" s="36">
        <v>530842</v>
      </c>
      <c r="BE623" s="36">
        <v>530842</v>
      </c>
      <c r="BF623">
        <v>0</v>
      </c>
      <c r="BG623" s="34">
        <v>43344</v>
      </c>
      <c r="BH623">
        <v>60</v>
      </c>
      <c r="BI623" t="s">
        <v>283</v>
      </c>
      <c r="BJ623" t="s">
        <v>928</v>
      </c>
      <c r="BK623" t="s">
        <v>934</v>
      </c>
      <c r="BL623" t="s">
        <v>194</v>
      </c>
      <c r="BM623" s="8" t="s">
        <v>192</v>
      </c>
      <c r="BN623" t="s">
        <v>189</v>
      </c>
      <c r="BO623" t="s">
        <v>190</v>
      </c>
      <c r="BP623" s="35" t="s">
        <v>718</v>
      </c>
      <c r="BQ623"/>
      <c r="BU623" s="35"/>
      <c r="BV623" s="35"/>
      <c r="BX623"/>
      <c r="CA623" s="35"/>
      <c r="CB623" s="35"/>
      <c r="CC623"/>
      <c r="CG623" s="35"/>
      <c r="CH623" s="35"/>
      <c r="CK623"/>
      <c r="CM623" s="35"/>
      <c r="CN623" s="35"/>
      <c r="CQ623"/>
      <c r="CS623" s="35"/>
      <c r="CT623" s="35"/>
      <c r="CX623"/>
      <c r="CZ623" s="35"/>
      <c r="DD623" s="34"/>
      <c r="DG623" t="s">
        <v>785</v>
      </c>
      <c r="DH623" t="s">
        <v>954</v>
      </c>
      <c r="DI623" t="s">
        <v>286</v>
      </c>
      <c r="DL623" t="s">
        <v>672</v>
      </c>
      <c r="DM623">
        <v>4</v>
      </c>
      <c r="DN623">
        <v>7</v>
      </c>
      <c r="DO623" t="s">
        <v>786</v>
      </c>
      <c r="DQ623" t="s">
        <v>927</v>
      </c>
      <c r="DR623">
        <v>14</v>
      </c>
      <c r="DS623">
        <v>2</v>
      </c>
      <c r="DU623">
        <v>14</v>
      </c>
      <c r="DV623">
        <v>2</v>
      </c>
      <c r="DX623">
        <v>14</v>
      </c>
      <c r="DY623">
        <v>2</v>
      </c>
      <c r="DZ623" t="s">
        <v>246</v>
      </c>
      <c r="EA623" t="s">
        <v>929</v>
      </c>
    </row>
    <row r="624" spans="1:131" x14ac:dyDescent="0.4">
      <c r="A624" s="34">
        <v>43067.305104166669</v>
      </c>
      <c r="B624" s="25">
        <v>42935.359027777777</v>
      </c>
      <c r="D624" s="34"/>
      <c r="E624" s="34" t="s">
        <v>193</v>
      </c>
      <c r="F624" s="34" t="s">
        <v>191</v>
      </c>
      <c r="G624" s="34" t="s">
        <v>100</v>
      </c>
      <c r="H624" t="s">
        <v>279</v>
      </c>
      <c r="I624" t="s">
        <v>243</v>
      </c>
      <c r="J624" t="s">
        <v>712</v>
      </c>
      <c r="K624" t="s">
        <v>729</v>
      </c>
      <c r="L624" t="s">
        <v>711</v>
      </c>
      <c r="M624" s="30">
        <v>3.13</v>
      </c>
      <c r="N624">
        <v>5.25</v>
      </c>
      <c r="P624" s="24" t="str">
        <f>IFERROR(MID(RADataTable[[#This Row],[RATemplate]],1,LEN(RADataTable[[#This Row],[RATemplate]])-8),"RA") &amp; " " &amp; RADataTable[[#This Row],[prop_id0]] &amp; " " &amp; RADataTable[[#This Row],[last0]]</f>
        <v>RA 1750118 Li</v>
      </c>
      <c r="T624">
        <v>4</v>
      </c>
      <c r="U624">
        <v>4</v>
      </c>
      <c r="V624" s="34">
        <v>43031.584722222222</v>
      </c>
      <c r="W624">
        <v>1</v>
      </c>
      <c r="X624" s="15" t="str">
        <f>HYPERLINK("https://www.ejacket.nsf.gov/ej/showProposal.do?Continue=Y&amp;ID="&amp;RADataTable[[#This Row],[prop_id0]],"eJ")</f>
        <v>eJ</v>
      </c>
      <c r="Y624" s="15" t="str">
        <f>HYPERLINK("mailto:"&amp;RADataTable[[#This Row],[email]]&amp;"&amp;subject=Your NSF Proposal:  "&amp;RADataTable[[#This Row],[Div]]&amp;" "&amp;RADataTable[[#This Row],[prop_id0]], RADataTable[[#This Row],[email]])</f>
        <v>shil@buffalo.edu</v>
      </c>
      <c r="Z624" s="15" t="str">
        <f>HYPERLINK("mailto:"&amp;RADataTable[[#This Row],[allPIemail]]&amp;"&amp;subject=NSF Proposal:  "&amp;RADataTable[[#This Row],[Div]]&amp;" "&amp;RADataTable[[#This Row],[prop_id0]], "PIs@")</f>
        <v>PIs@</v>
      </c>
      <c r="AA624" t="s">
        <v>245</v>
      </c>
      <c r="AB624" t="s">
        <v>672</v>
      </c>
      <c r="AC624" s="30" t="s">
        <v>783</v>
      </c>
      <c r="AD624" t="s">
        <v>784</v>
      </c>
      <c r="AE624" t="s">
        <v>241</v>
      </c>
      <c r="AF624" s="36">
        <v>530842</v>
      </c>
      <c r="AG624" s="36">
        <v>530842</v>
      </c>
      <c r="AH624" s="24"/>
      <c r="AJ624" s="34"/>
      <c r="AK624" t="s">
        <v>923</v>
      </c>
      <c r="AL624" t="s">
        <v>287</v>
      </c>
      <c r="AM624" s="34" t="s">
        <v>925</v>
      </c>
      <c r="AN624" s="34">
        <v>43032</v>
      </c>
      <c r="AO624" s="24">
        <v>13</v>
      </c>
      <c r="AP624" t="s">
        <v>953</v>
      </c>
      <c r="AR624" s="35"/>
      <c r="AS624"/>
      <c r="AT624" s="34"/>
      <c r="AV624" s="34"/>
      <c r="AX624" s="34"/>
      <c r="AY624"/>
      <c r="BA624" s="34"/>
      <c r="BB624"/>
      <c r="BC624" t="s">
        <v>787</v>
      </c>
      <c r="BD624" s="36">
        <v>530842</v>
      </c>
      <c r="BE624" s="36">
        <v>530842</v>
      </c>
      <c r="BF624">
        <v>0</v>
      </c>
      <c r="BG624" s="34">
        <v>43344</v>
      </c>
      <c r="BH624">
        <v>60</v>
      </c>
      <c r="BI624" t="s">
        <v>283</v>
      </c>
      <c r="BJ624" t="s">
        <v>928</v>
      </c>
      <c r="BK624" t="s">
        <v>934</v>
      </c>
      <c r="BL624" t="s">
        <v>194</v>
      </c>
      <c r="BM624" s="8" t="s">
        <v>192</v>
      </c>
      <c r="BN624" t="s">
        <v>189</v>
      </c>
      <c r="BO624" t="s">
        <v>190</v>
      </c>
      <c r="BP624" s="35" t="s">
        <v>718</v>
      </c>
      <c r="BQ624"/>
      <c r="BU624" s="35"/>
      <c r="BV624" s="35"/>
      <c r="BX624"/>
      <c r="CA624" s="35"/>
      <c r="CB624" s="35"/>
      <c r="CC624"/>
      <c r="CG624" s="35"/>
      <c r="CH624" s="35"/>
      <c r="CK624"/>
      <c r="CM624" s="35"/>
      <c r="CN624" s="35"/>
      <c r="CQ624"/>
      <c r="CS624" s="35"/>
      <c r="CT624" s="35"/>
      <c r="CX624"/>
      <c r="CZ624" s="35"/>
      <c r="DD624" s="34"/>
      <c r="DG624" t="s">
        <v>785</v>
      </c>
      <c r="DH624" t="s">
        <v>954</v>
      </c>
      <c r="DI624" t="s">
        <v>286</v>
      </c>
      <c r="DL624" t="s">
        <v>672</v>
      </c>
      <c r="DM624">
        <v>4</v>
      </c>
      <c r="DN624">
        <v>7</v>
      </c>
      <c r="DO624" t="s">
        <v>786</v>
      </c>
      <c r="DQ624" t="s">
        <v>927</v>
      </c>
      <c r="DR624">
        <v>14</v>
      </c>
      <c r="DS624">
        <v>2</v>
      </c>
      <c r="DU624">
        <v>14</v>
      </c>
      <c r="DV624">
        <v>2</v>
      </c>
      <c r="DX624">
        <v>14</v>
      </c>
      <c r="DY624">
        <v>2</v>
      </c>
      <c r="DZ624" t="s">
        <v>246</v>
      </c>
      <c r="EA624" t="s">
        <v>929</v>
      </c>
    </row>
    <row r="625" spans="1:131" x14ac:dyDescent="0.4">
      <c r="A625" s="34">
        <v>43067.305104166669</v>
      </c>
      <c r="B625" s="25">
        <v>42935.359027777777</v>
      </c>
      <c r="D625" s="34"/>
      <c r="E625" s="34" t="s">
        <v>193</v>
      </c>
      <c r="F625" s="34" t="s">
        <v>191</v>
      </c>
      <c r="G625" s="34" t="s">
        <v>100</v>
      </c>
      <c r="H625" t="s">
        <v>279</v>
      </c>
      <c r="I625" t="s">
        <v>243</v>
      </c>
      <c r="J625" t="s">
        <v>712</v>
      </c>
      <c r="K625" t="s">
        <v>729</v>
      </c>
      <c r="L625" t="s">
        <v>711</v>
      </c>
      <c r="M625" s="30">
        <v>3.13</v>
      </c>
      <c r="N625">
        <v>5.25</v>
      </c>
      <c r="P625" s="24" t="str">
        <f>IFERROR(MID(RADataTable[[#This Row],[RATemplate]],1,LEN(RADataTable[[#This Row],[RATemplate]])-8),"RA") &amp; " " &amp; RADataTable[[#This Row],[prop_id0]] &amp; " " &amp; RADataTable[[#This Row],[last0]]</f>
        <v>RA 1750118 Li</v>
      </c>
      <c r="T625">
        <v>4</v>
      </c>
      <c r="U625">
        <v>4</v>
      </c>
      <c r="V625" s="34">
        <v>43031.584722222222</v>
      </c>
      <c r="W625">
        <v>1</v>
      </c>
      <c r="X625" s="15" t="str">
        <f>HYPERLINK("https://www.ejacket.nsf.gov/ej/showProposal.do?Continue=Y&amp;ID="&amp;RADataTable[[#This Row],[prop_id0]],"eJ")</f>
        <v>eJ</v>
      </c>
      <c r="Y625" s="15" t="str">
        <f>HYPERLINK("mailto:"&amp;RADataTable[[#This Row],[email]]&amp;"&amp;subject=Your NSF Proposal:  "&amp;RADataTable[[#This Row],[Div]]&amp;" "&amp;RADataTable[[#This Row],[prop_id0]], RADataTable[[#This Row],[email]])</f>
        <v>shil@buffalo.edu</v>
      </c>
      <c r="Z625" s="15" t="str">
        <f>HYPERLINK("mailto:"&amp;RADataTable[[#This Row],[allPIemail]]&amp;"&amp;subject=NSF Proposal:  "&amp;RADataTable[[#This Row],[Div]]&amp;" "&amp;RADataTable[[#This Row],[prop_id0]], "PIs@")</f>
        <v>PIs@</v>
      </c>
      <c r="AA625" t="s">
        <v>245</v>
      </c>
      <c r="AB625" t="s">
        <v>672</v>
      </c>
      <c r="AC625" s="30" t="s">
        <v>783</v>
      </c>
      <c r="AD625" t="s">
        <v>784</v>
      </c>
      <c r="AE625" t="s">
        <v>241</v>
      </c>
      <c r="AF625" s="36">
        <v>530842</v>
      </c>
      <c r="AG625" s="36">
        <v>530842</v>
      </c>
      <c r="AH625" s="24"/>
      <c r="AJ625" s="34"/>
      <c r="AK625" t="s">
        <v>923</v>
      </c>
      <c r="AL625" t="s">
        <v>287</v>
      </c>
      <c r="AM625" s="34" t="s">
        <v>925</v>
      </c>
      <c r="AN625" s="34">
        <v>43032</v>
      </c>
      <c r="AO625" s="24">
        <v>13</v>
      </c>
      <c r="AP625" t="s">
        <v>953</v>
      </c>
      <c r="AR625" s="35"/>
      <c r="AS625"/>
      <c r="AT625" s="34"/>
      <c r="AV625" s="34"/>
      <c r="AX625" s="34"/>
      <c r="AY625"/>
      <c r="BA625" s="34"/>
      <c r="BB625"/>
      <c r="BC625" t="s">
        <v>787</v>
      </c>
      <c r="BD625" s="36">
        <v>530842</v>
      </c>
      <c r="BE625" s="36">
        <v>530842</v>
      </c>
      <c r="BF625">
        <v>0</v>
      </c>
      <c r="BG625" s="34">
        <v>43344</v>
      </c>
      <c r="BH625">
        <v>60</v>
      </c>
      <c r="BI625" t="s">
        <v>283</v>
      </c>
      <c r="BJ625" t="s">
        <v>928</v>
      </c>
      <c r="BK625" t="s">
        <v>934</v>
      </c>
      <c r="BL625" t="s">
        <v>194</v>
      </c>
      <c r="BM625" s="8" t="s">
        <v>192</v>
      </c>
      <c r="BN625" t="s">
        <v>189</v>
      </c>
      <c r="BO625" t="s">
        <v>190</v>
      </c>
      <c r="BP625" s="35" t="s">
        <v>718</v>
      </c>
      <c r="BQ625"/>
      <c r="BU625" s="35"/>
      <c r="BV625" s="35"/>
      <c r="BX625"/>
      <c r="CA625" s="35"/>
      <c r="CB625" s="35"/>
      <c r="CC625"/>
      <c r="CG625" s="35"/>
      <c r="CH625" s="35"/>
      <c r="CK625"/>
      <c r="CM625" s="35"/>
      <c r="CN625" s="35"/>
      <c r="CQ625"/>
      <c r="CS625" s="35"/>
      <c r="CT625" s="35"/>
      <c r="CX625"/>
      <c r="CZ625" s="35"/>
      <c r="DD625" s="34"/>
      <c r="DG625" t="s">
        <v>785</v>
      </c>
      <c r="DH625" t="s">
        <v>954</v>
      </c>
      <c r="DI625" t="s">
        <v>286</v>
      </c>
      <c r="DL625" t="s">
        <v>672</v>
      </c>
      <c r="DM625">
        <v>4</v>
      </c>
      <c r="DN625">
        <v>7</v>
      </c>
      <c r="DO625" t="s">
        <v>786</v>
      </c>
      <c r="DQ625" t="s">
        <v>927</v>
      </c>
      <c r="DR625">
        <v>14</v>
      </c>
      <c r="DS625">
        <v>2</v>
      </c>
      <c r="DU625">
        <v>14</v>
      </c>
      <c r="DV625">
        <v>2</v>
      </c>
      <c r="DX625">
        <v>14</v>
      </c>
      <c r="DY625">
        <v>2</v>
      </c>
      <c r="DZ625" t="s">
        <v>246</v>
      </c>
      <c r="EA625" t="s">
        <v>929</v>
      </c>
    </row>
    <row r="626" spans="1:131" x14ac:dyDescent="0.4">
      <c r="A626" s="34">
        <v>43067.305104166669</v>
      </c>
      <c r="B626" s="25">
        <v>42935.359027777777</v>
      </c>
      <c r="D626" s="34"/>
      <c r="E626" s="34" t="s">
        <v>193</v>
      </c>
      <c r="F626" s="34" t="s">
        <v>191</v>
      </c>
      <c r="G626" s="34" t="s">
        <v>100</v>
      </c>
      <c r="H626" t="s">
        <v>279</v>
      </c>
      <c r="I626" t="s">
        <v>243</v>
      </c>
      <c r="J626" t="s">
        <v>712</v>
      </c>
      <c r="K626" t="s">
        <v>729</v>
      </c>
      <c r="L626" t="s">
        <v>711</v>
      </c>
      <c r="M626" s="30">
        <v>3.13</v>
      </c>
      <c r="N626">
        <v>5.25</v>
      </c>
      <c r="P626" s="24" t="str">
        <f>IFERROR(MID(RADataTable[[#This Row],[RATemplate]],1,LEN(RADataTable[[#This Row],[RATemplate]])-8),"RA") &amp; " " &amp; RADataTable[[#This Row],[prop_id0]] &amp; " " &amp; RADataTable[[#This Row],[last0]]</f>
        <v>RA 1750118 Li</v>
      </c>
      <c r="T626">
        <v>4</v>
      </c>
      <c r="U626">
        <v>4</v>
      </c>
      <c r="V626" s="34">
        <v>43031.584722222222</v>
      </c>
      <c r="W626">
        <v>1</v>
      </c>
      <c r="X626" s="15" t="str">
        <f>HYPERLINK("https://www.ejacket.nsf.gov/ej/showProposal.do?Continue=Y&amp;ID="&amp;RADataTable[[#This Row],[prop_id0]],"eJ")</f>
        <v>eJ</v>
      </c>
      <c r="Y626" s="15" t="str">
        <f>HYPERLINK("mailto:"&amp;RADataTable[[#This Row],[email]]&amp;"&amp;subject=Your NSF Proposal:  "&amp;RADataTable[[#This Row],[Div]]&amp;" "&amp;RADataTable[[#This Row],[prop_id0]], RADataTable[[#This Row],[email]])</f>
        <v>shil@buffalo.edu</v>
      </c>
      <c r="Z626" s="15" t="str">
        <f>HYPERLINK("mailto:"&amp;RADataTable[[#This Row],[allPIemail]]&amp;"&amp;subject=NSF Proposal:  "&amp;RADataTable[[#This Row],[Div]]&amp;" "&amp;RADataTable[[#This Row],[prop_id0]], "PIs@")</f>
        <v>PIs@</v>
      </c>
      <c r="AA626" t="s">
        <v>245</v>
      </c>
      <c r="AB626" t="s">
        <v>672</v>
      </c>
      <c r="AC626" s="30" t="s">
        <v>783</v>
      </c>
      <c r="AD626" t="s">
        <v>784</v>
      </c>
      <c r="AE626" t="s">
        <v>241</v>
      </c>
      <c r="AF626" s="36">
        <v>530842</v>
      </c>
      <c r="AG626" s="36">
        <v>530842</v>
      </c>
      <c r="AH626" s="24"/>
      <c r="AJ626" s="34"/>
      <c r="AK626" t="s">
        <v>923</v>
      </c>
      <c r="AL626" t="s">
        <v>287</v>
      </c>
      <c r="AM626" s="34" t="s">
        <v>925</v>
      </c>
      <c r="AN626" s="34">
        <v>43032</v>
      </c>
      <c r="AO626" s="24">
        <v>13</v>
      </c>
      <c r="AP626" t="s">
        <v>953</v>
      </c>
      <c r="AR626" s="35"/>
      <c r="AS626"/>
      <c r="AT626" s="34"/>
      <c r="AV626" s="34"/>
      <c r="AX626" s="34"/>
      <c r="AY626"/>
      <c r="BA626" s="34"/>
      <c r="BB626"/>
      <c r="BC626" t="s">
        <v>787</v>
      </c>
      <c r="BD626" s="36">
        <v>530842</v>
      </c>
      <c r="BE626" s="36">
        <v>530842</v>
      </c>
      <c r="BF626">
        <v>0</v>
      </c>
      <c r="BG626" s="34">
        <v>43344</v>
      </c>
      <c r="BH626">
        <v>60</v>
      </c>
      <c r="BI626" t="s">
        <v>283</v>
      </c>
      <c r="BJ626" t="s">
        <v>928</v>
      </c>
      <c r="BK626" t="s">
        <v>934</v>
      </c>
      <c r="BL626" t="s">
        <v>194</v>
      </c>
      <c r="BM626" s="8" t="s">
        <v>192</v>
      </c>
      <c r="BN626" t="s">
        <v>189</v>
      </c>
      <c r="BO626" t="s">
        <v>190</v>
      </c>
      <c r="BP626" s="35" t="s">
        <v>718</v>
      </c>
      <c r="BQ626"/>
      <c r="BU626" s="35"/>
      <c r="BV626" s="35"/>
      <c r="BX626"/>
      <c r="CA626" s="35"/>
      <c r="CB626" s="35"/>
      <c r="CC626"/>
      <c r="CG626" s="35"/>
      <c r="CH626" s="35"/>
      <c r="CK626"/>
      <c r="CM626" s="35"/>
      <c r="CN626" s="35"/>
      <c r="CQ626"/>
      <c r="CS626" s="35"/>
      <c r="CT626" s="35"/>
      <c r="CX626"/>
      <c r="CZ626" s="35"/>
      <c r="DD626" s="34"/>
      <c r="DG626" t="s">
        <v>785</v>
      </c>
      <c r="DH626" t="s">
        <v>954</v>
      </c>
      <c r="DI626" t="s">
        <v>286</v>
      </c>
      <c r="DL626" t="s">
        <v>672</v>
      </c>
      <c r="DM626">
        <v>4</v>
      </c>
      <c r="DN626">
        <v>7</v>
      </c>
      <c r="DO626" t="s">
        <v>786</v>
      </c>
      <c r="DQ626" t="s">
        <v>927</v>
      </c>
      <c r="DR626">
        <v>14</v>
      </c>
      <c r="DS626">
        <v>2</v>
      </c>
      <c r="DU626">
        <v>14</v>
      </c>
      <c r="DV626">
        <v>2</v>
      </c>
      <c r="DX626">
        <v>14</v>
      </c>
      <c r="DY626">
        <v>2</v>
      </c>
      <c r="DZ626" t="s">
        <v>246</v>
      </c>
      <c r="EA626" t="s">
        <v>929</v>
      </c>
    </row>
    <row r="627" spans="1:131" x14ac:dyDescent="0.4">
      <c r="A627" s="34">
        <v>43067.305104166669</v>
      </c>
      <c r="B627" s="25">
        <v>42935.359027777777</v>
      </c>
      <c r="D627" s="34"/>
      <c r="E627" s="34" t="s">
        <v>193</v>
      </c>
      <c r="F627" s="34" t="s">
        <v>191</v>
      </c>
      <c r="G627" s="34" t="s">
        <v>100</v>
      </c>
      <c r="H627" t="s">
        <v>279</v>
      </c>
      <c r="I627" t="s">
        <v>243</v>
      </c>
      <c r="J627" t="s">
        <v>712</v>
      </c>
      <c r="K627" t="s">
        <v>729</v>
      </c>
      <c r="L627" t="s">
        <v>711</v>
      </c>
      <c r="M627" s="30">
        <v>3.13</v>
      </c>
      <c r="N627">
        <v>5.25</v>
      </c>
      <c r="P627" s="24" t="str">
        <f>IFERROR(MID(RADataTable[[#This Row],[RATemplate]],1,LEN(RADataTable[[#This Row],[RATemplate]])-8),"RA") &amp; " " &amp; RADataTable[[#This Row],[prop_id0]] &amp; " " &amp; RADataTable[[#This Row],[last0]]</f>
        <v>RA 1750118 Li</v>
      </c>
      <c r="T627">
        <v>4</v>
      </c>
      <c r="U627">
        <v>4</v>
      </c>
      <c r="V627" s="34">
        <v>43031.584722222222</v>
      </c>
      <c r="W627">
        <v>1</v>
      </c>
      <c r="X627" s="15" t="str">
        <f>HYPERLINK("https://www.ejacket.nsf.gov/ej/showProposal.do?Continue=Y&amp;ID="&amp;RADataTable[[#This Row],[prop_id0]],"eJ")</f>
        <v>eJ</v>
      </c>
      <c r="Y627" s="15" t="str">
        <f>HYPERLINK("mailto:"&amp;RADataTable[[#This Row],[email]]&amp;"&amp;subject=Your NSF Proposal:  "&amp;RADataTable[[#This Row],[Div]]&amp;" "&amp;RADataTable[[#This Row],[prop_id0]], RADataTable[[#This Row],[email]])</f>
        <v>shil@buffalo.edu</v>
      </c>
      <c r="Z627" s="15" t="str">
        <f>HYPERLINK("mailto:"&amp;RADataTable[[#This Row],[allPIemail]]&amp;"&amp;subject=NSF Proposal:  "&amp;RADataTable[[#This Row],[Div]]&amp;" "&amp;RADataTable[[#This Row],[prop_id0]], "PIs@")</f>
        <v>PIs@</v>
      </c>
      <c r="AA627" t="s">
        <v>245</v>
      </c>
      <c r="AB627" t="s">
        <v>672</v>
      </c>
      <c r="AC627" s="30" t="s">
        <v>783</v>
      </c>
      <c r="AD627" t="s">
        <v>784</v>
      </c>
      <c r="AE627" t="s">
        <v>241</v>
      </c>
      <c r="AF627" s="36">
        <v>530842</v>
      </c>
      <c r="AG627" s="36">
        <v>530842</v>
      </c>
      <c r="AH627" s="24"/>
      <c r="AJ627" s="34"/>
      <c r="AK627" t="s">
        <v>923</v>
      </c>
      <c r="AL627" t="s">
        <v>287</v>
      </c>
      <c r="AM627" s="34" t="s">
        <v>925</v>
      </c>
      <c r="AN627" s="34">
        <v>43032</v>
      </c>
      <c r="AO627" s="24">
        <v>13</v>
      </c>
      <c r="AP627" t="s">
        <v>953</v>
      </c>
      <c r="AR627" s="35"/>
      <c r="AS627"/>
      <c r="AT627" s="34"/>
      <c r="AV627" s="34"/>
      <c r="AX627" s="34"/>
      <c r="AY627"/>
      <c r="BA627" s="34"/>
      <c r="BB627"/>
      <c r="BC627" t="s">
        <v>787</v>
      </c>
      <c r="BD627" s="36">
        <v>530842</v>
      </c>
      <c r="BE627" s="36">
        <v>530842</v>
      </c>
      <c r="BF627">
        <v>0</v>
      </c>
      <c r="BG627" s="34">
        <v>43344</v>
      </c>
      <c r="BH627">
        <v>60</v>
      </c>
      <c r="BI627" t="s">
        <v>283</v>
      </c>
      <c r="BJ627" t="s">
        <v>928</v>
      </c>
      <c r="BK627" t="s">
        <v>934</v>
      </c>
      <c r="BL627" t="s">
        <v>194</v>
      </c>
      <c r="BM627" s="8" t="s">
        <v>192</v>
      </c>
      <c r="BN627" t="s">
        <v>189</v>
      </c>
      <c r="BO627" t="s">
        <v>190</v>
      </c>
      <c r="BP627" s="35" t="s">
        <v>718</v>
      </c>
      <c r="BQ627"/>
      <c r="BU627" s="35"/>
      <c r="BV627" s="35"/>
      <c r="BX627"/>
      <c r="CA627" s="35"/>
      <c r="CB627" s="35"/>
      <c r="CC627"/>
      <c r="CG627" s="35"/>
      <c r="CH627" s="35"/>
      <c r="CK627"/>
      <c r="CM627" s="35"/>
      <c r="CN627" s="35"/>
      <c r="CQ627"/>
      <c r="CS627" s="35"/>
      <c r="CT627" s="35"/>
      <c r="CX627"/>
      <c r="CZ627" s="35"/>
      <c r="DD627" s="34"/>
      <c r="DG627" t="s">
        <v>785</v>
      </c>
      <c r="DH627" t="s">
        <v>954</v>
      </c>
      <c r="DI627" t="s">
        <v>286</v>
      </c>
      <c r="DL627" t="s">
        <v>672</v>
      </c>
      <c r="DM627">
        <v>4</v>
      </c>
      <c r="DN627">
        <v>7</v>
      </c>
      <c r="DO627" t="s">
        <v>786</v>
      </c>
      <c r="DQ627" t="s">
        <v>927</v>
      </c>
      <c r="DR627">
        <v>14</v>
      </c>
      <c r="DS627">
        <v>2</v>
      </c>
      <c r="DU627">
        <v>14</v>
      </c>
      <c r="DV627">
        <v>2</v>
      </c>
      <c r="DX627">
        <v>14</v>
      </c>
      <c r="DY627">
        <v>2</v>
      </c>
      <c r="DZ627" t="s">
        <v>246</v>
      </c>
      <c r="EA627" t="s">
        <v>929</v>
      </c>
    </row>
    <row r="628" spans="1:131" x14ac:dyDescent="0.4">
      <c r="A628" s="34">
        <v>43067.305104166669</v>
      </c>
      <c r="B628" s="25">
        <v>42935.359027777777</v>
      </c>
      <c r="D628" s="34"/>
      <c r="E628" s="34" t="s">
        <v>193</v>
      </c>
      <c r="F628" s="34" t="s">
        <v>191</v>
      </c>
      <c r="G628" s="34" t="s">
        <v>100</v>
      </c>
      <c r="H628" t="s">
        <v>279</v>
      </c>
      <c r="I628" t="s">
        <v>243</v>
      </c>
      <c r="J628" t="s">
        <v>712</v>
      </c>
      <c r="K628" t="s">
        <v>729</v>
      </c>
      <c r="L628" t="s">
        <v>711</v>
      </c>
      <c r="M628" s="30">
        <v>3.13</v>
      </c>
      <c r="N628">
        <v>5.25</v>
      </c>
      <c r="P628" s="24" t="str">
        <f>IFERROR(MID(RADataTable[[#This Row],[RATemplate]],1,LEN(RADataTable[[#This Row],[RATemplate]])-8),"RA") &amp; " " &amp; RADataTable[[#This Row],[prop_id0]] &amp; " " &amp; RADataTable[[#This Row],[last0]]</f>
        <v>RA 1750118 Li</v>
      </c>
      <c r="T628">
        <v>4</v>
      </c>
      <c r="U628">
        <v>4</v>
      </c>
      <c r="V628" s="34">
        <v>43031.584722222222</v>
      </c>
      <c r="W628">
        <v>1</v>
      </c>
      <c r="X628" s="15" t="str">
        <f>HYPERLINK("https://www.ejacket.nsf.gov/ej/showProposal.do?Continue=Y&amp;ID="&amp;RADataTable[[#This Row],[prop_id0]],"eJ")</f>
        <v>eJ</v>
      </c>
      <c r="Y628" s="15" t="str">
        <f>HYPERLINK("mailto:"&amp;RADataTable[[#This Row],[email]]&amp;"&amp;subject=Your NSF Proposal:  "&amp;RADataTable[[#This Row],[Div]]&amp;" "&amp;RADataTable[[#This Row],[prop_id0]], RADataTable[[#This Row],[email]])</f>
        <v>shil@buffalo.edu</v>
      </c>
      <c r="Z628" s="15" t="str">
        <f>HYPERLINK("mailto:"&amp;RADataTable[[#This Row],[allPIemail]]&amp;"&amp;subject=NSF Proposal:  "&amp;RADataTable[[#This Row],[Div]]&amp;" "&amp;RADataTable[[#This Row],[prop_id0]], "PIs@")</f>
        <v>PIs@</v>
      </c>
      <c r="AA628" t="s">
        <v>245</v>
      </c>
      <c r="AB628" t="s">
        <v>672</v>
      </c>
      <c r="AC628" s="30" t="s">
        <v>783</v>
      </c>
      <c r="AD628" t="s">
        <v>784</v>
      </c>
      <c r="AE628" t="s">
        <v>241</v>
      </c>
      <c r="AF628" s="36">
        <v>530842</v>
      </c>
      <c r="AG628" s="36">
        <v>530842</v>
      </c>
      <c r="AH628" s="24"/>
      <c r="AJ628" s="34"/>
      <c r="AK628" t="s">
        <v>923</v>
      </c>
      <c r="AL628" t="s">
        <v>287</v>
      </c>
      <c r="AM628" s="34" t="s">
        <v>925</v>
      </c>
      <c r="AN628" s="34">
        <v>43032</v>
      </c>
      <c r="AO628" s="24">
        <v>13</v>
      </c>
      <c r="AP628" t="s">
        <v>953</v>
      </c>
      <c r="AR628" s="35"/>
      <c r="AS628"/>
      <c r="AT628" s="34"/>
      <c r="AV628" s="34"/>
      <c r="AX628" s="34"/>
      <c r="AY628"/>
      <c r="BA628" s="34"/>
      <c r="BB628"/>
      <c r="BC628" t="s">
        <v>787</v>
      </c>
      <c r="BD628" s="36">
        <v>530842</v>
      </c>
      <c r="BE628" s="36">
        <v>530842</v>
      </c>
      <c r="BF628">
        <v>0</v>
      </c>
      <c r="BG628" s="34">
        <v>43344</v>
      </c>
      <c r="BH628">
        <v>60</v>
      </c>
      <c r="BI628" t="s">
        <v>283</v>
      </c>
      <c r="BJ628" t="s">
        <v>928</v>
      </c>
      <c r="BK628" t="s">
        <v>934</v>
      </c>
      <c r="BL628" t="s">
        <v>194</v>
      </c>
      <c r="BM628" s="8" t="s">
        <v>192</v>
      </c>
      <c r="BN628" t="s">
        <v>189</v>
      </c>
      <c r="BO628" t="s">
        <v>190</v>
      </c>
      <c r="BP628" s="35" t="s">
        <v>718</v>
      </c>
      <c r="BQ628"/>
      <c r="BU628" s="35"/>
      <c r="BV628" s="35"/>
      <c r="BX628"/>
      <c r="CA628" s="35"/>
      <c r="CB628" s="35"/>
      <c r="CC628"/>
      <c r="CG628" s="35"/>
      <c r="CH628" s="35"/>
      <c r="CK628"/>
      <c r="CM628" s="35"/>
      <c r="CN628" s="35"/>
      <c r="CQ628"/>
      <c r="CS628" s="35"/>
      <c r="CT628" s="35"/>
      <c r="CX628"/>
      <c r="CZ628" s="35"/>
      <c r="DD628" s="34"/>
      <c r="DG628" t="s">
        <v>785</v>
      </c>
      <c r="DH628" t="s">
        <v>954</v>
      </c>
      <c r="DI628" t="s">
        <v>286</v>
      </c>
      <c r="DL628" t="s">
        <v>672</v>
      </c>
      <c r="DM628">
        <v>4</v>
      </c>
      <c r="DN628">
        <v>7</v>
      </c>
      <c r="DO628" t="s">
        <v>786</v>
      </c>
      <c r="DQ628" t="s">
        <v>927</v>
      </c>
      <c r="DR628">
        <v>14</v>
      </c>
      <c r="DS628">
        <v>2</v>
      </c>
      <c r="DU628">
        <v>14</v>
      </c>
      <c r="DV628">
        <v>2</v>
      </c>
      <c r="DX628">
        <v>14</v>
      </c>
      <c r="DY628">
        <v>2</v>
      </c>
      <c r="DZ628" t="s">
        <v>246</v>
      </c>
      <c r="EA628" t="s">
        <v>929</v>
      </c>
    </row>
    <row r="629" spans="1:131" x14ac:dyDescent="0.4">
      <c r="A629" s="34">
        <v>43067.305104166669</v>
      </c>
      <c r="B629" s="25">
        <v>42935.359027777777</v>
      </c>
      <c r="D629" s="34"/>
      <c r="E629" s="34" t="s">
        <v>193</v>
      </c>
      <c r="F629" s="34" t="s">
        <v>191</v>
      </c>
      <c r="G629" s="34" t="s">
        <v>100</v>
      </c>
      <c r="H629" t="s">
        <v>279</v>
      </c>
      <c r="I629" t="s">
        <v>243</v>
      </c>
      <c r="J629" t="s">
        <v>712</v>
      </c>
      <c r="K629" t="s">
        <v>729</v>
      </c>
      <c r="L629" t="s">
        <v>711</v>
      </c>
      <c r="M629" s="30">
        <v>3.13</v>
      </c>
      <c r="N629">
        <v>5.25</v>
      </c>
      <c r="P629" s="24" t="str">
        <f>IFERROR(MID(RADataTable[[#This Row],[RATemplate]],1,LEN(RADataTable[[#This Row],[RATemplate]])-8),"RA") &amp; " " &amp; RADataTable[[#This Row],[prop_id0]] &amp; " " &amp; RADataTable[[#This Row],[last0]]</f>
        <v>RA 1750118 Li</v>
      </c>
      <c r="T629">
        <v>4</v>
      </c>
      <c r="U629">
        <v>4</v>
      </c>
      <c r="V629" s="34">
        <v>43031.584722222222</v>
      </c>
      <c r="W629">
        <v>1</v>
      </c>
      <c r="X629" s="15" t="str">
        <f>HYPERLINK("https://www.ejacket.nsf.gov/ej/showProposal.do?Continue=Y&amp;ID="&amp;RADataTable[[#This Row],[prop_id0]],"eJ")</f>
        <v>eJ</v>
      </c>
      <c r="Y629" s="15" t="str">
        <f>HYPERLINK("mailto:"&amp;RADataTable[[#This Row],[email]]&amp;"&amp;subject=Your NSF Proposal:  "&amp;RADataTable[[#This Row],[Div]]&amp;" "&amp;RADataTable[[#This Row],[prop_id0]], RADataTable[[#This Row],[email]])</f>
        <v>shil@buffalo.edu</v>
      </c>
      <c r="Z629" s="15" t="str">
        <f>HYPERLINK("mailto:"&amp;RADataTable[[#This Row],[allPIemail]]&amp;"&amp;subject=NSF Proposal:  "&amp;RADataTable[[#This Row],[Div]]&amp;" "&amp;RADataTable[[#This Row],[prop_id0]], "PIs@")</f>
        <v>PIs@</v>
      </c>
      <c r="AA629" t="s">
        <v>245</v>
      </c>
      <c r="AB629" t="s">
        <v>672</v>
      </c>
      <c r="AC629" s="30" t="s">
        <v>783</v>
      </c>
      <c r="AD629" t="s">
        <v>784</v>
      </c>
      <c r="AE629" t="s">
        <v>241</v>
      </c>
      <c r="AF629" s="36">
        <v>530842</v>
      </c>
      <c r="AG629" s="36">
        <v>530842</v>
      </c>
      <c r="AH629" s="24"/>
      <c r="AJ629" s="34"/>
      <c r="AK629" t="s">
        <v>923</v>
      </c>
      <c r="AL629" t="s">
        <v>287</v>
      </c>
      <c r="AM629" s="34" t="s">
        <v>925</v>
      </c>
      <c r="AN629" s="34">
        <v>43032</v>
      </c>
      <c r="AO629" s="24">
        <v>13</v>
      </c>
      <c r="AP629" t="s">
        <v>953</v>
      </c>
      <c r="AR629" s="35"/>
      <c r="AS629"/>
      <c r="AT629" s="34"/>
      <c r="AV629" s="34"/>
      <c r="AX629" s="34"/>
      <c r="AY629"/>
      <c r="BA629" s="34"/>
      <c r="BB629"/>
      <c r="BC629" t="s">
        <v>787</v>
      </c>
      <c r="BD629" s="36">
        <v>530842</v>
      </c>
      <c r="BE629" s="36">
        <v>530842</v>
      </c>
      <c r="BF629">
        <v>0</v>
      </c>
      <c r="BG629" s="34">
        <v>43344</v>
      </c>
      <c r="BH629">
        <v>60</v>
      </c>
      <c r="BI629" t="s">
        <v>283</v>
      </c>
      <c r="BJ629" t="s">
        <v>928</v>
      </c>
      <c r="BK629" t="s">
        <v>934</v>
      </c>
      <c r="BL629" t="s">
        <v>194</v>
      </c>
      <c r="BM629" s="8" t="s">
        <v>192</v>
      </c>
      <c r="BN629" t="s">
        <v>189</v>
      </c>
      <c r="BO629" t="s">
        <v>190</v>
      </c>
      <c r="BP629" s="35" t="s">
        <v>718</v>
      </c>
      <c r="BQ629"/>
      <c r="BU629" s="35"/>
      <c r="BV629" s="35"/>
      <c r="BX629"/>
      <c r="CA629" s="35"/>
      <c r="CB629" s="35"/>
      <c r="CC629"/>
      <c r="CG629" s="35"/>
      <c r="CH629" s="35"/>
      <c r="CK629"/>
      <c r="CM629" s="35"/>
      <c r="CN629" s="35"/>
      <c r="CQ629"/>
      <c r="CS629" s="35"/>
      <c r="CT629" s="35"/>
      <c r="CX629"/>
      <c r="CZ629" s="35"/>
      <c r="DD629" s="34"/>
      <c r="DG629" t="s">
        <v>785</v>
      </c>
      <c r="DH629" t="s">
        <v>954</v>
      </c>
      <c r="DI629" t="s">
        <v>286</v>
      </c>
      <c r="DL629" t="s">
        <v>672</v>
      </c>
      <c r="DM629">
        <v>4</v>
      </c>
      <c r="DN629">
        <v>7</v>
      </c>
      <c r="DO629" t="s">
        <v>786</v>
      </c>
      <c r="DQ629" t="s">
        <v>927</v>
      </c>
      <c r="DR629">
        <v>14</v>
      </c>
      <c r="DS629">
        <v>2</v>
      </c>
      <c r="DU629">
        <v>14</v>
      </c>
      <c r="DV629">
        <v>2</v>
      </c>
      <c r="DX629">
        <v>14</v>
      </c>
      <c r="DY629">
        <v>2</v>
      </c>
      <c r="DZ629" t="s">
        <v>246</v>
      </c>
      <c r="EA629" t="s">
        <v>929</v>
      </c>
    </row>
    <row r="630" spans="1:131" x14ac:dyDescent="0.4">
      <c r="A630" s="34">
        <v>43067.305104166669</v>
      </c>
      <c r="B630" s="25">
        <v>42935.359027777777</v>
      </c>
      <c r="D630" s="34"/>
      <c r="E630" s="34" t="s">
        <v>193</v>
      </c>
      <c r="F630" s="34" t="s">
        <v>191</v>
      </c>
      <c r="G630" s="34" t="s">
        <v>100</v>
      </c>
      <c r="H630" t="s">
        <v>279</v>
      </c>
      <c r="I630" t="s">
        <v>243</v>
      </c>
      <c r="J630" t="s">
        <v>712</v>
      </c>
      <c r="K630" t="s">
        <v>729</v>
      </c>
      <c r="L630" t="s">
        <v>711</v>
      </c>
      <c r="M630" s="30">
        <v>3.13</v>
      </c>
      <c r="N630">
        <v>5.25</v>
      </c>
      <c r="P630" s="24" t="str">
        <f>IFERROR(MID(RADataTable[[#This Row],[RATemplate]],1,LEN(RADataTable[[#This Row],[RATemplate]])-8),"RA") &amp; " " &amp; RADataTable[[#This Row],[prop_id0]] &amp; " " &amp; RADataTable[[#This Row],[last0]]</f>
        <v>RA 1750118 Li</v>
      </c>
      <c r="T630">
        <v>4</v>
      </c>
      <c r="U630">
        <v>4</v>
      </c>
      <c r="V630" s="34">
        <v>43031.584722222222</v>
      </c>
      <c r="W630">
        <v>1</v>
      </c>
      <c r="X630" s="15" t="str">
        <f>HYPERLINK("https://www.ejacket.nsf.gov/ej/showProposal.do?Continue=Y&amp;ID="&amp;RADataTable[[#This Row],[prop_id0]],"eJ")</f>
        <v>eJ</v>
      </c>
      <c r="Y630" s="15" t="str">
        <f>HYPERLINK("mailto:"&amp;RADataTable[[#This Row],[email]]&amp;"&amp;subject=Your NSF Proposal:  "&amp;RADataTable[[#This Row],[Div]]&amp;" "&amp;RADataTable[[#This Row],[prop_id0]], RADataTable[[#This Row],[email]])</f>
        <v>shil@buffalo.edu</v>
      </c>
      <c r="Z630" s="15" t="str">
        <f>HYPERLINK("mailto:"&amp;RADataTable[[#This Row],[allPIemail]]&amp;"&amp;subject=NSF Proposal:  "&amp;RADataTable[[#This Row],[Div]]&amp;" "&amp;RADataTable[[#This Row],[prop_id0]], "PIs@")</f>
        <v>PIs@</v>
      </c>
      <c r="AA630" t="s">
        <v>245</v>
      </c>
      <c r="AB630" t="s">
        <v>672</v>
      </c>
      <c r="AC630" s="30" t="s">
        <v>783</v>
      </c>
      <c r="AD630" t="s">
        <v>784</v>
      </c>
      <c r="AE630" t="s">
        <v>241</v>
      </c>
      <c r="AF630" s="36">
        <v>530842</v>
      </c>
      <c r="AG630" s="36">
        <v>530842</v>
      </c>
      <c r="AH630" s="24"/>
      <c r="AJ630" s="34"/>
      <c r="AK630" t="s">
        <v>923</v>
      </c>
      <c r="AL630" t="s">
        <v>287</v>
      </c>
      <c r="AM630" s="34" t="s">
        <v>925</v>
      </c>
      <c r="AN630" s="34">
        <v>43032</v>
      </c>
      <c r="AO630" s="24">
        <v>13</v>
      </c>
      <c r="AP630" t="s">
        <v>953</v>
      </c>
      <c r="AR630" s="35"/>
      <c r="AS630"/>
      <c r="AT630" s="34"/>
      <c r="AV630" s="34"/>
      <c r="AX630" s="34"/>
      <c r="AY630"/>
      <c r="BA630" s="34"/>
      <c r="BB630"/>
      <c r="BC630" t="s">
        <v>787</v>
      </c>
      <c r="BD630" s="36">
        <v>530842</v>
      </c>
      <c r="BE630" s="36">
        <v>530842</v>
      </c>
      <c r="BF630">
        <v>0</v>
      </c>
      <c r="BG630" s="34">
        <v>43344</v>
      </c>
      <c r="BH630">
        <v>60</v>
      </c>
      <c r="BI630" t="s">
        <v>283</v>
      </c>
      <c r="BJ630" t="s">
        <v>928</v>
      </c>
      <c r="BK630" t="s">
        <v>934</v>
      </c>
      <c r="BL630" t="s">
        <v>194</v>
      </c>
      <c r="BM630" s="8" t="s">
        <v>192</v>
      </c>
      <c r="BN630" t="s">
        <v>189</v>
      </c>
      <c r="BO630" t="s">
        <v>190</v>
      </c>
      <c r="BP630" s="35" t="s">
        <v>718</v>
      </c>
      <c r="BQ630"/>
      <c r="BU630" s="35"/>
      <c r="BV630" s="35"/>
      <c r="BX630"/>
      <c r="CA630" s="35"/>
      <c r="CB630" s="35"/>
      <c r="CC630"/>
      <c r="CG630" s="35"/>
      <c r="CH630" s="35"/>
      <c r="CK630"/>
      <c r="CM630" s="35"/>
      <c r="CN630" s="35"/>
      <c r="CQ630"/>
      <c r="CS630" s="35"/>
      <c r="CT630" s="35"/>
      <c r="CX630"/>
      <c r="CZ630" s="35"/>
      <c r="DD630" s="34"/>
      <c r="DG630" t="s">
        <v>785</v>
      </c>
      <c r="DH630" t="s">
        <v>954</v>
      </c>
      <c r="DI630" t="s">
        <v>286</v>
      </c>
      <c r="DL630" t="s">
        <v>672</v>
      </c>
      <c r="DM630">
        <v>4</v>
      </c>
      <c r="DN630">
        <v>7</v>
      </c>
      <c r="DO630" t="s">
        <v>786</v>
      </c>
      <c r="DQ630" t="s">
        <v>927</v>
      </c>
      <c r="DR630">
        <v>14</v>
      </c>
      <c r="DS630">
        <v>2</v>
      </c>
      <c r="DU630">
        <v>14</v>
      </c>
      <c r="DV630">
        <v>2</v>
      </c>
      <c r="DX630">
        <v>14</v>
      </c>
      <c r="DY630">
        <v>2</v>
      </c>
      <c r="DZ630" t="s">
        <v>246</v>
      </c>
      <c r="EA630" t="s">
        <v>929</v>
      </c>
    </row>
    <row r="631" spans="1:131" x14ac:dyDescent="0.4">
      <c r="A631" s="34">
        <v>43067.305104166669</v>
      </c>
      <c r="B631" s="25">
        <v>42935.359027777777</v>
      </c>
      <c r="D631" s="34"/>
      <c r="E631" s="34" t="s">
        <v>193</v>
      </c>
      <c r="F631" s="34" t="s">
        <v>191</v>
      </c>
      <c r="G631" s="34" t="s">
        <v>100</v>
      </c>
      <c r="H631" t="s">
        <v>279</v>
      </c>
      <c r="I631" t="s">
        <v>243</v>
      </c>
      <c r="J631" t="s">
        <v>712</v>
      </c>
      <c r="K631" t="s">
        <v>729</v>
      </c>
      <c r="L631" t="s">
        <v>711</v>
      </c>
      <c r="M631" s="30">
        <v>3.13</v>
      </c>
      <c r="N631">
        <v>5.25</v>
      </c>
      <c r="P631" s="24" t="str">
        <f>IFERROR(MID(RADataTable[[#This Row],[RATemplate]],1,LEN(RADataTable[[#This Row],[RATemplate]])-8),"RA") &amp; " " &amp; RADataTable[[#This Row],[prop_id0]] &amp; " " &amp; RADataTable[[#This Row],[last0]]</f>
        <v>RA 1750118 Li</v>
      </c>
      <c r="T631">
        <v>4</v>
      </c>
      <c r="U631">
        <v>4</v>
      </c>
      <c r="V631" s="34">
        <v>43031.584722222222</v>
      </c>
      <c r="W631">
        <v>1</v>
      </c>
      <c r="X631" s="15" t="str">
        <f>HYPERLINK("https://www.ejacket.nsf.gov/ej/showProposal.do?Continue=Y&amp;ID="&amp;RADataTable[[#This Row],[prop_id0]],"eJ")</f>
        <v>eJ</v>
      </c>
      <c r="Y631" s="15" t="str">
        <f>HYPERLINK("mailto:"&amp;RADataTable[[#This Row],[email]]&amp;"&amp;subject=Your NSF Proposal:  "&amp;RADataTable[[#This Row],[Div]]&amp;" "&amp;RADataTable[[#This Row],[prop_id0]], RADataTable[[#This Row],[email]])</f>
        <v>shil@buffalo.edu</v>
      </c>
      <c r="Z631" s="15" t="str">
        <f>HYPERLINK("mailto:"&amp;RADataTable[[#This Row],[allPIemail]]&amp;"&amp;subject=NSF Proposal:  "&amp;RADataTable[[#This Row],[Div]]&amp;" "&amp;RADataTable[[#This Row],[prop_id0]], "PIs@")</f>
        <v>PIs@</v>
      </c>
      <c r="AA631" t="s">
        <v>245</v>
      </c>
      <c r="AB631" t="s">
        <v>672</v>
      </c>
      <c r="AC631" s="30" t="s">
        <v>783</v>
      </c>
      <c r="AD631" t="s">
        <v>784</v>
      </c>
      <c r="AE631" t="s">
        <v>241</v>
      </c>
      <c r="AF631" s="36">
        <v>530842</v>
      </c>
      <c r="AG631" s="36">
        <v>530842</v>
      </c>
      <c r="AH631" s="24"/>
      <c r="AJ631" s="34"/>
      <c r="AK631" t="s">
        <v>923</v>
      </c>
      <c r="AL631" t="s">
        <v>287</v>
      </c>
      <c r="AM631" s="34" t="s">
        <v>925</v>
      </c>
      <c r="AN631" s="34">
        <v>43032</v>
      </c>
      <c r="AO631" s="24">
        <v>13</v>
      </c>
      <c r="AP631" t="s">
        <v>953</v>
      </c>
      <c r="AR631" s="35"/>
      <c r="AS631"/>
      <c r="AT631" s="34"/>
      <c r="AV631" s="34"/>
      <c r="AX631" s="34"/>
      <c r="AY631"/>
      <c r="BA631" s="34"/>
      <c r="BB631"/>
      <c r="BC631" t="s">
        <v>787</v>
      </c>
      <c r="BD631" s="36">
        <v>530842</v>
      </c>
      <c r="BE631" s="36">
        <v>530842</v>
      </c>
      <c r="BF631">
        <v>0</v>
      </c>
      <c r="BG631" s="34">
        <v>43344</v>
      </c>
      <c r="BH631">
        <v>60</v>
      </c>
      <c r="BI631" t="s">
        <v>283</v>
      </c>
      <c r="BJ631" t="s">
        <v>928</v>
      </c>
      <c r="BK631" t="s">
        <v>934</v>
      </c>
      <c r="BL631" t="s">
        <v>194</v>
      </c>
      <c r="BM631" s="8" t="s">
        <v>192</v>
      </c>
      <c r="BN631" t="s">
        <v>189</v>
      </c>
      <c r="BO631" t="s">
        <v>190</v>
      </c>
      <c r="BP631" s="35" t="s">
        <v>718</v>
      </c>
      <c r="BQ631"/>
      <c r="BU631" s="35"/>
      <c r="BV631" s="35"/>
      <c r="BX631"/>
      <c r="CA631" s="35"/>
      <c r="CB631" s="35"/>
      <c r="CC631"/>
      <c r="CG631" s="35"/>
      <c r="CH631" s="35"/>
      <c r="CK631"/>
      <c r="CM631" s="35"/>
      <c r="CN631" s="35"/>
      <c r="CQ631"/>
      <c r="CS631" s="35"/>
      <c r="CT631" s="35"/>
      <c r="CX631"/>
      <c r="CZ631" s="35"/>
      <c r="DD631" s="34"/>
      <c r="DG631" t="s">
        <v>785</v>
      </c>
      <c r="DH631" t="s">
        <v>954</v>
      </c>
      <c r="DI631" t="s">
        <v>286</v>
      </c>
      <c r="DL631" t="s">
        <v>672</v>
      </c>
      <c r="DM631">
        <v>4</v>
      </c>
      <c r="DN631">
        <v>7</v>
      </c>
      <c r="DO631" t="s">
        <v>786</v>
      </c>
      <c r="DQ631" t="s">
        <v>927</v>
      </c>
      <c r="DR631">
        <v>14</v>
      </c>
      <c r="DS631">
        <v>2</v>
      </c>
      <c r="DU631">
        <v>14</v>
      </c>
      <c r="DV631">
        <v>2</v>
      </c>
      <c r="DX631">
        <v>14</v>
      </c>
      <c r="DY631">
        <v>2</v>
      </c>
      <c r="DZ631" t="s">
        <v>246</v>
      </c>
      <c r="EA631" t="s">
        <v>929</v>
      </c>
    </row>
    <row r="632" spans="1:131" x14ac:dyDescent="0.4">
      <c r="A632" s="34">
        <v>43067.305104166669</v>
      </c>
      <c r="B632" s="25">
        <v>42935.359027777777</v>
      </c>
      <c r="D632" s="34"/>
      <c r="E632" s="34" t="s">
        <v>193</v>
      </c>
      <c r="F632" s="34" t="s">
        <v>191</v>
      </c>
      <c r="G632" s="34" t="s">
        <v>100</v>
      </c>
      <c r="H632" t="s">
        <v>279</v>
      </c>
      <c r="I632" t="s">
        <v>243</v>
      </c>
      <c r="J632" t="s">
        <v>712</v>
      </c>
      <c r="K632" t="s">
        <v>729</v>
      </c>
      <c r="L632" t="s">
        <v>711</v>
      </c>
      <c r="M632" s="30">
        <v>3.13</v>
      </c>
      <c r="N632">
        <v>5.25</v>
      </c>
      <c r="P632" s="24" t="str">
        <f>IFERROR(MID(RADataTable[[#This Row],[RATemplate]],1,LEN(RADataTable[[#This Row],[RATemplate]])-8),"RA") &amp; " " &amp; RADataTable[[#This Row],[prop_id0]] &amp; " " &amp; RADataTable[[#This Row],[last0]]</f>
        <v>RA 1750118 Li</v>
      </c>
      <c r="T632">
        <v>4</v>
      </c>
      <c r="U632">
        <v>4</v>
      </c>
      <c r="V632" s="34">
        <v>43031.584722222222</v>
      </c>
      <c r="W632">
        <v>1</v>
      </c>
      <c r="X632" s="15" t="str">
        <f>HYPERLINK("https://www.ejacket.nsf.gov/ej/showProposal.do?Continue=Y&amp;ID="&amp;RADataTable[[#This Row],[prop_id0]],"eJ")</f>
        <v>eJ</v>
      </c>
      <c r="Y632" s="15" t="str">
        <f>HYPERLINK("mailto:"&amp;RADataTable[[#This Row],[email]]&amp;"&amp;subject=Your NSF Proposal:  "&amp;RADataTable[[#This Row],[Div]]&amp;" "&amp;RADataTable[[#This Row],[prop_id0]], RADataTable[[#This Row],[email]])</f>
        <v>shil@buffalo.edu</v>
      </c>
      <c r="Z632" s="15" t="str">
        <f>HYPERLINK("mailto:"&amp;RADataTable[[#This Row],[allPIemail]]&amp;"&amp;subject=NSF Proposal:  "&amp;RADataTable[[#This Row],[Div]]&amp;" "&amp;RADataTable[[#This Row],[prop_id0]], "PIs@")</f>
        <v>PIs@</v>
      </c>
      <c r="AA632" t="s">
        <v>245</v>
      </c>
      <c r="AB632" t="s">
        <v>672</v>
      </c>
      <c r="AC632" s="30" t="s">
        <v>783</v>
      </c>
      <c r="AD632" t="s">
        <v>784</v>
      </c>
      <c r="AE632" t="s">
        <v>241</v>
      </c>
      <c r="AF632" s="36">
        <v>530842</v>
      </c>
      <c r="AG632" s="36">
        <v>530842</v>
      </c>
      <c r="AH632" s="24"/>
      <c r="AJ632" s="34"/>
      <c r="AK632" t="s">
        <v>923</v>
      </c>
      <c r="AL632" t="s">
        <v>287</v>
      </c>
      <c r="AM632" s="34" t="s">
        <v>925</v>
      </c>
      <c r="AN632" s="34">
        <v>43032</v>
      </c>
      <c r="AO632" s="24">
        <v>13</v>
      </c>
      <c r="AP632" t="s">
        <v>953</v>
      </c>
      <c r="AR632" s="35"/>
      <c r="AS632"/>
      <c r="AT632" s="34"/>
      <c r="AV632" s="34"/>
      <c r="AX632" s="34"/>
      <c r="AY632"/>
      <c r="BA632" s="34"/>
      <c r="BB632"/>
      <c r="BC632" t="s">
        <v>787</v>
      </c>
      <c r="BD632" s="36">
        <v>530842</v>
      </c>
      <c r="BE632" s="36">
        <v>530842</v>
      </c>
      <c r="BF632">
        <v>0</v>
      </c>
      <c r="BG632" s="34">
        <v>43344</v>
      </c>
      <c r="BH632">
        <v>60</v>
      </c>
      <c r="BI632" t="s">
        <v>283</v>
      </c>
      <c r="BJ632" t="s">
        <v>928</v>
      </c>
      <c r="BK632" t="s">
        <v>934</v>
      </c>
      <c r="BL632" t="s">
        <v>194</v>
      </c>
      <c r="BM632" s="8" t="s">
        <v>192</v>
      </c>
      <c r="BN632" t="s">
        <v>189</v>
      </c>
      <c r="BO632" t="s">
        <v>190</v>
      </c>
      <c r="BP632" s="35" t="s">
        <v>718</v>
      </c>
      <c r="BQ632"/>
      <c r="BU632" s="35"/>
      <c r="BV632" s="35"/>
      <c r="BX632"/>
      <c r="CA632" s="35"/>
      <c r="CB632" s="35"/>
      <c r="CC632"/>
      <c r="CG632" s="35"/>
      <c r="CH632" s="35"/>
      <c r="CK632"/>
      <c r="CM632" s="35"/>
      <c r="CN632" s="35"/>
      <c r="CQ632"/>
      <c r="CS632" s="35"/>
      <c r="CT632" s="35"/>
      <c r="CX632"/>
      <c r="CZ632" s="35"/>
      <c r="DD632" s="34"/>
      <c r="DG632" t="s">
        <v>785</v>
      </c>
      <c r="DH632" t="s">
        <v>954</v>
      </c>
      <c r="DI632" t="s">
        <v>286</v>
      </c>
      <c r="DL632" t="s">
        <v>672</v>
      </c>
      <c r="DM632">
        <v>4</v>
      </c>
      <c r="DN632">
        <v>7</v>
      </c>
      <c r="DO632" t="s">
        <v>786</v>
      </c>
      <c r="DQ632" t="s">
        <v>927</v>
      </c>
      <c r="DR632">
        <v>14</v>
      </c>
      <c r="DS632">
        <v>2</v>
      </c>
      <c r="DU632">
        <v>14</v>
      </c>
      <c r="DV632">
        <v>2</v>
      </c>
      <c r="DX632">
        <v>14</v>
      </c>
      <c r="DY632">
        <v>2</v>
      </c>
      <c r="DZ632" t="s">
        <v>246</v>
      </c>
      <c r="EA632" t="s">
        <v>929</v>
      </c>
    </row>
    <row r="633" spans="1:131" x14ac:dyDescent="0.4">
      <c r="A633" s="34">
        <v>43067.305104166669</v>
      </c>
      <c r="B633" s="25">
        <v>42935.359027777777</v>
      </c>
      <c r="D633" s="34"/>
      <c r="E633" s="34" t="s">
        <v>193</v>
      </c>
      <c r="F633" s="34" t="s">
        <v>191</v>
      </c>
      <c r="G633" s="34" t="s">
        <v>100</v>
      </c>
      <c r="H633" t="s">
        <v>279</v>
      </c>
      <c r="I633" t="s">
        <v>243</v>
      </c>
      <c r="J633" t="s">
        <v>712</v>
      </c>
      <c r="K633" t="s">
        <v>729</v>
      </c>
      <c r="L633" t="s">
        <v>711</v>
      </c>
      <c r="M633" s="30">
        <v>3.13</v>
      </c>
      <c r="N633">
        <v>5.25</v>
      </c>
      <c r="P633" s="24" t="str">
        <f>IFERROR(MID(RADataTable[[#This Row],[RATemplate]],1,LEN(RADataTable[[#This Row],[RATemplate]])-8),"RA") &amp; " " &amp; RADataTable[[#This Row],[prop_id0]] &amp; " " &amp; RADataTable[[#This Row],[last0]]</f>
        <v>RA 1750118 Li</v>
      </c>
      <c r="T633">
        <v>4</v>
      </c>
      <c r="U633">
        <v>4</v>
      </c>
      <c r="V633" s="34">
        <v>43031.584722222222</v>
      </c>
      <c r="W633">
        <v>1</v>
      </c>
      <c r="X633" s="15" t="str">
        <f>HYPERLINK("https://www.ejacket.nsf.gov/ej/showProposal.do?Continue=Y&amp;ID="&amp;RADataTable[[#This Row],[prop_id0]],"eJ")</f>
        <v>eJ</v>
      </c>
      <c r="Y633" s="15" t="str">
        <f>HYPERLINK("mailto:"&amp;RADataTable[[#This Row],[email]]&amp;"&amp;subject=Your NSF Proposal:  "&amp;RADataTable[[#This Row],[Div]]&amp;" "&amp;RADataTable[[#This Row],[prop_id0]], RADataTable[[#This Row],[email]])</f>
        <v>shil@buffalo.edu</v>
      </c>
      <c r="Z633" s="15" t="str">
        <f>HYPERLINK("mailto:"&amp;RADataTable[[#This Row],[allPIemail]]&amp;"&amp;subject=NSF Proposal:  "&amp;RADataTable[[#This Row],[Div]]&amp;" "&amp;RADataTable[[#This Row],[prop_id0]], "PIs@")</f>
        <v>PIs@</v>
      </c>
      <c r="AA633" t="s">
        <v>245</v>
      </c>
      <c r="AB633" t="s">
        <v>672</v>
      </c>
      <c r="AC633" s="30" t="s">
        <v>783</v>
      </c>
      <c r="AD633" t="s">
        <v>784</v>
      </c>
      <c r="AE633" t="s">
        <v>241</v>
      </c>
      <c r="AF633" s="36">
        <v>530842</v>
      </c>
      <c r="AG633" s="36">
        <v>530842</v>
      </c>
      <c r="AH633" s="24"/>
      <c r="AJ633" s="34"/>
      <c r="AK633" t="s">
        <v>923</v>
      </c>
      <c r="AL633" t="s">
        <v>287</v>
      </c>
      <c r="AM633" s="34" t="s">
        <v>925</v>
      </c>
      <c r="AN633" s="34">
        <v>43032</v>
      </c>
      <c r="AO633" s="24">
        <v>13</v>
      </c>
      <c r="AP633" t="s">
        <v>953</v>
      </c>
      <c r="AR633" s="35"/>
      <c r="AS633"/>
      <c r="AT633" s="34"/>
      <c r="AV633" s="34"/>
      <c r="AX633" s="34"/>
      <c r="AY633"/>
      <c r="BA633" s="34"/>
      <c r="BB633"/>
      <c r="BC633" t="s">
        <v>787</v>
      </c>
      <c r="BD633" s="36">
        <v>530842</v>
      </c>
      <c r="BE633" s="36">
        <v>530842</v>
      </c>
      <c r="BF633">
        <v>0</v>
      </c>
      <c r="BG633" s="34">
        <v>43344</v>
      </c>
      <c r="BH633">
        <v>60</v>
      </c>
      <c r="BI633" t="s">
        <v>283</v>
      </c>
      <c r="BJ633" t="s">
        <v>928</v>
      </c>
      <c r="BK633" t="s">
        <v>934</v>
      </c>
      <c r="BL633" t="s">
        <v>194</v>
      </c>
      <c r="BM633" s="8" t="s">
        <v>192</v>
      </c>
      <c r="BN633" t="s">
        <v>189</v>
      </c>
      <c r="BO633" t="s">
        <v>190</v>
      </c>
      <c r="BP633" s="35" t="s">
        <v>718</v>
      </c>
      <c r="BQ633"/>
      <c r="BU633" s="35"/>
      <c r="BV633" s="35"/>
      <c r="BX633"/>
      <c r="CA633" s="35"/>
      <c r="CB633" s="35"/>
      <c r="CC633"/>
      <c r="CG633" s="35"/>
      <c r="CH633" s="35"/>
      <c r="CK633"/>
      <c r="CM633" s="35"/>
      <c r="CN633" s="35"/>
      <c r="CQ633"/>
      <c r="CS633" s="35"/>
      <c r="CT633" s="35"/>
      <c r="CX633"/>
      <c r="CZ633" s="35"/>
      <c r="DD633" s="34"/>
      <c r="DG633" t="s">
        <v>785</v>
      </c>
      <c r="DH633" t="s">
        <v>954</v>
      </c>
      <c r="DI633" t="s">
        <v>286</v>
      </c>
      <c r="DL633" t="s">
        <v>672</v>
      </c>
      <c r="DM633">
        <v>4</v>
      </c>
      <c r="DN633">
        <v>7</v>
      </c>
      <c r="DO633" t="s">
        <v>786</v>
      </c>
      <c r="DQ633" t="s">
        <v>927</v>
      </c>
      <c r="DR633">
        <v>14</v>
      </c>
      <c r="DS633">
        <v>2</v>
      </c>
      <c r="DU633">
        <v>14</v>
      </c>
      <c r="DV633">
        <v>2</v>
      </c>
      <c r="DX633">
        <v>14</v>
      </c>
      <c r="DY633">
        <v>2</v>
      </c>
      <c r="DZ633" t="s">
        <v>246</v>
      </c>
      <c r="EA633" t="s">
        <v>929</v>
      </c>
    </row>
    <row r="634" spans="1:131" x14ac:dyDescent="0.4">
      <c r="A634" s="34">
        <v>43067.305104166669</v>
      </c>
      <c r="B634" s="25">
        <v>42935.359027777777</v>
      </c>
      <c r="D634" s="34"/>
      <c r="E634" s="34" t="s">
        <v>193</v>
      </c>
      <c r="F634" s="34" t="s">
        <v>191</v>
      </c>
      <c r="G634" s="34" t="s">
        <v>100</v>
      </c>
      <c r="H634" t="s">
        <v>279</v>
      </c>
      <c r="I634" t="s">
        <v>243</v>
      </c>
      <c r="J634" t="s">
        <v>712</v>
      </c>
      <c r="K634" t="s">
        <v>729</v>
      </c>
      <c r="L634" t="s">
        <v>711</v>
      </c>
      <c r="M634" s="30">
        <v>3.13</v>
      </c>
      <c r="N634">
        <v>5.25</v>
      </c>
      <c r="P634" s="24" t="str">
        <f>IFERROR(MID(RADataTable[[#This Row],[RATemplate]],1,LEN(RADataTable[[#This Row],[RATemplate]])-8),"RA") &amp; " " &amp; RADataTable[[#This Row],[prop_id0]] &amp; " " &amp; RADataTable[[#This Row],[last0]]</f>
        <v>RA 1750118 Li</v>
      </c>
      <c r="T634">
        <v>4</v>
      </c>
      <c r="U634">
        <v>4</v>
      </c>
      <c r="V634" s="34">
        <v>43031.584722222222</v>
      </c>
      <c r="W634">
        <v>1</v>
      </c>
      <c r="X634" s="15" t="str">
        <f>HYPERLINK("https://www.ejacket.nsf.gov/ej/showProposal.do?Continue=Y&amp;ID="&amp;RADataTable[[#This Row],[prop_id0]],"eJ")</f>
        <v>eJ</v>
      </c>
      <c r="Y634" s="15" t="str">
        <f>HYPERLINK("mailto:"&amp;RADataTable[[#This Row],[email]]&amp;"&amp;subject=Your NSF Proposal:  "&amp;RADataTable[[#This Row],[Div]]&amp;" "&amp;RADataTable[[#This Row],[prop_id0]], RADataTable[[#This Row],[email]])</f>
        <v>shil@buffalo.edu</v>
      </c>
      <c r="Z634" s="15" t="str">
        <f>HYPERLINK("mailto:"&amp;RADataTable[[#This Row],[allPIemail]]&amp;"&amp;subject=NSF Proposal:  "&amp;RADataTable[[#This Row],[Div]]&amp;" "&amp;RADataTable[[#This Row],[prop_id0]], "PIs@")</f>
        <v>PIs@</v>
      </c>
      <c r="AA634" t="s">
        <v>245</v>
      </c>
      <c r="AB634" t="s">
        <v>672</v>
      </c>
      <c r="AC634" s="30" t="s">
        <v>783</v>
      </c>
      <c r="AD634" t="s">
        <v>784</v>
      </c>
      <c r="AE634" t="s">
        <v>241</v>
      </c>
      <c r="AF634" s="36">
        <v>530842</v>
      </c>
      <c r="AG634" s="36">
        <v>530842</v>
      </c>
      <c r="AH634" s="24"/>
      <c r="AJ634" s="34"/>
      <c r="AK634" t="s">
        <v>923</v>
      </c>
      <c r="AL634" t="s">
        <v>287</v>
      </c>
      <c r="AM634" s="34" t="s">
        <v>925</v>
      </c>
      <c r="AN634" s="34">
        <v>43032</v>
      </c>
      <c r="AO634" s="24">
        <v>13</v>
      </c>
      <c r="AP634" t="s">
        <v>953</v>
      </c>
      <c r="AR634" s="35"/>
      <c r="AS634"/>
      <c r="AT634" s="34"/>
      <c r="AV634" s="34"/>
      <c r="AX634" s="34"/>
      <c r="AY634"/>
      <c r="BA634" s="34"/>
      <c r="BB634"/>
      <c r="BC634" t="s">
        <v>787</v>
      </c>
      <c r="BD634" s="36">
        <v>530842</v>
      </c>
      <c r="BE634" s="36">
        <v>530842</v>
      </c>
      <c r="BF634">
        <v>0</v>
      </c>
      <c r="BG634" s="34">
        <v>43344</v>
      </c>
      <c r="BH634">
        <v>60</v>
      </c>
      <c r="BI634" t="s">
        <v>283</v>
      </c>
      <c r="BJ634" t="s">
        <v>928</v>
      </c>
      <c r="BK634" t="s">
        <v>934</v>
      </c>
      <c r="BL634" t="s">
        <v>194</v>
      </c>
      <c r="BM634" s="8" t="s">
        <v>192</v>
      </c>
      <c r="BN634" t="s">
        <v>189</v>
      </c>
      <c r="BO634" t="s">
        <v>190</v>
      </c>
      <c r="BP634" s="35" t="s">
        <v>718</v>
      </c>
      <c r="BQ634"/>
      <c r="BU634" s="35"/>
      <c r="BV634" s="35"/>
      <c r="BX634"/>
      <c r="CA634" s="35"/>
      <c r="CB634" s="35"/>
      <c r="CC634"/>
      <c r="CG634" s="35"/>
      <c r="CH634" s="35"/>
      <c r="CK634"/>
      <c r="CM634" s="35"/>
      <c r="CN634" s="35"/>
      <c r="CQ634"/>
      <c r="CS634" s="35"/>
      <c r="CT634" s="35"/>
      <c r="CX634"/>
      <c r="CZ634" s="35"/>
      <c r="DD634" s="34"/>
      <c r="DG634" t="s">
        <v>785</v>
      </c>
      <c r="DH634" t="s">
        <v>954</v>
      </c>
      <c r="DI634" t="s">
        <v>286</v>
      </c>
      <c r="DL634" t="s">
        <v>672</v>
      </c>
      <c r="DM634">
        <v>4</v>
      </c>
      <c r="DN634">
        <v>7</v>
      </c>
      <c r="DO634" t="s">
        <v>786</v>
      </c>
      <c r="DQ634" t="s">
        <v>927</v>
      </c>
      <c r="DR634">
        <v>14</v>
      </c>
      <c r="DS634">
        <v>2</v>
      </c>
      <c r="DU634">
        <v>14</v>
      </c>
      <c r="DV634">
        <v>2</v>
      </c>
      <c r="DX634">
        <v>14</v>
      </c>
      <c r="DY634">
        <v>2</v>
      </c>
      <c r="DZ634" t="s">
        <v>246</v>
      </c>
      <c r="EA634" t="s">
        <v>929</v>
      </c>
    </row>
    <row r="635" spans="1:131" x14ac:dyDescent="0.4">
      <c r="A635" s="34">
        <v>43067.305104166669</v>
      </c>
      <c r="B635" s="25">
        <v>42935.359027777777</v>
      </c>
      <c r="D635" s="34"/>
      <c r="E635" s="34" t="s">
        <v>193</v>
      </c>
      <c r="F635" s="34" t="s">
        <v>191</v>
      </c>
      <c r="G635" s="34" t="s">
        <v>100</v>
      </c>
      <c r="H635" t="s">
        <v>279</v>
      </c>
      <c r="I635" t="s">
        <v>243</v>
      </c>
      <c r="J635" t="s">
        <v>712</v>
      </c>
      <c r="K635" t="s">
        <v>729</v>
      </c>
      <c r="L635" t="s">
        <v>711</v>
      </c>
      <c r="M635" s="30">
        <v>3.13</v>
      </c>
      <c r="N635">
        <v>5.25</v>
      </c>
      <c r="P635" s="24" t="str">
        <f>IFERROR(MID(RADataTable[[#This Row],[RATemplate]],1,LEN(RADataTable[[#This Row],[RATemplate]])-8),"RA") &amp; " " &amp; RADataTable[[#This Row],[prop_id0]] &amp; " " &amp; RADataTable[[#This Row],[last0]]</f>
        <v>RA 1750118 Li</v>
      </c>
      <c r="T635">
        <v>4</v>
      </c>
      <c r="U635">
        <v>4</v>
      </c>
      <c r="V635" s="34">
        <v>43031.584722222222</v>
      </c>
      <c r="W635">
        <v>1</v>
      </c>
      <c r="X635" s="15" t="str">
        <f>HYPERLINK("https://www.ejacket.nsf.gov/ej/showProposal.do?Continue=Y&amp;ID="&amp;RADataTable[[#This Row],[prop_id0]],"eJ")</f>
        <v>eJ</v>
      </c>
      <c r="Y635" s="15" t="str">
        <f>HYPERLINK("mailto:"&amp;RADataTable[[#This Row],[email]]&amp;"&amp;subject=Your NSF Proposal:  "&amp;RADataTable[[#This Row],[Div]]&amp;" "&amp;RADataTable[[#This Row],[prop_id0]], RADataTable[[#This Row],[email]])</f>
        <v>shil@buffalo.edu</v>
      </c>
      <c r="Z635" s="15" t="str">
        <f>HYPERLINK("mailto:"&amp;RADataTable[[#This Row],[allPIemail]]&amp;"&amp;subject=NSF Proposal:  "&amp;RADataTable[[#This Row],[Div]]&amp;" "&amp;RADataTable[[#This Row],[prop_id0]], "PIs@")</f>
        <v>PIs@</v>
      </c>
      <c r="AA635" t="s">
        <v>245</v>
      </c>
      <c r="AB635" t="s">
        <v>672</v>
      </c>
      <c r="AC635" s="30" t="s">
        <v>783</v>
      </c>
      <c r="AD635" t="s">
        <v>784</v>
      </c>
      <c r="AE635" t="s">
        <v>241</v>
      </c>
      <c r="AF635" s="36">
        <v>530842</v>
      </c>
      <c r="AG635" s="36">
        <v>530842</v>
      </c>
      <c r="AH635" s="24"/>
      <c r="AJ635" s="34"/>
      <c r="AK635" t="s">
        <v>923</v>
      </c>
      <c r="AL635" t="s">
        <v>287</v>
      </c>
      <c r="AM635" s="34" t="s">
        <v>925</v>
      </c>
      <c r="AN635" s="34">
        <v>43032</v>
      </c>
      <c r="AO635" s="24">
        <v>13</v>
      </c>
      <c r="AP635" t="s">
        <v>953</v>
      </c>
      <c r="AR635" s="35"/>
      <c r="AS635"/>
      <c r="AT635" s="34"/>
      <c r="AV635" s="34"/>
      <c r="AX635" s="34"/>
      <c r="AY635"/>
      <c r="BA635" s="34"/>
      <c r="BB635"/>
      <c r="BC635" t="s">
        <v>787</v>
      </c>
      <c r="BD635" s="36">
        <v>530842</v>
      </c>
      <c r="BE635" s="36">
        <v>530842</v>
      </c>
      <c r="BF635">
        <v>0</v>
      </c>
      <c r="BG635" s="34">
        <v>43344</v>
      </c>
      <c r="BH635">
        <v>60</v>
      </c>
      <c r="BI635" t="s">
        <v>283</v>
      </c>
      <c r="BJ635" t="s">
        <v>928</v>
      </c>
      <c r="BK635" t="s">
        <v>934</v>
      </c>
      <c r="BL635" t="s">
        <v>194</v>
      </c>
      <c r="BM635" s="8" t="s">
        <v>192</v>
      </c>
      <c r="BN635" t="s">
        <v>189</v>
      </c>
      <c r="BO635" t="s">
        <v>190</v>
      </c>
      <c r="BP635" s="35" t="s">
        <v>718</v>
      </c>
      <c r="BQ635"/>
      <c r="BU635" s="35"/>
      <c r="BV635" s="35"/>
      <c r="BX635"/>
      <c r="CA635" s="35"/>
      <c r="CB635" s="35"/>
      <c r="CC635"/>
      <c r="CG635" s="35"/>
      <c r="CH635" s="35"/>
      <c r="CK635"/>
      <c r="CM635" s="35"/>
      <c r="CN635" s="35"/>
      <c r="CQ635"/>
      <c r="CS635" s="35"/>
      <c r="CT635" s="35"/>
      <c r="CX635"/>
      <c r="CZ635" s="35"/>
      <c r="DD635" s="34"/>
      <c r="DG635" t="s">
        <v>785</v>
      </c>
      <c r="DH635" t="s">
        <v>954</v>
      </c>
      <c r="DI635" t="s">
        <v>286</v>
      </c>
      <c r="DL635" t="s">
        <v>672</v>
      </c>
      <c r="DM635">
        <v>4</v>
      </c>
      <c r="DN635">
        <v>7</v>
      </c>
      <c r="DO635" t="s">
        <v>786</v>
      </c>
      <c r="DQ635" t="s">
        <v>927</v>
      </c>
      <c r="DR635">
        <v>14</v>
      </c>
      <c r="DS635">
        <v>2</v>
      </c>
      <c r="DU635">
        <v>14</v>
      </c>
      <c r="DV635">
        <v>2</v>
      </c>
      <c r="DX635">
        <v>14</v>
      </c>
      <c r="DY635">
        <v>2</v>
      </c>
      <c r="DZ635" t="s">
        <v>246</v>
      </c>
      <c r="EA635" t="s">
        <v>929</v>
      </c>
    </row>
    <row r="636" spans="1:131" x14ac:dyDescent="0.4">
      <c r="A636" s="34">
        <v>43067.305104166669</v>
      </c>
      <c r="B636" s="25">
        <v>42935.359027777777</v>
      </c>
      <c r="D636" s="34"/>
      <c r="E636" s="34" t="s">
        <v>193</v>
      </c>
      <c r="F636" s="34" t="s">
        <v>191</v>
      </c>
      <c r="G636" s="34" t="s">
        <v>100</v>
      </c>
      <c r="H636" t="s">
        <v>279</v>
      </c>
      <c r="I636" t="s">
        <v>243</v>
      </c>
      <c r="J636" t="s">
        <v>712</v>
      </c>
      <c r="K636" t="s">
        <v>729</v>
      </c>
      <c r="L636" t="s">
        <v>711</v>
      </c>
      <c r="M636" s="30">
        <v>3.13</v>
      </c>
      <c r="N636">
        <v>5.25</v>
      </c>
      <c r="P636" s="24" t="str">
        <f>IFERROR(MID(RADataTable[[#This Row],[RATemplate]],1,LEN(RADataTable[[#This Row],[RATemplate]])-8),"RA") &amp; " " &amp; RADataTable[[#This Row],[prop_id0]] &amp; " " &amp; RADataTable[[#This Row],[last0]]</f>
        <v>RA 1750118 Li</v>
      </c>
      <c r="T636">
        <v>4</v>
      </c>
      <c r="U636">
        <v>4</v>
      </c>
      <c r="V636" s="34">
        <v>43031.584722222222</v>
      </c>
      <c r="W636">
        <v>1</v>
      </c>
      <c r="X636" s="15" t="str">
        <f>HYPERLINK("https://www.ejacket.nsf.gov/ej/showProposal.do?Continue=Y&amp;ID="&amp;RADataTable[[#This Row],[prop_id0]],"eJ")</f>
        <v>eJ</v>
      </c>
      <c r="Y636" s="15" t="str">
        <f>HYPERLINK("mailto:"&amp;RADataTable[[#This Row],[email]]&amp;"&amp;subject=Your NSF Proposal:  "&amp;RADataTable[[#This Row],[Div]]&amp;" "&amp;RADataTable[[#This Row],[prop_id0]], RADataTable[[#This Row],[email]])</f>
        <v>shil@buffalo.edu</v>
      </c>
      <c r="Z636" s="15" t="str">
        <f>HYPERLINK("mailto:"&amp;RADataTable[[#This Row],[allPIemail]]&amp;"&amp;subject=NSF Proposal:  "&amp;RADataTable[[#This Row],[Div]]&amp;" "&amp;RADataTable[[#This Row],[prop_id0]], "PIs@")</f>
        <v>PIs@</v>
      </c>
      <c r="AA636" t="s">
        <v>245</v>
      </c>
      <c r="AB636" t="s">
        <v>672</v>
      </c>
      <c r="AC636" s="30" t="s">
        <v>783</v>
      </c>
      <c r="AD636" t="s">
        <v>784</v>
      </c>
      <c r="AE636" t="s">
        <v>241</v>
      </c>
      <c r="AF636" s="36">
        <v>530842</v>
      </c>
      <c r="AG636" s="36">
        <v>530842</v>
      </c>
      <c r="AH636" s="24"/>
      <c r="AJ636" s="34"/>
      <c r="AK636" t="s">
        <v>923</v>
      </c>
      <c r="AL636" t="s">
        <v>287</v>
      </c>
      <c r="AM636" s="34" t="s">
        <v>925</v>
      </c>
      <c r="AN636" s="34">
        <v>43032</v>
      </c>
      <c r="AO636" s="24">
        <v>13</v>
      </c>
      <c r="AP636" t="s">
        <v>953</v>
      </c>
      <c r="AR636" s="35"/>
      <c r="AS636"/>
      <c r="AT636" s="34"/>
      <c r="AV636" s="34"/>
      <c r="AX636" s="34"/>
      <c r="AY636"/>
      <c r="BA636" s="34"/>
      <c r="BB636"/>
      <c r="BC636" t="s">
        <v>787</v>
      </c>
      <c r="BD636" s="36">
        <v>530842</v>
      </c>
      <c r="BE636" s="36">
        <v>530842</v>
      </c>
      <c r="BF636">
        <v>0</v>
      </c>
      <c r="BG636" s="34">
        <v>43344</v>
      </c>
      <c r="BH636">
        <v>60</v>
      </c>
      <c r="BI636" t="s">
        <v>283</v>
      </c>
      <c r="BJ636" t="s">
        <v>928</v>
      </c>
      <c r="BK636" t="s">
        <v>934</v>
      </c>
      <c r="BL636" t="s">
        <v>194</v>
      </c>
      <c r="BM636" s="8" t="s">
        <v>192</v>
      </c>
      <c r="BN636" t="s">
        <v>189</v>
      </c>
      <c r="BO636" t="s">
        <v>190</v>
      </c>
      <c r="BP636" s="35" t="s">
        <v>718</v>
      </c>
      <c r="BQ636"/>
      <c r="BU636" s="35"/>
      <c r="BV636" s="35"/>
      <c r="BX636"/>
      <c r="CA636" s="35"/>
      <c r="CB636" s="35"/>
      <c r="CC636"/>
      <c r="CG636" s="35"/>
      <c r="CH636" s="35"/>
      <c r="CK636"/>
      <c r="CM636" s="35"/>
      <c r="CN636" s="35"/>
      <c r="CQ636"/>
      <c r="CS636" s="35"/>
      <c r="CT636" s="35"/>
      <c r="CX636"/>
      <c r="CZ636" s="35"/>
      <c r="DD636" s="34"/>
      <c r="DG636" t="s">
        <v>785</v>
      </c>
      <c r="DH636" t="s">
        <v>954</v>
      </c>
      <c r="DI636" t="s">
        <v>286</v>
      </c>
      <c r="DL636" t="s">
        <v>672</v>
      </c>
      <c r="DM636">
        <v>4</v>
      </c>
      <c r="DN636">
        <v>7</v>
      </c>
      <c r="DO636" t="s">
        <v>786</v>
      </c>
      <c r="DQ636" t="s">
        <v>927</v>
      </c>
      <c r="DR636">
        <v>14</v>
      </c>
      <c r="DS636">
        <v>2</v>
      </c>
      <c r="DU636">
        <v>14</v>
      </c>
      <c r="DV636">
        <v>2</v>
      </c>
      <c r="DX636">
        <v>14</v>
      </c>
      <c r="DY636">
        <v>2</v>
      </c>
      <c r="DZ636" t="s">
        <v>246</v>
      </c>
      <c r="EA636" t="s">
        <v>929</v>
      </c>
    </row>
    <row r="637" spans="1:131" x14ac:dyDescent="0.4">
      <c r="A637" s="34">
        <v>43067.305104166669</v>
      </c>
      <c r="B637" s="25">
        <v>42935.359027777777</v>
      </c>
      <c r="D637" s="34"/>
      <c r="E637" s="34" t="s">
        <v>193</v>
      </c>
      <c r="F637" s="34" t="s">
        <v>191</v>
      </c>
      <c r="G637" s="34" t="s">
        <v>100</v>
      </c>
      <c r="H637" t="s">
        <v>279</v>
      </c>
      <c r="I637" t="s">
        <v>243</v>
      </c>
      <c r="J637" t="s">
        <v>712</v>
      </c>
      <c r="K637" t="s">
        <v>729</v>
      </c>
      <c r="L637" t="s">
        <v>711</v>
      </c>
      <c r="M637" s="30">
        <v>3.13</v>
      </c>
      <c r="N637">
        <v>5.25</v>
      </c>
      <c r="P637" s="24" t="str">
        <f>IFERROR(MID(RADataTable[[#This Row],[RATemplate]],1,LEN(RADataTable[[#This Row],[RATemplate]])-8),"RA") &amp; " " &amp; RADataTable[[#This Row],[prop_id0]] &amp; " " &amp; RADataTable[[#This Row],[last0]]</f>
        <v>RA 1750118 Li</v>
      </c>
      <c r="T637">
        <v>4</v>
      </c>
      <c r="U637">
        <v>4</v>
      </c>
      <c r="V637" s="34">
        <v>43031.584722222222</v>
      </c>
      <c r="W637">
        <v>1</v>
      </c>
      <c r="X637" s="15" t="str">
        <f>HYPERLINK("https://www.ejacket.nsf.gov/ej/showProposal.do?Continue=Y&amp;ID="&amp;RADataTable[[#This Row],[prop_id0]],"eJ")</f>
        <v>eJ</v>
      </c>
      <c r="Y637" s="15" t="str">
        <f>HYPERLINK("mailto:"&amp;RADataTable[[#This Row],[email]]&amp;"&amp;subject=Your NSF Proposal:  "&amp;RADataTable[[#This Row],[Div]]&amp;" "&amp;RADataTable[[#This Row],[prop_id0]], RADataTable[[#This Row],[email]])</f>
        <v>shil@buffalo.edu</v>
      </c>
      <c r="Z637" s="15" t="str">
        <f>HYPERLINK("mailto:"&amp;RADataTable[[#This Row],[allPIemail]]&amp;"&amp;subject=NSF Proposal:  "&amp;RADataTable[[#This Row],[Div]]&amp;" "&amp;RADataTable[[#This Row],[prop_id0]], "PIs@")</f>
        <v>PIs@</v>
      </c>
      <c r="AA637" t="s">
        <v>245</v>
      </c>
      <c r="AB637" t="s">
        <v>672</v>
      </c>
      <c r="AC637" s="30" t="s">
        <v>783</v>
      </c>
      <c r="AD637" t="s">
        <v>784</v>
      </c>
      <c r="AE637" t="s">
        <v>241</v>
      </c>
      <c r="AF637" s="36">
        <v>530842</v>
      </c>
      <c r="AG637" s="36">
        <v>530842</v>
      </c>
      <c r="AH637" s="24"/>
      <c r="AJ637" s="34"/>
      <c r="AK637" t="s">
        <v>923</v>
      </c>
      <c r="AL637" t="s">
        <v>287</v>
      </c>
      <c r="AM637" s="34" t="s">
        <v>925</v>
      </c>
      <c r="AN637" s="34">
        <v>43032</v>
      </c>
      <c r="AO637" s="24">
        <v>13</v>
      </c>
      <c r="AP637" t="s">
        <v>953</v>
      </c>
      <c r="AR637" s="35"/>
      <c r="AS637"/>
      <c r="AT637" s="34"/>
      <c r="AV637" s="34"/>
      <c r="AX637" s="34"/>
      <c r="AY637"/>
      <c r="BA637" s="34"/>
      <c r="BB637"/>
      <c r="BC637" t="s">
        <v>787</v>
      </c>
      <c r="BD637" s="36">
        <v>530842</v>
      </c>
      <c r="BE637" s="36">
        <v>530842</v>
      </c>
      <c r="BF637">
        <v>0</v>
      </c>
      <c r="BG637" s="34">
        <v>43344</v>
      </c>
      <c r="BH637">
        <v>60</v>
      </c>
      <c r="BI637" t="s">
        <v>283</v>
      </c>
      <c r="BJ637" t="s">
        <v>928</v>
      </c>
      <c r="BK637" t="s">
        <v>934</v>
      </c>
      <c r="BL637" t="s">
        <v>194</v>
      </c>
      <c r="BM637" s="8" t="s">
        <v>192</v>
      </c>
      <c r="BN637" t="s">
        <v>189</v>
      </c>
      <c r="BO637" t="s">
        <v>190</v>
      </c>
      <c r="BP637" s="35" t="s">
        <v>718</v>
      </c>
      <c r="BQ637"/>
      <c r="BU637" s="35"/>
      <c r="BV637" s="35"/>
      <c r="BX637"/>
      <c r="CA637" s="35"/>
      <c r="CB637" s="35"/>
      <c r="CC637"/>
      <c r="CG637" s="35"/>
      <c r="CH637" s="35"/>
      <c r="CK637"/>
      <c r="CM637" s="35"/>
      <c r="CN637" s="35"/>
      <c r="CQ637"/>
      <c r="CS637" s="35"/>
      <c r="CT637" s="35"/>
      <c r="CX637"/>
      <c r="CZ637" s="35"/>
      <c r="DD637" s="34"/>
      <c r="DG637" t="s">
        <v>785</v>
      </c>
      <c r="DH637" t="s">
        <v>954</v>
      </c>
      <c r="DI637" t="s">
        <v>286</v>
      </c>
      <c r="DL637" t="s">
        <v>672</v>
      </c>
      <c r="DM637">
        <v>4</v>
      </c>
      <c r="DN637">
        <v>7</v>
      </c>
      <c r="DO637" t="s">
        <v>786</v>
      </c>
      <c r="DQ637" t="s">
        <v>927</v>
      </c>
      <c r="DR637">
        <v>14</v>
      </c>
      <c r="DS637">
        <v>2</v>
      </c>
      <c r="DU637">
        <v>14</v>
      </c>
      <c r="DV637">
        <v>2</v>
      </c>
      <c r="DX637">
        <v>14</v>
      </c>
      <c r="DY637">
        <v>2</v>
      </c>
      <c r="DZ637" t="s">
        <v>246</v>
      </c>
      <c r="EA637" t="s">
        <v>929</v>
      </c>
    </row>
    <row r="638" spans="1:131" x14ac:dyDescent="0.4">
      <c r="A638" s="34">
        <v>43067.305104166669</v>
      </c>
      <c r="B638" s="25">
        <v>42935.359027777777</v>
      </c>
      <c r="D638" s="34"/>
      <c r="E638" s="34" t="s">
        <v>193</v>
      </c>
      <c r="F638" s="34" t="s">
        <v>191</v>
      </c>
      <c r="G638" s="34" t="s">
        <v>100</v>
      </c>
      <c r="H638" t="s">
        <v>279</v>
      </c>
      <c r="I638" t="s">
        <v>243</v>
      </c>
      <c r="J638" t="s">
        <v>712</v>
      </c>
      <c r="K638" t="s">
        <v>729</v>
      </c>
      <c r="L638" t="s">
        <v>711</v>
      </c>
      <c r="M638" s="30">
        <v>3.13</v>
      </c>
      <c r="N638">
        <v>5.25</v>
      </c>
      <c r="P638" s="24" t="str">
        <f>IFERROR(MID(RADataTable[[#This Row],[RATemplate]],1,LEN(RADataTable[[#This Row],[RATemplate]])-8),"RA") &amp; " " &amp; RADataTable[[#This Row],[prop_id0]] &amp; " " &amp; RADataTable[[#This Row],[last0]]</f>
        <v>RA 1750118 Li</v>
      </c>
      <c r="T638">
        <v>4</v>
      </c>
      <c r="U638">
        <v>4</v>
      </c>
      <c r="V638" s="34">
        <v>43031.584722222222</v>
      </c>
      <c r="W638">
        <v>1</v>
      </c>
      <c r="X638" s="15" t="str">
        <f>HYPERLINK("https://www.ejacket.nsf.gov/ej/showProposal.do?Continue=Y&amp;ID="&amp;RADataTable[[#This Row],[prop_id0]],"eJ")</f>
        <v>eJ</v>
      </c>
      <c r="Y638" s="15" t="str">
        <f>HYPERLINK("mailto:"&amp;RADataTable[[#This Row],[email]]&amp;"&amp;subject=Your NSF Proposal:  "&amp;RADataTable[[#This Row],[Div]]&amp;" "&amp;RADataTable[[#This Row],[prop_id0]], RADataTable[[#This Row],[email]])</f>
        <v>shil@buffalo.edu</v>
      </c>
      <c r="Z638" s="15" t="str">
        <f>HYPERLINK("mailto:"&amp;RADataTable[[#This Row],[allPIemail]]&amp;"&amp;subject=NSF Proposal:  "&amp;RADataTable[[#This Row],[Div]]&amp;" "&amp;RADataTable[[#This Row],[prop_id0]], "PIs@")</f>
        <v>PIs@</v>
      </c>
      <c r="AA638" t="s">
        <v>245</v>
      </c>
      <c r="AB638" t="s">
        <v>672</v>
      </c>
      <c r="AC638" s="30" t="s">
        <v>783</v>
      </c>
      <c r="AD638" t="s">
        <v>784</v>
      </c>
      <c r="AE638" t="s">
        <v>241</v>
      </c>
      <c r="AF638" s="36">
        <v>530842</v>
      </c>
      <c r="AG638" s="36">
        <v>530842</v>
      </c>
      <c r="AH638" s="24"/>
      <c r="AJ638" s="34"/>
      <c r="AK638" t="s">
        <v>923</v>
      </c>
      <c r="AL638" t="s">
        <v>287</v>
      </c>
      <c r="AM638" s="34" t="s">
        <v>925</v>
      </c>
      <c r="AN638" s="34">
        <v>43032</v>
      </c>
      <c r="AO638" s="24">
        <v>13</v>
      </c>
      <c r="AP638" t="s">
        <v>953</v>
      </c>
      <c r="AR638" s="35"/>
      <c r="AS638"/>
      <c r="AT638" s="34"/>
      <c r="AV638" s="34"/>
      <c r="AX638" s="34"/>
      <c r="AY638"/>
      <c r="BA638" s="34"/>
      <c r="BB638"/>
      <c r="BC638" t="s">
        <v>787</v>
      </c>
      <c r="BD638" s="36">
        <v>530842</v>
      </c>
      <c r="BE638" s="36">
        <v>530842</v>
      </c>
      <c r="BF638">
        <v>0</v>
      </c>
      <c r="BG638" s="34">
        <v>43344</v>
      </c>
      <c r="BH638">
        <v>60</v>
      </c>
      <c r="BI638" t="s">
        <v>283</v>
      </c>
      <c r="BJ638" t="s">
        <v>928</v>
      </c>
      <c r="BK638" t="s">
        <v>934</v>
      </c>
      <c r="BL638" t="s">
        <v>194</v>
      </c>
      <c r="BM638" s="8" t="s">
        <v>192</v>
      </c>
      <c r="BN638" t="s">
        <v>189</v>
      </c>
      <c r="BO638" t="s">
        <v>190</v>
      </c>
      <c r="BP638" s="35" t="s">
        <v>718</v>
      </c>
      <c r="BQ638"/>
      <c r="BU638" s="35"/>
      <c r="BV638" s="35"/>
      <c r="BX638"/>
      <c r="CA638" s="35"/>
      <c r="CB638" s="35"/>
      <c r="CC638"/>
      <c r="CG638" s="35"/>
      <c r="CH638" s="35"/>
      <c r="CK638"/>
      <c r="CM638" s="35"/>
      <c r="CN638" s="35"/>
      <c r="CQ638"/>
      <c r="CS638" s="35"/>
      <c r="CT638" s="35"/>
      <c r="CX638"/>
      <c r="CZ638" s="35"/>
      <c r="DD638" s="34"/>
      <c r="DG638" t="s">
        <v>785</v>
      </c>
      <c r="DH638" t="s">
        <v>954</v>
      </c>
      <c r="DI638" t="s">
        <v>286</v>
      </c>
      <c r="DL638" t="s">
        <v>672</v>
      </c>
      <c r="DM638">
        <v>4</v>
      </c>
      <c r="DN638">
        <v>7</v>
      </c>
      <c r="DO638" t="s">
        <v>786</v>
      </c>
      <c r="DQ638" t="s">
        <v>927</v>
      </c>
      <c r="DR638">
        <v>14</v>
      </c>
      <c r="DS638">
        <v>2</v>
      </c>
      <c r="DU638">
        <v>14</v>
      </c>
      <c r="DV638">
        <v>2</v>
      </c>
      <c r="DX638">
        <v>14</v>
      </c>
      <c r="DY638">
        <v>2</v>
      </c>
      <c r="DZ638" t="s">
        <v>246</v>
      </c>
      <c r="EA638" t="s">
        <v>929</v>
      </c>
    </row>
    <row r="639" spans="1:131" x14ac:dyDescent="0.4">
      <c r="A639" s="34">
        <v>43067.305104166669</v>
      </c>
      <c r="B639" s="25">
        <v>42935.359027777777</v>
      </c>
      <c r="D639" s="34"/>
      <c r="E639" s="34" t="s">
        <v>193</v>
      </c>
      <c r="F639" s="34" t="s">
        <v>191</v>
      </c>
      <c r="G639" s="34" t="s">
        <v>100</v>
      </c>
      <c r="H639" t="s">
        <v>279</v>
      </c>
      <c r="I639" t="s">
        <v>243</v>
      </c>
      <c r="J639" t="s">
        <v>712</v>
      </c>
      <c r="K639" t="s">
        <v>729</v>
      </c>
      <c r="L639" t="s">
        <v>711</v>
      </c>
      <c r="M639" s="30">
        <v>3.13</v>
      </c>
      <c r="N639">
        <v>5.25</v>
      </c>
      <c r="P639" s="24" t="str">
        <f>IFERROR(MID(RADataTable[[#This Row],[RATemplate]],1,LEN(RADataTable[[#This Row],[RATemplate]])-8),"RA") &amp; " " &amp; RADataTable[[#This Row],[prop_id0]] &amp; " " &amp; RADataTable[[#This Row],[last0]]</f>
        <v>RA 1750118 Li</v>
      </c>
      <c r="T639">
        <v>4</v>
      </c>
      <c r="U639">
        <v>4</v>
      </c>
      <c r="V639" s="34">
        <v>43031.584722222222</v>
      </c>
      <c r="W639">
        <v>1</v>
      </c>
      <c r="X639" s="15" t="str">
        <f>HYPERLINK("https://www.ejacket.nsf.gov/ej/showProposal.do?Continue=Y&amp;ID="&amp;RADataTable[[#This Row],[prop_id0]],"eJ")</f>
        <v>eJ</v>
      </c>
      <c r="Y639" s="15" t="str">
        <f>HYPERLINK("mailto:"&amp;RADataTable[[#This Row],[email]]&amp;"&amp;subject=Your NSF Proposal:  "&amp;RADataTable[[#This Row],[Div]]&amp;" "&amp;RADataTable[[#This Row],[prop_id0]], RADataTable[[#This Row],[email]])</f>
        <v>shil@buffalo.edu</v>
      </c>
      <c r="Z639" s="15" t="str">
        <f>HYPERLINK("mailto:"&amp;RADataTable[[#This Row],[allPIemail]]&amp;"&amp;subject=NSF Proposal:  "&amp;RADataTable[[#This Row],[Div]]&amp;" "&amp;RADataTable[[#This Row],[prop_id0]], "PIs@")</f>
        <v>PIs@</v>
      </c>
      <c r="AA639" t="s">
        <v>245</v>
      </c>
      <c r="AB639" t="s">
        <v>672</v>
      </c>
      <c r="AC639" s="30" t="s">
        <v>783</v>
      </c>
      <c r="AD639" t="s">
        <v>784</v>
      </c>
      <c r="AE639" t="s">
        <v>241</v>
      </c>
      <c r="AF639" s="36">
        <v>530842</v>
      </c>
      <c r="AG639" s="36">
        <v>530842</v>
      </c>
      <c r="AH639" s="24"/>
      <c r="AJ639" s="34"/>
      <c r="AK639" t="s">
        <v>923</v>
      </c>
      <c r="AL639" t="s">
        <v>287</v>
      </c>
      <c r="AM639" s="34" t="s">
        <v>925</v>
      </c>
      <c r="AN639" s="34">
        <v>43032</v>
      </c>
      <c r="AO639" s="24">
        <v>13</v>
      </c>
      <c r="AP639" t="s">
        <v>953</v>
      </c>
      <c r="AR639" s="35"/>
      <c r="AS639"/>
      <c r="AT639" s="34"/>
      <c r="AV639" s="34"/>
      <c r="AX639" s="34"/>
      <c r="AY639"/>
      <c r="BA639" s="34"/>
      <c r="BB639"/>
      <c r="BC639" t="s">
        <v>787</v>
      </c>
      <c r="BD639" s="36">
        <v>530842</v>
      </c>
      <c r="BE639" s="36">
        <v>530842</v>
      </c>
      <c r="BF639">
        <v>0</v>
      </c>
      <c r="BG639" s="34">
        <v>43344</v>
      </c>
      <c r="BH639">
        <v>60</v>
      </c>
      <c r="BI639" t="s">
        <v>283</v>
      </c>
      <c r="BJ639" t="s">
        <v>928</v>
      </c>
      <c r="BK639" t="s">
        <v>934</v>
      </c>
      <c r="BL639" t="s">
        <v>194</v>
      </c>
      <c r="BM639" s="8" t="s">
        <v>192</v>
      </c>
      <c r="BN639" t="s">
        <v>189</v>
      </c>
      <c r="BO639" t="s">
        <v>190</v>
      </c>
      <c r="BP639" s="35" t="s">
        <v>718</v>
      </c>
      <c r="BQ639"/>
      <c r="BU639" s="35"/>
      <c r="BV639" s="35"/>
      <c r="BX639"/>
      <c r="CA639" s="35"/>
      <c r="CB639" s="35"/>
      <c r="CC639"/>
      <c r="CG639" s="35"/>
      <c r="CH639" s="35"/>
      <c r="CK639"/>
      <c r="CM639" s="35"/>
      <c r="CN639" s="35"/>
      <c r="CQ639"/>
      <c r="CS639" s="35"/>
      <c r="CT639" s="35"/>
      <c r="CX639"/>
      <c r="CZ639" s="35"/>
      <c r="DD639" s="34"/>
      <c r="DG639" t="s">
        <v>785</v>
      </c>
      <c r="DH639" t="s">
        <v>954</v>
      </c>
      <c r="DI639" t="s">
        <v>286</v>
      </c>
      <c r="DL639" t="s">
        <v>672</v>
      </c>
      <c r="DM639">
        <v>4</v>
      </c>
      <c r="DN639">
        <v>7</v>
      </c>
      <c r="DO639" t="s">
        <v>786</v>
      </c>
      <c r="DQ639" t="s">
        <v>927</v>
      </c>
      <c r="DR639">
        <v>14</v>
      </c>
      <c r="DS639">
        <v>2</v>
      </c>
      <c r="DU639">
        <v>14</v>
      </c>
      <c r="DV639">
        <v>2</v>
      </c>
      <c r="DX639">
        <v>14</v>
      </c>
      <c r="DY639">
        <v>2</v>
      </c>
      <c r="DZ639" t="s">
        <v>246</v>
      </c>
      <c r="EA639" t="s">
        <v>929</v>
      </c>
    </row>
    <row r="640" spans="1:131" x14ac:dyDescent="0.4">
      <c r="A640" s="34">
        <v>43067.305104166669</v>
      </c>
      <c r="B640" s="25">
        <v>42935.359027777777</v>
      </c>
      <c r="D640" s="34"/>
      <c r="E640" s="34" t="s">
        <v>193</v>
      </c>
      <c r="F640" s="34" t="s">
        <v>191</v>
      </c>
      <c r="G640" s="34" t="s">
        <v>100</v>
      </c>
      <c r="H640" t="s">
        <v>279</v>
      </c>
      <c r="I640" t="s">
        <v>243</v>
      </c>
      <c r="J640" t="s">
        <v>712</v>
      </c>
      <c r="K640" t="s">
        <v>729</v>
      </c>
      <c r="L640" t="s">
        <v>711</v>
      </c>
      <c r="M640" s="30">
        <v>3.13</v>
      </c>
      <c r="N640">
        <v>5.25</v>
      </c>
      <c r="P640" s="24" t="str">
        <f>IFERROR(MID(RADataTable[[#This Row],[RATemplate]],1,LEN(RADataTable[[#This Row],[RATemplate]])-8),"RA") &amp; " " &amp; RADataTable[[#This Row],[prop_id0]] &amp; " " &amp; RADataTable[[#This Row],[last0]]</f>
        <v>RA 1750118 Li</v>
      </c>
      <c r="T640">
        <v>4</v>
      </c>
      <c r="U640">
        <v>4</v>
      </c>
      <c r="V640" s="34">
        <v>43031.584722222222</v>
      </c>
      <c r="W640">
        <v>1</v>
      </c>
      <c r="X640" s="15" t="str">
        <f>HYPERLINK("https://www.ejacket.nsf.gov/ej/showProposal.do?Continue=Y&amp;ID="&amp;RADataTable[[#This Row],[prop_id0]],"eJ")</f>
        <v>eJ</v>
      </c>
      <c r="Y640" s="15" t="str">
        <f>HYPERLINK("mailto:"&amp;RADataTable[[#This Row],[email]]&amp;"&amp;subject=Your NSF Proposal:  "&amp;RADataTable[[#This Row],[Div]]&amp;" "&amp;RADataTable[[#This Row],[prop_id0]], RADataTable[[#This Row],[email]])</f>
        <v>shil@buffalo.edu</v>
      </c>
      <c r="Z640" s="15" t="str">
        <f>HYPERLINK("mailto:"&amp;RADataTable[[#This Row],[allPIemail]]&amp;"&amp;subject=NSF Proposal:  "&amp;RADataTable[[#This Row],[Div]]&amp;" "&amp;RADataTable[[#This Row],[prop_id0]], "PIs@")</f>
        <v>PIs@</v>
      </c>
      <c r="AA640" t="s">
        <v>245</v>
      </c>
      <c r="AB640" t="s">
        <v>672</v>
      </c>
      <c r="AC640" s="30" t="s">
        <v>783</v>
      </c>
      <c r="AD640" t="s">
        <v>784</v>
      </c>
      <c r="AE640" t="s">
        <v>241</v>
      </c>
      <c r="AF640" s="36">
        <v>530842</v>
      </c>
      <c r="AG640" s="36">
        <v>530842</v>
      </c>
      <c r="AH640" s="24"/>
      <c r="AJ640" s="34"/>
      <c r="AK640" t="s">
        <v>923</v>
      </c>
      <c r="AL640" t="s">
        <v>287</v>
      </c>
      <c r="AM640" s="34" t="s">
        <v>925</v>
      </c>
      <c r="AN640" s="34">
        <v>43032</v>
      </c>
      <c r="AO640" s="24">
        <v>13</v>
      </c>
      <c r="AP640" t="s">
        <v>953</v>
      </c>
      <c r="AR640" s="35"/>
      <c r="AS640"/>
      <c r="AT640" s="34"/>
      <c r="AV640" s="34"/>
      <c r="AX640" s="34"/>
      <c r="AY640"/>
      <c r="BA640" s="34"/>
      <c r="BB640"/>
      <c r="BC640" t="s">
        <v>787</v>
      </c>
      <c r="BD640" s="36">
        <v>530842</v>
      </c>
      <c r="BE640" s="36">
        <v>530842</v>
      </c>
      <c r="BF640">
        <v>0</v>
      </c>
      <c r="BG640" s="34">
        <v>43344</v>
      </c>
      <c r="BH640">
        <v>60</v>
      </c>
      <c r="BI640" t="s">
        <v>283</v>
      </c>
      <c r="BJ640" t="s">
        <v>928</v>
      </c>
      <c r="BK640" t="s">
        <v>934</v>
      </c>
      <c r="BL640" t="s">
        <v>194</v>
      </c>
      <c r="BM640" s="8" t="s">
        <v>192</v>
      </c>
      <c r="BN640" t="s">
        <v>189</v>
      </c>
      <c r="BO640" t="s">
        <v>190</v>
      </c>
      <c r="BP640" s="35" t="s">
        <v>718</v>
      </c>
      <c r="BQ640"/>
      <c r="BU640" s="35"/>
      <c r="BV640" s="35"/>
      <c r="BX640"/>
      <c r="CA640" s="35"/>
      <c r="CB640" s="35"/>
      <c r="CC640"/>
      <c r="CG640" s="35"/>
      <c r="CH640" s="35"/>
      <c r="CK640"/>
      <c r="CM640" s="35"/>
      <c r="CN640" s="35"/>
      <c r="CQ640"/>
      <c r="CS640" s="35"/>
      <c r="CT640" s="35"/>
      <c r="CX640"/>
      <c r="CZ640" s="35"/>
      <c r="DD640" s="34"/>
      <c r="DG640" t="s">
        <v>785</v>
      </c>
      <c r="DH640" t="s">
        <v>954</v>
      </c>
      <c r="DI640" t="s">
        <v>286</v>
      </c>
      <c r="DL640" t="s">
        <v>672</v>
      </c>
      <c r="DM640">
        <v>4</v>
      </c>
      <c r="DN640">
        <v>7</v>
      </c>
      <c r="DO640" t="s">
        <v>786</v>
      </c>
      <c r="DQ640" t="s">
        <v>927</v>
      </c>
      <c r="DR640">
        <v>14</v>
      </c>
      <c r="DS640">
        <v>2</v>
      </c>
      <c r="DU640">
        <v>14</v>
      </c>
      <c r="DV640">
        <v>2</v>
      </c>
      <c r="DX640">
        <v>14</v>
      </c>
      <c r="DY640">
        <v>2</v>
      </c>
      <c r="DZ640" t="s">
        <v>246</v>
      </c>
      <c r="EA640" t="s">
        <v>929</v>
      </c>
    </row>
    <row r="641" spans="1:131" x14ac:dyDescent="0.4">
      <c r="A641" s="34">
        <v>43067.305104166669</v>
      </c>
      <c r="B641" s="25">
        <v>42935.359027777777</v>
      </c>
      <c r="D641" s="34"/>
      <c r="E641" s="34" t="s">
        <v>193</v>
      </c>
      <c r="F641" s="34" t="s">
        <v>191</v>
      </c>
      <c r="G641" s="34" t="s">
        <v>100</v>
      </c>
      <c r="H641" t="s">
        <v>279</v>
      </c>
      <c r="I641" t="s">
        <v>243</v>
      </c>
      <c r="J641" t="s">
        <v>712</v>
      </c>
      <c r="K641" t="s">
        <v>729</v>
      </c>
      <c r="L641" t="s">
        <v>711</v>
      </c>
      <c r="M641" s="30">
        <v>3.13</v>
      </c>
      <c r="N641">
        <v>5.25</v>
      </c>
      <c r="P641" s="24" t="str">
        <f>IFERROR(MID(RADataTable[[#This Row],[RATemplate]],1,LEN(RADataTable[[#This Row],[RATemplate]])-8),"RA") &amp; " " &amp; RADataTable[[#This Row],[prop_id0]] &amp; " " &amp; RADataTable[[#This Row],[last0]]</f>
        <v>RA 1750118 Li</v>
      </c>
      <c r="T641">
        <v>4</v>
      </c>
      <c r="U641">
        <v>4</v>
      </c>
      <c r="V641" s="34">
        <v>43031.584722222222</v>
      </c>
      <c r="W641">
        <v>1</v>
      </c>
      <c r="X641" s="15" t="str">
        <f>HYPERLINK("https://www.ejacket.nsf.gov/ej/showProposal.do?Continue=Y&amp;ID="&amp;RADataTable[[#This Row],[prop_id0]],"eJ")</f>
        <v>eJ</v>
      </c>
      <c r="Y641" s="15" t="str">
        <f>HYPERLINK("mailto:"&amp;RADataTable[[#This Row],[email]]&amp;"&amp;subject=Your NSF Proposal:  "&amp;RADataTable[[#This Row],[Div]]&amp;" "&amp;RADataTable[[#This Row],[prop_id0]], RADataTable[[#This Row],[email]])</f>
        <v>shil@buffalo.edu</v>
      </c>
      <c r="Z641" s="15" t="str">
        <f>HYPERLINK("mailto:"&amp;RADataTable[[#This Row],[allPIemail]]&amp;"&amp;subject=NSF Proposal:  "&amp;RADataTable[[#This Row],[Div]]&amp;" "&amp;RADataTable[[#This Row],[prop_id0]], "PIs@")</f>
        <v>PIs@</v>
      </c>
      <c r="AA641" t="s">
        <v>245</v>
      </c>
      <c r="AB641" t="s">
        <v>672</v>
      </c>
      <c r="AC641" s="30" t="s">
        <v>783</v>
      </c>
      <c r="AD641" t="s">
        <v>784</v>
      </c>
      <c r="AE641" t="s">
        <v>241</v>
      </c>
      <c r="AF641" s="36">
        <v>530842</v>
      </c>
      <c r="AG641" s="36">
        <v>530842</v>
      </c>
      <c r="AH641" s="24"/>
      <c r="AJ641" s="34"/>
      <c r="AK641" t="s">
        <v>923</v>
      </c>
      <c r="AL641" t="s">
        <v>287</v>
      </c>
      <c r="AM641" s="34" t="s">
        <v>925</v>
      </c>
      <c r="AN641" s="34">
        <v>43032</v>
      </c>
      <c r="AO641" s="24">
        <v>13</v>
      </c>
      <c r="AP641" t="s">
        <v>953</v>
      </c>
      <c r="AR641" s="35"/>
      <c r="AS641"/>
      <c r="AT641" s="34"/>
      <c r="AV641" s="34"/>
      <c r="AX641" s="34"/>
      <c r="AY641"/>
      <c r="BA641" s="34"/>
      <c r="BB641"/>
      <c r="BC641" t="s">
        <v>787</v>
      </c>
      <c r="BD641" s="36">
        <v>530842</v>
      </c>
      <c r="BE641" s="36">
        <v>530842</v>
      </c>
      <c r="BF641">
        <v>0</v>
      </c>
      <c r="BG641" s="34">
        <v>43344</v>
      </c>
      <c r="BH641">
        <v>60</v>
      </c>
      <c r="BI641" t="s">
        <v>283</v>
      </c>
      <c r="BJ641" t="s">
        <v>928</v>
      </c>
      <c r="BK641" t="s">
        <v>934</v>
      </c>
      <c r="BL641" t="s">
        <v>194</v>
      </c>
      <c r="BM641" s="8" t="s">
        <v>192</v>
      </c>
      <c r="BN641" t="s">
        <v>189</v>
      </c>
      <c r="BO641" t="s">
        <v>190</v>
      </c>
      <c r="BP641" s="35" t="s">
        <v>718</v>
      </c>
      <c r="BQ641"/>
      <c r="BU641" s="35"/>
      <c r="BV641" s="35"/>
      <c r="BX641"/>
      <c r="CA641" s="35"/>
      <c r="CB641" s="35"/>
      <c r="CC641"/>
      <c r="CG641" s="35"/>
      <c r="CH641" s="35"/>
      <c r="CK641"/>
      <c r="CM641" s="35"/>
      <c r="CN641" s="35"/>
      <c r="CQ641"/>
      <c r="CS641" s="35"/>
      <c r="CT641" s="35"/>
      <c r="CX641"/>
      <c r="CZ641" s="35"/>
      <c r="DD641" s="34"/>
      <c r="DG641" t="s">
        <v>785</v>
      </c>
      <c r="DH641" t="s">
        <v>954</v>
      </c>
      <c r="DI641" t="s">
        <v>286</v>
      </c>
      <c r="DL641" t="s">
        <v>672</v>
      </c>
      <c r="DM641">
        <v>4</v>
      </c>
      <c r="DN641">
        <v>7</v>
      </c>
      <c r="DO641" t="s">
        <v>786</v>
      </c>
      <c r="DQ641" t="s">
        <v>927</v>
      </c>
      <c r="DR641">
        <v>14</v>
      </c>
      <c r="DS641">
        <v>2</v>
      </c>
      <c r="DU641">
        <v>14</v>
      </c>
      <c r="DV641">
        <v>2</v>
      </c>
      <c r="DX641">
        <v>14</v>
      </c>
      <c r="DY641">
        <v>2</v>
      </c>
      <c r="DZ641" t="s">
        <v>246</v>
      </c>
      <c r="EA641" t="s">
        <v>929</v>
      </c>
    </row>
    <row r="642" spans="1:131" x14ac:dyDescent="0.4">
      <c r="A642" s="34">
        <v>43067.305104166669</v>
      </c>
      <c r="B642" s="25">
        <v>42935.359027777777</v>
      </c>
      <c r="D642" s="34"/>
      <c r="E642" s="34" t="s">
        <v>193</v>
      </c>
      <c r="F642" s="34" t="s">
        <v>191</v>
      </c>
      <c r="G642" s="34" t="s">
        <v>100</v>
      </c>
      <c r="H642" t="s">
        <v>279</v>
      </c>
      <c r="I642" t="s">
        <v>243</v>
      </c>
      <c r="J642" t="s">
        <v>712</v>
      </c>
      <c r="K642" t="s">
        <v>729</v>
      </c>
      <c r="L642" t="s">
        <v>711</v>
      </c>
      <c r="M642" s="30">
        <v>3.13</v>
      </c>
      <c r="N642">
        <v>5.25</v>
      </c>
      <c r="P642" s="24" t="str">
        <f>IFERROR(MID(RADataTable[[#This Row],[RATemplate]],1,LEN(RADataTable[[#This Row],[RATemplate]])-8),"RA") &amp; " " &amp; RADataTable[[#This Row],[prop_id0]] &amp; " " &amp; RADataTable[[#This Row],[last0]]</f>
        <v>RA 1750118 Li</v>
      </c>
      <c r="T642">
        <v>4</v>
      </c>
      <c r="U642">
        <v>4</v>
      </c>
      <c r="V642" s="34">
        <v>43031.584722222222</v>
      </c>
      <c r="W642">
        <v>1</v>
      </c>
      <c r="X642" s="15" t="str">
        <f>HYPERLINK("https://www.ejacket.nsf.gov/ej/showProposal.do?Continue=Y&amp;ID="&amp;RADataTable[[#This Row],[prop_id0]],"eJ")</f>
        <v>eJ</v>
      </c>
      <c r="Y642" s="15" t="str">
        <f>HYPERLINK("mailto:"&amp;RADataTable[[#This Row],[email]]&amp;"&amp;subject=Your NSF Proposal:  "&amp;RADataTable[[#This Row],[Div]]&amp;" "&amp;RADataTable[[#This Row],[prop_id0]], RADataTable[[#This Row],[email]])</f>
        <v>shil@buffalo.edu</v>
      </c>
      <c r="Z642" s="15" t="str">
        <f>HYPERLINK("mailto:"&amp;RADataTable[[#This Row],[allPIemail]]&amp;"&amp;subject=NSF Proposal:  "&amp;RADataTable[[#This Row],[Div]]&amp;" "&amp;RADataTable[[#This Row],[prop_id0]], "PIs@")</f>
        <v>PIs@</v>
      </c>
      <c r="AA642" t="s">
        <v>245</v>
      </c>
      <c r="AB642" t="s">
        <v>672</v>
      </c>
      <c r="AC642" s="30" t="s">
        <v>783</v>
      </c>
      <c r="AD642" t="s">
        <v>784</v>
      </c>
      <c r="AE642" t="s">
        <v>241</v>
      </c>
      <c r="AF642" s="36">
        <v>530842</v>
      </c>
      <c r="AG642" s="36">
        <v>530842</v>
      </c>
      <c r="AH642" s="24"/>
      <c r="AJ642" s="34"/>
      <c r="AK642" t="s">
        <v>923</v>
      </c>
      <c r="AL642" t="s">
        <v>287</v>
      </c>
      <c r="AM642" s="34" t="s">
        <v>925</v>
      </c>
      <c r="AN642" s="34">
        <v>43032</v>
      </c>
      <c r="AO642" s="24">
        <v>13</v>
      </c>
      <c r="AP642" t="s">
        <v>953</v>
      </c>
      <c r="AR642" s="35"/>
      <c r="AS642"/>
      <c r="AT642" s="34"/>
      <c r="AV642" s="34"/>
      <c r="AX642" s="34"/>
      <c r="AY642"/>
      <c r="BA642" s="34"/>
      <c r="BB642"/>
      <c r="BC642" t="s">
        <v>787</v>
      </c>
      <c r="BD642" s="36">
        <v>530842</v>
      </c>
      <c r="BE642" s="36">
        <v>530842</v>
      </c>
      <c r="BF642">
        <v>0</v>
      </c>
      <c r="BG642" s="34">
        <v>43344</v>
      </c>
      <c r="BH642">
        <v>60</v>
      </c>
      <c r="BI642" t="s">
        <v>283</v>
      </c>
      <c r="BJ642" t="s">
        <v>928</v>
      </c>
      <c r="BK642" t="s">
        <v>934</v>
      </c>
      <c r="BL642" t="s">
        <v>194</v>
      </c>
      <c r="BM642" s="8" t="s">
        <v>192</v>
      </c>
      <c r="BN642" t="s">
        <v>189</v>
      </c>
      <c r="BO642" t="s">
        <v>190</v>
      </c>
      <c r="BP642" s="35" t="s">
        <v>718</v>
      </c>
      <c r="BQ642"/>
      <c r="BU642" s="35"/>
      <c r="BV642" s="35"/>
      <c r="BX642"/>
      <c r="CA642" s="35"/>
      <c r="CB642" s="35"/>
      <c r="CC642"/>
      <c r="CG642" s="35"/>
      <c r="CH642" s="35"/>
      <c r="CK642"/>
      <c r="CM642" s="35"/>
      <c r="CN642" s="35"/>
      <c r="CQ642"/>
      <c r="CS642" s="35"/>
      <c r="CT642" s="35"/>
      <c r="CX642"/>
      <c r="CZ642" s="35"/>
      <c r="DD642" s="34"/>
      <c r="DG642" t="s">
        <v>785</v>
      </c>
      <c r="DH642" t="s">
        <v>954</v>
      </c>
      <c r="DI642" t="s">
        <v>286</v>
      </c>
      <c r="DL642" t="s">
        <v>672</v>
      </c>
      <c r="DM642">
        <v>4</v>
      </c>
      <c r="DN642">
        <v>7</v>
      </c>
      <c r="DO642" t="s">
        <v>786</v>
      </c>
      <c r="DQ642" t="s">
        <v>927</v>
      </c>
      <c r="DR642">
        <v>14</v>
      </c>
      <c r="DS642">
        <v>2</v>
      </c>
      <c r="DU642">
        <v>14</v>
      </c>
      <c r="DV642">
        <v>2</v>
      </c>
      <c r="DX642">
        <v>14</v>
      </c>
      <c r="DY642">
        <v>2</v>
      </c>
      <c r="DZ642" t="s">
        <v>246</v>
      </c>
      <c r="EA642" t="s">
        <v>929</v>
      </c>
    </row>
    <row r="643" spans="1:131" x14ac:dyDescent="0.4">
      <c r="A643" s="34">
        <v>43067.305104166669</v>
      </c>
      <c r="B643" s="25">
        <v>42935.359027777777</v>
      </c>
      <c r="D643" s="34"/>
      <c r="E643" s="34" t="s">
        <v>193</v>
      </c>
      <c r="F643" s="34" t="s">
        <v>191</v>
      </c>
      <c r="G643" s="34" t="s">
        <v>100</v>
      </c>
      <c r="H643" t="s">
        <v>279</v>
      </c>
      <c r="I643" t="s">
        <v>243</v>
      </c>
      <c r="J643" t="s">
        <v>712</v>
      </c>
      <c r="K643" t="s">
        <v>729</v>
      </c>
      <c r="L643" t="s">
        <v>711</v>
      </c>
      <c r="M643" s="30">
        <v>3.13</v>
      </c>
      <c r="N643">
        <v>5.25</v>
      </c>
      <c r="P643" s="24" t="str">
        <f>IFERROR(MID(RADataTable[[#This Row],[RATemplate]],1,LEN(RADataTable[[#This Row],[RATemplate]])-8),"RA") &amp; " " &amp; RADataTable[[#This Row],[prop_id0]] &amp; " " &amp; RADataTable[[#This Row],[last0]]</f>
        <v>RA 1750118 Li</v>
      </c>
      <c r="T643">
        <v>4</v>
      </c>
      <c r="U643">
        <v>4</v>
      </c>
      <c r="V643" s="34">
        <v>43031.584722222222</v>
      </c>
      <c r="W643">
        <v>1</v>
      </c>
      <c r="X643" s="15" t="str">
        <f>HYPERLINK("https://www.ejacket.nsf.gov/ej/showProposal.do?Continue=Y&amp;ID="&amp;RADataTable[[#This Row],[prop_id0]],"eJ")</f>
        <v>eJ</v>
      </c>
      <c r="Y643" s="15" t="str">
        <f>HYPERLINK("mailto:"&amp;RADataTable[[#This Row],[email]]&amp;"&amp;subject=Your NSF Proposal:  "&amp;RADataTable[[#This Row],[Div]]&amp;" "&amp;RADataTable[[#This Row],[prop_id0]], RADataTable[[#This Row],[email]])</f>
        <v>shil@buffalo.edu</v>
      </c>
      <c r="Z643" s="15" t="str">
        <f>HYPERLINK("mailto:"&amp;RADataTable[[#This Row],[allPIemail]]&amp;"&amp;subject=NSF Proposal:  "&amp;RADataTable[[#This Row],[Div]]&amp;" "&amp;RADataTable[[#This Row],[prop_id0]], "PIs@")</f>
        <v>PIs@</v>
      </c>
      <c r="AA643" t="s">
        <v>245</v>
      </c>
      <c r="AB643" t="s">
        <v>672</v>
      </c>
      <c r="AC643" s="30" t="s">
        <v>783</v>
      </c>
      <c r="AD643" t="s">
        <v>784</v>
      </c>
      <c r="AE643" t="s">
        <v>241</v>
      </c>
      <c r="AF643" s="36">
        <v>530842</v>
      </c>
      <c r="AG643" s="36">
        <v>530842</v>
      </c>
      <c r="AH643" s="24"/>
      <c r="AJ643" s="34"/>
      <c r="AK643" t="s">
        <v>923</v>
      </c>
      <c r="AL643" t="s">
        <v>287</v>
      </c>
      <c r="AM643" s="34" t="s">
        <v>925</v>
      </c>
      <c r="AN643" s="34">
        <v>43032</v>
      </c>
      <c r="AO643" s="24">
        <v>13</v>
      </c>
      <c r="AP643" t="s">
        <v>953</v>
      </c>
      <c r="AR643" s="35"/>
      <c r="AS643"/>
      <c r="AT643" s="34"/>
      <c r="AV643" s="34"/>
      <c r="AX643" s="34"/>
      <c r="AY643"/>
      <c r="BA643" s="34"/>
      <c r="BB643"/>
      <c r="BC643" t="s">
        <v>787</v>
      </c>
      <c r="BD643" s="36">
        <v>530842</v>
      </c>
      <c r="BE643" s="36">
        <v>530842</v>
      </c>
      <c r="BF643">
        <v>0</v>
      </c>
      <c r="BG643" s="34">
        <v>43344</v>
      </c>
      <c r="BH643">
        <v>60</v>
      </c>
      <c r="BI643" t="s">
        <v>283</v>
      </c>
      <c r="BJ643" t="s">
        <v>928</v>
      </c>
      <c r="BK643" t="s">
        <v>934</v>
      </c>
      <c r="BL643" t="s">
        <v>194</v>
      </c>
      <c r="BM643" s="8" t="s">
        <v>192</v>
      </c>
      <c r="BN643" t="s">
        <v>189</v>
      </c>
      <c r="BO643" t="s">
        <v>190</v>
      </c>
      <c r="BP643" s="35" t="s">
        <v>718</v>
      </c>
      <c r="BQ643"/>
      <c r="BU643" s="35"/>
      <c r="BV643" s="35"/>
      <c r="BX643"/>
      <c r="CA643" s="35"/>
      <c r="CB643" s="35"/>
      <c r="CC643"/>
      <c r="CG643" s="35"/>
      <c r="CH643" s="35"/>
      <c r="CK643"/>
      <c r="CM643" s="35"/>
      <c r="CN643" s="35"/>
      <c r="CQ643"/>
      <c r="CS643" s="35"/>
      <c r="CT643" s="35"/>
      <c r="CX643"/>
      <c r="CZ643" s="35"/>
      <c r="DD643" s="34"/>
      <c r="DG643" t="s">
        <v>785</v>
      </c>
      <c r="DH643" t="s">
        <v>954</v>
      </c>
      <c r="DI643" t="s">
        <v>286</v>
      </c>
      <c r="DL643" t="s">
        <v>672</v>
      </c>
      <c r="DM643">
        <v>4</v>
      </c>
      <c r="DN643">
        <v>7</v>
      </c>
      <c r="DO643" t="s">
        <v>786</v>
      </c>
      <c r="DQ643" t="s">
        <v>927</v>
      </c>
      <c r="DR643">
        <v>14</v>
      </c>
      <c r="DS643">
        <v>2</v>
      </c>
      <c r="DU643">
        <v>14</v>
      </c>
      <c r="DV643">
        <v>2</v>
      </c>
      <c r="DX643">
        <v>14</v>
      </c>
      <c r="DY643">
        <v>2</v>
      </c>
      <c r="DZ643" t="s">
        <v>246</v>
      </c>
      <c r="EA643" t="s">
        <v>929</v>
      </c>
    </row>
    <row r="644" spans="1:131" x14ac:dyDescent="0.4">
      <c r="A644" s="34">
        <v>43067.305104166669</v>
      </c>
      <c r="B644" s="25">
        <v>42935.359027777777</v>
      </c>
      <c r="D644" s="34"/>
      <c r="E644" s="34" t="s">
        <v>193</v>
      </c>
      <c r="F644" s="34" t="s">
        <v>191</v>
      </c>
      <c r="G644" s="34" t="s">
        <v>100</v>
      </c>
      <c r="H644" t="s">
        <v>279</v>
      </c>
      <c r="I644" t="s">
        <v>243</v>
      </c>
      <c r="J644" t="s">
        <v>712</v>
      </c>
      <c r="K644" t="s">
        <v>729</v>
      </c>
      <c r="L644" t="s">
        <v>711</v>
      </c>
      <c r="M644" s="30">
        <v>3.13</v>
      </c>
      <c r="N644">
        <v>5.25</v>
      </c>
      <c r="P644" s="24" t="str">
        <f>IFERROR(MID(RADataTable[[#This Row],[RATemplate]],1,LEN(RADataTable[[#This Row],[RATemplate]])-8),"RA") &amp; " " &amp; RADataTable[[#This Row],[prop_id0]] &amp; " " &amp; RADataTable[[#This Row],[last0]]</f>
        <v>RA 1750118 Li</v>
      </c>
      <c r="T644">
        <v>4</v>
      </c>
      <c r="U644">
        <v>4</v>
      </c>
      <c r="V644" s="34">
        <v>43031.584722222222</v>
      </c>
      <c r="W644">
        <v>1</v>
      </c>
      <c r="X644" s="15" t="str">
        <f>HYPERLINK("https://www.ejacket.nsf.gov/ej/showProposal.do?Continue=Y&amp;ID="&amp;RADataTable[[#This Row],[prop_id0]],"eJ")</f>
        <v>eJ</v>
      </c>
      <c r="Y644" s="15" t="str">
        <f>HYPERLINK("mailto:"&amp;RADataTable[[#This Row],[email]]&amp;"&amp;subject=Your NSF Proposal:  "&amp;RADataTable[[#This Row],[Div]]&amp;" "&amp;RADataTable[[#This Row],[prop_id0]], RADataTable[[#This Row],[email]])</f>
        <v>shil@buffalo.edu</v>
      </c>
      <c r="Z644" s="15" t="str">
        <f>HYPERLINK("mailto:"&amp;RADataTable[[#This Row],[allPIemail]]&amp;"&amp;subject=NSF Proposal:  "&amp;RADataTable[[#This Row],[Div]]&amp;" "&amp;RADataTable[[#This Row],[prop_id0]], "PIs@")</f>
        <v>PIs@</v>
      </c>
      <c r="AA644" t="s">
        <v>245</v>
      </c>
      <c r="AB644" t="s">
        <v>672</v>
      </c>
      <c r="AC644" s="30" t="s">
        <v>783</v>
      </c>
      <c r="AD644" t="s">
        <v>784</v>
      </c>
      <c r="AE644" t="s">
        <v>241</v>
      </c>
      <c r="AF644" s="36">
        <v>530842</v>
      </c>
      <c r="AG644" s="36">
        <v>530842</v>
      </c>
      <c r="AH644" s="24"/>
      <c r="AJ644" s="34"/>
      <c r="AK644" t="s">
        <v>923</v>
      </c>
      <c r="AL644" t="s">
        <v>287</v>
      </c>
      <c r="AM644" s="34" t="s">
        <v>925</v>
      </c>
      <c r="AN644" s="34">
        <v>43032</v>
      </c>
      <c r="AO644" s="24">
        <v>13</v>
      </c>
      <c r="AP644" t="s">
        <v>953</v>
      </c>
      <c r="AR644" s="35"/>
      <c r="AS644"/>
      <c r="AT644" s="34"/>
      <c r="AV644" s="34"/>
      <c r="AX644" s="34"/>
      <c r="AY644"/>
      <c r="BA644" s="34"/>
      <c r="BB644"/>
      <c r="BC644" t="s">
        <v>787</v>
      </c>
      <c r="BD644" s="36">
        <v>530842</v>
      </c>
      <c r="BE644" s="36">
        <v>530842</v>
      </c>
      <c r="BF644">
        <v>0</v>
      </c>
      <c r="BG644" s="34">
        <v>43344</v>
      </c>
      <c r="BH644">
        <v>60</v>
      </c>
      <c r="BI644" t="s">
        <v>283</v>
      </c>
      <c r="BJ644" t="s">
        <v>928</v>
      </c>
      <c r="BK644" t="s">
        <v>934</v>
      </c>
      <c r="BL644" t="s">
        <v>194</v>
      </c>
      <c r="BM644" s="8" t="s">
        <v>192</v>
      </c>
      <c r="BN644" t="s">
        <v>189</v>
      </c>
      <c r="BO644" t="s">
        <v>190</v>
      </c>
      <c r="BP644" s="35" t="s">
        <v>718</v>
      </c>
      <c r="BQ644"/>
      <c r="BU644" s="35"/>
      <c r="BV644" s="35"/>
      <c r="BX644"/>
      <c r="CA644" s="35"/>
      <c r="CB644" s="35"/>
      <c r="CC644"/>
      <c r="CG644" s="35"/>
      <c r="CH644" s="35"/>
      <c r="CK644"/>
      <c r="CM644" s="35"/>
      <c r="CN644" s="35"/>
      <c r="CQ644"/>
      <c r="CS644" s="35"/>
      <c r="CT644" s="35"/>
      <c r="CX644"/>
      <c r="CZ644" s="35"/>
      <c r="DD644" s="34"/>
      <c r="DG644" t="s">
        <v>785</v>
      </c>
      <c r="DH644" t="s">
        <v>954</v>
      </c>
      <c r="DI644" t="s">
        <v>286</v>
      </c>
      <c r="DL644" t="s">
        <v>672</v>
      </c>
      <c r="DM644">
        <v>4</v>
      </c>
      <c r="DN644">
        <v>7</v>
      </c>
      <c r="DO644" t="s">
        <v>786</v>
      </c>
      <c r="DQ644" t="s">
        <v>927</v>
      </c>
      <c r="DR644">
        <v>14</v>
      </c>
      <c r="DS644">
        <v>2</v>
      </c>
      <c r="DU644">
        <v>14</v>
      </c>
      <c r="DV644">
        <v>2</v>
      </c>
      <c r="DX644">
        <v>14</v>
      </c>
      <c r="DY644">
        <v>2</v>
      </c>
      <c r="DZ644" t="s">
        <v>246</v>
      </c>
      <c r="EA644" t="s">
        <v>929</v>
      </c>
    </row>
    <row r="645" spans="1:131" x14ac:dyDescent="0.4">
      <c r="A645" s="34">
        <v>43067.305104166669</v>
      </c>
      <c r="B645" s="25">
        <v>42935.359027777777</v>
      </c>
      <c r="D645" s="34"/>
      <c r="E645" s="34" t="s">
        <v>193</v>
      </c>
      <c r="F645" s="34" t="s">
        <v>191</v>
      </c>
      <c r="G645" s="34" t="s">
        <v>100</v>
      </c>
      <c r="H645" t="s">
        <v>279</v>
      </c>
      <c r="I645" t="s">
        <v>243</v>
      </c>
      <c r="J645" t="s">
        <v>712</v>
      </c>
      <c r="K645" t="s">
        <v>729</v>
      </c>
      <c r="L645" t="s">
        <v>711</v>
      </c>
      <c r="M645" s="30">
        <v>3.13</v>
      </c>
      <c r="N645">
        <v>5.25</v>
      </c>
      <c r="P645" s="24" t="str">
        <f>IFERROR(MID(RADataTable[[#This Row],[RATemplate]],1,LEN(RADataTable[[#This Row],[RATemplate]])-8),"RA") &amp; " " &amp; RADataTable[[#This Row],[prop_id0]] &amp; " " &amp; RADataTable[[#This Row],[last0]]</f>
        <v>RA 1750118 Li</v>
      </c>
      <c r="T645">
        <v>4</v>
      </c>
      <c r="U645">
        <v>4</v>
      </c>
      <c r="V645" s="34">
        <v>43031.584722222222</v>
      </c>
      <c r="W645">
        <v>1</v>
      </c>
      <c r="X645" s="15" t="str">
        <f>HYPERLINK("https://www.ejacket.nsf.gov/ej/showProposal.do?Continue=Y&amp;ID="&amp;RADataTable[[#This Row],[prop_id0]],"eJ")</f>
        <v>eJ</v>
      </c>
      <c r="Y645" s="15" t="str">
        <f>HYPERLINK("mailto:"&amp;RADataTable[[#This Row],[email]]&amp;"&amp;subject=Your NSF Proposal:  "&amp;RADataTable[[#This Row],[Div]]&amp;" "&amp;RADataTable[[#This Row],[prop_id0]], RADataTable[[#This Row],[email]])</f>
        <v>shil@buffalo.edu</v>
      </c>
      <c r="Z645" s="15" t="str">
        <f>HYPERLINK("mailto:"&amp;RADataTable[[#This Row],[allPIemail]]&amp;"&amp;subject=NSF Proposal:  "&amp;RADataTable[[#This Row],[Div]]&amp;" "&amp;RADataTable[[#This Row],[prop_id0]], "PIs@")</f>
        <v>PIs@</v>
      </c>
      <c r="AA645" t="s">
        <v>245</v>
      </c>
      <c r="AB645" t="s">
        <v>672</v>
      </c>
      <c r="AC645" s="30" t="s">
        <v>783</v>
      </c>
      <c r="AD645" t="s">
        <v>784</v>
      </c>
      <c r="AE645" t="s">
        <v>241</v>
      </c>
      <c r="AF645" s="36">
        <v>530842</v>
      </c>
      <c r="AG645" s="36">
        <v>530842</v>
      </c>
      <c r="AH645" s="24"/>
      <c r="AJ645" s="34"/>
      <c r="AK645" t="s">
        <v>923</v>
      </c>
      <c r="AL645" t="s">
        <v>287</v>
      </c>
      <c r="AM645" s="34" t="s">
        <v>925</v>
      </c>
      <c r="AN645" s="34">
        <v>43032</v>
      </c>
      <c r="AO645" s="24">
        <v>13</v>
      </c>
      <c r="AP645" t="s">
        <v>953</v>
      </c>
      <c r="AR645" s="35"/>
      <c r="AS645"/>
      <c r="AT645" s="34"/>
      <c r="AV645" s="34"/>
      <c r="AX645" s="34"/>
      <c r="AY645"/>
      <c r="BA645" s="34"/>
      <c r="BB645"/>
      <c r="BC645" t="s">
        <v>787</v>
      </c>
      <c r="BD645" s="36">
        <v>530842</v>
      </c>
      <c r="BE645" s="36">
        <v>530842</v>
      </c>
      <c r="BF645">
        <v>0</v>
      </c>
      <c r="BG645" s="34">
        <v>43344</v>
      </c>
      <c r="BH645">
        <v>60</v>
      </c>
      <c r="BI645" t="s">
        <v>283</v>
      </c>
      <c r="BJ645" t="s">
        <v>928</v>
      </c>
      <c r="BK645" t="s">
        <v>934</v>
      </c>
      <c r="BL645" t="s">
        <v>194</v>
      </c>
      <c r="BM645" s="8" t="s">
        <v>192</v>
      </c>
      <c r="BN645" t="s">
        <v>189</v>
      </c>
      <c r="BO645" t="s">
        <v>190</v>
      </c>
      <c r="BP645" s="35" t="s">
        <v>718</v>
      </c>
      <c r="BQ645"/>
      <c r="BU645" s="35"/>
      <c r="BV645" s="35"/>
      <c r="BX645"/>
      <c r="CA645" s="35"/>
      <c r="CB645" s="35"/>
      <c r="CC645"/>
      <c r="CG645" s="35"/>
      <c r="CH645" s="35"/>
      <c r="CK645"/>
      <c r="CM645" s="35"/>
      <c r="CN645" s="35"/>
      <c r="CQ645"/>
      <c r="CS645" s="35"/>
      <c r="CT645" s="35"/>
      <c r="CX645"/>
      <c r="CZ645" s="35"/>
      <c r="DD645" s="34"/>
      <c r="DG645" t="s">
        <v>785</v>
      </c>
      <c r="DH645" t="s">
        <v>954</v>
      </c>
      <c r="DI645" t="s">
        <v>286</v>
      </c>
      <c r="DL645" t="s">
        <v>672</v>
      </c>
      <c r="DM645">
        <v>4</v>
      </c>
      <c r="DN645">
        <v>7</v>
      </c>
      <c r="DO645" t="s">
        <v>786</v>
      </c>
      <c r="DQ645" t="s">
        <v>927</v>
      </c>
      <c r="DR645">
        <v>14</v>
      </c>
      <c r="DS645">
        <v>2</v>
      </c>
      <c r="DU645">
        <v>14</v>
      </c>
      <c r="DV645">
        <v>2</v>
      </c>
      <c r="DX645">
        <v>14</v>
      </c>
      <c r="DY645">
        <v>2</v>
      </c>
      <c r="DZ645" t="s">
        <v>246</v>
      </c>
      <c r="EA645" t="s">
        <v>929</v>
      </c>
    </row>
    <row r="646" spans="1:131" x14ac:dyDescent="0.4">
      <c r="A646" s="34">
        <v>43067.305104166669</v>
      </c>
      <c r="B646" s="25">
        <v>42935.359027777777</v>
      </c>
      <c r="D646" s="34"/>
      <c r="E646" s="34" t="s">
        <v>193</v>
      </c>
      <c r="F646" s="34" t="s">
        <v>191</v>
      </c>
      <c r="G646" s="34" t="s">
        <v>100</v>
      </c>
      <c r="H646" t="s">
        <v>279</v>
      </c>
      <c r="I646" t="s">
        <v>243</v>
      </c>
      <c r="J646" t="s">
        <v>712</v>
      </c>
      <c r="K646" t="s">
        <v>729</v>
      </c>
      <c r="L646" t="s">
        <v>711</v>
      </c>
      <c r="M646" s="30">
        <v>3.13</v>
      </c>
      <c r="N646">
        <v>5.25</v>
      </c>
      <c r="P646" s="24" t="str">
        <f>IFERROR(MID(RADataTable[[#This Row],[RATemplate]],1,LEN(RADataTable[[#This Row],[RATemplate]])-8),"RA") &amp; " " &amp; RADataTable[[#This Row],[prop_id0]] &amp; " " &amp; RADataTable[[#This Row],[last0]]</f>
        <v>RA 1750118 Li</v>
      </c>
      <c r="T646">
        <v>4</v>
      </c>
      <c r="U646">
        <v>4</v>
      </c>
      <c r="V646" s="34">
        <v>43031.584722222222</v>
      </c>
      <c r="W646">
        <v>1</v>
      </c>
      <c r="X646" s="15" t="str">
        <f>HYPERLINK("https://www.ejacket.nsf.gov/ej/showProposal.do?Continue=Y&amp;ID="&amp;RADataTable[[#This Row],[prop_id0]],"eJ")</f>
        <v>eJ</v>
      </c>
      <c r="Y646" s="15" t="str">
        <f>HYPERLINK("mailto:"&amp;RADataTable[[#This Row],[email]]&amp;"&amp;subject=Your NSF Proposal:  "&amp;RADataTable[[#This Row],[Div]]&amp;" "&amp;RADataTable[[#This Row],[prop_id0]], RADataTable[[#This Row],[email]])</f>
        <v>shil@buffalo.edu</v>
      </c>
      <c r="Z646" s="15" t="str">
        <f>HYPERLINK("mailto:"&amp;RADataTable[[#This Row],[allPIemail]]&amp;"&amp;subject=NSF Proposal:  "&amp;RADataTable[[#This Row],[Div]]&amp;" "&amp;RADataTable[[#This Row],[prop_id0]], "PIs@")</f>
        <v>PIs@</v>
      </c>
      <c r="AA646" t="s">
        <v>245</v>
      </c>
      <c r="AB646" t="s">
        <v>672</v>
      </c>
      <c r="AC646" s="30" t="s">
        <v>783</v>
      </c>
      <c r="AD646" t="s">
        <v>784</v>
      </c>
      <c r="AE646" t="s">
        <v>241</v>
      </c>
      <c r="AF646" s="36">
        <v>530842</v>
      </c>
      <c r="AG646" s="36">
        <v>530842</v>
      </c>
      <c r="AH646" s="24"/>
      <c r="AJ646" s="34"/>
      <c r="AK646" t="s">
        <v>923</v>
      </c>
      <c r="AL646" t="s">
        <v>287</v>
      </c>
      <c r="AM646" s="34" t="s">
        <v>925</v>
      </c>
      <c r="AN646" s="34">
        <v>43032</v>
      </c>
      <c r="AO646" s="24">
        <v>13</v>
      </c>
      <c r="AP646" t="s">
        <v>953</v>
      </c>
      <c r="AR646" s="35"/>
      <c r="AS646"/>
      <c r="AT646" s="34"/>
      <c r="AV646" s="34"/>
      <c r="AX646" s="34"/>
      <c r="AY646"/>
      <c r="BA646" s="34"/>
      <c r="BB646"/>
      <c r="BC646" t="s">
        <v>787</v>
      </c>
      <c r="BD646" s="36">
        <v>530842</v>
      </c>
      <c r="BE646" s="36">
        <v>530842</v>
      </c>
      <c r="BF646">
        <v>0</v>
      </c>
      <c r="BG646" s="34">
        <v>43344</v>
      </c>
      <c r="BH646">
        <v>60</v>
      </c>
      <c r="BI646" t="s">
        <v>283</v>
      </c>
      <c r="BJ646" t="s">
        <v>928</v>
      </c>
      <c r="BK646" t="s">
        <v>934</v>
      </c>
      <c r="BL646" t="s">
        <v>194</v>
      </c>
      <c r="BM646" s="8" t="s">
        <v>192</v>
      </c>
      <c r="BN646" t="s">
        <v>189</v>
      </c>
      <c r="BO646" t="s">
        <v>190</v>
      </c>
      <c r="BP646" s="35" t="s">
        <v>718</v>
      </c>
      <c r="BQ646"/>
      <c r="BU646" s="35"/>
      <c r="BV646" s="35"/>
      <c r="BX646"/>
      <c r="CA646" s="35"/>
      <c r="CB646" s="35"/>
      <c r="CC646"/>
      <c r="CG646" s="35"/>
      <c r="CH646" s="35"/>
      <c r="CK646"/>
      <c r="CM646" s="35"/>
      <c r="CN646" s="35"/>
      <c r="CQ646"/>
      <c r="CS646" s="35"/>
      <c r="CT646" s="35"/>
      <c r="CX646"/>
      <c r="CZ646" s="35"/>
      <c r="DD646" s="34"/>
      <c r="DG646" t="s">
        <v>785</v>
      </c>
      <c r="DH646" t="s">
        <v>954</v>
      </c>
      <c r="DI646" t="s">
        <v>286</v>
      </c>
      <c r="DL646" t="s">
        <v>672</v>
      </c>
      <c r="DM646">
        <v>4</v>
      </c>
      <c r="DN646">
        <v>7</v>
      </c>
      <c r="DO646" t="s">
        <v>786</v>
      </c>
      <c r="DQ646" t="s">
        <v>927</v>
      </c>
      <c r="DR646">
        <v>14</v>
      </c>
      <c r="DS646">
        <v>2</v>
      </c>
      <c r="DU646">
        <v>14</v>
      </c>
      <c r="DV646">
        <v>2</v>
      </c>
      <c r="DX646">
        <v>14</v>
      </c>
      <c r="DY646">
        <v>2</v>
      </c>
      <c r="DZ646" t="s">
        <v>246</v>
      </c>
      <c r="EA646" t="s">
        <v>929</v>
      </c>
    </row>
    <row r="647" spans="1:131" x14ac:dyDescent="0.4">
      <c r="A647" s="34">
        <v>43067.305104166669</v>
      </c>
      <c r="B647" s="25">
        <v>42935.359027777777</v>
      </c>
      <c r="D647" s="34"/>
      <c r="E647" s="34" t="s">
        <v>193</v>
      </c>
      <c r="F647" s="34" t="s">
        <v>191</v>
      </c>
      <c r="G647" s="34" t="s">
        <v>100</v>
      </c>
      <c r="H647" t="s">
        <v>279</v>
      </c>
      <c r="I647" t="s">
        <v>243</v>
      </c>
      <c r="J647" t="s">
        <v>712</v>
      </c>
      <c r="K647" t="s">
        <v>729</v>
      </c>
      <c r="L647" t="s">
        <v>711</v>
      </c>
      <c r="M647" s="30">
        <v>3.13</v>
      </c>
      <c r="N647">
        <v>5.25</v>
      </c>
      <c r="P647" s="24" t="str">
        <f>IFERROR(MID(RADataTable[[#This Row],[RATemplate]],1,LEN(RADataTable[[#This Row],[RATemplate]])-8),"RA") &amp; " " &amp; RADataTable[[#This Row],[prop_id0]] &amp; " " &amp; RADataTable[[#This Row],[last0]]</f>
        <v>RA 1750118 Li</v>
      </c>
      <c r="T647">
        <v>4</v>
      </c>
      <c r="U647">
        <v>4</v>
      </c>
      <c r="V647" s="34">
        <v>43031.584722222222</v>
      </c>
      <c r="W647">
        <v>1</v>
      </c>
      <c r="X647" s="15" t="str">
        <f>HYPERLINK("https://www.ejacket.nsf.gov/ej/showProposal.do?Continue=Y&amp;ID="&amp;RADataTable[[#This Row],[prop_id0]],"eJ")</f>
        <v>eJ</v>
      </c>
      <c r="Y647" s="15" t="str">
        <f>HYPERLINK("mailto:"&amp;RADataTable[[#This Row],[email]]&amp;"&amp;subject=Your NSF Proposal:  "&amp;RADataTable[[#This Row],[Div]]&amp;" "&amp;RADataTable[[#This Row],[prop_id0]], RADataTable[[#This Row],[email]])</f>
        <v>shil@buffalo.edu</v>
      </c>
      <c r="Z647" s="15" t="str">
        <f>HYPERLINK("mailto:"&amp;RADataTable[[#This Row],[allPIemail]]&amp;"&amp;subject=NSF Proposal:  "&amp;RADataTable[[#This Row],[Div]]&amp;" "&amp;RADataTable[[#This Row],[prop_id0]], "PIs@")</f>
        <v>PIs@</v>
      </c>
      <c r="AA647" t="s">
        <v>245</v>
      </c>
      <c r="AB647" t="s">
        <v>672</v>
      </c>
      <c r="AC647" s="30" t="s">
        <v>783</v>
      </c>
      <c r="AD647" t="s">
        <v>784</v>
      </c>
      <c r="AE647" t="s">
        <v>241</v>
      </c>
      <c r="AF647" s="36">
        <v>530842</v>
      </c>
      <c r="AG647" s="36">
        <v>530842</v>
      </c>
      <c r="AH647" s="24"/>
      <c r="AJ647" s="34"/>
      <c r="AK647" t="s">
        <v>923</v>
      </c>
      <c r="AL647" t="s">
        <v>287</v>
      </c>
      <c r="AM647" s="34" t="s">
        <v>925</v>
      </c>
      <c r="AN647" s="34">
        <v>43032</v>
      </c>
      <c r="AO647" s="24">
        <v>13</v>
      </c>
      <c r="AP647" t="s">
        <v>953</v>
      </c>
      <c r="AR647" s="35"/>
      <c r="AS647"/>
      <c r="AT647" s="34"/>
      <c r="AV647" s="34"/>
      <c r="AX647" s="34"/>
      <c r="AY647"/>
      <c r="BA647" s="34"/>
      <c r="BB647"/>
      <c r="BC647" t="s">
        <v>787</v>
      </c>
      <c r="BD647" s="36">
        <v>530842</v>
      </c>
      <c r="BE647" s="36">
        <v>530842</v>
      </c>
      <c r="BF647">
        <v>0</v>
      </c>
      <c r="BG647" s="34">
        <v>43344</v>
      </c>
      <c r="BH647">
        <v>60</v>
      </c>
      <c r="BI647" t="s">
        <v>283</v>
      </c>
      <c r="BJ647" t="s">
        <v>928</v>
      </c>
      <c r="BK647" t="s">
        <v>934</v>
      </c>
      <c r="BL647" t="s">
        <v>194</v>
      </c>
      <c r="BM647" s="8" t="s">
        <v>192</v>
      </c>
      <c r="BN647" t="s">
        <v>189</v>
      </c>
      <c r="BO647" t="s">
        <v>190</v>
      </c>
      <c r="BP647" s="35" t="s">
        <v>718</v>
      </c>
      <c r="BQ647"/>
      <c r="BU647" s="35"/>
      <c r="BV647" s="35"/>
      <c r="BX647"/>
      <c r="CA647" s="35"/>
      <c r="CB647" s="35"/>
      <c r="CC647"/>
      <c r="CG647" s="35"/>
      <c r="CH647" s="35"/>
      <c r="CK647"/>
      <c r="CM647" s="35"/>
      <c r="CN647" s="35"/>
      <c r="CQ647"/>
      <c r="CS647" s="35"/>
      <c r="CT647" s="35"/>
      <c r="CX647"/>
      <c r="CZ647" s="35"/>
      <c r="DD647" s="34"/>
      <c r="DG647" t="s">
        <v>785</v>
      </c>
      <c r="DH647" t="s">
        <v>954</v>
      </c>
      <c r="DI647" t="s">
        <v>286</v>
      </c>
      <c r="DL647" t="s">
        <v>672</v>
      </c>
      <c r="DM647">
        <v>4</v>
      </c>
      <c r="DN647">
        <v>7</v>
      </c>
      <c r="DO647" t="s">
        <v>786</v>
      </c>
      <c r="DQ647" t="s">
        <v>927</v>
      </c>
      <c r="DR647">
        <v>14</v>
      </c>
      <c r="DS647">
        <v>2</v>
      </c>
      <c r="DU647">
        <v>14</v>
      </c>
      <c r="DV647">
        <v>2</v>
      </c>
      <c r="DX647">
        <v>14</v>
      </c>
      <c r="DY647">
        <v>2</v>
      </c>
      <c r="DZ647" t="s">
        <v>246</v>
      </c>
      <c r="EA647" t="s">
        <v>929</v>
      </c>
    </row>
    <row r="648" spans="1:131" x14ac:dyDescent="0.4">
      <c r="A648" s="34">
        <v>43067.305104166669</v>
      </c>
      <c r="B648" s="25">
        <v>42935.359027777777</v>
      </c>
      <c r="D648" s="34"/>
      <c r="E648" s="34" t="s">
        <v>193</v>
      </c>
      <c r="F648" s="34" t="s">
        <v>191</v>
      </c>
      <c r="G648" s="34" t="s">
        <v>100</v>
      </c>
      <c r="H648" t="s">
        <v>279</v>
      </c>
      <c r="I648" t="s">
        <v>243</v>
      </c>
      <c r="J648" t="s">
        <v>712</v>
      </c>
      <c r="K648" t="s">
        <v>729</v>
      </c>
      <c r="L648" t="s">
        <v>711</v>
      </c>
      <c r="M648" s="30">
        <v>3.13</v>
      </c>
      <c r="N648">
        <v>5.25</v>
      </c>
      <c r="P648" s="24" t="str">
        <f>IFERROR(MID(RADataTable[[#This Row],[RATemplate]],1,LEN(RADataTable[[#This Row],[RATemplate]])-8),"RA") &amp; " " &amp; RADataTable[[#This Row],[prop_id0]] &amp; " " &amp; RADataTable[[#This Row],[last0]]</f>
        <v>RA 1750118 Li</v>
      </c>
      <c r="T648">
        <v>4</v>
      </c>
      <c r="U648">
        <v>4</v>
      </c>
      <c r="V648" s="34">
        <v>43031.584722222222</v>
      </c>
      <c r="W648">
        <v>1</v>
      </c>
      <c r="X648" s="15" t="str">
        <f>HYPERLINK("https://www.ejacket.nsf.gov/ej/showProposal.do?Continue=Y&amp;ID="&amp;RADataTable[[#This Row],[prop_id0]],"eJ")</f>
        <v>eJ</v>
      </c>
      <c r="Y648" s="15" t="str">
        <f>HYPERLINK("mailto:"&amp;RADataTable[[#This Row],[email]]&amp;"&amp;subject=Your NSF Proposal:  "&amp;RADataTable[[#This Row],[Div]]&amp;" "&amp;RADataTable[[#This Row],[prop_id0]], RADataTable[[#This Row],[email]])</f>
        <v>shil@buffalo.edu</v>
      </c>
      <c r="Z648" s="15" t="str">
        <f>HYPERLINK("mailto:"&amp;RADataTable[[#This Row],[allPIemail]]&amp;"&amp;subject=NSF Proposal:  "&amp;RADataTable[[#This Row],[Div]]&amp;" "&amp;RADataTable[[#This Row],[prop_id0]], "PIs@")</f>
        <v>PIs@</v>
      </c>
      <c r="AA648" t="s">
        <v>245</v>
      </c>
      <c r="AB648" t="s">
        <v>672</v>
      </c>
      <c r="AC648" s="30" t="s">
        <v>783</v>
      </c>
      <c r="AD648" t="s">
        <v>784</v>
      </c>
      <c r="AE648" t="s">
        <v>241</v>
      </c>
      <c r="AF648" s="36">
        <v>530842</v>
      </c>
      <c r="AG648" s="36">
        <v>530842</v>
      </c>
      <c r="AH648" s="24"/>
      <c r="AJ648" s="34"/>
      <c r="AK648" t="s">
        <v>923</v>
      </c>
      <c r="AL648" t="s">
        <v>287</v>
      </c>
      <c r="AM648" s="34" t="s">
        <v>925</v>
      </c>
      <c r="AN648" s="34">
        <v>43032</v>
      </c>
      <c r="AO648" s="24">
        <v>13</v>
      </c>
      <c r="AP648" t="s">
        <v>953</v>
      </c>
      <c r="AR648" s="35"/>
      <c r="AS648"/>
      <c r="AT648" s="34"/>
      <c r="AV648" s="34"/>
      <c r="AX648" s="34"/>
      <c r="AY648"/>
      <c r="BA648" s="34"/>
      <c r="BB648"/>
      <c r="BC648" t="s">
        <v>787</v>
      </c>
      <c r="BD648" s="36">
        <v>530842</v>
      </c>
      <c r="BE648" s="36">
        <v>530842</v>
      </c>
      <c r="BF648">
        <v>0</v>
      </c>
      <c r="BG648" s="34">
        <v>43344</v>
      </c>
      <c r="BH648">
        <v>60</v>
      </c>
      <c r="BI648" t="s">
        <v>283</v>
      </c>
      <c r="BJ648" t="s">
        <v>928</v>
      </c>
      <c r="BK648" t="s">
        <v>934</v>
      </c>
      <c r="BL648" t="s">
        <v>194</v>
      </c>
      <c r="BM648" s="8" t="s">
        <v>192</v>
      </c>
      <c r="BN648" t="s">
        <v>189</v>
      </c>
      <c r="BO648" t="s">
        <v>190</v>
      </c>
      <c r="BP648" s="35" t="s">
        <v>718</v>
      </c>
      <c r="BQ648"/>
      <c r="BU648" s="35"/>
      <c r="BV648" s="35"/>
      <c r="BX648"/>
      <c r="CA648" s="35"/>
      <c r="CB648" s="35"/>
      <c r="CC648"/>
      <c r="CG648" s="35"/>
      <c r="CH648" s="35"/>
      <c r="CK648"/>
      <c r="CM648" s="35"/>
      <c r="CN648" s="35"/>
      <c r="CQ648"/>
      <c r="CS648" s="35"/>
      <c r="CT648" s="35"/>
      <c r="CX648"/>
      <c r="CZ648" s="35"/>
      <c r="DD648" s="34"/>
      <c r="DG648" t="s">
        <v>785</v>
      </c>
      <c r="DH648" t="s">
        <v>954</v>
      </c>
      <c r="DI648" t="s">
        <v>286</v>
      </c>
      <c r="DL648" t="s">
        <v>672</v>
      </c>
      <c r="DM648">
        <v>4</v>
      </c>
      <c r="DN648">
        <v>7</v>
      </c>
      <c r="DO648" t="s">
        <v>786</v>
      </c>
      <c r="DQ648" t="s">
        <v>927</v>
      </c>
      <c r="DR648">
        <v>14</v>
      </c>
      <c r="DS648">
        <v>2</v>
      </c>
      <c r="DU648">
        <v>14</v>
      </c>
      <c r="DV648">
        <v>2</v>
      </c>
      <c r="DX648">
        <v>14</v>
      </c>
      <c r="DY648">
        <v>2</v>
      </c>
      <c r="DZ648" t="s">
        <v>246</v>
      </c>
      <c r="EA648" t="s">
        <v>929</v>
      </c>
    </row>
    <row r="649" spans="1:131" x14ac:dyDescent="0.4">
      <c r="A649" s="34">
        <v>43067.305104166669</v>
      </c>
      <c r="B649" s="25">
        <v>42935.359027777777</v>
      </c>
      <c r="D649" s="34"/>
      <c r="E649" s="34" t="s">
        <v>193</v>
      </c>
      <c r="F649" s="34" t="s">
        <v>191</v>
      </c>
      <c r="G649" s="34" t="s">
        <v>100</v>
      </c>
      <c r="H649" t="s">
        <v>279</v>
      </c>
      <c r="I649" t="s">
        <v>243</v>
      </c>
      <c r="J649" t="s">
        <v>712</v>
      </c>
      <c r="K649" t="s">
        <v>729</v>
      </c>
      <c r="L649" t="s">
        <v>711</v>
      </c>
      <c r="M649" s="30">
        <v>3.13</v>
      </c>
      <c r="N649">
        <v>5.25</v>
      </c>
      <c r="P649" s="24" t="str">
        <f>IFERROR(MID(RADataTable[[#This Row],[RATemplate]],1,LEN(RADataTable[[#This Row],[RATemplate]])-8),"RA") &amp; " " &amp; RADataTable[[#This Row],[prop_id0]] &amp; " " &amp; RADataTable[[#This Row],[last0]]</f>
        <v>RA 1750118 Li</v>
      </c>
      <c r="T649">
        <v>4</v>
      </c>
      <c r="U649">
        <v>4</v>
      </c>
      <c r="V649" s="34">
        <v>43031.584722222222</v>
      </c>
      <c r="W649">
        <v>1</v>
      </c>
      <c r="X649" s="15" t="str">
        <f>HYPERLINK("https://www.ejacket.nsf.gov/ej/showProposal.do?Continue=Y&amp;ID="&amp;RADataTable[[#This Row],[prop_id0]],"eJ")</f>
        <v>eJ</v>
      </c>
      <c r="Y649" s="15" t="str">
        <f>HYPERLINK("mailto:"&amp;RADataTable[[#This Row],[email]]&amp;"&amp;subject=Your NSF Proposal:  "&amp;RADataTable[[#This Row],[Div]]&amp;" "&amp;RADataTable[[#This Row],[prop_id0]], RADataTable[[#This Row],[email]])</f>
        <v>shil@buffalo.edu</v>
      </c>
      <c r="Z649" s="15" t="str">
        <f>HYPERLINK("mailto:"&amp;RADataTable[[#This Row],[allPIemail]]&amp;"&amp;subject=NSF Proposal:  "&amp;RADataTable[[#This Row],[Div]]&amp;" "&amp;RADataTable[[#This Row],[prop_id0]], "PIs@")</f>
        <v>PIs@</v>
      </c>
      <c r="AA649" t="s">
        <v>245</v>
      </c>
      <c r="AB649" t="s">
        <v>672</v>
      </c>
      <c r="AC649" s="30" t="s">
        <v>783</v>
      </c>
      <c r="AD649" t="s">
        <v>784</v>
      </c>
      <c r="AE649" t="s">
        <v>241</v>
      </c>
      <c r="AF649" s="36">
        <v>530842</v>
      </c>
      <c r="AG649" s="36">
        <v>530842</v>
      </c>
      <c r="AH649" s="24"/>
      <c r="AJ649" s="34"/>
      <c r="AK649" t="s">
        <v>923</v>
      </c>
      <c r="AL649" t="s">
        <v>287</v>
      </c>
      <c r="AM649" s="34" t="s">
        <v>925</v>
      </c>
      <c r="AN649" s="34">
        <v>43032</v>
      </c>
      <c r="AO649" s="24">
        <v>13</v>
      </c>
      <c r="AP649" t="s">
        <v>953</v>
      </c>
      <c r="AR649" s="35"/>
      <c r="AS649"/>
      <c r="AT649" s="34"/>
      <c r="AV649" s="34"/>
      <c r="AX649" s="34"/>
      <c r="AY649"/>
      <c r="BA649" s="34"/>
      <c r="BB649"/>
      <c r="BC649" t="s">
        <v>787</v>
      </c>
      <c r="BD649" s="36">
        <v>530842</v>
      </c>
      <c r="BE649" s="36">
        <v>530842</v>
      </c>
      <c r="BF649">
        <v>0</v>
      </c>
      <c r="BG649" s="34">
        <v>43344</v>
      </c>
      <c r="BH649">
        <v>60</v>
      </c>
      <c r="BI649" t="s">
        <v>283</v>
      </c>
      <c r="BJ649" t="s">
        <v>928</v>
      </c>
      <c r="BK649" t="s">
        <v>934</v>
      </c>
      <c r="BL649" t="s">
        <v>194</v>
      </c>
      <c r="BM649" s="8" t="s">
        <v>192</v>
      </c>
      <c r="BN649" t="s">
        <v>189</v>
      </c>
      <c r="BO649" t="s">
        <v>190</v>
      </c>
      <c r="BP649" s="35" t="s">
        <v>718</v>
      </c>
      <c r="BQ649"/>
      <c r="BU649" s="35"/>
      <c r="BV649" s="35"/>
      <c r="BX649"/>
      <c r="CA649" s="35"/>
      <c r="CB649" s="35"/>
      <c r="CC649"/>
      <c r="CG649" s="35"/>
      <c r="CH649" s="35"/>
      <c r="CK649"/>
      <c r="CM649" s="35"/>
      <c r="CN649" s="35"/>
      <c r="CQ649"/>
      <c r="CS649" s="35"/>
      <c r="CT649" s="35"/>
      <c r="CX649"/>
      <c r="CZ649" s="35"/>
      <c r="DD649" s="34"/>
      <c r="DG649" t="s">
        <v>785</v>
      </c>
      <c r="DH649" t="s">
        <v>954</v>
      </c>
      <c r="DI649" t="s">
        <v>286</v>
      </c>
      <c r="DL649" t="s">
        <v>672</v>
      </c>
      <c r="DM649">
        <v>4</v>
      </c>
      <c r="DN649">
        <v>7</v>
      </c>
      <c r="DO649" t="s">
        <v>786</v>
      </c>
      <c r="DQ649" t="s">
        <v>927</v>
      </c>
      <c r="DR649">
        <v>14</v>
      </c>
      <c r="DS649">
        <v>2</v>
      </c>
      <c r="DU649">
        <v>14</v>
      </c>
      <c r="DV649">
        <v>2</v>
      </c>
      <c r="DX649">
        <v>14</v>
      </c>
      <c r="DY649">
        <v>2</v>
      </c>
      <c r="DZ649" t="s">
        <v>246</v>
      </c>
      <c r="EA649" t="s">
        <v>929</v>
      </c>
    </row>
    <row r="650" spans="1:131" x14ac:dyDescent="0.4">
      <c r="A650" s="34">
        <v>43067.305104166669</v>
      </c>
      <c r="B650" s="25">
        <v>42935.359027777777</v>
      </c>
      <c r="D650" s="34"/>
      <c r="E650" s="34" t="s">
        <v>193</v>
      </c>
      <c r="F650" s="34" t="s">
        <v>191</v>
      </c>
      <c r="G650" s="34" t="s">
        <v>100</v>
      </c>
      <c r="H650" t="s">
        <v>279</v>
      </c>
      <c r="I650" t="s">
        <v>243</v>
      </c>
      <c r="J650" t="s">
        <v>712</v>
      </c>
      <c r="K650" t="s">
        <v>729</v>
      </c>
      <c r="L650" t="s">
        <v>711</v>
      </c>
      <c r="M650" s="30">
        <v>3.13</v>
      </c>
      <c r="N650">
        <v>5.25</v>
      </c>
      <c r="P650" s="24" t="str">
        <f>IFERROR(MID(RADataTable[[#This Row],[RATemplate]],1,LEN(RADataTable[[#This Row],[RATemplate]])-8),"RA") &amp; " " &amp; RADataTable[[#This Row],[prop_id0]] &amp; " " &amp; RADataTable[[#This Row],[last0]]</f>
        <v>RA 1750118 Li</v>
      </c>
      <c r="T650">
        <v>4</v>
      </c>
      <c r="U650">
        <v>4</v>
      </c>
      <c r="V650" s="34">
        <v>43031.584722222222</v>
      </c>
      <c r="W650">
        <v>1</v>
      </c>
      <c r="X650" s="15" t="str">
        <f>HYPERLINK("https://www.ejacket.nsf.gov/ej/showProposal.do?Continue=Y&amp;ID="&amp;RADataTable[[#This Row],[prop_id0]],"eJ")</f>
        <v>eJ</v>
      </c>
      <c r="Y650" s="15" t="str">
        <f>HYPERLINK("mailto:"&amp;RADataTable[[#This Row],[email]]&amp;"&amp;subject=Your NSF Proposal:  "&amp;RADataTable[[#This Row],[Div]]&amp;" "&amp;RADataTable[[#This Row],[prop_id0]], RADataTable[[#This Row],[email]])</f>
        <v>shil@buffalo.edu</v>
      </c>
      <c r="Z650" s="15" t="str">
        <f>HYPERLINK("mailto:"&amp;RADataTable[[#This Row],[allPIemail]]&amp;"&amp;subject=NSF Proposal:  "&amp;RADataTable[[#This Row],[Div]]&amp;" "&amp;RADataTable[[#This Row],[prop_id0]], "PIs@")</f>
        <v>PIs@</v>
      </c>
      <c r="AA650" t="s">
        <v>245</v>
      </c>
      <c r="AB650" t="s">
        <v>672</v>
      </c>
      <c r="AC650" s="30" t="s">
        <v>783</v>
      </c>
      <c r="AD650" t="s">
        <v>784</v>
      </c>
      <c r="AE650" t="s">
        <v>241</v>
      </c>
      <c r="AF650" s="36">
        <v>530842</v>
      </c>
      <c r="AG650" s="36">
        <v>530842</v>
      </c>
      <c r="AH650" s="24"/>
      <c r="AJ650" s="34"/>
      <c r="AK650" t="s">
        <v>923</v>
      </c>
      <c r="AL650" t="s">
        <v>287</v>
      </c>
      <c r="AM650" s="34" t="s">
        <v>925</v>
      </c>
      <c r="AN650" s="34">
        <v>43032</v>
      </c>
      <c r="AO650" s="24">
        <v>13</v>
      </c>
      <c r="AP650" t="s">
        <v>953</v>
      </c>
      <c r="AR650" s="35"/>
      <c r="AS650"/>
      <c r="AT650" s="34"/>
      <c r="AV650" s="34"/>
      <c r="AX650" s="34"/>
      <c r="AY650"/>
      <c r="BA650" s="34"/>
      <c r="BB650"/>
      <c r="BC650" t="s">
        <v>787</v>
      </c>
      <c r="BD650" s="36">
        <v>530842</v>
      </c>
      <c r="BE650" s="36">
        <v>530842</v>
      </c>
      <c r="BF650">
        <v>0</v>
      </c>
      <c r="BG650" s="34">
        <v>43344</v>
      </c>
      <c r="BH650">
        <v>60</v>
      </c>
      <c r="BI650" t="s">
        <v>283</v>
      </c>
      <c r="BJ650" t="s">
        <v>928</v>
      </c>
      <c r="BK650" t="s">
        <v>934</v>
      </c>
      <c r="BL650" t="s">
        <v>194</v>
      </c>
      <c r="BM650" s="8" t="s">
        <v>192</v>
      </c>
      <c r="BN650" t="s">
        <v>189</v>
      </c>
      <c r="BO650" t="s">
        <v>190</v>
      </c>
      <c r="BP650" s="35" t="s">
        <v>718</v>
      </c>
      <c r="BQ650"/>
      <c r="BU650" s="35"/>
      <c r="BV650" s="35"/>
      <c r="BX650"/>
      <c r="CA650" s="35"/>
      <c r="CB650" s="35"/>
      <c r="CC650"/>
      <c r="CG650" s="35"/>
      <c r="CH650" s="35"/>
      <c r="CK650"/>
      <c r="CM650" s="35"/>
      <c r="CN650" s="35"/>
      <c r="CQ650"/>
      <c r="CS650" s="35"/>
      <c r="CT650" s="35"/>
      <c r="CX650"/>
      <c r="CZ650" s="35"/>
      <c r="DD650" s="34"/>
      <c r="DG650" t="s">
        <v>785</v>
      </c>
      <c r="DH650" t="s">
        <v>954</v>
      </c>
      <c r="DI650" t="s">
        <v>286</v>
      </c>
      <c r="DL650" t="s">
        <v>672</v>
      </c>
      <c r="DM650">
        <v>4</v>
      </c>
      <c r="DN650">
        <v>7</v>
      </c>
      <c r="DO650" t="s">
        <v>786</v>
      </c>
      <c r="DQ650" t="s">
        <v>927</v>
      </c>
      <c r="DR650">
        <v>14</v>
      </c>
      <c r="DS650">
        <v>2</v>
      </c>
      <c r="DU650">
        <v>14</v>
      </c>
      <c r="DV650">
        <v>2</v>
      </c>
      <c r="DX650">
        <v>14</v>
      </c>
      <c r="DY650">
        <v>2</v>
      </c>
      <c r="DZ650" t="s">
        <v>246</v>
      </c>
      <c r="EA650" t="s">
        <v>929</v>
      </c>
    </row>
    <row r="651" spans="1:131" x14ac:dyDescent="0.4">
      <c r="A651" s="34">
        <v>43067.305104166669</v>
      </c>
      <c r="B651" s="25">
        <v>42935.359027777777</v>
      </c>
      <c r="D651" s="34"/>
      <c r="E651" s="34" t="s">
        <v>193</v>
      </c>
      <c r="F651" s="34" t="s">
        <v>191</v>
      </c>
      <c r="G651" s="34" t="s">
        <v>100</v>
      </c>
      <c r="H651" t="s">
        <v>279</v>
      </c>
      <c r="I651" t="s">
        <v>243</v>
      </c>
      <c r="J651" t="s">
        <v>712</v>
      </c>
      <c r="K651" t="s">
        <v>729</v>
      </c>
      <c r="L651" t="s">
        <v>711</v>
      </c>
      <c r="M651" s="30">
        <v>3.13</v>
      </c>
      <c r="N651">
        <v>5.25</v>
      </c>
      <c r="P651" s="24" t="str">
        <f>IFERROR(MID(RADataTable[[#This Row],[RATemplate]],1,LEN(RADataTable[[#This Row],[RATemplate]])-8),"RA") &amp; " " &amp; RADataTable[[#This Row],[prop_id0]] &amp; " " &amp; RADataTable[[#This Row],[last0]]</f>
        <v>RA 1750118 Li</v>
      </c>
      <c r="T651">
        <v>4</v>
      </c>
      <c r="U651">
        <v>4</v>
      </c>
      <c r="V651" s="34">
        <v>43031.584722222222</v>
      </c>
      <c r="W651">
        <v>1</v>
      </c>
      <c r="X651" s="15" t="str">
        <f>HYPERLINK("https://www.ejacket.nsf.gov/ej/showProposal.do?Continue=Y&amp;ID="&amp;RADataTable[[#This Row],[prop_id0]],"eJ")</f>
        <v>eJ</v>
      </c>
      <c r="Y651" s="15" t="str">
        <f>HYPERLINK("mailto:"&amp;RADataTable[[#This Row],[email]]&amp;"&amp;subject=Your NSF Proposal:  "&amp;RADataTable[[#This Row],[Div]]&amp;" "&amp;RADataTable[[#This Row],[prop_id0]], RADataTable[[#This Row],[email]])</f>
        <v>shil@buffalo.edu</v>
      </c>
      <c r="Z651" s="15" t="str">
        <f>HYPERLINK("mailto:"&amp;RADataTable[[#This Row],[allPIemail]]&amp;"&amp;subject=NSF Proposal:  "&amp;RADataTable[[#This Row],[Div]]&amp;" "&amp;RADataTable[[#This Row],[prop_id0]], "PIs@")</f>
        <v>PIs@</v>
      </c>
      <c r="AA651" t="s">
        <v>245</v>
      </c>
      <c r="AB651" t="s">
        <v>672</v>
      </c>
      <c r="AC651" s="30" t="s">
        <v>783</v>
      </c>
      <c r="AD651" t="s">
        <v>784</v>
      </c>
      <c r="AE651" t="s">
        <v>241</v>
      </c>
      <c r="AF651" s="36">
        <v>530842</v>
      </c>
      <c r="AG651" s="36">
        <v>530842</v>
      </c>
      <c r="AH651" s="24"/>
      <c r="AJ651" s="34"/>
      <c r="AK651" t="s">
        <v>923</v>
      </c>
      <c r="AL651" t="s">
        <v>287</v>
      </c>
      <c r="AM651" s="34" t="s">
        <v>925</v>
      </c>
      <c r="AN651" s="34">
        <v>43032</v>
      </c>
      <c r="AO651" s="24">
        <v>13</v>
      </c>
      <c r="AP651" t="s">
        <v>953</v>
      </c>
      <c r="AR651" s="35"/>
      <c r="AS651"/>
      <c r="AT651" s="34"/>
      <c r="AV651" s="34"/>
      <c r="AX651" s="34"/>
      <c r="AY651"/>
      <c r="BA651" s="34"/>
      <c r="BB651"/>
      <c r="BC651" t="s">
        <v>787</v>
      </c>
      <c r="BD651" s="36">
        <v>530842</v>
      </c>
      <c r="BE651" s="36">
        <v>530842</v>
      </c>
      <c r="BF651">
        <v>0</v>
      </c>
      <c r="BG651" s="34">
        <v>43344</v>
      </c>
      <c r="BH651">
        <v>60</v>
      </c>
      <c r="BI651" t="s">
        <v>283</v>
      </c>
      <c r="BJ651" t="s">
        <v>928</v>
      </c>
      <c r="BK651" t="s">
        <v>934</v>
      </c>
      <c r="BL651" t="s">
        <v>194</v>
      </c>
      <c r="BM651" s="8" t="s">
        <v>192</v>
      </c>
      <c r="BN651" t="s">
        <v>189</v>
      </c>
      <c r="BO651" t="s">
        <v>190</v>
      </c>
      <c r="BP651" s="35" t="s">
        <v>718</v>
      </c>
      <c r="BQ651"/>
      <c r="BU651" s="35"/>
      <c r="BV651" s="35"/>
      <c r="BX651"/>
      <c r="CA651" s="35"/>
      <c r="CB651" s="35"/>
      <c r="CC651"/>
      <c r="CG651" s="35"/>
      <c r="CH651" s="35"/>
      <c r="CK651"/>
      <c r="CM651" s="35"/>
      <c r="CN651" s="35"/>
      <c r="CQ651"/>
      <c r="CS651" s="35"/>
      <c r="CT651" s="35"/>
      <c r="CX651"/>
      <c r="CZ651" s="35"/>
      <c r="DD651" s="34"/>
      <c r="DG651" t="s">
        <v>785</v>
      </c>
      <c r="DH651" t="s">
        <v>954</v>
      </c>
      <c r="DI651" t="s">
        <v>286</v>
      </c>
      <c r="DL651" t="s">
        <v>672</v>
      </c>
      <c r="DM651">
        <v>4</v>
      </c>
      <c r="DN651">
        <v>7</v>
      </c>
      <c r="DO651" t="s">
        <v>786</v>
      </c>
      <c r="DQ651" t="s">
        <v>927</v>
      </c>
      <c r="DR651">
        <v>14</v>
      </c>
      <c r="DS651">
        <v>2</v>
      </c>
      <c r="DU651">
        <v>14</v>
      </c>
      <c r="DV651">
        <v>2</v>
      </c>
      <c r="DX651">
        <v>14</v>
      </c>
      <c r="DY651">
        <v>2</v>
      </c>
      <c r="DZ651" t="s">
        <v>246</v>
      </c>
      <c r="EA651" t="s">
        <v>929</v>
      </c>
    </row>
    <row r="652" spans="1:131" x14ac:dyDescent="0.4">
      <c r="A652" s="34">
        <v>43067.305104166669</v>
      </c>
      <c r="B652" s="25">
        <v>42935.359027777777</v>
      </c>
      <c r="D652" s="34"/>
      <c r="E652" s="34" t="s">
        <v>193</v>
      </c>
      <c r="F652" s="34" t="s">
        <v>191</v>
      </c>
      <c r="G652" s="34" t="s">
        <v>100</v>
      </c>
      <c r="H652" t="s">
        <v>279</v>
      </c>
      <c r="I652" t="s">
        <v>243</v>
      </c>
      <c r="J652" t="s">
        <v>712</v>
      </c>
      <c r="K652" t="s">
        <v>729</v>
      </c>
      <c r="L652" t="s">
        <v>711</v>
      </c>
      <c r="M652" s="30">
        <v>3.13</v>
      </c>
      <c r="N652">
        <v>5.25</v>
      </c>
      <c r="P652" s="24" t="str">
        <f>IFERROR(MID(RADataTable[[#This Row],[RATemplate]],1,LEN(RADataTable[[#This Row],[RATemplate]])-8),"RA") &amp; " " &amp; RADataTable[[#This Row],[prop_id0]] &amp; " " &amp; RADataTable[[#This Row],[last0]]</f>
        <v>RA 1750118 Li</v>
      </c>
      <c r="T652">
        <v>4</v>
      </c>
      <c r="U652">
        <v>4</v>
      </c>
      <c r="V652" s="34">
        <v>43031.584722222222</v>
      </c>
      <c r="W652">
        <v>1</v>
      </c>
      <c r="X652" s="15" t="str">
        <f>HYPERLINK("https://www.ejacket.nsf.gov/ej/showProposal.do?Continue=Y&amp;ID="&amp;RADataTable[[#This Row],[prop_id0]],"eJ")</f>
        <v>eJ</v>
      </c>
      <c r="Y652" s="15" t="str">
        <f>HYPERLINK("mailto:"&amp;RADataTable[[#This Row],[email]]&amp;"&amp;subject=Your NSF Proposal:  "&amp;RADataTable[[#This Row],[Div]]&amp;" "&amp;RADataTable[[#This Row],[prop_id0]], RADataTable[[#This Row],[email]])</f>
        <v>shil@buffalo.edu</v>
      </c>
      <c r="Z652" s="15" t="str">
        <f>HYPERLINK("mailto:"&amp;RADataTable[[#This Row],[allPIemail]]&amp;"&amp;subject=NSF Proposal:  "&amp;RADataTable[[#This Row],[Div]]&amp;" "&amp;RADataTable[[#This Row],[prop_id0]], "PIs@")</f>
        <v>PIs@</v>
      </c>
      <c r="AA652" t="s">
        <v>245</v>
      </c>
      <c r="AB652" t="s">
        <v>672</v>
      </c>
      <c r="AC652" s="30" t="s">
        <v>783</v>
      </c>
      <c r="AD652" t="s">
        <v>784</v>
      </c>
      <c r="AE652" t="s">
        <v>241</v>
      </c>
      <c r="AF652" s="36">
        <v>530842</v>
      </c>
      <c r="AG652" s="36">
        <v>530842</v>
      </c>
      <c r="AH652" s="24"/>
      <c r="AJ652" s="34"/>
      <c r="AK652" t="s">
        <v>923</v>
      </c>
      <c r="AL652" t="s">
        <v>287</v>
      </c>
      <c r="AM652" s="34" t="s">
        <v>925</v>
      </c>
      <c r="AN652" s="34">
        <v>43032</v>
      </c>
      <c r="AO652" s="24">
        <v>13</v>
      </c>
      <c r="AP652" t="s">
        <v>953</v>
      </c>
      <c r="AR652" s="35"/>
      <c r="AS652"/>
      <c r="AT652" s="34"/>
      <c r="AV652" s="34"/>
      <c r="AX652" s="34"/>
      <c r="AY652"/>
      <c r="BA652" s="34"/>
      <c r="BB652"/>
      <c r="BC652" t="s">
        <v>787</v>
      </c>
      <c r="BD652" s="36">
        <v>530842</v>
      </c>
      <c r="BE652" s="36">
        <v>530842</v>
      </c>
      <c r="BF652">
        <v>0</v>
      </c>
      <c r="BG652" s="34">
        <v>43344</v>
      </c>
      <c r="BH652">
        <v>60</v>
      </c>
      <c r="BI652" t="s">
        <v>283</v>
      </c>
      <c r="BJ652" t="s">
        <v>928</v>
      </c>
      <c r="BK652" t="s">
        <v>934</v>
      </c>
      <c r="BL652" t="s">
        <v>194</v>
      </c>
      <c r="BM652" s="8" t="s">
        <v>192</v>
      </c>
      <c r="BN652" t="s">
        <v>189</v>
      </c>
      <c r="BO652" t="s">
        <v>190</v>
      </c>
      <c r="BP652" s="35" t="s">
        <v>718</v>
      </c>
      <c r="BQ652"/>
      <c r="BU652" s="35"/>
      <c r="BV652" s="35"/>
      <c r="BX652"/>
      <c r="CA652" s="35"/>
      <c r="CB652" s="35"/>
      <c r="CC652"/>
      <c r="CG652" s="35"/>
      <c r="CH652" s="35"/>
      <c r="CK652"/>
      <c r="CM652" s="35"/>
      <c r="CN652" s="35"/>
      <c r="CQ652"/>
      <c r="CS652" s="35"/>
      <c r="CT652" s="35"/>
      <c r="CX652"/>
      <c r="CZ652" s="35"/>
      <c r="DD652" s="34"/>
      <c r="DG652" t="s">
        <v>785</v>
      </c>
      <c r="DH652" t="s">
        <v>954</v>
      </c>
      <c r="DI652" t="s">
        <v>286</v>
      </c>
      <c r="DL652" t="s">
        <v>672</v>
      </c>
      <c r="DM652">
        <v>4</v>
      </c>
      <c r="DN652">
        <v>7</v>
      </c>
      <c r="DO652" t="s">
        <v>786</v>
      </c>
      <c r="DQ652" t="s">
        <v>927</v>
      </c>
      <c r="DR652">
        <v>14</v>
      </c>
      <c r="DS652">
        <v>2</v>
      </c>
      <c r="DU652">
        <v>14</v>
      </c>
      <c r="DV652">
        <v>2</v>
      </c>
      <c r="DX652">
        <v>14</v>
      </c>
      <c r="DY652">
        <v>2</v>
      </c>
      <c r="DZ652" t="s">
        <v>246</v>
      </c>
      <c r="EA652" t="s">
        <v>929</v>
      </c>
    </row>
    <row r="653" spans="1:131" x14ac:dyDescent="0.4">
      <c r="A653" s="34">
        <v>43067.305104166669</v>
      </c>
      <c r="B653" s="25">
        <v>42935.359027777777</v>
      </c>
      <c r="D653" s="34"/>
      <c r="E653" s="34" t="s">
        <v>193</v>
      </c>
      <c r="F653" s="34" t="s">
        <v>191</v>
      </c>
      <c r="G653" s="34" t="s">
        <v>100</v>
      </c>
      <c r="H653" t="s">
        <v>279</v>
      </c>
      <c r="I653" t="s">
        <v>243</v>
      </c>
      <c r="J653" t="s">
        <v>712</v>
      </c>
      <c r="K653" t="s">
        <v>729</v>
      </c>
      <c r="L653" t="s">
        <v>711</v>
      </c>
      <c r="M653" s="30">
        <v>3.13</v>
      </c>
      <c r="N653">
        <v>5.25</v>
      </c>
      <c r="P653" s="24" t="str">
        <f>IFERROR(MID(RADataTable[[#This Row],[RATemplate]],1,LEN(RADataTable[[#This Row],[RATemplate]])-8),"RA") &amp; " " &amp; RADataTable[[#This Row],[prop_id0]] &amp; " " &amp; RADataTable[[#This Row],[last0]]</f>
        <v>RA 1750118 Li</v>
      </c>
      <c r="T653">
        <v>4</v>
      </c>
      <c r="U653">
        <v>4</v>
      </c>
      <c r="V653" s="34">
        <v>43031.584722222222</v>
      </c>
      <c r="W653">
        <v>1</v>
      </c>
      <c r="X653" s="15" t="str">
        <f>HYPERLINK("https://www.ejacket.nsf.gov/ej/showProposal.do?Continue=Y&amp;ID="&amp;RADataTable[[#This Row],[prop_id0]],"eJ")</f>
        <v>eJ</v>
      </c>
      <c r="Y653" s="15" t="str">
        <f>HYPERLINK("mailto:"&amp;RADataTable[[#This Row],[email]]&amp;"&amp;subject=Your NSF Proposal:  "&amp;RADataTable[[#This Row],[Div]]&amp;" "&amp;RADataTable[[#This Row],[prop_id0]], RADataTable[[#This Row],[email]])</f>
        <v>shil@buffalo.edu</v>
      </c>
      <c r="Z653" s="15" t="str">
        <f>HYPERLINK("mailto:"&amp;RADataTable[[#This Row],[allPIemail]]&amp;"&amp;subject=NSF Proposal:  "&amp;RADataTable[[#This Row],[Div]]&amp;" "&amp;RADataTable[[#This Row],[prop_id0]], "PIs@")</f>
        <v>PIs@</v>
      </c>
      <c r="AA653" t="s">
        <v>245</v>
      </c>
      <c r="AB653" t="s">
        <v>672</v>
      </c>
      <c r="AC653" s="30" t="s">
        <v>783</v>
      </c>
      <c r="AD653" t="s">
        <v>784</v>
      </c>
      <c r="AE653" t="s">
        <v>241</v>
      </c>
      <c r="AF653" s="36">
        <v>530842</v>
      </c>
      <c r="AG653" s="36">
        <v>530842</v>
      </c>
      <c r="AH653" s="24"/>
      <c r="AJ653" s="34"/>
      <c r="AK653" t="s">
        <v>923</v>
      </c>
      <c r="AL653" t="s">
        <v>287</v>
      </c>
      <c r="AM653" s="34" t="s">
        <v>925</v>
      </c>
      <c r="AN653" s="34">
        <v>43032</v>
      </c>
      <c r="AO653" s="24">
        <v>13</v>
      </c>
      <c r="AP653" t="s">
        <v>953</v>
      </c>
      <c r="AR653" s="35"/>
      <c r="AS653"/>
      <c r="AT653" s="34"/>
      <c r="AV653" s="34"/>
      <c r="AX653" s="34"/>
      <c r="AY653"/>
      <c r="BA653" s="34"/>
      <c r="BB653"/>
      <c r="BC653" t="s">
        <v>787</v>
      </c>
      <c r="BD653" s="36">
        <v>530842</v>
      </c>
      <c r="BE653" s="36">
        <v>530842</v>
      </c>
      <c r="BF653">
        <v>0</v>
      </c>
      <c r="BG653" s="34">
        <v>43344</v>
      </c>
      <c r="BH653">
        <v>60</v>
      </c>
      <c r="BI653" t="s">
        <v>283</v>
      </c>
      <c r="BJ653" t="s">
        <v>928</v>
      </c>
      <c r="BK653" t="s">
        <v>934</v>
      </c>
      <c r="BL653" t="s">
        <v>194</v>
      </c>
      <c r="BM653" s="8" t="s">
        <v>192</v>
      </c>
      <c r="BN653" t="s">
        <v>189</v>
      </c>
      <c r="BO653" t="s">
        <v>190</v>
      </c>
      <c r="BP653" s="35" t="s">
        <v>718</v>
      </c>
      <c r="BQ653"/>
      <c r="BU653" s="35"/>
      <c r="BV653" s="35"/>
      <c r="BX653"/>
      <c r="CA653" s="35"/>
      <c r="CB653" s="35"/>
      <c r="CC653"/>
      <c r="CG653" s="35"/>
      <c r="CH653" s="35"/>
      <c r="CK653"/>
      <c r="CM653" s="35"/>
      <c r="CN653" s="35"/>
      <c r="CQ653"/>
      <c r="CS653" s="35"/>
      <c r="CT653" s="35"/>
      <c r="CX653"/>
      <c r="CZ653" s="35"/>
      <c r="DD653" s="34"/>
      <c r="DG653" t="s">
        <v>785</v>
      </c>
      <c r="DH653" t="s">
        <v>954</v>
      </c>
      <c r="DI653" t="s">
        <v>286</v>
      </c>
      <c r="DL653" t="s">
        <v>672</v>
      </c>
      <c r="DM653">
        <v>4</v>
      </c>
      <c r="DN653">
        <v>7</v>
      </c>
      <c r="DO653" t="s">
        <v>786</v>
      </c>
      <c r="DQ653" t="s">
        <v>927</v>
      </c>
      <c r="DR653">
        <v>14</v>
      </c>
      <c r="DS653">
        <v>2</v>
      </c>
      <c r="DU653">
        <v>14</v>
      </c>
      <c r="DV653">
        <v>2</v>
      </c>
      <c r="DX653">
        <v>14</v>
      </c>
      <c r="DY653">
        <v>2</v>
      </c>
      <c r="DZ653" t="s">
        <v>246</v>
      </c>
      <c r="EA653" t="s">
        <v>929</v>
      </c>
    </row>
    <row r="654" spans="1:131" x14ac:dyDescent="0.4">
      <c r="A654" s="34">
        <v>43067.305104166669</v>
      </c>
      <c r="B654" s="25">
        <v>42935.475694444445</v>
      </c>
      <c r="D654" s="34"/>
      <c r="E654" s="34" t="s">
        <v>193</v>
      </c>
      <c r="F654" s="34" t="s">
        <v>191</v>
      </c>
      <c r="G654" s="34" t="s">
        <v>100</v>
      </c>
      <c r="H654" t="s">
        <v>279</v>
      </c>
      <c r="I654" t="s">
        <v>243</v>
      </c>
      <c r="J654" t="s">
        <v>712</v>
      </c>
      <c r="K654" t="s">
        <v>729</v>
      </c>
      <c r="L654" t="s">
        <v>711</v>
      </c>
      <c r="M654" s="30">
        <v>3.13</v>
      </c>
      <c r="N654">
        <v>6.75</v>
      </c>
      <c r="P654" s="24" t="str">
        <f>IFERROR(MID(RADataTable[[#This Row],[RATemplate]],1,LEN(RADataTable[[#This Row],[RATemplate]])-8),"RA") &amp; " " &amp; RADataTable[[#This Row],[prop_id0]] &amp; " " &amp; RADataTable[[#This Row],[last0]]</f>
        <v>RA 1750302 Dinitz</v>
      </c>
      <c r="T654">
        <v>4</v>
      </c>
      <c r="U654">
        <v>4</v>
      </c>
      <c r="V654" s="34">
        <v>43030.96875</v>
      </c>
      <c r="W654">
        <v>1</v>
      </c>
      <c r="X654" s="15" t="str">
        <f>HYPERLINK("https://www.ejacket.nsf.gov/ej/showProposal.do?Continue=Y&amp;ID="&amp;RADataTable[[#This Row],[prop_id0]],"eJ")</f>
        <v>eJ</v>
      </c>
      <c r="Y654" s="15" t="str">
        <f>HYPERLINK("mailto:"&amp;RADataTable[[#This Row],[email]]&amp;"&amp;subject=Your NSF Proposal:  "&amp;RADataTable[[#This Row],[Div]]&amp;" "&amp;RADataTable[[#This Row],[prop_id0]], RADataTable[[#This Row],[email]])</f>
        <v>mdinitz@cs.jhu.edu</v>
      </c>
      <c r="Z654" s="15" t="str">
        <f>HYPERLINK("mailto:"&amp;RADataTable[[#This Row],[allPIemail]]&amp;"&amp;subject=NSF Proposal:  "&amp;RADataTable[[#This Row],[Div]]&amp;" "&amp;RADataTable[[#This Row],[prop_id0]], "PIs@")</f>
        <v>PIs@</v>
      </c>
      <c r="AA654" t="s">
        <v>245</v>
      </c>
      <c r="AB654" t="s">
        <v>675</v>
      </c>
      <c r="AC654" s="30" t="s">
        <v>801</v>
      </c>
      <c r="AD654" t="s">
        <v>296</v>
      </c>
      <c r="AE654" t="s">
        <v>802</v>
      </c>
      <c r="AF654" s="36">
        <v>507459</v>
      </c>
      <c r="AG654" s="36">
        <v>507459</v>
      </c>
      <c r="AH654" s="24"/>
      <c r="AJ654" s="34"/>
      <c r="AK654" t="s">
        <v>923</v>
      </c>
      <c r="AL654" t="s">
        <v>287</v>
      </c>
      <c r="AM654" s="34" t="s">
        <v>925</v>
      </c>
      <c r="AN654" s="34">
        <v>43032</v>
      </c>
      <c r="AO654" s="24">
        <v>13</v>
      </c>
      <c r="AP654" t="s">
        <v>958</v>
      </c>
      <c r="AR654" s="35"/>
      <c r="AS654"/>
      <c r="AT654" s="34"/>
      <c r="AV654" s="34"/>
      <c r="AX654" s="34"/>
      <c r="AY654"/>
      <c r="BA654" s="34"/>
      <c r="BB654"/>
      <c r="BC654" t="s">
        <v>805</v>
      </c>
      <c r="BD654" s="36">
        <v>507459</v>
      </c>
      <c r="BE654" s="36">
        <v>507459</v>
      </c>
      <c r="BF654">
        <v>0</v>
      </c>
      <c r="BG654" s="34">
        <v>43282</v>
      </c>
      <c r="BH654">
        <v>60</v>
      </c>
      <c r="BI654" t="s">
        <v>283</v>
      </c>
      <c r="BJ654" t="s">
        <v>928</v>
      </c>
      <c r="BK654" t="s">
        <v>934</v>
      </c>
      <c r="BL654" t="s">
        <v>194</v>
      </c>
      <c r="BM654" s="8" t="s">
        <v>192</v>
      </c>
      <c r="BN654" t="s">
        <v>189</v>
      </c>
      <c r="BO654" t="s">
        <v>190</v>
      </c>
      <c r="BP654" s="35" t="s">
        <v>718</v>
      </c>
      <c r="BQ654"/>
      <c r="BU654" s="35"/>
      <c r="BV654" s="35"/>
      <c r="BX654"/>
      <c r="CA654" s="35"/>
      <c r="CB654" s="35"/>
      <c r="CC654"/>
      <c r="CG654" s="35"/>
      <c r="CH654" s="35"/>
      <c r="CK654"/>
      <c r="CM654" s="35"/>
      <c r="CN654" s="35"/>
      <c r="CQ654"/>
      <c r="CS654" s="35"/>
      <c r="CT654" s="35"/>
      <c r="CX654"/>
      <c r="CZ654" s="35"/>
      <c r="DD654" s="34"/>
      <c r="DG654" t="s">
        <v>803</v>
      </c>
      <c r="DH654" t="s">
        <v>959</v>
      </c>
      <c r="DI654" t="s">
        <v>286</v>
      </c>
      <c r="DL654" t="s">
        <v>675</v>
      </c>
      <c r="DM654">
        <v>6</v>
      </c>
      <c r="DN654">
        <v>8</v>
      </c>
      <c r="DO654" t="s">
        <v>804</v>
      </c>
      <c r="DQ654" t="s">
        <v>927</v>
      </c>
      <c r="DR654">
        <v>14</v>
      </c>
      <c r="DS654">
        <v>1</v>
      </c>
      <c r="DU654">
        <v>14</v>
      </c>
      <c r="DV654">
        <v>1</v>
      </c>
      <c r="DX654">
        <v>14</v>
      </c>
      <c r="DY654">
        <v>1</v>
      </c>
      <c r="DZ654" t="s">
        <v>246</v>
      </c>
      <c r="EA654" t="s">
        <v>929</v>
      </c>
    </row>
    <row r="655" spans="1:131" x14ac:dyDescent="0.4">
      <c r="A655" s="34">
        <v>43067.305104166669</v>
      </c>
      <c r="B655" s="25">
        <v>42935.475694444445</v>
      </c>
      <c r="D655" s="34"/>
      <c r="E655" s="34" t="s">
        <v>193</v>
      </c>
      <c r="F655" s="34" t="s">
        <v>191</v>
      </c>
      <c r="G655" s="34" t="s">
        <v>100</v>
      </c>
      <c r="H655" t="s">
        <v>279</v>
      </c>
      <c r="I655" t="s">
        <v>243</v>
      </c>
      <c r="J655" t="s">
        <v>712</v>
      </c>
      <c r="K655" t="s">
        <v>729</v>
      </c>
      <c r="L655" t="s">
        <v>711</v>
      </c>
      <c r="M655" s="30">
        <v>3.13</v>
      </c>
      <c r="N655">
        <v>6.75</v>
      </c>
      <c r="P655" s="24" t="str">
        <f>IFERROR(MID(RADataTable[[#This Row],[RATemplate]],1,LEN(RADataTable[[#This Row],[RATemplate]])-8),"RA") &amp; " " &amp; RADataTable[[#This Row],[prop_id0]] &amp; " " &amp; RADataTable[[#This Row],[last0]]</f>
        <v>RA 1750302 Dinitz</v>
      </c>
      <c r="T655">
        <v>4</v>
      </c>
      <c r="U655">
        <v>4</v>
      </c>
      <c r="V655" s="34">
        <v>43030.96875</v>
      </c>
      <c r="W655">
        <v>1</v>
      </c>
      <c r="X655" s="15" t="str">
        <f>HYPERLINK("https://www.ejacket.nsf.gov/ej/showProposal.do?Continue=Y&amp;ID="&amp;RADataTable[[#This Row],[prop_id0]],"eJ")</f>
        <v>eJ</v>
      </c>
      <c r="Y655" s="15" t="str">
        <f>HYPERLINK("mailto:"&amp;RADataTable[[#This Row],[email]]&amp;"&amp;subject=Your NSF Proposal:  "&amp;RADataTable[[#This Row],[Div]]&amp;" "&amp;RADataTable[[#This Row],[prop_id0]], RADataTable[[#This Row],[email]])</f>
        <v>mdinitz@cs.jhu.edu</v>
      </c>
      <c r="Z655" s="15" t="str">
        <f>HYPERLINK("mailto:"&amp;RADataTable[[#This Row],[allPIemail]]&amp;"&amp;subject=NSF Proposal:  "&amp;RADataTable[[#This Row],[Div]]&amp;" "&amp;RADataTable[[#This Row],[prop_id0]], "PIs@")</f>
        <v>PIs@</v>
      </c>
      <c r="AA655" t="s">
        <v>245</v>
      </c>
      <c r="AB655" t="s">
        <v>675</v>
      </c>
      <c r="AC655" s="30" t="s">
        <v>801</v>
      </c>
      <c r="AD655" t="s">
        <v>296</v>
      </c>
      <c r="AE655" t="s">
        <v>802</v>
      </c>
      <c r="AF655" s="36">
        <v>507459</v>
      </c>
      <c r="AG655" s="36">
        <v>507459</v>
      </c>
      <c r="AH655" s="24"/>
      <c r="AJ655" s="34"/>
      <c r="AK655" t="s">
        <v>923</v>
      </c>
      <c r="AL655" t="s">
        <v>287</v>
      </c>
      <c r="AM655" s="34" t="s">
        <v>925</v>
      </c>
      <c r="AN655" s="34">
        <v>43032</v>
      </c>
      <c r="AO655" s="24">
        <v>13</v>
      </c>
      <c r="AP655" t="s">
        <v>958</v>
      </c>
      <c r="AR655" s="35"/>
      <c r="AS655"/>
      <c r="AT655" s="34"/>
      <c r="AV655" s="34"/>
      <c r="AX655" s="34"/>
      <c r="AY655"/>
      <c r="BA655" s="34"/>
      <c r="BB655"/>
      <c r="BC655" t="s">
        <v>805</v>
      </c>
      <c r="BD655" s="36">
        <v>507459</v>
      </c>
      <c r="BE655" s="36">
        <v>507459</v>
      </c>
      <c r="BF655">
        <v>0</v>
      </c>
      <c r="BG655" s="34">
        <v>43282</v>
      </c>
      <c r="BH655">
        <v>60</v>
      </c>
      <c r="BI655" t="s">
        <v>283</v>
      </c>
      <c r="BJ655" t="s">
        <v>928</v>
      </c>
      <c r="BK655" t="s">
        <v>934</v>
      </c>
      <c r="BL655" t="s">
        <v>194</v>
      </c>
      <c r="BM655" s="8" t="s">
        <v>192</v>
      </c>
      <c r="BN655" t="s">
        <v>189</v>
      </c>
      <c r="BO655" t="s">
        <v>190</v>
      </c>
      <c r="BP655" s="35" t="s">
        <v>718</v>
      </c>
      <c r="BQ655"/>
      <c r="BU655" s="35"/>
      <c r="BV655" s="35"/>
      <c r="BX655"/>
      <c r="CA655" s="35"/>
      <c r="CB655" s="35"/>
      <c r="CC655"/>
      <c r="CG655" s="35"/>
      <c r="CH655" s="35"/>
      <c r="CK655"/>
      <c r="CM655" s="35"/>
      <c r="CN655" s="35"/>
      <c r="CQ655"/>
      <c r="CS655" s="35"/>
      <c r="CT655" s="35"/>
      <c r="CX655"/>
      <c r="CZ655" s="35"/>
      <c r="DD655" s="34"/>
      <c r="DG655" t="s">
        <v>803</v>
      </c>
      <c r="DH655" t="s">
        <v>959</v>
      </c>
      <c r="DI655" t="s">
        <v>286</v>
      </c>
      <c r="DL655" t="s">
        <v>675</v>
      </c>
      <c r="DM655">
        <v>6</v>
      </c>
      <c r="DN655">
        <v>8</v>
      </c>
      <c r="DO655" t="s">
        <v>804</v>
      </c>
      <c r="DQ655" t="s">
        <v>927</v>
      </c>
      <c r="DR655">
        <v>14</v>
      </c>
      <c r="DS655">
        <v>1</v>
      </c>
      <c r="DU655">
        <v>14</v>
      </c>
      <c r="DV655">
        <v>1</v>
      </c>
      <c r="DX655">
        <v>14</v>
      </c>
      <c r="DY655">
        <v>1</v>
      </c>
      <c r="DZ655" t="s">
        <v>246</v>
      </c>
      <c r="EA655" t="s">
        <v>929</v>
      </c>
    </row>
    <row r="656" spans="1:131" x14ac:dyDescent="0.4">
      <c r="A656" s="34">
        <v>43067.305104166669</v>
      </c>
      <c r="B656" s="25">
        <v>42935.475694444445</v>
      </c>
      <c r="D656" s="34"/>
      <c r="E656" s="34" t="s">
        <v>193</v>
      </c>
      <c r="F656" s="34" t="s">
        <v>191</v>
      </c>
      <c r="G656" s="34" t="s">
        <v>100</v>
      </c>
      <c r="H656" t="s">
        <v>279</v>
      </c>
      <c r="I656" t="s">
        <v>243</v>
      </c>
      <c r="J656" t="s">
        <v>712</v>
      </c>
      <c r="K656" t="s">
        <v>729</v>
      </c>
      <c r="L656" t="s">
        <v>711</v>
      </c>
      <c r="M656" s="30">
        <v>3.13</v>
      </c>
      <c r="N656">
        <v>6.75</v>
      </c>
      <c r="P656" s="24" t="str">
        <f>IFERROR(MID(RADataTable[[#This Row],[RATemplate]],1,LEN(RADataTable[[#This Row],[RATemplate]])-8),"RA") &amp; " " &amp; RADataTable[[#This Row],[prop_id0]] &amp; " " &amp; RADataTable[[#This Row],[last0]]</f>
        <v>RA 1750302 Dinitz</v>
      </c>
      <c r="T656">
        <v>4</v>
      </c>
      <c r="U656">
        <v>4</v>
      </c>
      <c r="V656" s="34">
        <v>43030.96875</v>
      </c>
      <c r="W656">
        <v>1</v>
      </c>
      <c r="X656" s="15" t="str">
        <f>HYPERLINK("https://www.ejacket.nsf.gov/ej/showProposal.do?Continue=Y&amp;ID="&amp;RADataTable[[#This Row],[prop_id0]],"eJ")</f>
        <v>eJ</v>
      </c>
      <c r="Y656" s="15" t="str">
        <f>HYPERLINK("mailto:"&amp;RADataTable[[#This Row],[email]]&amp;"&amp;subject=Your NSF Proposal:  "&amp;RADataTable[[#This Row],[Div]]&amp;" "&amp;RADataTable[[#This Row],[prop_id0]], RADataTable[[#This Row],[email]])</f>
        <v>mdinitz@cs.jhu.edu</v>
      </c>
      <c r="Z656" s="15" t="str">
        <f>HYPERLINK("mailto:"&amp;RADataTable[[#This Row],[allPIemail]]&amp;"&amp;subject=NSF Proposal:  "&amp;RADataTable[[#This Row],[Div]]&amp;" "&amp;RADataTable[[#This Row],[prop_id0]], "PIs@")</f>
        <v>PIs@</v>
      </c>
      <c r="AA656" t="s">
        <v>245</v>
      </c>
      <c r="AB656" t="s">
        <v>675</v>
      </c>
      <c r="AC656" s="30" t="s">
        <v>801</v>
      </c>
      <c r="AD656" t="s">
        <v>296</v>
      </c>
      <c r="AE656" t="s">
        <v>802</v>
      </c>
      <c r="AF656" s="36">
        <v>507459</v>
      </c>
      <c r="AG656" s="36">
        <v>507459</v>
      </c>
      <c r="AH656" s="24"/>
      <c r="AJ656" s="34"/>
      <c r="AK656" t="s">
        <v>923</v>
      </c>
      <c r="AL656" t="s">
        <v>287</v>
      </c>
      <c r="AM656" s="34" t="s">
        <v>925</v>
      </c>
      <c r="AN656" s="34">
        <v>43032</v>
      </c>
      <c r="AO656" s="24">
        <v>13</v>
      </c>
      <c r="AP656" t="s">
        <v>958</v>
      </c>
      <c r="AR656" s="35"/>
      <c r="AS656"/>
      <c r="AT656" s="34"/>
      <c r="AV656" s="34"/>
      <c r="AX656" s="34"/>
      <c r="AY656"/>
      <c r="BA656" s="34"/>
      <c r="BB656"/>
      <c r="BC656" t="s">
        <v>805</v>
      </c>
      <c r="BD656" s="36">
        <v>507459</v>
      </c>
      <c r="BE656" s="36">
        <v>507459</v>
      </c>
      <c r="BF656">
        <v>0</v>
      </c>
      <c r="BG656" s="34">
        <v>43282</v>
      </c>
      <c r="BH656">
        <v>60</v>
      </c>
      <c r="BI656" t="s">
        <v>283</v>
      </c>
      <c r="BJ656" t="s">
        <v>928</v>
      </c>
      <c r="BK656" t="s">
        <v>934</v>
      </c>
      <c r="BL656" t="s">
        <v>194</v>
      </c>
      <c r="BM656" s="8" t="s">
        <v>192</v>
      </c>
      <c r="BN656" t="s">
        <v>189</v>
      </c>
      <c r="BO656" t="s">
        <v>190</v>
      </c>
      <c r="BP656" s="35" t="s">
        <v>718</v>
      </c>
      <c r="BQ656"/>
      <c r="BU656" s="35"/>
      <c r="BV656" s="35"/>
      <c r="BX656"/>
      <c r="CA656" s="35"/>
      <c r="CB656" s="35"/>
      <c r="CC656"/>
      <c r="CG656" s="35"/>
      <c r="CH656" s="35"/>
      <c r="CK656"/>
      <c r="CM656" s="35"/>
      <c r="CN656" s="35"/>
      <c r="CQ656"/>
      <c r="CS656" s="35"/>
      <c r="CT656" s="35"/>
      <c r="CX656"/>
      <c r="CZ656" s="35"/>
      <c r="DD656" s="34"/>
      <c r="DG656" t="s">
        <v>803</v>
      </c>
      <c r="DH656" t="s">
        <v>959</v>
      </c>
      <c r="DI656" t="s">
        <v>286</v>
      </c>
      <c r="DL656" t="s">
        <v>675</v>
      </c>
      <c r="DM656">
        <v>6</v>
      </c>
      <c r="DN656">
        <v>8</v>
      </c>
      <c r="DO656" t="s">
        <v>804</v>
      </c>
      <c r="DQ656" t="s">
        <v>927</v>
      </c>
      <c r="DR656">
        <v>14</v>
      </c>
      <c r="DS656">
        <v>1</v>
      </c>
      <c r="DU656">
        <v>14</v>
      </c>
      <c r="DV656">
        <v>1</v>
      </c>
      <c r="DX656">
        <v>14</v>
      </c>
      <c r="DY656">
        <v>1</v>
      </c>
      <c r="DZ656" t="s">
        <v>246</v>
      </c>
      <c r="EA656" t="s">
        <v>929</v>
      </c>
    </row>
    <row r="657" spans="1:131" x14ac:dyDescent="0.4">
      <c r="A657" s="34">
        <v>43067.305104166669</v>
      </c>
      <c r="B657" s="25">
        <v>42935.475694444445</v>
      </c>
      <c r="D657" s="34"/>
      <c r="E657" s="34" t="s">
        <v>193</v>
      </c>
      <c r="F657" s="34" t="s">
        <v>191</v>
      </c>
      <c r="G657" s="34" t="s">
        <v>100</v>
      </c>
      <c r="H657" t="s">
        <v>279</v>
      </c>
      <c r="I657" t="s">
        <v>243</v>
      </c>
      <c r="J657" t="s">
        <v>712</v>
      </c>
      <c r="K657" t="s">
        <v>729</v>
      </c>
      <c r="L657" t="s">
        <v>711</v>
      </c>
      <c r="M657" s="30">
        <v>3.13</v>
      </c>
      <c r="N657">
        <v>6.75</v>
      </c>
      <c r="P657" s="24" t="str">
        <f>IFERROR(MID(RADataTable[[#This Row],[RATemplate]],1,LEN(RADataTable[[#This Row],[RATemplate]])-8),"RA") &amp; " " &amp; RADataTable[[#This Row],[prop_id0]] &amp; " " &amp; RADataTable[[#This Row],[last0]]</f>
        <v>RA 1750302 Dinitz</v>
      </c>
      <c r="T657">
        <v>4</v>
      </c>
      <c r="U657">
        <v>4</v>
      </c>
      <c r="V657" s="34">
        <v>43030.96875</v>
      </c>
      <c r="W657">
        <v>1</v>
      </c>
      <c r="X657" s="15" t="str">
        <f>HYPERLINK("https://www.ejacket.nsf.gov/ej/showProposal.do?Continue=Y&amp;ID="&amp;RADataTable[[#This Row],[prop_id0]],"eJ")</f>
        <v>eJ</v>
      </c>
      <c r="Y657" s="15" t="str">
        <f>HYPERLINK("mailto:"&amp;RADataTable[[#This Row],[email]]&amp;"&amp;subject=Your NSF Proposal:  "&amp;RADataTable[[#This Row],[Div]]&amp;" "&amp;RADataTable[[#This Row],[prop_id0]], RADataTable[[#This Row],[email]])</f>
        <v>mdinitz@cs.jhu.edu</v>
      </c>
      <c r="Z657" s="15" t="str">
        <f>HYPERLINK("mailto:"&amp;RADataTable[[#This Row],[allPIemail]]&amp;"&amp;subject=NSF Proposal:  "&amp;RADataTable[[#This Row],[Div]]&amp;" "&amp;RADataTable[[#This Row],[prop_id0]], "PIs@")</f>
        <v>PIs@</v>
      </c>
      <c r="AA657" t="s">
        <v>245</v>
      </c>
      <c r="AB657" t="s">
        <v>675</v>
      </c>
      <c r="AC657" s="30" t="s">
        <v>801</v>
      </c>
      <c r="AD657" t="s">
        <v>296</v>
      </c>
      <c r="AE657" t="s">
        <v>802</v>
      </c>
      <c r="AF657" s="36">
        <v>507459</v>
      </c>
      <c r="AG657" s="36">
        <v>507459</v>
      </c>
      <c r="AH657" s="24"/>
      <c r="AJ657" s="34"/>
      <c r="AK657" t="s">
        <v>923</v>
      </c>
      <c r="AL657" t="s">
        <v>287</v>
      </c>
      <c r="AM657" s="34" t="s">
        <v>925</v>
      </c>
      <c r="AN657" s="34">
        <v>43032</v>
      </c>
      <c r="AO657" s="24">
        <v>13</v>
      </c>
      <c r="AP657" t="s">
        <v>958</v>
      </c>
      <c r="AR657" s="35"/>
      <c r="AS657"/>
      <c r="AT657" s="34"/>
      <c r="AV657" s="34"/>
      <c r="AX657" s="34"/>
      <c r="AY657"/>
      <c r="BA657" s="34"/>
      <c r="BB657"/>
      <c r="BC657" t="s">
        <v>805</v>
      </c>
      <c r="BD657" s="36">
        <v>507459</v>
      </c>
      <c r="BE657" s="36">
        <v>507459</v>
      </c>
      <c r="BF657">
        <v>0</v>
      </c>
      <c r="BG657" s="34">
        <v>43282</v>
      </c>
      <c r="BH657">
        <v>60</v>
      </c>
      <c r="BI657" t="s">
        <v>283</v>
      </c>
      <c r="BJ657" t="s">
        <v>928</v>
      </c>
      <c r="BK657" t="s">
        <v>934</v>
      </c>
      <c r="BL657" t="s">
        <v>194</v>
      </c>
      <c r="BM657" s="8" t="s">
        <v>192</v>
      </c>
      <c r="BN657" t="s">
        <v>189</v>
      </c>
      <c r="BO657" t="s">
        <v>190</v>
      </c>
      <c r="BP657" s="35" t="s">
        <v>718</v>
      </c>
      <c r="BQ657"/>
      <c r="BU657" s="35"/>
      <c r="BV657" s="35"/>
      <c r="BX657"/>
      <c r="CA657" s="35"/>
      <c r="CB657" s="35"/>
      <c r="CC657"/>
      <c r="CG657" s="35"/>
      <c r="CH657" s="35"/>
      <c r="CK657"/>
      <c r="CM657" s="35"/>
      <c r="CN657" s="35"/>
      <c r="CQ657"/>
      <c r="CS657" s="35"/>
      <c r="CT657" s="35"/>
      <c r="CX657"/>
      <c r="CZ657" s="35"/>
      <c r="DD657" s="34"/>
      <c r="DG657" t="s">
        <v>803</v>
      </c>
      <c r="DH657" t="s">
        <v>959</v>
      </c>
      <c r="DI657" t="s">
        <v>286</v>
      </c>
      <c r="DL657" t="s">
        <v>675</v>
      </c>
      <c r="DM657">
        <v>6</v>
      </c>
      <c r="DN657">
        <v>8</v>
      </c>
      <c r="DO657" t="s">
        <v>804</v>
      </c>
      <c r="DQ657" t="s">
        <v>927</v>
      </c>
      <c r="DR657">
        <v>14</v>
      </c>
      <c r="DS657">
        <v>1</v>
      </c>
      <c r="DU657">
        <v>14</v>
      </c>
      <c r="DV657">
        <v>1</v>
      </c>
      <c r="DX657">
        <v>14</v>
      </c>
      <c r="DY657">
        <v>1</v>
      </c>
      <c r="DZ657" t="s">
        <v>246</v>
      </c>
      <c r="EA657" t="s">
        <v>929</v>
      </c>
    </row>
    <row r="658" spans="1:131" x14ac:dyDescent="0.4">
      <c r="A658" s="34">
        <v>43067.305104166669</v>
      </c>
      <c r="B658" s="25">
        <v>42935.475694444445</v>
      </c>
      <c r="D658" s="34"/>
      <c r="E658" s="34" t="s">
        <v>193</v>
      </c>
      <c r="F658" s="34" t="s">
        <v>191</v>
      </c>
      <c r="G658" s="34" t="s">
        <v>100</v>
      </c>
      <c r="H658" t="s">
        <v>279</v>
      </c>
      <c r="I658" t="s">
        <v>243</v>
      </c>
      <c r="J658" t="s">
        <v>712</v>
      </c>
      <c r="K658" t="s">
        <v>729</v>
      </c>
      <c r="L658" t="s">
        <v>711</v>
      </c>
      <c r="M658" s="30">
        <v>3.13</v>
      </c>
      <c r="N658">
        <v>6.75</v>
      </c>
      <c r="P658" s="24" t="str">
        <f>IFERROR(MID(RADataTable[[#This Row],[RATemplate]],1,LEN(RADataTable[[#This Row],[RATemplate]])-8),"RA") &amp; " " &amp; RADataTable[[#This Row],[prop_id0]] &amp; " " &amp; RADataTable[[#This Row],[last0]]</f>
        <v>RA 1750302 Dinitz</v>
      </c>
      <c r="T658">
        <v>4</v>
      </c>
      <c r="U658">
        <v>4</v>
      </c>
      <c r="V658" s="34">
        <v>43030.96875</v>
      </c>
      <c r="W658">
        <v>1</v>
      </c>
      <c r="X658" s="15" t="str">
        <f>HYPERLINK("https://www.ejacket.nsf.gov/ej/showProposal.do?Continue=Y&amp;ID="&amp;RADataTable[[#This Row],[prop_id0]],"eJ")</f>
        <v>eJ</v>
      </c>
      <c r="Y658" s="15" t="str">
        <f>HYPERLINK("mailto:"&amp;RADataTable[[#This Row],[email]]&amp;"&amp;subject=Your NSF Proposal:  "&amp;RADataTable[[#This Row],[Div]]&amp;" "&amp;RADataTable[[#This Row],[prop_id0]], RADataTable[[#This Row],[email]])</f>
        <v>mdinitz@cs.jhu.edu</v>
      </c>
      <c r="Z658" s="15" t="str">
        <f>HYPERLINK("mailto:"&amp;RADataTable[[#This Row],[allPIemail]]&amp;"&amp;subject=NSF Proposal:  "&amp;RADataTable[[#This Row],[Div]]&amp;" "&amp;RADataTable[[#This Row],[prop_id0]], "PIs@")</f>
        <v>PIs@</v>
      </c>
      <c r="AA658" t="s">
        <v>245</v>
      </c>
      <c r="AB658" t="s">
        <v>675</v>
      </c>
      <c r="AC658" s="30" t="s">
        <v>801</v>
      </c>
      <c r="AD658" t="s">
        <v>296</v>
      </c>
      <c r="AE658" t="s">
        <v>802</v>
      </c>
      <c r="AF658" s="36">
        <v>507459</v>
      </c>
      <c r="AG658" s="36">
        <v>507459</v>
      </c>
      <c r="AH658" s="24"/>
      <c r="AJ658" s="34"/>
      <c r="AK658" t="s">
        <v>923</v>
      </c>
      <c r="AL658" t="s">
        <v>287</v>
      </c>
      <c r="AM658" s="34" t="s">
        <v>925</v>
      </c>
      <c r="AN658" s="34">
        <v>43032</v>
      </c>
      <c r="AO658" s="24">
        <v>13</v>
      </c>
      <c r="AP658" t="s">
        <v>958</v>
      </c>
      <c r="AR658" s="35"/>
      <c r="AS658"/>
      <c r="AT658" s="34"/>
      <c r="AV658" s="34"/>
      <c r="AX658" s="34"/>
      <c r="AY658"/>
      <c r="BA658" s="34"/>
      <c r="BB658"/>
      <c r="BC658" t="s">
        <v>805</v>
      </c>
      <c r="BD658" s="36">
        <v>507459</v>
      </c>
      <c r="BE658" s="36">
        <v>507459</v>
      </c>
      <c r="BF658">
        <v>0</v>
      </c>
      <c r="BG658" s="34">
        <v>43282</v>
      </c>
      <c r="BH658">
        <v>60</v>
      </c>
      <c r="BI658" t="s">
        <v>283</v>
      </c>
      <c r="BJ658" t="s">
        <v>928</v>
      </c>
      <c r="BK658" t="s">
        <v>934</v>
      </c>
      <c r="BL658" t="s">
        <v>194</v>
      </c>
      <c r="BM658" s="8" t="s">
        <v>192</v>
      </c>
      <c r="BN658" t="s">
        <v>189</v>
      </c>
      <c r="BO658" t="s">
        <v>190</v>
      </c>
      <c r="BP658" s="35" t="s">
        <v>718</v>
      </c>
      <c r="BQ658"/>
      <c r="BU658" s="35"/>
      <c r="BV658" s="35"/>
      <c r="BX658"/>
      <c r="CA658" s="35"/>
      <c r="CB658" s="35"/>
      <c r="CC658"/>
      <c r="CG658" s="35"/>
      <c r="CH658" s="35"/>
      <c r="CK658"/>
      <c r="CM658" s="35"/>
      <c r="CN658" s="35"/>
      <c r="CQ658"/>
      <c r="CS658" s="35"/>
      <c r="CT658" s="35"/>
      <c r="CX658"/>
      <c r="CZ658" s="35"/>
      <c r="DD658" s="34"/>
      <c r="DG658" t="s">
        <v>803</v>
      </c>
      <c r="DH658" t="s">
        <v>959</v>
      </c>
      <c r="DI658" t="s">
        <v>286</v>
      </c>
      <c r="DL658" t="s">
        <v>675</v>
      </c>
      <c r="DM658">
        <v>6</v>
      </c>
      <c r="DN658">
        <v>8</v>
      </c>
      <c r="DO658" t="s">
        <v>804</v>
      </c>
      <c r="DQ658" t="s">
        <v>927</v>
      </c>
      <c r="DR658">
        <v>14</v>
      </c>
      <c r="DS658">
        <v>1</v>
      </c>
      <c r="DU658">
        <v>14</v>
      </c>
      <c r="DV658">
        <v>1</v>
      </c>
      <c r="DX658">
        <v>14</v>
      </c>
      <c r="DY658">
        <v>1</v>
      </c>
      <c r="DZ658" t="s">
        <v>246</v>
      </c>
      <c r="EA658" t="s">
        <v>929</v>
      </c>
    </row>
    <row r="659" spans="1:131" x14ac:dyDescent="0.4">
      <c r="A659" s="34">
        <v>43067.305104166669</v>
      </c>
      <c r="B659" s="25">
        <v>42935.475694444445</v>
      </c>
      <c r="D659" s="34"/>
      <c r="E659" s="34" t="s">
        <v>193</v>
      </c>
      <c r="F659" s="34" t="s">
        <v>191</v>
      </c>
      <c r="G659" s="34" t="s">
        <v>100</v>
      </c>
      <c r="H659" t="s">
        <v>279</v>
      </c>
      <c r="I659" t="s">
        <v>243</v>
      </c>
      <c r="J659" t="s">
        <v>712</v>
      </c>
      <c r="K659" t="s">
        <v>729</v>
      </c>
      <c r="L659" t="s">
        <v>711</v>
      </c>
      <c r="M659" s="30">
        <v>3.13</v>
      </c>
      <c r="N659">
        <v>6.75</v>
      </c>
      <c r="P659" s="24" t="str">
        <f>IFERROR(MID(RADataTable[[#This Row],[RATemplate]],1,LEN(RADataTable[[#This Row],[RATemplate]])-8),"RA") &amp; " " &amp; RADataTable[[#This Row],[prop_id0]] &amp; " " &amp; RADataTable[[#This Row],[last0]]</f>
        <v>RA 1750302 Dinitz</v>
      </c>
      <c r="T659">
        <v>4</v>
      </c>
      <c r="U659">
        <v>4</v>
      </c>
      <c r="V659" s="34">
        <v>43030.96875</v>
      </c>
      <c r="W659">
        <v>1</v>
      </c>
      <c r="X659" s="15" t="str">
        <f>HYPERLINK("https://www.ejacket.nsf.gov/ej/showProposal.do?Continue=Y&amp;ID="&amp;RADataTable[[#This Row],[prop_id0]],"eJ")</f>
        <v>eJ</v>
      </c>
      <c r="Y659" s="15" t="str">
        <f>HYPERLINK("mailto:"&amp;RADataTable[[#This Row],[email]]&amp;"&amp;subject=Your NSF Proposal:  "&amp;RADataTable[[#This Row],[Div]]&amp;" "&amp;RADataTable[[#This Row],[prop_id0]], RADataTable[[#This Row],[email]])</f>
        <v>mdinitz@cs.jhu.edu</v>
      </c>
      <c r="Z659" s="15" t="str">
        <f>HYPERLINK("mailto:"&amp;RADataTable[[#This Row],[allPIemail]]&amp;"&amp;subject=NSF Proposal:  "&amp;RADataTable[[#This Row],[Div]]&amp;" "&amp;RADataTable[[#This Row],[prop_id0]], "PIs@")</f>
        <v>PIs@</v>
      </c>
      <c r="AA659" t="s">
        <v>245</v>
      </c>
      <c r="AB659" t="s">
        <v>675</v>
      </c>
      <c r="AC659" s="30" t="s">
        <v>801</v>
      </c>
      <c r="AD659" t="s">
        <v>296</v>
      </c>
      <c r="AE659" t="s">
        <v>802</v>
      </c>
      <c r="AF659" s="36">
        <v>507459</v>
      </c>
      <c r="AG659" s="36">
        <v>507459</v>
      </c>
      <c r="AH659" s="24"/>
      <c r="AJ659" s="34"/>
      <c r="AK659" t="s">
        <v>923</v>
      </c>
      <c r="AL659" t="s">
        <v>287</v>
      </c>
      <c r="AM659" s="34" t="s">
        <v>925</v>
      </c>
      <c r="AN659" s="34">
        <v>43032</v>
      </c>
      <c r="AO659" s="24">
        <v>13</v>
      </c>
      <c r="AP659" t="s">
        <v>958</v>
      </c>
      <c r="AR659" s="35"/>
      <c r="AS659"/>
      <c r="AT659" s="34"/>
      <c r="AV659" s="34"/>
      <c r="AX659" s="34"/>
      <c r="AY659"/>
      <c r="BA659" s="34"/>
      <c r="BB659"/>
      <c r="BC659" t="s">
        <v>805</v>
      </c>
      <c r="BD659" s="36">
        <v>507459</v>
      </c>
      <c r="BE659" s="36">
        <v>507459</v>
      </c>
      <c r="BF659">
        <v>0</v>
      </c>
      <c r="BG659" s="34">
        <v>43282</v>
      </c>
      <c r="BH659">
        <v>60</v>
      </c>
      <c r="BI659" t="s">
        <v>283</v>
      </c>
      <c r="BJ659" t="s">
        <v>928</v>
      </c>
      <c r="BK659" t="s">
        <v>934</v>
      </c>
      <c r="BL659" t="s">
        <v>194</v>
      </c>
      <c r="BM659" s="8" t="s">
        <v>192</v>
      </c>
      <c r="BN659" t="s">
        <v>189</v>
      </c>
      <c r="BO659" t="s">
        <v>190</v>
      </c>
      <c r="BP659" s="35" t="s">
        <v>718</v>
      </c>
      <c r="BQ659"/>
      <c r="BU659" s="35"/>
      <c r="BV659" s="35"/>
      <c r="BX659"/>
      <c r="CA659" s="35"/>
      <c r="CB659" s="35"/>
      <c r="CC659"/>
      <c r="CG659" s="35"/>
      <c r="CH659" s="35"/>
      <c r="CK659"/>
      <c r="CM659" s="35"/>
      <c r="CN659" s="35"/>
      <c r="CQ659"/>
      <c r="CS659" s="35"/>
      <c r="CT659" s="35"/>
      <c r="CX659"/>
      <c r="CZ659" s="35"/>
      <c r="DD659" s="34"/>
      <c r="DG659" t="s">
        <v>803</v>
      </c>
      <c r="DH659" t="s">
        <v>959</v>
      </c>
      <c r="DI659" t="s">
        <v>286</v>
      </c>
      <c r="DL659" t="s">
        <v>675</v>
      </c>
      <c r="DM659">
        <v>6</v>
      </c>
      <c r="DN659">
        <v>8</v>
      </c>
      <c r="DO659" t="s">
        <v>804</v>
      </c>
      <c r="DQ659" t="s">
        <v>927</v>
      </c>
      <c r="DR659">
        <v>14</v>
      </c>
      <c r="DS659">
        <v>1</v>
      </c>
      <c r="DU659">
        <v>14</v>
      </c>
      <c r="DV659">
        <v>1</v>
      </c>
      <c r="DX659">
        <v>14</v>
      </c>
      <c r="DY659">
        <v>1</v>
      </c>
      <c r="DZ659" t="s">
        <v>246</v>
      </c>
      <c r="EA659" t="s">
        <v>929</v>
      </c>
    </row>
    <row r="660" spans="1:131" x14ac:dyDescent="0.4">
      <c r="A660" s="34">
        <v>43067.305104166669</v>
      </c>
      <c r="B660" s="25">
        <v>42935.475694444445</v>
      </c>
      <c r="D660" s="34"/>
      <c r="E660" s="34" t="s">
        <v>193</v>
      </c>
      <c r="F660" s="34" t="s">
        <v>191</v>
      </c>
      <c r="G660" s="34" t="s">
        <v>100</v>
      </c>
      <c r="H660" t="s">
        <v>279</v>
      </c>
      <c r="I660" t="s">
        <v>243</v>
      </c>
      <c r="J660" t="s">
        <v>712</v>
      </c>
      <c r="K660" t="s">
        <v>729</v>
      </c>
      <c r="L660" t="s">
        <v>711</v>
      </c>
      <c r="M660" s="30">
        <v>3.13</v>
      </c>
      <c r="N660">
        <v>6.75</v>
      </c>
      <c r="P660" s="24" t="str">
        <f>IFERROR(MID(RADataTable[[#This Row],[RATemplate]],1,LEN(RADataTable[[#This Row],[RATemplate]])-8),"RA") &amp; " " &amp; RADataTable[[#This Row],[prop_id0]] &amp; " " &amp; RADataTable[[#This Row],[last0]]</f>
        <v>RA 1750302 Dinitz</v>
      </c>
      <c r="T660">
        <v>4</v>
      </c>
      <c r="U660">
        <v>4</v>
      </c>
      <c r="V660" s="34">
        <v>43030.96875</v>
      </c>
      <c r="W660">
        <v>1</v>
      </c>
      <c r="X660" s="15" t="str">
        <f>HYPERLINK("https://www.ejacket.nsf.gov/ej/showProposal.do?Continue=Y&amp;ID="&amp;RADataTable[[#This Row],[prop_id0]],"eJ")</f>
        <v>eJ</v>
      </c>
      <c r="Y660" s="15" t="str">
        <f>HYPERLINK("mailto:"&amp;RADataTable[[#This Row],[email]]&amp;"&amp;subject=Your NSF Proposal:  "&amp;RADataTable[[#This Row],[Div]]&amp;" "&amp;RADataTable[[#This Row],[prop_id0]], RADataTable[[#This Row],[email]])</f>
        <v>mdinitz@cs.jhu.edu</v>
      </c>
      <c r="Z660" s="15" t="str">
        <f>HYPERLINK("mailto:"&amp;RADataTable[[#This Row],[allPIemail]]&amp;"&amp;subject=NSF Proposal:  "&amp;RADataTable[[#This Row],[Div]]&amp;" "&amp;RADataTable[[#This Row],[prop_id0]], "PIs@")</f>
        <v>PIs@</v>
      </c>
      <c r="AA660" t="s">
        <v>245</v>
      </c>
      <c r="AB660" t="s">
        <v>675</v>
      </c>
      <c r="AC660" s="30" t="s">
        <v>801</v>
      </c>
      <c r="AD660" t="s">
        <v>296</v>
      </c>
      <c r="AE660" t="s">
        <v>802</v>
      </c>
      <c r="AF660" s="36">
        <v>507459</v>
      </c>
      <c r="AG660" s="36">
        <v>507459</v>
      </c>
      <c r="AH660" s="24"/>
      <c r="AJ660" s="34"/>
      <c r="AK660" t="s">
        <v>923</v>
      </c>
      <c r="AL660" t="s">
        <v>287</v>
      </c>
      <c r="AM660" s="34" t="s">
        <v>925</v>
      </c>
      <c r="AN660" s="34">
        <v>43032</v>
      </c>
      <c r="AO660" s="24">
        <v>13</v>
      </c>
      <c r="AP660" t="s">
        <v>958</v>
      </c>
      <c r="AR660" s="35"/>
      <c r="AS660"/>
      <c r="AT660" s="34"/>
      <c r="AV660" s="34"/>
      <c r="AX660" s="34"/>
      <c r="AY660"/>
      <c r="BA660" s="34"/>
      <c r="BB660"/>
      <c r="BC660" t="s">
        <v>805</v>
      </c>
      <c r="BD660" s="36">
        <v>507459</v>
      </c>
      <c r="BE660" s="36">
        <v>507459</v>
      </c>
      <c r="BF660">
        <v>0</v>
      </c>
      <c r="BG660" s="34">
        <v>43282</v>
      </c>
      <c r="BH660">
        <v>60</v>
      </c>
      <c r="BI660" t="s">
        <v>283</v>
      </c>
      <c r="BJ660" t="s">
        <v>928</v>
      </c>
      <c r="BK660" t="s">
        <v>934</v>
      </c>
      <c r="BL660" t="s">
        <v>194</v>
      </c>
      <c r="BM660" s="8" t="s">
        <v>192</v>
      </c>
      <c r="BN660" t="s">
        <v>189</v>
      </c>
      <c r="BO660" t="s">
        <v>190</v>
      </c>
      <c r="BP660" s="35" t="s">
        <v>718</v>
      </c>
      <c r="BQ660"/>
      <c r="BU660" s="35"/>
      <c r="BV660" s="35"/>
      <c r="BX660"/>
      <c r="CA660" s="35"/>
      <c r="CB660" s="35"/>
      <c r="CC660"/>
      <c r="CG660" s="35"/>
      <c r="CH660" s="35"/>
      <c r="CK660"/>
      <c r="CM660" s="35"/>
      <c r="CN660" s="35"/>
      <c r="CQ660"/>
      <c r="CS660" s="35"/>
      <c r="CT660" s="35"/>
      <c r="CX660"/>
      <c r="CZ660" s="35"/>
      <c r="DD660" s="34"/>
      <c r="DG660" t="s">
        <v>803</v>
      </c>
      <c r="DH660" t="s">
        <v>959</v>
      </c>
      <c r="DI660" t="s">
        <v>286</v>
      </c>
      <c r="DL660" t="s">
        <v>675</v>
      </c>
      <c r="DM660">
        <v>6</v>
      </c>
      <c r="DN660">
        <v>8</v>
      </c>
      <c r="DO660" t="s">
        <v>804</v>
      </c>
      <c r="DQ660" t="s">
        <v>927</v>
      </c>
      <c r="DR660">
        <v>14</v>
      </c>
      <c r="DS660">
        <v>1</v>
      </c>
      <c r="DU660">
        <v>14</v>
      </c>
      <c r="DV660">
        <v>1</v>
      </c>
      <c r="DX660">
        <v>14</v>
      </c>
      <c r="DY660">
        <v>1</v>
      </c>
      <c r="DZ660" t="s">
        <v>246</v>
      </c>
      <c r="EA660" t="s">
        <v>929</v>
      </c>
    </row>
    <row r="661" spans="1:131" x14ac:dyDescent="0.4">
      <c r="A661" s="34">
        <v>43067.305104166669</v>
      </c>
      <c r="B661" s="25">
        <v>42935.475694444445</v>
      </c>
      <c r="D661" s="34"/>
      <c r="E661" s="34" t="s">
        <v>193</v>
      </c>
      <c r="F661" s="34" t="s">
        <v>191</v>
      </c>
      <c r="G661" s="34" t="s">
        <v>100</v>
      </c>
      <c r="H661" t="s">
        <v>279</v>
      </c>
      <c r="I661" t="s">
        <v>243</v>
      </c>
      <c r="J661" t="s">
        <v>712</v>
      </c>
      <c r="K661" t="s">
        <v>729</v>
      </c>
      <c r="L661" t="s">
        <v>711</v>
      </c>
      <c r="M661" s="30">
        <v>3.13</v>
      </c>
      <c r="N661">
        <v>6.75</v>
      </c>
      <c r="P661" s="24" t="str">
        <f>IFERROR(MID(RADataTable[[#This Row],[RATemplate]],1,LEN(RADataTable[[#This Row],[RATemplate]])-8),"RA") &amp; " " &amp; RADataTable[[#This Row],[prop_id0]] &amp; " " &amp; RADataTable[[#This Row],[last0]]</f>
        <v>RA 1750302 Dinitz</v>
      </c>
      <c r="T661">
        <v>4</v>
      </c>
      <c r="U661">
        <v>4</v>
      </c>
      <c r="V661" s="34">
        <v>43030.96875</v>
      </c>
      <c r="W661">
        <v>1</v>
      </c>
      <c r="X661" s="15" t="str">
        <f>HYPERLINK("https://www.ejacket.nsf.gov/ej/showProposal.do?Continue=Y&amp;ID="&amp;RADataTable[[#This Row],[prop_id0]],"eJ")</f>
        <v>eJ</v>
      </c>
      <c r="Y661" s="15" t="str">
        <f>HYPERLINK("mailto:"&amp;RADataTable[[#This Row],[email]]&amp;"&amp;subject=Your NSF Proposal:  "&amp;RADataTable[[#This Row],[Div]]&amp;" "&amp;RADataTable[[#This Row],[prop_id0]], RADataTable[[#This Row],[email]])</f>
        <v>mdinitz@cs.jhu.edu</v>
      </c>
      <c r="Z661" s="15" t="str">
        <f>HYPERLINK("mailto:"&amp;RADataTable[[#This Row],[allPIemail]]&amp;"&amp;subject=NSF Proposal:  "&amp;RADataTable[[#This Row],[Div]]&amp;" "&amp;RADataTable[[#This Row],[prop_id0]], "PIs@")</f>
        <v>PIs@</v>
      </c>
      <c r="AA661" t="s">
        <v>245</v>
      </c>
      <c r="AB661" t="s">
        <v>675</v>
      </c>
      <c r="AC661" s="30" t="s">
        <v>801</v>
      </c>
      <c r="AD661" t="s">
        <v>296</v>
      </c>
      <c r="AE661" t="s">
        <v>802</v>
      </c>
      <c r="AF661" s="36">
        <v>507459</v>
      </c>
      <c r="AG661" s="36">
        <v>507459</v>
      </c>
      <c r="AH661" s="24"/>
      <c r="AJ661" s="34"/>
      <c r="AK661" t="s">
        <v>923</v>
      </c>
      <c r="AL661" t="s">
        <v>287</v>
      </c>
      <c r="AM661" s="34" t="s">
        <v>925</v>
      </c>
      <c r="AN661" s="34">
        <v>43032</v>
      </c>
      <c r="AO661" s="24">
        <v>13</v>
      </c>
      <c r="AP661" t="s">
        <v>958</v>
      </c>
      <c r="AR661" s="35"/>
      <c r="AS661"/>
      <c r="AT661" s="34"/>
      <c r="AV661" s="34"/>
      <c r="AX661" s="34"/>
      <c r="AY661"/>
      <c r="BA661" s="34"/>
      <c r="BB661"/>
      <c r="BC661" t="s">
        <v>805</v>
      </c>
      <c r="BD661" s="36">
        <v>507459</v>
      </c>
      <c r="BE661" s="36">
        <v>507459</v>
      </c>
      <c r="BF661">
        <v>0</v>
      </c>
      <c r="BG661" s="34">
        <v>43282</v>
      </c>
      <c r="BH661">
        <v>60</v>
      </c>
      <c r="BI661" t="s">
        <v>283</v>
      </c>
      <c r="BJ661" t="s">
        <v>928</v>
      </c>
      <c r="BK661" t="s">
        <v>934</v>
      </c>
      <c r="BL661" t="s">
        <v>194</v>
      </c>
      <c r="BM661" s="8" t="s">
        <v>192</v>
      </c>
      <c r="BN661" t="s">
        <v>189</v>
      </c>
      <c r="BO661" t="s">
        <v>190</v>
      </c>
      <c r="BP661" s="35" t="s">
        <v>718</v>
      </c>
      <c r="BQ661"/>
      <c r="BU661" s="35"/>
      <c r="BV661" s="35"/>
      <c r="BX661"/>
      <c r="CA661" s="35"/>
      <c r="CB661" s="35"/>
      <c r="CC661"/>
      <c r="CG661" s="35"/>
      <c r="CH661" s="35"/>
      <c r="CK661"/>
      <c r="CM661" s="35"/>
      <c r="CN661" s="35"/>
      <c r="CQ661"/>
      <c r="CS661" s="35"/>
      <c r="CT661" s="35"/>
      <c r="CX661"/>
      <c r="CZ661" s="35"/>
      <c r="DD661" s="34"/>
      <c r="DG661" t="s">
        <v>803</v>
      </c>
      <c r="DH661" t="s">
        <v>959</v>
      </c>
      <c r="DI661" t="s">
        <v>286</v>
      </c>
      <c r="DL661" t="s">
        <v>675</v>
      </c>
      <c r="DM661">
        <v>6</v>
      </c>
      <c r="DN661">
        <v>8</v>
      </c>
      <c r="DO661" t="s">
        <v>804</v>
      </c>
      <c r="DQ661" t="s">
        <v>927</v>
      </c>
      <c r="DR661">
        <v>14</v>
      </c>
      <c r="DS661">
        <v>1</v>
      </c>
      <c r="DU661">
        <v>14</v>
      </c>
      <c r="DV661">
        <v>1</v>
      </c>
      <c r="DX661">
        <v>14</v>
      </c>
      <c r="DY661">
        <v>1</v>
      </c>
      <c r="DZ661" t="s">
        <v>246</v>
      </c>
      <c r="EA661" t="s">
        <v>929</v>
      </c>
    </row>
    <row r="662" spans="1:131" x14ac:dyDescent="0.4">
      <c r="A662" s="34">
        <v>43067.305104166669</v>
      </c>
      <c r="B662" s="25">
        <v>42935.475694444445</v>
      </c>
      <c r="D662" s="34"/>
      <c r="E662" s="34" t="s">
        <v>193</v>
      </c>
      <c r="F662" s="34" t="s">
        <v>191</v>
      </c>
      <c r="G662" s="34" t="s">
        <v>100</v>
      </c>
      <c r="H662" t="s">
        <v>279</v>
      </c>
      <c r="I662" t="s">
        <v>243</v>
      </c>
      <c r="J662" t="s">
        <v>712</v>
      </c>
      <c r="K662" t="s">
        <v>729</v>
      </c>
      <c r="L662" t="s">
        <v>711</v>
      </c>
      <c r="M662" s="30">
        <v>3.13</v>
      </c>
      <c r="N662">
        <v>6.75</v>
      </c>
      <c r="P662" s="24" t="str">
        <f>IFERROR(MID(RADataTable[[#This Row],[RATemplate]],1,LEN(RADataTable[[#This Row],[RATemplate]])-8),"RA") &amp; " " &amp; RADataTable[[#This Row],[prop_id0]] &amp; " " &amp; RADataTable[[#This Row],[last0]]</f>
        <v>RA 1750302 Dinitz</v>
      </c>
      <c r="T662">
        <v>4</v>
      </c>
      <c r="U662">
        <v>4</v>
      </c>
      <c r="V662" s="34">
        <v>43030.96875</v>
      </c>
      <c r="W662">
        <v>1</v>
      </c>
      <c r="X662" s="15" t="str">
        <f>HYPERLINK("https://www.ejacket.nsf.gov/ej/showProposal.do?Continue=Y&amp;ID="&amp;RADataTable[[#This Row],[prop_id0]],"eJ")</f>
        <v>eJ</v>
      </c>
      <c r="Y662" s="15" t="str">
        <f>HYPERLINK("mailto:"&amp;RADataTable[[#This Row],[email]]&amp;"&amp;subject=Your NSF Proposal:  "&amp;RADataTable[[#This Row],[Div]]&amp;" "&amp;RADataTable[[#This Row],[prop_id0]], RADataTable[[#This Row],[email]])</f>
        <v>mdinitz@cs.jhu.edu</v>
      </c>
      <c r="Z662" s="15" t="str">
        <f>HYPERLINK("mailto:"&amp;RADataTable[[#This Row],[allPIemail]]&amp;"&amp;subject=NSF Proposal:  "&amp;RADataTable[[#This Row],[Div]]&amp;" "&amp;RADataTable[[#This Row],[prop_id0]], "PIs@")</f>
        <v>PIs@</v>
      </c>
      <c r="AA662" t="s">
        <v>245</v>
      </c>
      <c r="AB662" t="s">
        <v>675</v>
      </c>
      <c r="AC662" s="30" t="s">
        <v>801</v>
      </c>
      <c r="AD662" t="s">
        <v>296</v>
      </c>
      <c r="AE662" t="s">
        <v>802</v>
      </c>
      <c r="AF662" s="36">
        <v>507459</v>
      </c>
      <c r="AG662" s="36">
        <v>507459</v>
      </c>
      <c r="AH662" s="24"/>
      <c r="AJ662" s="34"/>
      <c r="AK662" t="s">
        <v>923</v>
      </c>
      <c r="AL662" t="s">
        <v>287</v>
      </c>
      <c r="AM662" s="34" t="s">
        <v>925</v>
      </c>
      <c r="AN662" s="34">
        <v>43032</v>
      </c>
      <c r="AO662" s="24">
        <v>13</v>
      </c>
      <c r="AP662" t="s">
        <v>958</v>
      </c>
      <c r="AR662" s="35"/>
      <c r="AS662"/>
      <c r="AT662" s="34"/>
      <c r="AV662" s="34"/>
      <c r="AX662" s="34"/>
      <c r="AY662"/>
      <c r="BA662" s="34"/>
      <c r="BB662"/>
      <c r="BC662" t="s">
        <v>805</v>
      </c>
      <c r="BD662" s="36">
        <v>507459</v>
      </c>
      <c r="BE662" s="36">
        <v>507459</v>
      </c>
      <c r="BF662">
        <v>0</v>
      </c>
      <c r="BG662" s="34">
        <v>43282</v>
      </c>
      <c r="BH662">
        <v>60</v>
      </c>
      <c r="BI662" t="s">
        <v>283</v>
      </c>
      <c r="BJ662" t="s">
        <v>928</v>
      </c>
      <c r="BK662" t="s">
        <v>934</v>
      </c>
      <c r="BL662" t="s">
        <v>194</v>
      </c>
      <c r="BM662" s="8" t="s">
        <v>192</v>
      </c>
      <c r="BN662" t="s">
        <v>189</v>
      </c>
      <c r="BO662" t="s">
        <v>190</v>
      </c>
      <c r="BP662" s="35" t="s">
        <v>718</v>
      </c>
      <c r="BQ662"/>
      <c r="BU662" s="35"/>
      <c r="BV662" s="35"/>
      <c r="BX662"/>
      <c r="CA662" s="35"/>
      <c r="CB662" s="35"/>
      <c r="CC662"/>
      <c r="CG662" s="35"/>
      <c r="CH662" s="35"/>
      <c r="CK662"/>
      <c r="CM662" s="35"/>
      <c r="CN662" s="35"/>
      <c r="CQ662"/>
      <c r="CS662" s="35"/>
      <c r="CT662" s="35"/>
      <c r="CX662"/>
      <c r="CZ662" s="35"/>
      <c r="DD662" s="34"/>
      <c r="DG662" t="s">
        <v>803</v>
      </c>
      <c r="DH662" t="s">
        <v>959</v>
      </c>
      <c r="DI662" t="s">
        <v>286</v>
      </c>
      <c r="DL662" t="s">
        <v>675</v>
      </c>
      <c r="DM662">
        <v>6</v>
      </c>
      <c r="DN662">
        <v>8</v>
      </c>
      <c r="DO662" t="s">
        <v>804</v>
      </c>
      <c r="DQ662" t="s">
        <v>927</v>
      </c>
      <c r="DR662">
        <v>14</v>
      </c>
      <c r="DS662">
        <v>1</v>
      </c>
      <c r="DU662">
        <v>14</v>
      </c>
      <c r="DV662">
        <v>1</v>
      </c>
      <c r="DX662">
        <v>14</v>
      </c>
      <c r="DY662">
        <v>1</v>
      </c>
      <c r="DZ662" t="s">
        <v>246</v>
      </c>
      <c r="EA662" t="s">
        <v>929</v>
      </c>
    </row>
    <row r="663" spans="1:131" x14ac:dyDescent="0.4">
      <c r="A663" s="34">
        <v>43067.305104166669</v>
      </c>
      <c r="B663" s="25">
        <v>42935.475694444445</v>
      </c>
      <c r="D663" s="34"/>
      <c r="E663" s="34" t="s">
        <v>193</v>
      </c>
      <c r="F663" s="34" t="s">
        <v>191</v>
      </c>
      <c r="G663" s="34" t="s">
        <v>100</v>
      </c>
      <c r="H663" t="s">
        <v>279</v>
      </c>
      <c r="I663" t="s">
        <v>243</v>
      </c>
      <c r="J663" t="s">
        <v>712</v>
      </c>
      <c r="K663" t="s">
        <v>729</v>
      </c>
      <c r="L663" t="s">
        <v>711</v>
      </c>
      <c r="M663" s="30">
        <v>3.13</v>
      </c>
      <c r="N663">
        <v>6.75</v>
      </c>
      <c r="P663" s="24" t="str">
        <f>IFERROR(MID(RADataTable[[#This Row],[RATemplate]],1,LEN(RADataTable[[#This Row],[RATemplate]])-8),"RA") &amp; " " &amp; RADataTable[[#This Row],[prop_id0]] &amp; " " &amp; RADataTable[[#This Row],[last0]]</f>
        <v>RA 1750302 Dinitz</v>
      </c>
      <c r="T663">
        <v>4</v>
      </c>
      <c r="U663">
        <v>4</v>
      </c>
      <c r="V663" s="34">
        <v>43030.96875</v>
      </c>
      <c r="W663">
        <v>1</v>
      </c>
      <c r="X663" s="15" t="str">
        <f>HYPERLINK("https://www.ejacket.nsf.gov/ej/showProposal.do?Continue=Y&amp;ID="&amp;RADataTable[[#This Row],[prop_id0]],"eJ")</f>
        <v>eJ</v>
      </c>
      <c r="Y663" s="15" t="str">
        <f>HYPERLINK("mailto:"&amp;RADataTable[[#This Row],[email]]&amp;"&amp;subject=Your NSF Proposal:  "&amp;RADataTable[[#This Row],[Div]]&amp;" "&amp;RADataTable[[#This Row],[prop_id0]], RADataTable[[#This Row],[email]])</f>
        <v>mdinitz@cs.jhu.edu</v>
      </c>
      <c r="Z663" s="15" t="str">
        <f>HYPERLINK("mailto:"&amp;RADataTable[[#This Row],[allPIemail]]&amp;"&amp;subject=NSF Proposal:  "&amp;RADataTable[[#This Row],[Div]]&amp;" "&amp;RADataTable[[#This Row],[prop_id0]], "PIs@")</f>
        <v>PIs@</v>
      </c>
      <c r="AA663" t="s">
        <v>245</v>
      </c>
      <c r="AB663" t="s">
        <v>675</v>
      </c>
      <c r="AC663" s="30" t="s">
        <v>801</v>
      </c>
      <c r="AD663" t="s">
        <v>296</v>
      </c>
      <c r="AE663" t="s">
        <v>802</v>
      </c>
      <c r="AF663" s="36">
        <v>507459</v>
      </c>
      <c r="AG663" s="36">
        <v>507459</v>
      </c>
      <c r="AH663" s="24"/>
      <c r="AJ663" s="34"/>
      <c r="AK663" t="s">
        <v>923</v>
      </c>
      <c r="AL663" t="s">
        <v>287</v>
      </c>
      <c r="AM663" s="34" t="s">
        <v>925</v>
      </c>
      <c r="AN663" s="34">
        <v>43032</v>
      </c>
      <c r="AO663" s="24">
        <v>13</v>
      </c>
      <c r="AP663" t="s">
        <v>958</v>
      </c>
      <c r="AR663" s="35"/>
      <c r="AS663"/>
      <c r="AT663" s="34"/>
      <c r="AV663" s="34"/>
      <c r="AX663" s="34"/>
      <c r="AY663"/>
      <c r="BA663" s="34"/>
      <c r="BB663"/>
      <c r="BC663" t="s">
        <v>805</v>
      </c>
      <c r="BD663" s="36">
        <v>507459</v>
      </c>
      <c r="BE663" s="36">
        <v>507459</v>
      </c>
      <c r="BF663">
        <v>0</v>
      </c>
      <c r="BG663" s="34">
        <v>43282</v>
      </c>
      <c r="BH663">
        <v>60</v>
      </c>
      <c r="BI663" t="s">
        <v>283</v>
      </c>
      <c r="BJ663" t="s">
        <v>928</v>
      </c>
      <c r="BK663" t="s">
        <v>934</v>
      </c>
      <c r="BL663" t="s">
        <v>194</v>
      </c>
      <c r="BM663" s="8" t="s">
        <v>192</v>
      </c>
      <c r="BN663" t="s">
        <v>189</v>
      </c>
      <c r="BO663" t="s">
        <v>190</v>
      </c>
      <c r="BP663" s="35" t="s">
        <v>718</v>
      </c>
      <c r="BQ663"/>
      <c r="BU663" s="35"/>
      <c r="BV663" s="35"/>
      <c r="BX663"/>
      <c r="CA663" s="35"/>
      <c r="CB663" s="35"/>
      <c r="CC663"/>
      <c r="CG663" s="35"/>
      <c r="CH663" s="35"/>
      <c r="CK663"/>
      <c r="CM663" s="35"/>
      <c r="CN663" s="35"/>
      <c r="CQ663"/>
      <c r="CS663" s="35"/>
      <c r="CT663" s="35"/>
      <c r="CX663"/>
      <c r="CZ663" s="35"/>
      <c r="DD663" s="34"/>
      <c r="DG663" t="s">
        <v>803</v>
      </c>
      <c r="DH663" t="s">
        <v>959</v>
      </c>
      <c r="DI663" t="s">
        <v>286</v>
      </c>
      <c r="DL663" t="s">
        <v>675</v>
      </c>
      <c r="DM663">
        <v>6</v>
      </c>
      <c r="DN663">
        <v>8</v>
      </c>
      <c r="DO663" t="s">
        <v>804</v>
      </c>
      <c r="DQ663" t="s">
        <v>927</v>
      </c>
      <c r="DR663">
        <v>14</v>
      </c>
      <c r="DS663">
        <v>1</v>
      </c>
      <c r="DU663">
        <v>14</v>
      </c>
      <c r="DV663">
        <v>1</v>
      </c>
      <c r="DX663">
        <v>14</v>
      </c>
      <c r="DY663">
        <v>1</v>
      </c>
      <c r="DZ663" t="s">
        <v>246</v>
      </c>
      <c r="EA663" t="s">
        <v>929</v>
      </c>
    </row>
    <row r="664" spans="1:131" x14ac:dyDescent="0.4">
      <c r="A664" s="34">
        <v>43067.305104166669</v>
      </c>
      <c r="B664" s="25">
        <v>42935.475694444445</v>
      </c>
      <c r="D664" s="34"/>
      <c r="E664" s="34" t="s">
        <v>193</v>
      </c>
      <c r="F664" s="34" t="s">
        <v>191</v>
      </c>
      <c r="G664" s="34" t="s">
        <v>100</v>
      </c>
      <c r="H664" t="s">
        <v>279</v>
      </c>
      <c r="I664" t="s">
        <v>243</v>
      </c>
      <c r="J664" t="s">
        <v>712</v>
      </c>
      <c r="K664" t="s">
        <v>729</v>
      </c>
      <c r="L664" t="s">
        <v>711</v>
      </c>
      <c r="M664" s="30">
        <v>3.13</v>
      </c>
      <c r="N664">
        <v>6.75</v>
      </c>
      <c r="P664" s="24" t="str">
        <f>IFERROR(MID(RADataTable[[#This Row],[RATemplate]],1,LEN(RADataTable[[#This Row],[RATemplate]])-8),"RA") &amp; " " &amp; RADataTable[[#This Row],[prop_id0]] &amp; " " &amp; RADataTable[[#This Row],[last0]]</f>
        <v>RA 1750302 Dinitz</v>
      </c>
      <c r="T664">
        <v>4</v>
      </c>
      <c r="U664">
        <v>4</v>
      </c>
      <c r="V664" s="34">
        <v>43030.96875</v>
      </c>
      <c r="W664">
        <v>1</v>
      </c>
      <c r="X664" s="15" t="str">
        <f>HYPERLINK("https://www.ejacket.nsf.gov/ej/showProposal.do?Continue=Y&amp;ID="&amp;RADataTable[[#This Row],[prop_id0]],"eJ")</f>
        <v>eJ</v>
      </c>
      <c r="Y664" s="15" t="str">
        <f>HYPERLINK("mailto:"&amp;RADataTable[[#This Row],[email]]&amp;"&amp;subject=Your NSF Proposal:  "&amp;RADataTable[[#This Row],[Div]]&amp;" "&amp;RADataTable[[#This Row],[prop_id0]], RADataTable[[#This Row],[email]])</f>
        <v>mdinitz@cs.jhu.edu</v>
      </c>
      <c r="Z664" s="15" t="str">
        <f>HYPERLINK("mailto:"&amp;RADataTable[[#This Row],[allPIemail]]&amp;"&amp;subject=NSF Proposal:  "&amp;RADataTable[[#This Row],[Div]]&amp;" "&amp;RADataTable[[#This Row],[prop_id0]], "PIs@")</f>
        <v>PIs@</v>
      </c>
      <c r="AA664" t="s">
        <v>245</v>
      </c>
      <c r="AB664" t="s">
        <v>675</v>
      </c>
      <c r="AC664" s="30" t="s">
        <v>801</v>
      </c>
      <c r="AD664" t="s">
        <v>296</v>
      </c>
      <c r="AE664" t="s">
        <v>802</v>
      </c>
      <c r="AF664" s="36">
        <v>507459</v>
      </c>
      <c r="AG664" s="36">
        <v>507459</v>
      </c>
      <c r="AH664" s="24"/>
      <c r="AJ664" s="34"/>
      <c r="AK664" t="s">
        <v>923</v>
      </c>
      <c r="AL664" t="s">
        <v>287</v>
      </c>
      <c r="AM664" s="34" t="s">
        <v>925</v>
      </c>
      <c r="AN664" s="34">
        <v>43032</v>
      </c>
      <c r="AO664" s="24">
        <v>13</v>
      </c>
      <c r="AP664" t="s">
        <v>958</v>
      </c>
      <c r="AR664" s="35"/>
      <c r="AS664"/>
      <c r="AT664" s="34"/>
      <c r="AV664" s="34"/>
      <c r="AX664" s="34"/>
      <c r="AY664"/>
      <c r="BA664" s="34"/>
      <c r="BB664"/>
      <c r="BC664" t="s">
        <v>805</v>
      </c>
      <c r="BD664" s="36">
        <v>507459</v>
      </c>
      <c r="BE664" s="36">
        <v>507459</v>
      </c>
      <c r="BF664">
        <v>0</v>
      </c>
      <c r="BG664" s="34">
        <v>43282</v>
      </c>
      <c r="BH664">
        <v>60</v>
      </c>
      <c r="BI664" t="s">
        <v>283</v>
      </c>
      <c r="BJ664" t="s">
        <v>928</v>
      </c>
      <c r="BK664" t="s">
        <v>934</v>
      </c>
      <c r="BL664" t="s">
        <v>194</v>
      </c>
      <c r="BM664" s="8" t="s">
        <v>192</v>
      </c>
      <c r="BN664" t="s">
        <v>189</v>
      </c>
      <c r="BO664" t="s">
        <v>190</v>
      </c>
      <c r="BP664" s="35" t="s">
        <v>718</v>
      </c>
      <c r="BQ664"/>
      <c r="BU664" s="35"/>
      <c r="BV664" s="35"/>
      <c r="BX664"/>
      <c r="CA664" s="35"/>
      <c r="CB664" s="35"/>
      <c r="CC664"/>
      <c r="CG664" s="35"/>
      <c r="CH664" s="35"/>
      <c r="CK664"/>
      <c r="CM664" s="35"/>
      <c r="CN664" s="35"/>
      <c r="CQ664"/>
      <c r="CS664" s="35"/>
      <c r="CT664" s="35"/>
      <c r="CX664"/>
      <c r="CZ664" s="35"/>
      <c r="DD664" s="34"/>
      <c r="DG664" t="s">
        <v>803</v>
      </c>
      <c r="DH664" t="s">
        <v>959</v>
      </c>
      <c r="DI664" t="s">
        <v>286</v>
      </c>
      <c r="DL664" t="s">
        <v>675</v>
      </c>
      <c r="DM664">
        <v>6</v>
      </c>
      <c r="DN664">
        <v>8</v>
      </c>
      <c r="DO664" t="s">
        <v>804</v>
      </c>
      <c r="DQ664" t="s">
        <v>927</v>
      </c>
      <c r="DR664">
        <v>14</v>
      </c>
      <c r="DS664">
        <v>1</v>
      </c>
      <c r="DU664">
        <v>14</v>
      </c>
      <c r="DV664">
        <v>1</v>
      </c>
      <c r="DX664">
        <v>14</v>
      </c>
      <c r="DY664">
        <v>1</v>
      </c>
      <c r="DZ664" t="s">
        <v>246</v>
      </c>
      <c r="EA664" t="s">
        <v>929</v>
      </c>
    </row>
    <row r="665" spans="1:131" x14ac:dyDescent="0.4">
      <c r="A665" s="34">
        <v>43067.305104166669</v>
      </c>
      <c r="B665" s="25">
        <v>42935.475694444445</v>
      </c>
      <c r="D665" s="34"/>
      <c r="E665" s="34" t="s">
        <v>193</v>
      </c>
      <c r="F665" s="34" t="s">
        <v>191</v>
      </c>
      <c r="G665" s="34" t="s">
        <v>100</v>
      </c>
      <c r="H665" t="s">
        <v>279</v>
      </c>
      <c r="I665" t="s">
        <v>243</v>
      </c>
      <c r="J665" t="s">
        <v>712</v>
      </c>
      <c r="K665" t="s">
        <v>729</v>
      </c>
      <c r="L665" t="s">
        <v>711</v>
      </c>
      <c r="M665" s="30">
        <v>3.13</v>
      </c>
      <c r="N665">
        <v>6.75</v>
      </c>
      <c r="P665" s="24" t="str">
        <f>IFERROR(MID(RADataTable[[#This Row],[RATemplate]],1,LEN(RADataTable[[#This Row],[RATemplate]])-8),"RA") &amp; " " &amp; RADataTable[[#This Row],[prop_id0]] &amp; " " &amp; RADataTable[[#This Row],[last0]]</f>
        <v>RA 1750302 Dinitz</v>
      </c>
      <c r="T665">
        <v>4</v>
      </c>
      <c r="U665">
        <v>4</v>
      </c>
      <c r="V665" s="34">
        <v>43030.96875</v>
      </c>
      <c r="W665">
        <v>1</v>
      </c>
      <c r="X665" s="15" t="str">
        <f>HYPERLINK("https://www.ejacket.nsf.gov/ej/showProposal.do?Continue=Y&amp;ID="&amp;RADataTable[[#This Row],[prop_id0]],"eJ")</f>
        <v>eJ</v>
      </c>
      <c r="Y665" s="15" t="str">
        <f>HYPERLINK("mailto:"&amp;RADataTable[[#This Row],[email]]&amp;"&amp;subject=Your NSF Proposal:  "&amp;RADataTable[[#This Row],[Div]]&amp;" "&amp;RADataTable[[#This Row],[prop_id0]], RADataTable[[#This Row],[email]])</f>
        <v>mdinitz@cs.jhu.edu</v>
      </c>
      <c r="Z665" s="15" t="str">
        <f>HYPERLINK("mailto:"&amp;RADataTable[[#This Row],[allPIemail]]&amp;"&amp;subject=NSF Proposal:  "&amp;RADataTable[[#This Row],[Div]]&amp;" "&amp;RADataTable[[#This Row],[prop_id0]], "PIs@")</f>
        <v>PIs@</v>
      </c>
      <c r="AA665" t="s">
        <v>245</v>
      </c>
      <c r="AB665" t="s">
        <v>675</v>
      </c>
      <c r="AC665" s="30" t="s">
        <v>801</v>
      </c>
      <c r="AD665" t="s">
        <v>296</v>
      </c>
      <c r="AE665" t="s">
        <v>802</v>
      </c>
      <c r="AF665" s="36">
        <v>507459</v>
      </c>
      <c r="AG665" s="36">
        <v>507459</v>
      </c>
      <c r="AH665" s="24"/>
      <c r="AJ665" s="34"/>
      <c r="AK665" t="s">
        <v>923</v>
      </c>
      <c r="AL665" t="s">
        <v>287</v>
      </c>
      <c r="AM665" s="34" t="s">
        <v>925</v>
      </c>
      <c r="AN665" s="34">
        <v>43032</v>
      </c>
      <c r="AO665" s="24">
        <v>13</v>
      </c>
      <c r="AP665" t="s">
        <v>958</v>
      </c>
      <c r="AR665" s="35"/>
      <c r="AS665"/>
      <c r="AT665" s="34"/>
      <c r="AV665" s="34"/>
      <c r="AX665" s="34"/>
      <c r="AY665"/>
      <c r="BA665" s="34"/>
      <c r="BB665"/>
      <c r="BC665" t="s">
        <v>805</v>
      </c>
      <c r="BD665" s="36">
        <v>507459</v>
      </c>
      <c r="BE665" s="36">
        <v>507459</v>
      </c>
      <c r="BF665">
        <v>0</v>
      </c>
      <c r="BG665" s="34">
        <v>43282</v>
      </c>
      <c r="BH665">
        <v>60</v>
      </c>
      <c r="BI665" t="s">
        <v>283</v>
      </c>
      <c r="BJ665" t="s">
        <v>928</v>
      </c>
      <c r="BK665" t="s">
        <v>934</v>
      </c>
      <c r="BL665" t="s">
        <v>194</v>
      </c>
      <c r="BM665" s="8" t="s">
        <v>192</v>
      </c>
      <c r="BN665" t="s">
        <v>189</v>
      </c>
      <c r="BO665" t="s">
        <v>190</v>
      </c>
      <c r="BP665" s="35" t="s">
        <v>718</v>
      </c>
      <c r="BQ665"/>
      <c r="BU665" s="35"/>
      <c r="BV665" s="35"/>
      <c r="BX665"/>
      <c r="CA665" s="35"/>
      <c r="CB665" s="35"/>
      <c r="CC665"/>
      <c r="CG665" s="35"/>
      <c r="CH665" s="35"/>
      <c r="CK665"/>
      <c r="CM665" s="35"/>
      <c r="CN665" s="35"/>
      <c r="CQ665"/>
      <c r="CS665" s="35"/>
      <c r="CT665" s="35"/>
      <c r="CX665"/>
      <c r="CZ665" s="35"/>
      <c r="DD665" s="34"/>
      <c r="DG665" t="s">
        <v>803</v>
      </c>
      <c r="DH665" t="s">
        <v>959</v>
      </c>
      <c r="DI665" t="s">
        <v>286</v>
      </c>
      <c r="DL665" t="s">
        <v>675</v>
      </c>
      <c r="DM665">
        <v>6</v>
      </c>
      <c r="DN665">
        <v>8</v>
      </c>
      <c r="DO665" t="s">
        <v>804</v>
      </c>
      <c r="DQ665" t="s">
        <v>927</v>
      </c>
      <c r="DR665">
        <v>14</v>
      </c>
      <c r="DS665">
        <v>1</v>
      </c>
      <c r="DU665">
        <v>14</v>
      </c>
      <c r="DV665">
        <v>1</v>
      </c>
      <c r="DX665">
        <v>14</v>
      </c>
      <c r="DY665">
        <v>1</v>
      </c>
      <c r="DZ665" t="s">
        <v>246</v>
      </c>
      <c r="EA665" t="s">
        <v>929</v>
      </c>
    </row>
    <row r="666" spans="1:131" x14ac:dyDescent="0.4">
      <c r="A666" s="34">
        <v>43067.305104166669</v>
      </c>
      <c r="B666" s="25">
        <v>42935.475694444445</v>
      </c>
      <c r="D666" s="34"/>
      <c r="E666" s="34" t="s">
        <v>193</v>
      </c>
      <c r="F666" s="34" t="s">
        <v>191</v>
      </c>
      <c r="G666" s="34" t="s">
        <v>100</v>
      </c>
      <c r="H666" t="s">
        <v>279</v>
      </c>
      <c r="I666" t="s">
        <v>243</v>
      </c>
      <c r="J666" t="s">
        <v>712</v>
      </c>
      <c r="K666" t="s">
        <v>729</v>
      </c>
      <c r="L666" t="s">
        <v>711</v>
      </c>
      <c r="M666" s="30">
        <v>3.13</v>
      </c>
      <c r="N666">
        <v>6.75</v>
      </c>
      <c r="P666" s="24" t="str">
        <f>IFERROR(MID(RADataTable[[#This Row],[RATemplate]],1,LEN(RADataTable[[#This Row],[RATemplate]])-8),"RA") &amp; " " &amp; RADataTable[[#This Row],[prop_id0]] &amp; " " &amp; RADataTable[[#This Row],[last0]]</f>
        <v>RA 1750302 Dinitz</v>
      </c>
      <c r="T666">
        <v>4</v>
      </c>
      <c r="U666">
        <v>4</v>
      </c>
      <c r="V666" s="34">
        <v>43030.96875</v>
      </c>
      <c r="W666">
        <v>1</v>
      </c>
      <c r="X666" s="15" t="str">
        <f>HYPERLINK("https://www.ejacket.nsf.gov/ej/showProposal.do?Continue=Y&amp;ID="&amp;RADataTable[[#This Row],[prop_id0]],"eJ")</f>
        <v>eJ</v>
      </c>
      <c r="Y666" s="15" t="str">
        <f>HYPERLINK("mailto:"&amp;RADataTable[[#This Row],[email]]&amp;"&amp;subject=Your NSF Proposal:  "&amp;RADataTable[[#This Row],[Div]]&amp;" "&amp;RADataTable[[#This Row],[prop_id0]], RADataTable[[#This Row],[email]])</f>
        <v>mdinitz@cs.jhu.edu</v>
      </c>
      <c r="Z666" s="15" t="str">
        <f>HYPERLINK("mailto:"&amp;RADataTable[[#This Row],[allPIemail]]&amp;"&amp;subject=NSF Proposal:  "&amp;RADataTable[[#This Row],[Div]]&amp;" "&amp;RADataTable[[#This Row],[prop_id0]], "PIs@")</f>
        <v>PIs@</v>
      </c>
      <c r="AA666" t="s">
        <v>245</v>
      </c>
      <c r="AB666" t="s">
        <v>675</v>
      </c>
      <c r="AC666" s="30" t="s">
        <v>801</v>
      </c>
      <c r="AD666" t="s">
        <v>296</v>
      </c>
      <c r="AE666" t="s">
        <v>802</v>
      </c>
      <c r="AF666" s="36">
        <v>507459</v>
      </c>
      <c r="AG666" s="36">
        <v>507459</v>
      </c>
      <c r="AH666" s="24"/>
      <c r="AJ666" s="34"/>
      <c r="AK666" t="s">
        <v>923</v>
      </c>
      <c r="AL666" t="s">
        <v>287</v>
      </c>
      <c r="AM666" s="34" t="s">
        <v>925</v>
      </c>
      <c r="AN666" s="34">
        <v>43032</v>
      </c>
      <c r="AO666" s="24">
        <v>13</v>
      </c>
      <c r="AP666" t="s">
        <v>958</v>
      </c>
      <c r="AR666" s="35"/>
      <c r="AS666"/>
      <c r="AT666" s="34"/>
      <c r="AV666" s="34"/>
      <c r="AX666" s="34"/>
      <c r="AY666"/>
      <c r="BA666" s="34"/>
      <c r="BB666"/>
      <c r="BC666" t="s">
        <v>805</v>
      </c>
      <c r="BD666" s="36">
        <v>507459</v>
      </c>
      <c r="BE666" s="36">
        <v>507459</v>
      </c>
      <c r="BF666">
        <v>0</v>
      </c>
      <c r="BG666" s="34">
        <v>43282</v>
      </c>
      <c r="BH666">
        <v>60</v>
      </c>
      <c r="BI666" t="s">
        <v>283</v>
      </c>
      <c r="BJ666" t="s">
        <v>928</v>
      </c>
      <c r="BK666" t="s">
        <v>934</v>
      </c>
      <c r="BL666" t="s">
        <v>194</v>
      </c>
      <c r="BM666" s="8" t="s">
        <v>192</v>
      </c>
      <c r="BN666" t="s">
        <v>189</v>
      </c>
      <c r="BO666" t="s">
        <v>190</v>
      </c>
      <c r="BP666" s="35" t="s">
        <v>718</v>
      </c>
      <c r="BQ666"/>
      <c r="BU666" s="35"/>
      <c r="BV666" s="35"/>
      <c r="BX666"/>
      <c r="CA666" s="35"/>
      <c r="CB666" s="35"/>
      <c r="CC666"/>
      <c r="CG666" s="35"/>
      <c r="CH666" s="35"/>
      <c r="CK666"/>
      <c r="CM666" s="35"/>
      <c r="CN666" s="35"/>
      <c r="CQ666"/>
      <c r="CS666" s="35"/>
      <c r="CT666" s="35"/>
      <c r="CX666"/>
      <c r="CZ666" s="35"/>
      <c r="DD666" s="34"/>
      <c r="DG666" t="s">
        <v>803</v>
      </c>
      <c r="DH666" t="s">
        <v>959</v>
      </c>
      <c r="DI666" t="s">
        <v>286</v>
      </c>
      <c r="DL666" t="s">
        <v>675</v>
      </c>
      <c r="DM666">
        <v>6</v>
      </c>
      <c r="DN666">
        <v>8</v>
      </c>
      <c r="DO666" t="s">
        <v>804</v>
      </c>
      <c r="DQ666" t="s">
        <v>927</v>
      </c>
      <c r="DR666">
        <v>14</v>
      </c>
      <c r="DS666">
        <v>1</v>
      </c>
      <c r="DU666">
        <v>14</v>
      </c>
      <c r="DV666">
        <v>1</v>
      </c>
      <c r="DX666">
        <v>14</v>
      </c>
      <c r="DY666">
        <v>1</v>
      </c>
      <c r="DZ666" t="s">
        <v>246</v>
      </c>
      <c r="EA666" t="s">
        <v>929</v>
      </c>
    </row>
    <row r="667" spans="1:131" x14ac:dyDescent="0.4">
      <c r="A667" s="34">
        <v>43067.305104166669</v>
      </c>
      <c r="B667" s="25">
        <v>42935.475694444445</v>
      </c>
      <c r="D667" s="34"/>
      <c r="E667" s="34" t="s">
        <v>193</v>
      </c>
      <c r="F667" s="34" t="s">
        <v>191</v>
      </c>
      <c r="G667" s="34" t="s">
        <v>100</v>
      </c>
      <c r="H667" t="s">
        <v>279</v>
      </c>
      <c r="I667" t="s">
        <v>243</v>
      </c>
      <c r="J667" t="s">
        <v>712</v>
      </c>
      <c r="K667" t="s">
        <v>729</v>
      </c>
      <c r="L667" t="s">
        <v>711</v>
      </c>
      <c r="M667" s="30">
        <v>3.13</v>
      </c>
      <c r="N667">
        <v>6.75</v>
      </c>
      <c r="P667" s="24" t="str">
        <f>IFERROR(MID(RADataTable[[#This Row],[RATemplate]],1,LEN(RADataTable[[#This Row],[RATemplate]])-8),"RA") &amp; " " &amp; RADataTable[[#This Row],[prop_id0]] &amp; " " &amp; RADataTable[[#This Row],[last0]]</f>
        <v>RA 1750302 Dinitz</v>
      </c>
      <c r="T667">
        <v>4</v>
      </c>
      <c r="U667">
        <v>4</v>
      </c>
      <c r="V667" s="34">
        <v>43030.96875</v>
      </c>
      <c r="W667">
        <v>1</v>
      </c>
      <c r="X667" s="15" t="str">
        <f>HYPERLINK("https://www.ejacket.nsf.gov/ej/showProposal.do?Continue=Y&amp;ID="&amp;RADataTable[[#This Row],[prop_id0]],"eJ")</f>
        <v>eJ</v>
      </c>
      <c r="Y667" s="15" t="str">
        <f>HYPERLINK("mailto:"&amp;RADataTable[[#This Row],[email]]&amp;"&amp;subject=Your NSF Proposal:  "&amp;RADataTable[[#This Row],[Div]]&amp;" "&amp;RADataTable[[#This Row],[prop_id0]], RADataTable[[#This Row],[email]])</f>
        <v>mdinitz@cs.jhu.edu</v>
      </c>
      <c r="Z667" s="15" t="str">
        <f>HYPERLINK("mailto:"&amp;RADataTable[[#This Row],[allPIemail]]&amp;"&amp;subject=NSF Proposal:  "&amp;RADataTable[[#This Row],[Div]]&amp;" "&amp;RADataTable[[#This Row],[prop_id0]], "PIs@")</f>
        <v>PIs@</v>
      </c>
      <c r="AA667" t="s">
        <v>245</v>
      </c>
      <c r="AB667" t="s">
        <v>675</v>
      </c>
      <c r="AC667" s="30" t="s">
        <v>801</v>
      </c>
      <c r="AD667" t="s">
        <v>296</v>
      </c>
      <c r="AE667" t="s">
        <v>802</v>
      </c>
      <c r="AF667" s="36">
        <v>507459</v>
      </c>
      <c r="AG667" s="36">
        <v>507459</v>
      </c>
      <c r="AH667" s="24"/>
      <c r="AJ667" s="34"/>
      <c r="AK667" t="s">
        <v>923</v>
      </c>
      <c r="AL667" t="s">
        <v>287</v>
      </c>
      <c r="AM667" s="34" t="s">
        <v>925</v>
      </c>
      <c r="AN667" s="34">
        <v>43032</v>
      </c>
      <c r="AO667" s="24">
        <v>13</v>
      </c>
      <c r="AP667" t="s">
        <v>958</v>
      </c>
      <c r="AR667" s="35"/>
      <c r="AS667"/>
      <c r="AT667" s="34"/>
      <c r="AV667" s="34"/>
      <c r="AX667" s="34"/>
      <c r="AY667"/>
      <c r="BA667" s="34"/>
      <c r="BB667"/>
      <c r="BC667" t="s">
        <v>805</v>
      </c>
      <c r="BD667" s="36">
        <v>507459</v>
      </c>
      <c r="BE667" s="36">
        <v>507459</v>
      </c>
      <c r="BF667">
        <v>0</v>
      </c>
      <c r="BG667" s="34">
        <v>43282</v>
      </c>
      <c r="BH667">
        <v>60</v>
      </c>
      <c r="BI667" t="s">
        <v>283</v>
      </c>
      <c r="BJ667" t="s">
        <v>928</v>
      </c>
      <c r="BK667" t="s">
        <v>934</v>
      </c>
      <c r="BL667" t="s">
        <v>194</v>
      </c>
      <c r="BM667" s="8" t="s">
        <v>192</v>
      </c>
      <c r="BN667" t="s">
        <v>189</v>
      </c>
      <c r="BO667" t="s">
        <v>190</v>
      </c>
      <c r="BP667" s="35" t="s">
        <v>718</v>
      </c>
      <c r="BQ667"/>
      <c r="BU667" s="35"/>
      <c r="BV667" s="35"/>
      <c r="BX667"/>
      <c r="CA667" s="35"/>
      <c r="CB667" s="35"/>
      <c r="CC667"/>
      <c r="CG667" s="35"/>
      <c r="CH667" s="35"/>
      <c r="CK667"/>
      <c r="CM667" s="35"/>
      <c r="CN667" s="35"/>
      <c r="CQ667"/>
      <c r="CS667" s="35"/>
      <c r="CT667" s="35"/>
      <c r="CX667"/>
      <c r="CZ667" s="35"/>
      <c r="DD667" s="34"/>
      <c r="DG667" t="s">
        <v>803</v>
      </c>
      <c r="DH667" t="s">
        <v>959</v>
      </c>
      <c r="DI667" t="s">
        <v>286</v>
      </c>
      <c r="DL667" t="s">
        <v>675</v>
      </c>
      <c r="DM667">
        <v>6</v>
      </c>
      <c r="DN667">
        <v>8</v>
      </c>
      <c r="DO667" t="s">
        <v>804</v>
      </c>
      <c r="DQ667" t="s">
        <v>927</v>
      </c>
      <c r="DR667">
        <v>14</v>
      </c>
      <c r="DS667">
        <v>1</v>
      </c>
      <c r="DU667">
        <v>14</v>
      </c>
      <c r="DV667">
        <v>1</v>
      </c>
      <c r="DX667">
        <v>14</v>
      </c>
      <c r="DY667">
        <v>1</v>
      </c>
      <c r="DZ667" t="s">
        <v>246</v>
      </c>
      <c r="EA667" t="s">
        <v>929</v>
      </c>
    </row>
    <row r="668" spans="1:131" x14ac:dyDescent="0.4">
      <c r="A668" s="34">
        <v>43067.305104166669</v>
      </c>
      <c r="B668" s="25">
        <v>42935.475694444445</v>
      </c>
      <c r="D668" s="34"/>
      <c r="E668" s="34" t="s">
        <v>193</v>
      </c>
      <c r="F668" s="34" t="s">
        <v>191</v>
      </c>
      <c r="G668" s="34" t="s">
        <v>100</v>
      </c>
      <c r="H668" t="s">
        <v>279</v>
      </c>
      <c r="I668" t="s">
        <v>243</v>
      </c>
      <c r="J668" t="s">
        <v>712</v>
      </c>
      <c r="K668" t="s">
        <v>729</v>
      </c>
      <c r="L668" t="s">
        <v>711</v>
      </c>
      <c r="M668" s="30">
        <v>3.13</v>
      </c>
      <c r="N668">
        <v>6.75</v>
      </c>
      <c r="P668" s="24" t="str">
        <f>IFERROR(MID(RADataTable[[#This Row],[RATemplate]],1,LEN(RADataTable[[#This Row],[RATemplate]])-8),"RA") &amp; " " &amp; RADataTable[[#This Row],[prop_id0]] &amp; " " &amp; RADataTable[[#This Row],[last0]]</f>
        <v>RA 1750302 Dinitz</v>
      </c>
      <c r="T668">
        <v>4</v>
      </c>
      <c r="U668">
        <v>4</v>
      </c>
      <c r="V668" s="34">
        <v>43030.96875</v>
      </c>
      <c r="W668">
        <v>1</v>
      </c>
      <c r="X668" s="15" t="str">
        <f>HYPERLINK("https://www.ejacket.nsf.gov/ej/showProposal.do?Continue=Y&amp;ID="&amp;RADataTable[[#This Row],[prop_id0]],"eJ")</f>
        <v>eJ</v>
      </c>
      <c r="Y668" s="15" t="str">
        <f>HYPERLINK("mailto:"&amp;RADataTable[[#This Row],[email]]&amp;"&amp;subject=Your NSF Proposal:  "&amp;RADataTable[[#This Row],[Div]]&amp;" "&amp;RADataTable[[#This Row],[prop_id0]], RADataTable[[#This Row],[email]])</f>
        <v>mdinitz@cs.jhu.edu</v>
      </c>
      <c r="Z668" s="15" t="str">
        <f>HYPERLINK("mailto:"&amp;RADataTable[[#This Row],[allPIemail]]&amp;"&amp;subject=NSF Proposal:  "&amp;RADataTable[[#This Row],[Div]]&amp;" "&amp;RADataTable[[#This Row],[prop_id0]], "PIs@")</f>
        <v>PIs@</v>
      </c>
      <c r="AA668" t="s">
        <v>245</v>
      </c>
      <c r="AB668" t="s">
        <v>675</v>
      </c>
      <c r="AC668" s="30" t="s">
        <v>801</v>
      </c>
      <c r="AD668" t="s">
        <v>296</v>
      </c>
      <c r="AE668" t="s">
        <v>802</v>
      </c>
      <c r="AF668" s="36">
        <v>507459</v>
      </c>
      <c r="AG668" s="36">
        <v>507459</v>
      </c>
      <c r="AH668" s="24"/>
      <c r="AJ668" s="34"/>
      <c r="AK668" t="s">
        <v>923</v>
      </c>
      <c r="AL668" t="s">
        <v>287</v>
      </c>
      <c r="AM668" s="34" t="s">
        <v>925</v>
      </c>
      <c r="AN668" s="34">
        <v>43032</v>
      </c>
      <c r="AO668" s="24">
        <v>13</v>
      </c>
      <c r="AP668" t="s">
        <v>958</v>
      </c>
      <c r="AR668" s="35"/>
      <c r="AS668"/>
      <c r="AT668" s="34"/>
      <c r="AV668" s="34"/>
      <c r="AX668" s="34"/>
      <c r="AY668"/>
      <c r="BA668" s="34"/>
      <c r="BB668"/>
      <c r="BC668" t="s">
        <v>805</v>
      </c>
      <c r="BD668" s="36">
        <v>507459</v>
      </c>
      <c r="BE668" s="36">
        <v>507459</v>
      </c>
      <c r="BF668">
        <v>0</v>
      </c>
      <c r="BG668" s="34">
        <v>43282</v>
      </c>
      <c r="BH668">
        <v>60</v>
      </c>
      <c r="BI668" t="s">
        <v>283</v>
      </c>
      <c r="BJ668" t="s">
        <v>928</v>
      </c>
      <c r="BK668" t="s">
        <v>934</v>
      </c>
      <c r="BL668" t="s">
        <v>194</v>
      </c>
      <c r="BM668" s="8" t="s">
        <v>192</v>
      </c>
      <c r="BN668" t="s">
        <v>189</v>
      </c>
      <c r="BO668" t="s">
        <v>190</v>
      </c>
      <c r="BP668" s="35" t="s">
        <v>718</v>
      </c>
      <c r="BQ668"/>
      <c r="BU668" s="35"/>
      <c r="BV668" s="35"/>
      <c r="BX668"/>
      <c r="CA668" s="35"/>
      <c r="CB668" s="35"/>
      <c r="CC668"/>
      <c r="CG668" s="35"/>
      <c r="CH668" s="35"/>
      <c r="CK668"/>
      <c r="CM668" s="35"/>
      <c r="CN668" s="35"/>
      <c r="CQ668"/>
      <c r="CS668" s="35"/>
      <c r="CT668" s="35"/>
      <c r="CX668"/>
      <c r="CZ668" s="35"/>
      <c r="DD668" s="34"/>
      <c r="DG668" t="s">
        <v>803</v>
      </c>
      <c r="DH668" t="s">
        <v>959</v>
      </c>
      <c r="DI668" t="s">
        <v>286</v>
      </c>
      <c r="DL668" t="s">
        <v>675</v>
      </c>
      <c r="DM668">
        <v>6</v>
      </c>
      <c r="DN668">
        <v>8</v>
      </c>
      <c r="DO668" t="s">
        <v>804</v>
      </c>
      <c r="DQ668" t="s">
        <v>927</v>
      </c>
      <c r="DR668">
        <v>14</v>
      </c>
      <c r="DS668">
        <v>1</v>
      </c>
      <c r="DU668">
        <v>14</v>
      </c>
      <c r="DV668">
        <v>1</v>
      </c>
      <c r="DX668">
        <v>14</v>
      </c>
      <c r="DY668">
        <v>1</v>
      </c>
      <c r="DZ668" t="s">
        <v>246</v>
      </c>
      <c r="EA668" t="s">
        <v>929</v>
      </c>
    </row>
    <row r="669" spans="1:131" x14ac:dyDescent="0.4">
      <c r="A669" s="34">
        <v>43067.305104166669</v>
      </c>
      <c r="B669" s="25">
        <v>42935.475694444445</v>
      </c>
      <c r="D669" s="34"/>
      <c r="E669" s="34" t="s">
        <v>193</v>
      </c>
      <c r="F669" s="34" t="s">
        <v>191</v>
      </c>
      <c r="G669" s="34" t="s">
        <v>100</v>
      </c>
      <c r="H669" t="s">
        <v>279</v>
      </c>
      <c r="I669" t="s">
        <v>243</v>
      </c>
      <c r="J669" t="s">
        <v>712</v>
      </c>
      <c r="K669" t="s">
        <v>729</v>
      </c>
      <c r="L669" t="s">
        <v>711</v>
      </c>
      <c r="M669" s="30">
        <v>3.13</v>
      </c>
      <c r="N669">
        <v>6.75</v>
      </c>
      <c r="P669" s="24" t="str">
        <f>IFERROR(MID(RADataTable[[#This Row],[RATemplate]],1,LEN(RADataTable[[#This Row],[RATemplate]])-8),"RA") &amp; " " &amp; RADataTable[[#This Row],[prop_id0]] &amp; " " &amp; RADataTable[[#This Row],[last0]]</f>
        <v>RA 1750302 Dinitz</v>
      </c>
      <c r="T669">
        <v>4</v>
      </c>
      <c r="U669">
        <v>4</v>
      </c>
      <c r="V669" s="34">
        <v>43030.96875</v>
      </c>
      <c r="W669">
        <v>1</v>
      </c>
      <c r="X669" s="15" t="str">
        <f>HYPERLINK("https://www.ejacket.nsf.gov/ej/showProposal.do?Continue=Y&amp;ID="&amp;RADataTable[[#This Row],[prop_id0]],"eJ")</f>
        <v>eJ</v>
      </c>
      <c r="Y669" s="15" t="str">
        <f>HYPERLINK("mailto:"&amp;RADataTable[[#This Row],[email]]&amp;"&amp;subject=Your NSF Proposal:  "&amp;RADataTable[[#This Row],[Div]]&amp;" "&amp;RADataTable[[#This Row],[prop_id0]], RADataTable[[#This Row],[email]])</f>
        <v>mdinitz@cs.jhu.edu</v>
      </c>
      <c r="Z669" s="15" t="str">
        <f>HYPERLINK("mailto:"&amp;RADataTable[[#This Row],[allPIemail]]&amp;"&amp;subject=NSF Proposal:  "&amp;RADataTable[[#This Row],[Div]]&amp;" "&amp;RADataTable[[#This Row],[prop_id0]], "PIs@")</f>
        <v>PIs@</v>
      </c>
      <c r="AA669" t="s">
        <v>245</v>
      </c>
      <c r="AB669" t="s">
        <v>675</v>
      </c>
      <c r="AC669" s="30" t="s">
        <v>801</v>
      </c>
      <c r="AD669" t="s">
        <v>296</v>
      </c>
      <c r="AE669" t="s">
        <v>802</v>
      </c>
      <c r="AF669" s="36">
        <v>507459</v>
      </c>
      <c r="AG669" s="36">
        <v>507459</v>
      </c>
      <c r="AH669" s="24"/>
      <c r="AJ669" s="34"/>
      <c r="AK669" t="s">
        <v>923</v>
      </c>
      <c r="AL669" t="s">
        <v>287</v>
      </c>
      <c r="AM669" s="34" t="s">
        <v>925</v>
      </c>
      <c r="AN669" s="34">
        <v>43032</v>
      </c>
      <c r="AO669" s="24">
        <v>13</v>
      </c>
      <c r="AP669" t="s">
        <v>958</v>
      </c>
      <c r="AR669" s="35"/>
      <c r="AS669"/>
      <c r="AT669" s="34"/>
      <c r="AV669" s="34"/>
      <c r="AX669" s="34"/>
      <c r="AY669"/>
      <c r="BA669" s="34"/>
      <c r="BB669"/>
      <c r="BC669" t="s">
        <v>805</v>
      </c>
      <c r="BD669" s="36">
        <v>507459</v>
      </c>
      <c r="BE669" s="36">
        <v>507459</v>
      </c>
      <c r="BF669">
        <v>0</v>
      </c>
      <c r="BG669" s="34">
        <v>43282</v>
      </c>
      <c r="BH669">
        <v>60</v>
      </c>
      <c r="BI669" t="s">
        <v>283</v>
      </c>
      <c r="BJ669" t="s">
        <v>928</v>
      </c>
      <c r="BK669" t="s">
        <v>934</v>
      </c>
      <c r="BL669" t="s">
        <v>194</v>
      </c>
      <c r="BM669" s="8" t="s">
        <v>192</v>
      </c>
      <c r="BN669" t="s">
        <v>189</v>
      </c>
      <c r="BO669" t="s">
        <v>190</v>
      </c>
      <c r="BP669" s="35" t="s">
        <v>718</v>
      </c>
      <c r="BQ669"/>
      <c r="BU669" s="35"/>
      <c r="BV669" s="35"/>
      <c r="BX669"/>
      <c r="CA669" s="35"/>
      <c r="CB669" s="35"/>
      <c r="CC669"/>
      <c r="CG669" s="35"/>
      <c r="CH669" s="35"/>
      <c r="CK669"/>
      <c r="CM669" s="35"/>
      <c r="CN669" s="35"/>
      <c r="CQ669"/>
      <c r="CS669" s="35"/>
      <c r="CT669" s="35"/>
      <c r="CX669"/>
      <c r="CZ669" s="35"/>
      <c r="DD669" s="34"/>
      <c r="DG669" t="s">
        <v>803</v>
      </c>
      <c r="DH669" t="s">
        <v>959</v>
      </c>
      <c r="DI669" t="s">
        <v>286</v>
      </c>
      <c r="DL669" t="s">
        <v>675</v>
      </c>
      <c r="DM669">
        <v>6</v>
      </c>
      <c r="DN669">
        <v>8</v>
      </c>
      <c r="DO669" t="s">
        <v>804</v>
      </c>
      <c r="DQ669" t="s">
        <v>927</v>
      </c>
      <c r="DR669">
        <v>14</v>
      </c>
      <c r="DS669">
        <v>1</v>
      </c>
      <c r="DU669">
        <v>14</v>
      </c>
      <c r="DV669">
        <v>1</v>
      </c>
      <c r="DX669">
        <v>14</v>
      </c>
      <c r="DY669">
        <v>1</v>
      </c>
      <c r="DZ669" t="s">
        <v>246</v>
      </c>
      <c r="EA669" t="s">
        <v>929</v>
      </c>
    </row>
    <row r="670" spans="1:131" x14ac:dyDescent="0.4">
      <c r="A670" s="34">
        <v>43067.305104166669</v>
      </c>
      <c r="B670" s="25">
        <v>42935.475694444445</v>
      </c>
      <c r="D670" s="34"/>
      <c r="E670" s="34" t="s">
        <v>193</v>
      </c>
      <c r="F670" s="34" t="s">
        <v>191</v>
      </c>
      <c r="G670" s="34" t="s">
        <v>100</v>
      </c>
      <c r="H670" t="s">
        <v>279</v>
      </c>
      <c r="I670" t="s">
        <v>243</v>
      </c>
      <c r="J670" t="s">
        <v>712</v>
      </c>
      <c r="K670" t="s">
        <v>729</v>
      </c>
      <c r="L670" t="s">
        <v>711</v>
      </c>
      <c r="M670" s="30">
        <v>3.13</v>
      </c>
      <c r="N670">
        <v>6.75</v>
      </c>
      <c r="P670" s="24" t="str">
        <f>IFERROR(MID(RADataTable[[#This Row],[RATemplate]],1,LEN(RADataTable[[#This Row],[RATemplate]])-8),"RA") &amp; " " &amp; RADataTable[[#This Row],[prop_id0]] &amp; " " &amp; RADataTable[[#This Row],[last0]]</f>
        <v>RA 1750302 Dinitz</v>
      </c>
      <c r="T670">
        <v>4</v>
      </c>
      <c r="U670">
        <v>4</v>
      </c>
      <c r="V670" s="34">
        <v>43030.96875</v>
      </c>
      <c r="W670">
        <v>1</v>
      </c>
      <c r="X670" s="15" t="str">
        <f>HYPERLINK("https://www.ejacket.nsf.gov/ej/showProposal.do?Continue=Y&amp;ID="&amp;RADataTable[[#This Row],[prop_id0]],"eJ")</f>
        <v>eJ</v>
      </c>
      <c r="Y670" s="15" t="str">
        <f>HYPERLINK("mailto:"&amp;RADataTable[[#This Row],[email]]&amp;"&amp;subject=Your NSF Proposal:  "&amp;RADataTable[[#This Row],[Div]]&amp;" "&amp;RADataTable[[#This Row],[prop_id0]], RADataTable[[#This Row],[email]])</f>
        <v>mdinitz@cs.jhu.edu</v>
      </c>
      <c r="Z670" s="15" t="str">
        <f>HYPERLINK("mailto:"&amp;RADataTable[[#This Row],[allPIemail]]&amp;"&amp;subject=NSF Proposal:  "&amp;RADataTable[[#This Row],[Div]]&amp;" "&amp;RADataTable[[#This Row],[prop_id0]], "PIs@")</f>
        <v>PIs@</v>
      </c>
      <c r="AA670" t="s">
        <v>245</v>
      </c>
      <c r="AB670" t="s">
        <v>675</v>
      </c>
      <c r="AC670" s="30" t="s">
        <v>801</v>
      </c>
      <c r="AD670" t="s">
        <v>296</v>
      </c>
      <c r="AE670" t="s">
        <v>802</v>
      </c>
      <c r="AF670" s="36">
        <v>507459</v>
      </c>
      <c r="AG670" s="36">
        <v>507459</v>
      </c>
      <c r="AH670" s="24"/>
      <c r="AJ670" s="34"/>
      <c r="AK670" t="s">
        <v>923</v>
      </c>
      <c r="AL670" t="s">
        <v>287</v>
      </c>
      <c r="AM670" s="34" t="s">
        <v>925</v>
      </c>
      <c r="AN670" s="34">
        <v>43032</v>
      </c>
      <c r="AO670" s="24">
        <v>13</v>
      </c>
      <c r="AP670" t="s">
        <v>958</v>
      </c>
      <c r="AR670" s="35"/>
      <c r="AS670"/>
      <c r="AT670" s="34"/>
      <c r="AV670" s="34"/>
      <c r="AX670" s="34"/>
      <c r="AY670"/>
      <c r="BA670" s="34"/>
      <c r="BB670"/>
      <c r="BC670" t="s">
        <v>805</v>
      </c>
      <c r="BD670" s="36">
        <v>507459</v>
      </c>
      <c r="BE670" s="36">
        <v>507459</v>
      </c>
      <c r="BF670">
        <v>0</v>
      </c>
      <c r="BG670" s="34">
        <v>43282</v>
      </c>
      <c r="BH670">
        <v>60</v>
      </c>
      <c r="BI670" t="s">
        <v>283</v>
      </c>
      <c r="BJ670" t="s">
        <v>928</v>
      </c>
      <c r="BK670" t="s">
        <v>934</v>
      </c>
      <c r="BL670" t="s">
        <v>194</v>
      </c>
      <c r="BM670" s="8" t="s">
        <v>192</v>
      </c>
      <c r="BN670" t="s">
        <v>189</v>
      </c>
      <c r="BO670" t="s">
        <v>190</v>
      </c>
      <c r="BP670" s="35" t="s">
        <v>718</v>
      </c>
      <c r="BQ670"/>
      <c r="BU670" s="35"/>
      <c r="BV670" s="35"/>
      <c r="BX670"/>
      <c r="CA670" s="35"/>
      <c r="CB670" s="35"/>
      <c r="CC670"/>
      <c r="CG670" s="35"/>
      <c r="CH670" s="35"/>
      <c r="CK670"/>
      <c r="CM670" s="35"/>
      <c r="CN670" s="35"/>
      <c r="CQ670"/>
      <c r="CS670" s="35"/>
      <c r="CT670" s="35"/>
      <c r="CX670"/>
      <c r="CZ670" s="35"/>
      <c r="DD670" s="34"/>
      <c r="DG670" t="s">
        <v>803</v>
      </c>
      <c r="DH670" t="s">
        <v>959</v>
      </c>
      <c r="DI670" t="s">
        <v>286</v>
      </c>
      <c r="DL670" t="s">
        <v>675</v>
      </c>
      <c r="DM670">
        <v>6</v>
      </c>
      <c r="DN670">
        <v>8</v>
      </c>
      <c r="DO670" t="s">
        <v>804</v>
      </c>
      <c r="DQ670" t="s">
        <v>927</v>
      </c>
      <c r="DR670">
        <v>14</v>
      </c>
      <c r="DS670">
        <v>1</v>
      </c>
      <c r="DU670">
        <v>14</v>
      </c>
      <c r="DV670">
        <v>1</v>
      </c>
      <c r="DX670">
        <v>14</v>
      </c>
      <c r="DY670">
        <v>1</v>
      </c>
      <c r="DZ670" t="s">
        <v>246</v>
      </c>
      <c r="EA670" t="s">
        <v>929</v>
      </c>
    </row>
    <row r="671" spans="1:131" x14ac:dyDescent="0.4">
      <c r="A671" s="34">
        <v>43067.305104166669</v>
      </c>
      <c r="B671" s="25">
        <v>42935.475694444445</v>
      </c>
      <c r="D671" s="34"/>
      <c r="E671" s="34" t="s">
        <v>193</v>
      </c>
      <c r="F671" s="34" t="s">
        <v>191</v>
      </c>
      <c r="G671" s="34" t="s">
        <v>100</v>
      </c>
      <c r="H671" t="s">
        <v>279</v>
      </c>
      <c r="I671" t="s">
        <v>243</v>
      </c>
      <c r="J671" t="s">
        <v>712</v>
      </c>
      <c r="K671" t="s">
        <v>729</v>
      </c>
      <c r="L671" t="s">
        <v>711</v>
      </c>
      <c r="M671" s="30">
        <v>3.13</v>
      </c>
      <c r="N671">
        <v>6.75</v>
      </c>
      <c r="P671" s="24" t="str">
        <f>IFERROR(MID(RADataTable[[#This Row],[RATemplate]],1,LEN(RADataTable[[#This Row],[RATemplate]])-8),"RA") &amp; " " &amp; RADataTable[[#This Row],[prop_id0]] &amp; " " &amp; RADataTable[[#This Row],[last0]]</f>
        <v>RA 1750302 Dinitz</v>
      </c>
      <c r="T671">
        <v>4</v>
      </c>
      <c r="U671">
        <v>4</v>
      </c>
      <c r="V671" s="34">
        <v>43030.96875</v>
      </c>
      <c r="W671">
        <v>1</v>
      </c>
      <c r="X671" s="15" t="str">
        <f>HYPERLINK("https://www.ejacket.nsf.gov/ej/showProposal.do?Continue=Y&amp;ID="&amp;RADataTable[[#This Row],[prop_id0]],"eJ")</f>
        <v>eJ</v>
      </c>
      <c r="Y671" s="15" t="str">
        <f>HYPERLINK("mailto:"&amp;RADataTable[[#This Row],[email]]&amp;"&amp;subject=Your NSF Proposal:  "&amp;RADataTable[[#This Row],[Div]]&amp;" "&amp;RADataTable[[#This Row],[prop_id0]], RADataTable[[#This Row],[email]])</f>
        <v>mdinitz@cs.jhu.edu</v>
      </c>
      <c r="Z671" s="15" t="str">
        <f>HYPERLINK("mailto:"&amp;RADataTable[[#This Row],[allPIemail]]&amp;"&amp;subject=NSF Proposal:  "&amp;RADataTable[[#This Row],[Div]]&amp;" "&amp;RADataTable[[#This Row],[prop_id0]], "PIs@")</f>
        <v>PIs@</v>
      </c>
      <c r="AA671" t="s">
        <v>245</v>
      </c>
      <c r="AB671" t="s">
        <v>675</v>
      </c>
      <c r="AC671" s="30" t="s">
        <v>801</v>
      </c>
      <c r="AD671" t="s">
        <v>296</v>
      </c>
      <c r="AE671" t="s">
        <v>802</v>
      </c>
      <c r="AF671" s="36">
        <v>507459</v>
      </c>
      <c r="AG671" s="36">
        <v>507459</v>
      </c>
      <c r="AH671" s="24"/>
      <c r="AJ671" s="34"/>
      <c r="AK671" t="s">
        <v>923</v>
      </c>
      <c r="AL671" t="s">
        <v>287</v>
      </c>
      <c r="AM671" s="34" t="s">
        <v>925</v>
      </c>
      <c r="AN671" s="34">
        <v>43032</v>
      </c>
      <c r="AO671" s="24">
        <v>13</v>
      </c>
      <c r="AP671" t="s">
        <v>958</v>
      </c>
      <c r="AR671" s="35"/>
      <c r="AS671"/>
      <c r="AT671" s="34"/>
      <c r="AV671" s="34"/>
      <c r="AX671" s="34"/>
      <c r="AY671"/>
      <c r="BA671" s="34"/>
      <c r="BB671"/>
      <c r="BC671" t="s">
        <v>805</v>
      </c>
      <c r="BD671" s="36">
        <v>507459</v>
      </c>
      <c r="BE671" s="36">
        <v>507459</v>
      </c>
      <c r="BF671">
        <v>0</v>
      </c>
      <c r="BG671" s="34">
        <v>43282</v>
      </c>
      <c r="BH671">
        <v>60</v>
      </c>
      <c r="BI671" t="s">
        <v>283</v>
      </c>
      <c r="BJ671" t="s">
        <v>928</v>
      </c>
      <c r="BK671" t="s">
        <v>934</v>
      </c>
      <c r="BL671" t="s">
        <v>194</v>
      </c>
      <c r="BM671" s="8" t="s">
        <v>192</v>
      </c>
      <c r="BN671" t="s">
        <v>189</v>
      </c>
      <c r="BO671" t="s">
        <v>190</v>
      </c>
      <c r="BP671" s="35" t="s">
        <v>718</v>
      </c>
      <c r="BQ671"/>
      <c r="BU671" s="35"/>
      <c r="BV671" s="35"/>
      <c r="BX671"/>
      <c r="CA671" s="35"/>
      <c r="CB671" s="35"/>
      <c r="CC671"/>
      <c r="CG671" s="35"/>
      <c r="CH671" s="35"/>
      <c r="CK671"/>
      <c r="CM671" s="35"/>
      <c r="CN671" s="35"/>
      <c r="CQ671"/>
      <c r="CS671" s="35"/>
      <c r="CT671" s="35"/>
      <c r="CX671"/>
      <c r="CZ671" s="35"/>
      <c r="DD671" s="34"/>
      <c r="DG671" t="s">
        <v>803</v>
      </c>
      <c r="DH671" t="s">
        <v>959</v>
      </c>
      <c r="DI671" t="s">
        <v>286</v>
      </c>
      <c r="DL671" t="s">
        <v>675</v>
      </c>
      <c r="DM671">
        <v>6</v>
      </c>
      <c r="DN671">
        <v>8</v>
      </c>
      <c r="DO671" t="s">
        <v>804</v>
      </c>
      <c r="DQ671" t="s">
        <v>927</v>
      </c>
      <c r="DR671">
        <v>14</v>
      </c>
      <c r="DS671">
        <v>1</v>
      </c>
      <c r="DU671">
        <v>14</v>
      </c>
      <c r="DV671">
        <v>1</v>
      </c>
      <c r="DX671">
        <v>14</v>
      </c>
      <c r="DY671">
        <v>1</v>
      </c>
      <c r="DZ671" t="s">
        <v>246</v>
      </c>
      <c r="EA671" t="s">
        <v>929</v>
      </c>
    </row>
    <row r="672" spans="1:131" x14ac:dyDescent="0.4">
      <c r="A672" s="34">
        <v>43067.305104166669</v>
      </c>
      <c r="B672" s="25">
        <v>42935.475694444445</v>
      </c>
      <c r="D672" s="34"/>
      <c r="E672" s="34" t="s">
        <v>193</v>
      </c>
      <c r="F672" s="34" t="s">
        <v>191</v>
      </c>
      <c r="G672" s="34" t="s">
        <v>100</v>
      </c>
      <c r="H672" t="s">
        <v>279</v>
      </c>
      <c r="I672" t="s">
        <v>243</v>
      </c>
      <c r="J672" t="s">
        <v>712</v>
      </c>
      <c r="K672" t="s">
        <v>729</v>
      </c>
      <c r="L672" t="s">
        <v>711</v>
      </c>
      <c r="M672" s="30">
        <v>3.13</v>
      </c>
      <c r="N672">
        <v>6.75</v>
      </c>
      <c r="P672" s="24" t="str">
        <f>IFERROR(MID(RADataTable[[#This Row],[RATemplate]],1,LEN(RADataTable[[#This Row],[RATemplate]])-8),"RA") &amp; " " &amp; RADataTable[[#This Row],[prop_id0]] &amp; " " &amp; RADataTable[[#This Row],[last0]]</f>
        <v>RA 1750302 Dinitz</v>
      </c>
      <c r="T672">
        <v>4</v>
      </c>
      <c r="U672">
        <v>4</v>
      </c>
      <c r="V672" s="34">
        <v>43030.96875</v>
      </c>
      <c r="W672">
        <v>1</v>
      </c>
      <c r="X672" s="15" t="str">
        <f>HYPERLINK("https://www.ejacket.nsf.gov/ej/showProposal.do?Continue=Y&amp;ID="&amp;RADataTable[[#This Row],[prop_id0]],"eJ")</f>
        <v>eJ</v>
      </c>
      <c r="Y672" s="15" t="str">
        <f>HYPERLINK("mailto:"&amp;RADataTable[[#This Row],[email]]&amp;"&amp;subject=Your NSF Proposal:  "&amp;RADataTable[[#This Row],[Div]]&amp;" "&amp;RADataTable[[#This Row],[prop_id0]], RADataTable[[#This Row],[email]])</f>
        <v>mdinitz@cs.jhu.edu</v>
      </c>
      <c r="Z672" s="15" t="str">
        <f>HYPERLINK("mailto:"&amp;RADataTable[[#This Row],[allPIemail]]&amp;"&amp;subject=NSF Proposal:  "&amp;RADataTable[[#This Row],[Div]]&amp;" "&amp;RADataTable[[#This Row],[prop_id0]], "PIs@")</f>
        <v>PIs@</v>
      </c>
      <c r="AA672" t="s">
        <v>245</v>
      </c>
      <c r="AB672" t="s">
        <v>675</v>
      </c>
      <c r="AC672" s="30" t="s">
        <v>801</v>
      </c>
      <c r="AD672" t="s">
        <v>296</v>
      </c>
      <c r="AE672" t="s">
        <v>802</v>
      </c>
      <c r="AF672" s="36">
        <v>507459</v>
      </c>
      <c r="AG672" s="36">
        <v>507459</v>
      </c>
      <c r="AH672" s="24"/>
      <c r="AJ672" s="34"/>
      <c r="AK672" t="s">
        <v>923</v>
      </c>
      <c r="AL672" t="s">
        <v>287</v>
      </c>
      <c r="AM672" s="34" t="s">
        <v>925</v>
      </c>
      <c r="AN672" s="34">
        <v>43032</v>
      </c>
      <c r="AO672" s="24">
        <v>13</v>
      </c>
      <c r="AP672" t="s">
        <v>958</v>
      </c>
      <c r="AR672" s="35"/>
      <c r="AS672"/>
      <c r="AT672" s="34"/>
      <c r="AV672" s="34"/>
      <c r="AX672" s="34"/>
      <c r="AY672"/>
      <c r="BA672" s="34"/>
      <c r="BB672"/>
      <c r="BC672" t="s">
        <v>805</v>
      </c>
      <c r="BD672" s="36">
        <v>507459</v>
      </c>
      <c r="BE672" s="36">
        <v>507459</v>
      </c>
      <c r="BF672">
        <v>0</v>
      </c>
      <c r="BG672" s="34">
        <v>43282</v>
      </c>
      <c r="BH672">
        <v>60</v>
      </c>
      <c r="BI672" t="s">
        <v>283</v>
      </c>
      <c r="BJ672" t="s">
        <v>928</v>
      </c>
      <c r="BK672" t="s">
        <v>934</v>
      </c>
      <c r="BL672" t="s">
        <v>194</v>
      </c>
      <c r="BM672" s="8" t="s">
        <v>192</v>
      </c>
      <c r="BN672" t="s">
        <v>189</v>
      </c>
      <c r="BO672" t="s">
        <v>190</v>
      </c>
      <c r="BP672" s="35" t="s">
        <v>718</v>
      </c>
      <c r="BQ672"/>
      <c r="BU672" s="35"/>
      <c r="BV672" s="35"/>
      <c r="BX672"/>
      <c r="CA672" s="35"/>
      <c r="CB672" s="35"/>
      <c r="CC672"/>
      <c r="CG672" s="35"/>
      <c r="CH672" s="35"/>
      <c r="CK672"/>
      <c r="CM672" s="35"/>
      <c r="CN672" s="35"/>
      <c r="CQ672"/>
      <c r="CS672" s="35"/>
      <c r="CT672" s="35"/>
      <c r="CX672"/>
      <c r="CZ672" s="35"/>
      <c r="DD672" s="34"/>
      <c r="DG672" t="s">
        <v>803</v>
      </c>
      <c r="DH672" t="s">
        <v>959</v>
      </c>
      <c r="DI672" t="s">
        <v>286</v>
      </c>
      <c r="DL672" t="s">
        <v>675</v>
      </c>
      <c r="DM672">
        <v>6</v>
      </c>
      <c r="DN672">
        <v>8</v>
      </c>
      <c r="DO672" t="s">
        <v>804</v>
      </c>
      <c r="DQ672" t="s">
        <v>927</v>
      </c>
      <c r="DR672">
        <v>14</v>
      </c>
      <c r="DS672">
        <v>1</v>
      </c>
      <c r="DU672">
        <v>14</v>
      </c>
      <c r="DV672">
        <v>1</v>
      </c>
      <c r="DX672">
        <v>14</v>
      </c>
      <c r="DY672">
        <v>1</v>
      </c>
      <c r="DZ672" t="s">
        <v>246</v>
      </c>
      <c r="EA672" t="s">
        <v>929</v>
      </c>
    </row>
    <row r="673" spans="1:131" x14ac:dyDescent="0.4">
      <c r="A673" s="34">
        <v>43067.305104166669</v>
      </c>
      <c r="B673" s="25">
        <v>42935.475694444445</v>
      </c>
      <c r="D673" s="34"/>
      <c r="E673" s="34" t="s">
        <v>193</v>
      </c>
      <c r="F673" s="34" t="s">
        <v>191</v>
      </c>
      <c r="G673" s="34" t="s">
        <v>100</v>
      </c>
      <c r="H673" t="s">
        <v>279</v>
      </c>
      <c r="I673" t="s">
        <v>243</v>
      </c>
      <c r="J673" t="s">
        <v>712</v>
      </c>
      <c r="K673" t="s">
        <v>729</v>
      </c>
      <c r="L673" t="s">
        <v>711</v>
      </c>
      <c r="M673" s="30">
        <v>3.13</v>
      </c>
      <c r="N673">
        <v>6.75</v>
      </c>
      <c r="P673" s="24" t="str">
        <f>IFERROR(MID(RADataTable[[#This Row],[RATemplate]],1,LEN(RADataTable[[#This Row],[RATemplate]])-8),"RA") &amp; " " &amp; RADataTable[[#This Row],[prop_id0]] &amp; " " &amp; RADataTable[[#This Row],[last0]]</f>
        <v>RA 1750302 Dinitz</v>
      </c>
      <c r="T673">
        <v>4</v>
      </c>
      <c r="U673">
        <v>4</v>
      </c>
      <c r="V673" s="34">
        <v>43030.96875</v>
      </c>
      <c r="W673">
        <v>1</v>
      </c>
      <c r="X673" s="15" t="str">
        <f>HYPERLINK("https://www.ejacket.nsf.gov/ej/showProposal.do?Continue=Y&amp;ID="&amp;RADataTable[[#This Row],[prop_id0]],"eJ")</f>
        <v>eJ</v>
      </c>
      <c r="Y673" s="15" t="str">
        <f>HYPERLINK("mailto:"&amp;RADataTable[[#This Row],[email]]&amp;"&amp;subject=Your NSF Proposal:  "&amp;RADataTable[[#This Row],[Div]]&amp;" "&amp;RADataTable[[#This Row],[prop_id0]], RADataTable[[#This Row],[email]])</f>
        <v>mdinitz@cs.jhu.edu</v>
      </c>
      <c r="Z673" s="15" t="str">
        <f>HYPERLINK("mailto:"&amp;RADataTable[[#This Row],[allPIemail]]&amp;"&amp;subject=NSF Proposal:  "&amp;RADataTable[[#This Row],[Div]]&amp;" "&amp;RADataTable[[#This Row],[prop_id0]], "PIs@")</f>
        <v>PIs@</v>
      </c>
      <c r="AA673" t="s">
        <v>245</v>
      </c>
      <c r="AB673" t="s">
        <v>675</v>
      </c>
      <c r="AC673" s="30" t="s">
        <v>801</v>
      </c>
      <c r="AD673" t="s">
        <v>296</v>
      </c>
      <c r="AE673" t="s">
        <v>802</v>
      </c>
      <c r="AF673" s="36">
        <v>507459</v>
      </c>
      <c r="AG673" s="36">
        <v>507459</v>
      </c>
      <c r="AH673" s="24"/>
      <c r="AJ673" s="34"/>
      <c r="AK673" t="s">
        <v>923</v>
      </c>
      <c r="AL673" t="s">
        <v>287</v>
      </c>
      <c r="AM673" s="34" t="s">
        <v>925</v>
      </c>
      <c r="AN673" s="34">
        <v>43032</v>
      </c>
      <c r="AO673" s="24">
        <v>13</v>
      </c>
      <c r="AP673" t="s">
        <v>958</v>
      </c>
      <c r="AR673" s="35"/>
      <c r="AS673"/>
      <c r="AT673" s="34"/>
      <c r="AV673" s="34"/>
      <c r="AX673" s="34"/>
      <c r="AY673"/>
      <c r="BA673" s="34"/>
      <c r="BB673"/>
      <c r="BC673" t="s">
        <v>805</v>
      </c>
      <c r="BD673" s="36">
        <v>507459</v>
      </c>
      <c r="BE673" s="36">
        <v>507459</v>
      </c>
      <c r="BF673">
        <v>0</v>
      </c>
      <c r="BG673" s="34">
        <v>43282</v>
      </c>
      <c r="BH673">
        <v>60</v>
      </c>
      <c r="BI673" t="s">
        <v>283</v>
      </c>
      <c r="BJ673" t="s">
        <v>928</v>
      </c>
      <c r="BK673" t="s">
        <v>934</v>
      </c>
      <c r="BL673" t="s">
        <v>194</v>
      </c>
      <c r="BM673" s="8" t="s">
        <v>192</v>
      </c>
      <c r="BN673" t="s">
        <v>189</v>
      </c>
      <c r="BO673" t="s">
        <v>190</v>
      </c>
      <c r="BP673" s="35" t="s">
        <v>718</v>
      </c>
      <c r="BQ673"/>
      <c r="BU673" s="35"/>
      <c r="BV673" s="35"/>
      <c r="BX673"/>
      <c r="CA673" s="35"/>
      <c r="CB673" s="35"/>
      <c r="CC673"/>
      <c r="CG673" s="35"/>
      <c r="CH673" s="35"/>
      <c r="CK673"/>
      <c r="CM673" s="35"/>
      <c r="CN673" s="35"/>
      <c r="CQ673"/>
      <c r="CS673" s="35"/>
      <c r="CT673" s="35"/>
      <c r="CX673"/>
      <c r="CZ673" s="35"/>
      <c r="DD673" s="34"/>
      <c r="DG673" t="s">
        <v>803</v>
      </c>
      <c r="DH673" t="s">
        <v>959</v>
      </c>
      <c r="DI673" t="s">
        <v>286</v>
      </c>
      <c r="DL673" t="s">
        <v>675</v>
      </c>
      <c r="DM673">
        <v>6</v>
      </c>
      <c r="DN673">
        <v>8</v>
      </c>
      <c r="DO673" t="s">
        <v>804</v>
      </c>
      <c r="DQ673" t="s">
        <v>927</v>
      </c>
      <c r="DR673">
        <v>14</v>
      </c>
      <c r="DS673">
        <v>1</v>
      </c>
      <c r="DU673">
        <v>14</v>
      </c>
      <c r="DV673">
        <v>1</v>
      </c>
      <c r="DX673">
        <v>14</v>
      </c>
      <c r="DY673">
        <v>1</v>
      </c>
      <c r="DZ673" t="s">
        <v>246</v>
      </c>
      <c r="EA673" t="s">
        <v>929</v>
      </c>
    </row>
    <row r="674" spans="1:131" x14ac:dyDescent="0.4">
      <c r="A674" s="34">
        <v>43067.305104166669</v>
      </c>
      <c r="B674" s="25">
        <v>42935.475694444445</v>
      </c>
      <c r="D674" s="34"/>
      <c r="E674" s="34" t="s">
        <v>193</v>
      </c>
      <c r="F674" s="34" t="s">
        <v>191</v>
      </c>
      <c r="G674" s="34" t="s">
        <v>100</v>
      </c>
      <c r="H674" t="s">
        <v>279</v>
      </c>
      <c r="I674" t="s">
        <v>243</v>
      </c>
      <c r="J674" t="s">
        <v>712</v>
      </c>
      <c r="K674" t="s">
        <v>729</v>
      </c>
      <c r="L674" t="s">
        <v>711</v>
      </c>
      <c r="M674" s="30">
        <v>3.13</v>
      </c>
      <c r="N674">
        <v>6.75</v>
      </c>
      <c r="P674" s="24" t="str">
        <f>IFERROR(MID(RADataTable[[#This Row],[RATemplate]],1,LEN(RADataTable[[#This Row],[RATemplate]])-8),"RA") &amp; " " &amp; RADataTable[[#This Row],[prop_id0]] &amp; " " &amp; RADataTable[[#This Row],[last0]]</f>
        <v>RA 1750302 Dinitz</v>
      </c>
      <c r="T674">
        <v>4</v>
      </c>
      <c r="U674">
        <v>4</v>
      </c>
      <c r="V674" s="34">
        <v>43030.96875</v>
      </c>
      <c r="W674">
        <v>1</v>
      </c>
      <c r="X674" s="15" t="str">
        <f>HYPERLINK("https://www.ejacket.nsf.gov/ej/showProposal.do?Continue=Y&amp;ID="&amp;RADataTable[[#This Row],[prop_id0]],"eJ")</f>
        <v>eJ</v>
      </c>
      <c r="Y674" s="15" t="str">
        <f>HYPERLINK("mailto:"&amp;RADataTable[[#This Row],[email]]&amp;"&amp;subject=Your NSF Proposal:  "&amp;RADataTable[[#This Row],[Div]]&amp;" "&amp;RADataTable[[#This Row],[prop_id0]], RADataTable[[#This Row],[email]])</f>
        <v>mdinitz@cs.jhu.edu</v>
      </c>
      <c r="Z674" s="15" t="str">
        <f>HYPERLINK("mailto:"&amp;RADataTable[[#This Row],[allPIemail]]&amp;"&amp;subject=NSF Proposal:  "&amp;RADataTable[[#This Row],[Div]]&amp;" "&amp;RADataTable[[#This Row],[prop_id0]], "PIs@")</f>
        <v>PIs@</v>
      </c>
      <c r="AA674" t="s">
        <v>245</v>
      </c>
      <c r="AB674" t="s">
        <v>675</v>
      </c>
      <c r="AC674" s="30" t="s">
        <v>801</v>
      </c>
      <c r="AD674" t="s">
        <v>296</v>
      </c>
      <c r="AE674" t="s">
        <v>802</v>
      </c>
      <c r="AF674" s="36">
        <v>507459</v>
      </c>
      <c r="AG674" s="36">
        <v>507459</v>
      </c>
      <c r="AH674" s="24"/>
      <c r="AJ674" s="34"/>
      <c r="AK674" t="s">
        <v>923</v>
      </c>
      <c r="AL674" t="s">
        <v>287</v>
      </c>
      <c r="AM674" s="34" t="s">
        <v>925</v>
      </c>
      <c r="AN674" s="34">
        <v>43032</v>
      </c>
      <c r="AO674" s="24">
        <v>13</v>
      </c>
      <c r="AP674" t="s">
        <v>958</v>
      </c>
      <c r="AR674" s="35"/>
      <c r="AS674"/>
      <c r="AT674" s="34"/>
      <c r="AV674" s="34"/>
      <c r="AX674" s="34"/>
      <c r="AY674"/>
      <c r="BA674" s="34"/>
      <c r="BB674"/>
      <c r="BC674" t="s">
        <v>805</v>
      </c>
      <c r="BD674" s="36">
        <v>507459</v>
      </c>
      <c r="BE674" s="36">
        <v>507459</v>
      </c>
      <c r="BF674">
        <v>0</v>
      </c>
      <c r="BG674" s="34">
        <v>43282</v>
      </c>
      <c r="BH674">
        <v>60</v>
      </c>
      <c r="BI674" t="s">
        <v>283</v>
      </c>
      <c r="BJ674" t="s">
        <v>928</v>
      </c>
      <c r="BK674" t="s">
        <v>934</v>
      </c>
      <c r="BL674" t="s">
        <v>194</v>
      </c>
      <c r="BM674" s="8" t="s">
        <v>192</v>
      </c>
      <c r="BN674" t="s">
        <v>189</v>
      </c>
      <c r="BO674" t="s">
        <v>190</v>
      </c>
      <c r="BP674" s="35" t="s">
        <v>718</v>
      </c>
      <c r="BQ674"/>
      <c r="BU674" s="35"/>
      <c r="BV674" s="35"/>
      <c r="BX674"/>
      <c r="CA674" s="35"/>
      <c r="CB674" s="35"/>
      <c r="CC674"/>
      <c r="CG674" s="35"/>
      <c r="CH674" s="35"/>
      <c r="CK674"/>
      <c r="CM674" s="35"/>
      <c r="CN674" s="35"/>
      <c r="CQ674"/>
      <c r="CS674" s="35"/>
      <c r="CT674" s="35"/>
      <c r="CX674"/>
      <c r="CZ674" s="35"/>
      <c r="DD674" s="34"/>
      <c r="DG674" t="s">
        <v>803</v>
      </c>
      <c r="DH674" t="s">
        <v>959</v>
      </c>
      <c r="DI674" t="s">
        <v>286</v>
      </c>
      <c r="DL674" t="s">
        <v>675</v>
      </c>
      <c r="DM674">
        <v>6</v>
      </c>
      <c r="DN674">
        <v>8</v>
      </c>
      <c r="DO674" t="s">
        <v>804</v>
      </c>
      <c r="DQ674" t="s">
        <v>927</v>
      </c>
      <c r="DR674">
        <v>14</v>
      </c>
      <c r="DS674">
        <v>1</v>
      </c>
      <c r="DU674">
        <v>14</v>
      </c>
      <c r="DV674">
        <v>1</v>
      </c>
      <c r="DX674">
        <v>14</v>
      </c>
      <c r="DY674">
        <v>1</v>
      </c>
      <c r="DZ674" t="s">
        <v>246</v>
      </c>
      <c r="EA674" t="s">
        <v>929</v>
      </c>
    </row>
    <row r="675" spans="1:131" x14ac:dyDescent="0.4">
      <c r="A675" s="34">
        <v>43067.305104166669</v>
      </c>
      <c r="B675" s="25">
        <v>42935.475694444445</v>
      </c>
      <c r="D675" s="34"/>
      <c r="E675" s="34" t="s">
        <v>193</v>
      </c>
      <c r="F675" s="34" t="s">
        <v>191</v>
      </c>
      <c r="G675" s="34" t="s">
        <v>100</v>
      </c>
      <c r="H675" t="s">
        <v>279</v>
      </c>
      <c r="I675" t="s">
        <v>243</v>
      </c>
      <c r="J675" t="s">
        <v>712</v>
      </c>
      <c r="K675" t="s">
        <v>729</v>
      </c>
      <c r="L675" t="s">
        <v>711</v>
      </c>
      <c r="M675" s="30">
        <v>3.13</v>
      </c>
      <c r="N675">
        <v>6.75</v>
      </c>
      <c r="P675" s="24" t="str">
        <f>IFERROR(MID(RADataTable[[#This Row],[RATemplate]],1,LEN(RADataTable[[#This Row],[RATemplate]])-8),"RA") &amp; " " &amp; RADataTable[[#This Row],[prop_id0]] &amp; " " &amp; RADataTable[[#This Row],[last0]]</f>
        <v>RA 1750302 Dinitz</v>
      </c>
      <c r="T675">
        <v>4</v>
      </c>
      <c r="U675">
        <v>4</v>
      </c>
      <c r="V675" s="34">
        <v>43030.96875</v>
      </c>
      <c r="W675">
        <v>1</v>
      </c>
      <c r="X675" s="15" t="str">
        <f>HYPERLINK("https://www.ejacket.nsf.gov/ej/showProposal.do?Continue=Y&amp;ID="&amp;RADataTable[[#This Row],[prop_id0]],"eJ")</f>
        <v>eJ</v>
      </c>
      <c r="Y675" s="15" t="str">
        <f>HYPERLINK("mailto:"&amp;RADataTable[[#This Row],[email]]&amp;"&amp;subject=Your NSF Proposal:  "&amp;RADataTable[[#This Row],[Div]]&amp;" "&amp;RADataTable[[#This Row],[prop_id0]], RADataTable[[#This Row],[email]])</f>
        <v>mdinitz@cs.jhu.edu</v>
      </c>
      <c r="Z675" s="15" t="str">
        <f>HYPERLINK("mailto:"&amp;RADataTable[[#This Row],[allPIemail]]&amp;"&amp;subject=NSF Proposal:  "&amp;RADataTable[[#This Row],[Div]]&amp;" "&amp;RADataTable[[#This Row],[prop_id0]], "PIs@")</f>
        <v>PIs@</v>
      </c>
      <c r="AA675" t="s">
        <v>245</v>
      </c>
      <c r="AB675" t="s">
        <v>675</v>
      </c>
      <c r="AC675" s="30" t="s">
        <v>801</v>
      </c>
      <c r="AD675" t="s">
        <v>296</v>
      </c>
      <c r="AE675" t="s">
        <v>802</v>
      </c>
      <c r="AF675" s="36">
        <v>507459</v>
      </c>
      <c r="AG675" s="36">
        <v>507459</v>
      </c>
      <c r="AH675" s="24"/>
      <c r="AJ675" s="34"/>
      <c r="AK675" t="s">
        <v>923</v>
      </c>
      <c r="AL675" t="s">
        <v>287</v>
      </c>
      <c r="AM675" s="34" t="s">
        <v>925</v>
      </c>
      <c r="AN675" s="34">
        <v>43032</v>
      </c>
      <c r="AO675" s="24">
        <v>13</v>
      </c>
      <c r="AP675" t="s">
        <v>958</v>
      </c>
      <c r="AR675" s="35"/>
      <c r="AS675"/>
      <c r="AT675" s="34"/>
      <c r="AV675" s="34"/>
      <c r="AX675" s="34"/>
      <c r="AY675"/>
      <c r="BA675" s="34"/>
      <c r="BB675"/>
      <c r="BC675" t="s">
        <v>805</v>
      </c>
      <c r="BD675" s="36">
        <v>507459</v>
      </c>
      <c r="BE675" s="36">
        <v>507459</v>
      </c>
      <c r="BF675">
        <v>0</v>
      </c>
      <c r="BG675" s="34">
        <v>43282</v>
      </c>
      <c r="BH675">
        <v>60</v>
      </c>
      <c r="BI675" t="s">
        <v>283</v>
      </c>
      <c r="BJ675" t="s">
        <v>928</v>
      </c>
      <c r="BK675" t="s">
        <v>934</v>
      </c>
      <c r="BL675" t="s">
        <v>194</v>
      </c>
      <c r="BM675" s="8" t="s">
        <v>192</v>
      </c>
      <c r="BN675" t="s">
        <v>189</v>
      </c>
      <c r="BO675" t="s">
        <v>190</v>
      </c>
      <c r="BP675" s="35" t="s">
        <v>718</v>
      </c>
      <c r="BQ675"/>
      <c r="BU675" s="35"/>
      <c r="BV675" s="35"/>
      <c r="BX675"/>
      <c r="CA675" s="35"/>
      <c r="CB675" s="35"/>
      <c r="CC675"/>
      <c r="CG675" s="35"/>
      <c r="CH675" s="35"/>
      <c r="CK675"/>
      <c r="CM675" s="35"/>
      <c r="CN675" s="35"/>
      <c r="CQ675"/>
      <c r="CS675" s="35"/>
      <c r="CT675" s="35"/>
      <c r="CX675"/>
      <c r="CZ675" s="35"/>
      <c r="DD675" s="34"/>
      <c r="DG675" t="s">
        <v>803</v>
      </c>
      <c r="DH675" t="s">
        <v>959</v>
      </c>
      <c r="DI675" t="s">
        <v>286</v>
      </c>
      <c r="DL675" t="s">
        <v>675</v>
      </c>
      <c r="DM675">
        <v>6</v>
      </c>
      <c r="DN675">
        <v>8</v>
      </c>
      <c r="DO675" t="s">
        <v>804</v>
      </c>
      <c r="DQ675" t="s">
        <v>927</v>
      </c>
      <c r="DR675">
        <v>14</v>
      </c>
      <c r="DS675">
        <v>1</v>
      </c>
      <c r="DU675">
        <v>14</v>
      </c>
      <c r="DV675">
        <v>1</v>
      </c>
      <c r="DX675">
        <v>14</v>
      </c>
      <c r="DY675">
        <v>1</v>
      </c>
      <c r="DZ675" t="s">
        <v>246</v>
      </c>
      <c r="EA675" t="s">
        <v>929</v>
      </c>
    </row>
    <row r="676" spans="1:131" x14ac:dyDescent="0.4">
      <c r="A676" s="34">
        <v>43067.305104166669</v>
      </c>
      <c r="B676" s="25">
        <v>42935.475694444445</v>
      </c>
      <c r="D676" s="34"/>
      <c r="E676" s="34" t="s">
        <v>193</v>
      </c>
      <c r="F676" s="34" t="s">
        <v>191</v>
      </c>
      <c r="G676" s="34" t="s">
        <v>100</v>
      </c>
      <c r="H676" t="s">
        <v>279</v>
      </c>
      <c r="I676" t="s">
        <v>243</v>
      </c>
      <c r="J676" t="s">
        <v>712</v>
      </c>
      <c r="K676" t="s">
        <v>729</v>
      </c>
      <c r="L676" t="s">
        <v>711</v>
      </c>
      <c r="M676" s="30">
        <v>3.13</v>
      </c>
      <c r="N676">
        <v>6.75</v>
      </c>
      <c r="P676" s="24" t="str">
        <f>IFERROR(MID(RADataTable[[#This Row],[RATemplate]],1,LEN(RADataTable[[#This Row],[RATemplate]])-8),"RA") &amp; " " &amp; RADataTable[[#This Row],[prop_id0]] &amp; " " &amp; RADataTable[[#This Row],[last0]]</f>
        <v>RA 1750302 Dinitz</v>
      </c>
      <c r="T676">
        <v>4</v>
      </c>
      <c r="U676">
        <v>4</v>
      </c>
      <c r="V676" s="34">
        <v>43030.96875</v>
      </c>
      <c r="W676">
        <v>1</v>
      </c>
      <c r="X676" s="15" t="str">
        <f>HYPERLINK("https://www.ejacket.nsf.gov/ej/showProposal.do?Continue=Y&amp;ID="&amp;RADataTable[[#This Row],[prop_id0]],"eJ")</f>
        <v>eJ</v>
      </c>
      <c r="Y676" s="15" t="str">
        <f>HYPERLINK("mailto:"&amp;RADataTable[[#This Row],[email]]&amp;"&amp;subject=Your NSF Proposal:  "&amp;RADataTable[[#This Row],[Div]]&amp;" "&amp;RADataTable[[#This Row],[prop_id0]], RADataTable[[#This Row],[email]])</f>
        <v>mdinitz@cs.jhu.edu</v>
      </c>
      <c r="Z676" s="15" t="str">
        <f>HYPERLINK("mailto:"&amp;RADataTable[[#This Row],[allPIemail]]&amp;"&amp;subject=NSF Proposal:  "&amp;RADataTable[[#This Row],[Div]]&amp;" "&amp;RADataTable[[#This Row],[prop_id0]], "PIs@")</f>
        <v>PIs@</v>
      </c>
      <c r="AA676" t="s">
        <v>245</v>
      </c>
      <c r="AB676" t="s">
        <v>675</v>
      </c>
      <c r="AC676" s="30" t="s">
        <v>801</v>
      </c>
      <c r="AD676" t="s">
        <v>296</v>
      </c>
      <c r="AE676" t="s">
        <v>802</v>
      </c>
      <c r="AF676" s="36">
        <v>507459</v>
      </c>
      <c r="AG676" s="36">
        <v>507459</v>
      </c>
      <c r="AH676" s="24"/>
      <c r="AJ676" s="34"/>
      <c r="AK676" t="s">
        <v>923</v>
      </c>
      <c r="AL676" t="s">
        <v>287</v>
      </c>
      <c r="AM676" s="34" t="s">
        <v>925</v>
      </c>
      <c r="AN676" s="34">
        <v>43032</v>
      </c>
      <c r="AO676" s="24">
        <v>13</v>
      </c>
      <c r="AP676" t="s">
        <v>958</v>
      </c>
      <c r="AR676" s="35"/>
      <c r="AS676"/>
      <c r="AT676" s="34"/>
      <c r="AV676" s="34"/>
      <c r="AX676" s="34"/>
      <c r="AY676"/>
      <c r="BA676" s="34"/>
      <c r="BB676"/>
      <c r="BC676" t="s">
        <v>805</v>
      </c>
      <c r="BD676" s="36">
        <v>507459</v>
      </c>
      <c r="BE676" s="36">
        <v>507459</v>
      </c>
      <c r="BF676">
        <v>0</v>
      </c>
      <c r="BG676" s="34">
        <v>43282</v>
      </c>
      <c r="BH676">
        <v>60</v>
      </c>
      <c r="BI676" t="s">
        <v>283</v>
      </c>
      <c r="BJ676" t="s">
        <v>928</v>
      </c>
      <c r="BK676" t="s">
        <v>934</v>
      </c>
      <c r="BL676" t="s">
        <v>194</v>
      </c>
      <c r="BM676" s="8" t="s">
        <v>192</v>
      </c>
      <c r="BN676" t="s">
        <v>189</v>
      </c>
      <c r="BO676" t="s">
        <v>190</v>
      </c>
      <c r="BP676" s="35" t="s">
        <v>718</v>
      </c>
      <c r="BQ676"/>
      <c r="BU676" s="35"/>
      <c r="BV676" s="35"/>
      <c r="BX676"/>
      <c r="CA676" s="35"/>
      <c r="CB676" s="35"/>
      <c r="CC676"/>
      <c r="CG676" s="35"/>
      <c r="CH676" s="35"/>
      <c r="CK676"/>
      <c r="CM676" s="35"/>
      <c r="CN676" s="35"/>
      <c r="CQ676"/>
      <c r="CS676" s="35"/>
      <c r="CT676" s="35"/>
      <c r="CX676"/>
      <c r="CZ676" s="35"/>
      <c r="DD676" s="34"/>
      <c r="DG676" t="s">
        <v>803</v>
      </c>
      <c r="DH676" t="s">
        <v>959</v>
      </c>
      <c r="DI676" t="s">
        <v>286</v>
      </c>
      <c r="DL676" t="s">
        <v>675</v>
      </c>
      <c r="DM676">
        <v>6</v>
      </c>
      <c r="DN676">
        <v>8</v>
      </c>
      <c r="DO676" t="s">
        <v>804</v>
      </c>
      <c r="DQ676" t="s">
        <v>927</v>
      </c>
      <c r="DR676">
        <v>14</v>
      </c>
      <c r="DS676">
        <v>1</v>
      </c>
      <c r="DU676">
        <v>14</v>
      </c>
      <c r="DV676">
        <v>1</v>
      </c>
      <c r="DX676">
        <v>14</v>
      </c>
      <c r="DY676">
        <v>1</v>
      </c>
      <c r="DZ676" t="s">
        <v>246</v>
      </c>
      <c r="EA676" t="s">
        <v>929</v>
      </c>
    </row>
    <row r="677" spans="1:131" x14ac:dyDescent="0.4">
      <c r="A677" s="34">
        <v>43067.305104166669</v>
      </c>
      <c r="B677" s="25">
        <v>42935.475694444445</v>
      </c>
      <c r="D677" s="34"/>
      <c r="E677" s="34" t="s">
        <v>193</v>
      </c>
      <c r="F677" s="34" t="s">
        <v>191</v>
      </c>
      <c r="G677" s="34" t="s">
        <v>100</v>
      </c>
      <c r="H677" t="s">
        <v>279</v>
      </c>
      <c r="I677" t="s">
        <v>243</v>
      </c>
      <c r="J677" t="s">
        <v>712</v>
      </c>
      <c r="K677" t="s">
        <v>729</v>
      </c>
      <c r="L677" t="s">
        <v>711</v>
      </c>
      <c r="M677" s="30">
        <v>3.13</v>
      </c>
      <c r="N677">
        <v>6.75</v>
      </c>
      <c r="P677" s="24" t="str">
        <f>IFERROR(MID(RADataTable[[#This Row],[RATemplate]],1,LEN(RADataTable[[#This Row],[RATemplate]])-8),"RA") &amp; " " &amp; RADataTable[[#This Row],[prop_id0]] &amp; " " &amp; RADataTable[[#This Row],[last0]]</f>
        <v>RA 1750302 Dinitz</v>
      </c>
      <c r="T677">
        <v>4</v>
      </c>
      <c r="U677">
        <v>4</v>
      </c>
      <c r="V677" s="34">
        <v>43030.96875</v>
      </c>
      <c r="W677">
        <v>1</v>
      </c>
      <c r="X677" s="15" t="str">
        <f>HYPERLINK("https://www.ejacket.nsf.gov/ej/showProposal.do?Continue=Y&amp;ID="&amp;RADataTable[[#This Row],[prop_id0]],"eJ")</f>
        <v>eJ</v>
      </c>
      <c r="Y677" s="15" t="str">
        <f>HYPERLINK("mailto:"&amp;RADataTable[[#This Row],[email]]&amp;"&amp;subject=Your NSF Proposal:  "&amp;RADataTable[[#This Row],[Div]]&amp;" "&amp;RADataTable[[#This Row],[prop_id0]], RADataTable[[#This Row],[email]])</f>
        <v>mdinitz@cs.jhu.edu</v>
      </c>
      <c r="Z677" s="15" t="str">
        <f>HYPERLINK("mailto:"&amp;RADataTable[[#This Row],[allPIemail]]&amp;"&amp;subject=NSF Proposal:  "&amp;RADataTable[[#This Row],[Div]]&amp;" "&amp;RADataTable[[#This Row],[prop_id0]], "PIs@")</f>
        <v>PIs@</v>
      </c>
      <c r="AA677" t="s">
        <v>245</v>
      </c>
      <c r="AB677" t="s">
        <v>675</v>
      </c>
      <c r="AC677" s="30" t="s">
        <v>801</v>
      </c>
      <c r="AD677" t="s">
        <v>296</v>
      </c>
      <c r="AE677" t="s">
        <v>802</v>
      </c>
      <c r="AF677" s="36">
        <v>507459</v>
      </c>
      <c r="AG677" s="36">
        <v>507459</v>
      </c>
      <c r="AH677" s="24"/>
      <c r="AJ677" s="34"/>
      <c r="AK677" t="s">
        <v>923</v>
      </c>
      <c r="AL677" t="s">
        <v>287</v>
      </c>
      <c r="AM677" s="34" t="s">
        <v>925</v>
      </c>
      <c r="AN677" s="34">
        <v>43032</v>
      </c>
      <c r="AO677" s="24">
        <v>13</v>
      </c>
      <c r="AP677" t="s">
        <v>958</v>
      </c>
      <c r="AR677" s="35"/>
      <c r="AS677"/>
      <c r="AT677" s="34"/>
      <c r="AV677" s="34"/>
      <c r="AX677" s="34"/>
      <c r="AY677"/>
      <c r="BA677" s="34"/>
      <c r="BB677"/>
      <c r="BC677" t="s">
        <v>805</v>
      </c>
      <c r="BD677" s="36">
        <v>507459</v>
      </c>
      <c r="BE677" s="36">
        <v>507459</v>
      </c>
      <c r="BF677">
        <v>0</v>
      </c>
      <c r="BG677" s="34">
        <v>43282</v>
      </c>
      <c r="BH677">
        <v>60</v>
      </c>
      <c r="BI677" t="s">
        <v>283</v>
      </c>
      <c r="BJ677" t="s">
        <v>928</v>
      </c>
      <c r="BK677" t="s">
        <v>934</v>
      </c>
      <c r="BL677" t="s">
        <v>194</v>
      </c>
      <c r="BM677" s="8" t="s">
        <v>192</v>
      </c>
      <c r="BN677" t="s">
        <v>189</v>
      </c>
      <c r="BO677" t="s">
        <v>190</v>
      </c>
      <c r="BP677" s="35" t="s">
        <v>718</v>
      </c>
      <c r="BQ677"/>
      <c r="BU677" s="35"/>
      <c r="BV677" s="35"/>
      <c r="BX677"/>
      <c r="CA677" s="35"/>
      <c r="CB677" s="35"/>
      <c r="CC677"/>
      <c r="CG677" s="35"/>
      <c r="CH677" s="35"/>
      <c r="CK677"/>
      <c r="CM677" s="35"/>
      <c r="CN677" s="35"/>
      <c r="CQ677"/>
      <c r="CS677" s="35"/>
      <c r="CT677" s="35"/>
      <c r="CX677"/>
      <c r="CZ677" s="35"/>
      <c r="DD677" s="34"/>
      <c r="DG677" t="s">
        <v>803</v>
      </c>
      <c r="DH677" t="s">
        <v>959</v>
      </c>
      <c r="DI677" t="s">
        <v>286</v>
      </c>
      <c r="DL677" t="s">
        <v>675</v>
      </c>
      <c r="DM677">
        <v>6</v>
      </c>
      <c r="DN677">
        <v>8</v>
      </c>
      <c r="DO677" t="s">
        <v>804</v>
      </c>
      <c r="DQ677" t="s">
        <v>927</v>
      </c>
      <c r="DR677">
        <v>14</v>
      </c>
      <c r="DS677">
        <v>1</v>
      </c>
      <c r="DU677">
        <v>14</v>
      </c>
      <c r="DV677">
        <v>1</v>
      </c>
      <c r="DX677">
        <v>14</v>
      </c>
      <c r="DY677">
        <v>1</v>
      </c>
      <c r="DZ677" t="s">
        <v>246</v>
      </c>
      <c r="EA677" t="s">
        <v>929</v>
      </c>
    </row>
    <row r="678" spans="1:131" x14ac:dyDescent="0.4">
      <c r="A678" s="34">
        <v>43067.305104166669</v>
      </c>
      <c r="B678" s="25">
        <v>42935.475694444445</v>
      </c>
      <c r="D678" s="34"/>
      <c r="E678" s="34" t="s">
        <v>193</v>
      </c>
      <c r="F678" s="34" t="s">
        <v>191</v>
      </c>
      <c r="G678" s="34" t="s">
        <v>100</v>
      </c>
      <c r="H678" t="s">
        <v>279</v>
      </c>
      <c r="I678" t="s">
        <v>243</v>
      </c>
      <c r="J678" t="s">
        <v>712</v>
      </c>
      <c r="K678" t="s">
        <v>729</v>
      </c>
      <c r="L678" t="s">
        <v>711</v>
      </c>
      <c r="M678" s="30">
        <v>3.13</v>
      </c>
      <c r="N678">
        <v>6.75</v>
      </c>
      <c r="P678" s="24" t="str">
        <f>IFERROR(MID(RADataTable[[#This Row],[RATemplate]],1,LEN(RADataTable[[#This Row],[RATemplate]])-8),"RA") &amp; " " &amp; RADataTable[[#This Row],[prop_id0]] &amp; " " &amp; RADataTable[[#This Row],[last0]]</f>
        <v>RA 1750302 Dinitz</v>
      </c>
      <c r="T678">
        <v>4</v>
      </c>
      <c r="U678">
        <v>4</v>
      </c>
      <c r="V678" s="34">
        <v>43030.96875</v>
      </c>
      <c r="W678">
        <v>1</v>
      </c>
      <c r="X678" s="15" t="str">
        <f>HYPERLINK("https://www.ejacket.nsf.gov/ej/showProposal.do?Continue=Y&amp;ID="&amp;RADataTable[[#This Row],[prop_id0]],"eJ")</f>
        <v>eJ</v>
      </c>
      <c r="Y678" s="15" t="str">
        <f>HYPERLINK("mailto:"&amp;RADataTable[[#This Row],[email]]&amp;"&amp;subject=Your NSF Proposal:  "&amp;RADataTable[[#This Row],[Div]]&amp;" "&amp;RADataTable[[#This Row],[prop_id0]], RADataTable[[#This Row],[email]])</f>
        <v>mdinitz@cs.jhu.edu</v>
      </c>
      <c r="Z678" s="15" t="str">
        <f>HYPERLINK("mailto:"&amp;RADataTable[[#This Row],[allPIemail]]&amp;"&amp;subject=NSF Proposal:  "&amp;RADataTable[[#This Row],[Div]]&amp;" "&amp;RADataTable[[#This Row],[prop_id0]], "PIs@")</f>
        <v>PIs@</v>
      </c>
      <c r="AA678" t="s">
        <v>245</v>
      </c>
      <c r="AB678" t="s">
        <v>675</v>
      </c>
      <c r="AC678" s="30" t="s">
        <v>801</v>
      </c>
      <c r="AD678" t="s">
        <v>296</v>
      </c>
      <c r="AE678" t="s">
        <v>802</v>
      </c>
      <c r="AF678" s="36">
        <v>507459</v>
      </c>
      <c r="AG678" s="36">
        <v>507459</v>
      </c>
      <c r="AH678" s="24"/>
      <c r="AJ678" s="34"/>
      <c r="AK678" t="s">
        <v>923</v>
      </c>
      <c r="AL678" t="s">
        <v>287</v>
      </c>
      <c r="AM678" s="34" t="s">
        <v>925</v>
      </c>
      <c r="AN678" s="34">
        <v>43032</v>
      </c>
      <c r="AO678" s="24">
        <v>13</v>
      </c>
      <c r="AP678" t="s">
        <v>958</v>
      </c>
      <c r="AR678" s="35"/>
      <c r="AS678"/>
      <c r="AT678" s="34"/>
      <c r="AV678" s="34"/>
      <c r="AX678" s="34"/>
      <c r="AY678"/>
      <c r="BA678" s="34"/>
      <c r="BB678"/>
      <c r="BC678" t="s">
        <v>805</v>
      </c>
      <c r="BD678" s="36">
        <v>507459</v>
      </c>
      <c r="BE678" s="36">
        <v>507459</v>
      </c>
      <c r="BF678">
        <v>0</v>
      </c>
      <c r="BG678" s="34">
        <v>43282</v>
      </c>
      <c r="BH678">
        <v>60</v>
      </c>
      <c r="BI678" t="s">
        <v>283</v>
      </c>
      <c r="BJ678" t="s">
        <v>928</v>
      </c>
      <c r="BK678" t="s">
        <v>934</v>
      </c>
      <c r="BL678" t="s">
        <v>194</v>
      </c>
      <c r="BM678" s="8" t="s">
        <v>192</v>
      </c>
      <c r="BN678" t="s">
        <v>189</v>
      </c>
      <c r="BO678" t="s">
        <v>190</v>
      </c>
      <c r="BP678" s="35" t="s">
        <v>718</v>
      </c>
      <c r="BQ678"/>
      <c r="BU678" s="35"/>
      <c r="BV678" s="35"/>
      <c r="BX678"/>
      <c r="CA678" s="35"/>
      <c r="CB678" s="35"/>
      <c r="CC678"/>
      <c r="CG678" s="35"/>
      <c r="CH678" s="35"/>
      <c r="CK678"/>
      <c r="CM678" s="35"/>
      <c r="CN678" s="35"/>
      <c r="CQ678"/>
      <c r="CS678" s="35"/>
      <c r="CT678" s="35"/>
      <c r="CX678"/>
      <c r="CZ678" s="35"/>
      <c r="DD678" s="34"/>
      <c r="DG678" t="s">
        <v>803</v>
      </c>
      <c r="DH678" t="s">
        <v>959</v>
      </c>
      <c r="DI678" t="s">
        <v>286</v>
      </c>
      <c r="DL678" t="s">
        <v>675</v>
      </c>
      <c r="DM678">
        <v>6</v>
      </c>
      <c r="DN678">
        <v>8</v>
      </c>
      <c r="DO678" t="s">
        <v>804</v>
      </c>
      <c r="DQ678" t="s">
        <v>927</v>
      </c>
      <c r="DR678">
        <v>14</v>
      </c>
      <c r="DS678">
        <v>1</v>
      </c>
      <c r="DU678">
        <v>14</v>
      </c>
      <c r="DV678">
        <v>1</v>
      </c>
      <c r="DX678">
        <v>14</v>
      </c>
      <c r="DY678">
        <v>1</v>
      </c>
      <c r="DZ678" t="s">
        <v>246</v>
      </c>
      <c r="EA678" t="s">
        <v>929</v>
      </c>
    </row>
    <row r="679" spans="1:131" x14ac:dyDescent="0.4">
      <c r="A679" s="34">
        <v>43067.305104166669</v>
      </c>
      <c r="B679" s="25">
        <v>42935.475694444445</v>
      </c>
      <c r="D679" s="34"/>
      <c r="E679" s="34" t="s">
        <v>193</v>
      </c>
      <c r="F679" s="34" t="s">
        <v>191</v>
      </c>
      <c r="G679" s="34" t="s">
        <v>100</v>
      </c>
      <c r="H679" t="s">
        <v>279</v>
      </c>
      <c r="I679" t="s">
        <v>243</v>
      </c>
      <c r="J679" t="s">
        <v>712</v>
      </c>
      <c r="K679" t="s">
        <v>729</v>
      </c>
      <c r="L679" t="s">
        <v>711</v>
      </c>
      <c r="M679" s="30">
        <v>3.13</v>
      </c>
      <c r="N679">
        <v>6.75</v>
      </c>
      <c r="P679" s="24" t="str">
        <f>IFERROR(MID(RADataTable[[#This Row],[RATemplate]],1,LEN(RADataTable[[#This Row],[RATemplate]])-8),"RA") &amp; " " &amp; RADataTable[[#This Row],[prop_id0]] &amp; " " &amp; RADataTable[[#This Row],[last0]]</f>
        <v>RA 1750302 Dinitz</v>
      </c>
      <c r="T679">
        <v>4</v>
      </c>
      <c r="U679">
        <v>4</v>
      </c>
      <c r="V679" s="34">
        <v>43030.96875</v>
      </c>
      <c r="W679">
        <v>1</v>
      </c>
      <c r="X679" s="15" t="str">
        <f>HYPERLINK("https://www.ejacket.nsf.gov/ej/showProposal.do?Continue=Y&amp;ID="&amp;RADataTable[[#This Row],[prop_id0]],"eJ")</f>
        <v>eJ</v>
      </c>
      <c r="Y679" s="15" t="str">
        <f>HYPERLINK("mailto:"&amp;RADataTable[[#This Row],[email]]&amp;"&amp;subject=Your NSF Proposal:  "&amp;RADataTable[[#This Row],[Div]]&amp;" "&amp;RADataTable[[#This Row],[prop_id0]], RADataTable[[#This Row],[email]])</f>
        <v>mdinitz@cs.jhu.edu</v>
      </c>
      <c r="Z679" s="15" t="str">
        <f>HYPERLINK("mailto:"&amp;RADataTable[[#This Row],[allPIemail]]&amp;"&amp;subject=NSF Proposal:  "&amp;RADataTable[[#This Row],[Div]]&amp;" "&amp;RADataTable[[#This Row],[prop_id0]], "PIs@")</f>
        <v>PIs@</v>
      </c>
      <c r="AA679" t="s">
        <v>245</v>
      </c>
      <c r="AB679" t="s">
        <v>675</v>
      </c>
      <c r="AC679" s="30" t="s">
        <v>801</v>
      </c>
      <c r="AD679" t="s">
        <v>296</v>
      </c>
      <c r="AE679" t="s">
        <v>802</v>
      </c>
      <c r="AF679" s="36">
        <v>507459</v>
      </c>
      <c r="AG679" s="36">
        <v>507459</v>
      </c>
      <c r="AH679" s="24"/>
      <c r="AJ679" s="34"/>
      <c r="AK679" t="s">
        <v>923</v>
      </c>
      <c r="AL679" t="s">
        <v>287</v>
      </c>
      <c r="AM679" s="34" t="s">
        <v>925</v>
      </c>
      <c r="AN679" s="34">
        <v>43032</v>
      </c>
      <c r="AO679" s="24">
        <v>13</v>
      </c>
      <c r="AP679" t="s">
        <v>958</v>
      </c>
      <c r="AR679" s="35"/>
      <c r="AS679"/>
      <c r="AT679" s="34"/>
      <c r="AV679" s="34"/>
      <c r="AX679" s="34"/>
      <c r="AY679"/>
      <c r="BA679" s="34"/>
      <c r="BB679"/>
      <c r="BC679" t="s">
        <v>805</v>
      </c>
      <c r="BD679" s="36">
        <v>507459</v>
      </c>
      <c r="BE679" s="36">
        <v>507459</v>
      </c>
      <c r="BF679">
        <v>0</v>
      </c>
      <c r="BG679" s="34">
        <v>43282</v>
      </c>
      <c r="BH679">
        <v>60</v>
      </c>
      <c r="BI679" t="s">
        <v>283</v>
      </c>
      <c r="BJ679" t="s">
        <v>928</v>
      </c>
      <c r="BK679" t="s">
        <v>934</v>
      </c>
      <c r="BL679" t="s">
        <v>194</v>
      </c>
      <c r="BM679" s="8" t="s">
        <v>192</v>
      </c>
      <c r="BN679" t="s">
        <v>189</v>
      </c>
      <c r="BO679" t="s">
        <v>190</v>
      </c>
      <c r="BP679" s="35" t="s">
        <v>718</v>
      </c>
      <c r="BQ679"/>
      <c r="BU679" s="35"/>
      <c r="BV679" s="35"/>
      <c r="BX679"/>
      <c r="CA679" s="35"/>
      <c r="CB679" s="35"/>
      <c r="CC679"/>
      <c r="CG679" s="35"/>
      <c r="CH679" s="35"/>
      <c r="CK679"/>
      <c r="CM679" s="35"/>
      <c r="CN679" s="35"/>
      <c r="CQ679"/>
      <c r="CS679" s="35"/>
      <c r="CT679" s="35"/>
      <c r="CX679"/>
      <c r="CZ679" s="35"/>
      <c r="DD679" s="34"/>
      <c r="DG679" t="s">
        <v>803</v>
      </c>
      <c r="DH679" t="s">
        <v>959</v>
      </c>
      <c r="DI679" t="s">
        <v>286</v>
      </c>
      <c r="DL679" t="s">
        <v>675</v>
      </c>
      <c r="DM679">
        <v>6</v>
      </c>
      <c r="DN679">
        <v>8</v>
      </c>
      <c r="DO679" t="s">
        <v>804</v>
      </c>
      <c r="DQ679" t="s">
        <v>927</v>
      </c>
      <c r="DR679">
        <v>14</v>
      </c>
      <c r="DS679">
        <v>1</v>
      </c>
      <c r="DU679">
        <v>14</v>
      </c>
      <c r="DV679">
        <v>1</v>
      </c>
      <c r="DX679">
        <v>14</v>
      </c>
      <c r="DY679">
        <v>1</v>
      </c>
      <c r="DZ679" t="s">
        <v>246</v>
      </c>
      <c r="EA679" t="s">
        <v>929</v>
      </c>
    </row>
    <row r="680" spans="1:131" x14ac:dyDescent="0.4">
      <c r="A680" s="34">
        <v>43067.305104166669</v>
      </c>
      <c r="B680" s="25">
        <v>42935.475694444445</v>
      </c>
      <c r="D680" s="34"/>
      <c r="E680" s="34" t="s">
        <v>193</v>
      </c>
      <c r="F680" s="34" t="s">
        <v>191</v>
      </c>
      <c r="G680" s="34" t="s">
        <v>100</v>
      </c>
      <c r="H680" t="s">
        <v>279</v>
      </c>
      <c r="I680" t="s">
        <v>243</v>
      </c>
      <c r="J680" t="s">
        <v>712</v>
      </c>
      <c r="K680" t="s">
        <v>729</v>
      </c>
      <c r="L680" t="s">
        <v>711</v>
      </c>
      <c r="M680" s="30">
        <v>3.13</v>
      </c>
      <c r="N680">
        <v>6.75</v>
      </c>
      <c r="P680" s="24" t="str">
        <f>IFERROR(MID(RADataTable[[#This Row],[RATemplate]],1,LEN(RADataTable[[#This Row],[RATemplate]])-8),"RA") &amp; " " &amp; RADataTable[[#This Row],[prop_id0]] &amp; " " &amp; RADataTable[[#This Row],[last0]]</f>
        <v>RA 1750302 Dinitz</v>
      </c>
      <c r="T680">
        <v>4</v>
      </c>
      <c r="U680">
        <v>4</v>
      </c>
      <c r="V680" s="34">
        <v>43030.96875</v>
      </c>
      <c r="W680">
        <v>1</v>
      </c>
      <c r="X680" s="15" t="str">
        <f>HYPERLINK("https://www.ejacket.nsf.gov/ej/showProposal.do?Continue=Y&amp;ID="&amp;RADataTable[[#This Row],[prop_id0]],"eJ")</f>
        <v>eJ</v>
      </c>
      <c r="Y680" s="15" t="str">
        <f>HYPERLINK("mailto:"&amp;RADataTable[[#This Row],[email]]&amp;"&amp;subject=Your NSF Proposal:  "&amp;RADataTable[[#This Row],[Div]]&amp;" "&amp;RADataTable[[#This Row],[prop_id0]], RADataTable[[#This Row],[email]])</f>
        <v>mdinitz@cs.jhu.edu</v>
      </c>
      <c r="Z680" s="15" t="str">
        <f>HYPERLINK("mailto:"&amp;RADataTable[[#This Row],[allPIemail]]&amp;"&amp;subject=NSF Proposal:  "&amp;RADataTable[[#This Row],[Div]]&amp;" "&amp;RADataTable[[#This Row],[prop_id0]], "PIs@")</f>
        <v>PIs@</v>
      </c>
      <c r="AA680" t="s">
        <v>245</v>
      </c>
      <c r="AB680" t="s">
        <v>675</v>
      </c>
      <c r="AC680" s="30" t="s">
        <v>801</v>
      </c>
      <c r="AD680" t="s">
        <v>296</v>
      </c>
      <c r="AE680" t="s">
        <v>802</v>
      </c>
      <c r="AF680" s="36">
        <v>507459</v>
      </c>
      <c r="AG680" s="36">
        <v>507459</v>
      </c>
      <c r="AH680" s="24"/>
      <c r="AJ680" s="34"/>
      <c r="AK680" t="s">
        <v>923</v>
      </c>
      <c r="AL680" t="s">
        <v>287</v>
      </c>
      <c r="AM680" s="34" t="s">
        <v>925</v>
      </c>
      <c r="AN680" s="34">
        <v>43032</v>
      </c>
      <c r="AO680" s="24">
        <v>13</v>
      </c>
      <c r="AP680" t="s">
        <v>958</v>
      </c>
      <c r="AR680" s="35"/>
      <c r="AS680"/>
      <c r="AT680" s="34"/>
      <c r="AV680" s="34"/>
      <c r="AX680" s="34"/>
      <c r="AY680"/>
      <c r="BA680" s="34"/>
      <c r="BB680"/>
      <c r="BC680" t="s">
        <v>805</v>
      </c>
      <c r="BD680" s="36">
        <v>507459</v>
      </c>
      <c r="BE680" s="36">
        <v>507459</v>
      </c>
      <c r="BF680">
        <v>0</v>
      </c>
      <c r="BG680" s="34">
        <v>43282</v>
      </c>
      <c r="BH680">
        <v>60</v>
      </c>
      <c r="BI680" t="s">
        <v>283</v>
      </c>
      <c r="BJ680" t="s">
        <v>928</v>
      </c>
      <c r="BK680" t="s">
        <v>934</v>
      </c>
      <c r="BL680" t="s">
        <v>194</v>
      </c>
      <c r="BM680" s="8" t="s">
        <v>192</v>
      </c>
      <c r="BN680" t="s">
        <v>189</v>
      </c>
      <c r="BO680" t="s">
        <v>190</v>
      </c>
      <c r="BP680" s="35" t="s">
        <v>718</v>
      </c>
      <c r="BQ680"/>
      <c r="BU680" s="35"/>
      <c r="BV680" s="35"/>
      <c r="BX680"/>
      <c r="CA680" s="35"/>
      <c r="CB680" s="35"/>
      <c r="CC680"/>
      <c r="CG680" s="35"/>
      <c r="CH680" s="35"/>
      <c r="CK680"/>
      <c r="CM680" s="35"/>
      <c r="CN680" s="35"/>
      <c r="CQ680"/>
      <c r="CS680" s="35"/>
      <c r="CT680" s="35"/>
      <c r="CX680"/>
      <c r="CZ680" s="35"/>
      <c r="DD680" s="34"/>
      <c r="DG680" t="s">
        <v>803</v>
      </c>
      <c r="DH680" t="s">
        <v>959</v>
      </c>
      <c r="DI680" t="s">
        <v>286</v>
      </c>
      <c r="DL680" t="s">
        <v>675</v>
      </c>
      <c r="DM680">
        <v>6</v>
      </c>
      <c r="DN680">
        <v>8</v>
      </c>
      <c r="DO680" t="s">
        <v>804</v>
      </c>
      <c r="DQ680" t="s">
        <v>927</v>
      </c>
      <c r="DR680">
        <v>14</v>
      </c>
      <c r="DS680">
        <v>1</v>
      </c>
      <c r="DU680">
        <v>14</v>
      </c>
      <c r="DV680">
        <v>1</v>
      </c>
      <c r="DX680">
        <v>14</v>
      </c>
      <c r="DY680">
        <v>1</v>
      </c>
      <c r="DZ680" t="s">
        <v>246</v>
      </c>
      <c r="EA680" t="s">
        <v>929</v>
      </c>
    </row>
    <row r="681" spans="1:131" x14ac:dyDescent="0.4">
      <c r="A681" s="34">
        <v>43067.305104166669</v>
      </c>
      <c r="B681" s="25">
        <v>42935.475694444445</v>
      </c>
      <c r="D681" s="34"/>
      <c r="E681" s="34" t="s">
        <v>193</v>
      </c>
      <c r="F681" s="34" t="s">
        <v>191</v>
      </c>
      <c r="G681" s="34" t="s">
        <v>100</v>
      </c>
      <c r="H681" t="s">
        <v>279</v>
      </c>
      <c r="I681" t="s">
        <v>243</v>
      </c>
      <c r="J681" t="s">
        <v>712</v>
      </c>
      <c r="K681" t="s">
        <v>729</v>
      </c>
      <c r="L681" t="s">
        <v>711</v>
      </c>
      <c r="M681" s="30">
        <v>3.13</v>
      </c>
      <c r="N681">
        <v>6.75</v>
      </c>
      <c r="P681" s="24" t="str">
        <f>IFERROR(MID(RADataTable[[#This Row],[RATemplate]],1,LEN(RADataTable[[#This Row],[RATemplate]])-8),"RA") &amp; " " &amp; RADataTable[[#This Row],[prop_id0]] &amp; " " &amp; RADataTable[[#This Row],[last0]]</f>
        <v>RA 1750302 Dinitz</v>
      </c>
      <c r="T681">
        <v>4</v>
      </c>
      <c r="U681">
        <v>4</v>
      </c>
      <c r="V681" s="34">
        <v>43030.96875</v>
      </c>
      <c r="W681">
        <v>1</v>
      </c>
      <c r="X681" s="15" t="str">
        <f>HYPERLINK("https://www.ejacket.nsf.gov/ej/showProposal.do?Continue=Y&amp;ID="&amp;RADataTable[[#This Row],[prop_id0]],"eJ")</f>
        <v>eJ</v>
      </c>
      <c r="Y681" s="15" t="str">
        <f>HYPERLINK("mailto:"&amp;RADataTable[[#This Row],[email]]&amp;"&amp;subject=Your NSF Proposal:  "&amp;RADataTable[[#This Row],[Div]]&amp;" "&amp;RADataTable[[#This Row],[prop_id0]], RADataTable[[#This Row],[email]])</f>
        <v>mdinitz@cs.jhu.edu</v>
      </c>
      <c r="Z681" s="15" t="str">
        <f>HYPERLINK("mailto:"&amp;RADataTable[[#This Row],[allPIemail]]&amp;"&amp;subject=NSF Proposal:  "&amp;RADataTable[[#This Row],[Div]]&amp;" "&amp;RADataTable[[#This Row],[prop_id0]], "PIs@")</f>
        <v>PIs@</v>
      </c>
      <c r="AA681" t="s">
        <v>245</v>
      </c>
      <c r="AB681" t="s">
        <v>675</v>
      </c>
      <c r="AC681" s="30" t="s">
        <v>801</v>
      </c>
      <c r="AD681" t="s">
        <v>296</v>
      </c>
      <c r="AE681" t="s">
        <v>802</v>
      </c>
      <c r="AF681" s="36">
        <v>507459</v>
      </c>
      <c r="AG681" s="36">
        <v>507459</v>
      </c>
      <c r="AH681" s="24"/>
      <c r="AJ681" s="34"/>
      <c r="AK681" t="s">
        <v>923</v>
      </c>
      <c r="AL681" t="s">
        <v>287</v>
      </c>
      <c r="AM681" s="34" t="s">
        <v>925</v>
      </c>
      <c r="AN681" s="34">
        <v>43032</v>
      </c>
      <c r="AO681" s="24">
        <v>13</v>
      </c>
      <c r="AP681" t="s">
        <v>958</v>
      </c>
      <c r="AR681" s="35"/>
      <c r="AS681"/>
      <c r="AT681" s="34"/>
      <c r="AV681" s="34"/>
      <c r="AX681" s="34"/>
      <c r="AY681"/>
      <c r="BA681" s="34"/>
      <c r="BB681"/>
      <c r="BC681" t="s">
        <v>805</v>
      </c>
      <c r="BD681" s="36">
        <v>507459</v>
      </c>
      <c r="BE681" s="36">
        <v>507459</v>
      </c>
      <c r="BF681">
        <v>0</v>
      </c>
      <c r="BG681" s="34">
        <v>43282</v>
      </c>
      <c r="BH681">
        <v>60</v>
      </c>
      <c r="BI681" t="s">
        <v>283</v>
      </c>
      <c r="BJ681" t="s">
        <v>928</v>
      </c>
      <c r="BK681" t="s">
        <v>934</v>
      </c>
      <c r="BL681" t="s">
        <v>194</v>
      </c>
      <c r="BM681" s="8" t="s">
        <v>192</v>
      </c>
      <c r="BN681" t="s">
        <v>189</v>
      </c>
      <c r="BO681" t="s">
        <v>190</v>
      </c>
      <c r="BP681" s="35" t="s">
        <v>718</v>
      </c>
      <c r="BQ681"/>
      <c r="BU681" s="35"/>
      <c r="BV681" s="35"/>
      <c r="BX681"/>
      <c r="CA681" s="35"/>
      <c r="CB681" s="35"/>
      <c r="CC681"/>
      <c r="CG681" s="35"/>
      <c r="CH681" s="35"/>
      <c r="CK681"/>
      <c r="CM681" s="35"/>
      <c r="CN681" s="35"/>
      <c r="CQ681"/>
      <c r="CS681" s="35"/>
      <c r="CT681" s="35"/>
      <c r="CX681"/>
      <c r="CZ681" s="35"/>
      <c r="DD681" s="34"/>
      <c r="DG681" t="s">
        <v>803</v>
      </c>
      <c r="DH681" t="s">
        <v>959</v>
      </c>
      <c r="DI681" t="s">
        <v>286</v>
      </c>
      <c r="DL681" t="s">
        <v>675</v>
      </c>
      <c r="DM681">
        <v>6</v>
      </c>
      <c r="DN681">
        <v>8</v>
      </c>
      <c r="DO681" t="s">
        <v>804</v>
      </c>
      <c r="DQ681" t="s">
        <v>927</v>
      </c>
      <c r="DR681">
        <v>14</v>
      </c>
      <c r="DS681">
        <v>1</v>
      </c>
      <c r="DU681">
        <v>14</v>
      </c>
      <c r="DV681">
        <v>1</v>
      </c>
      <c r="DX681">
        <v>14</v>
      </c>
      <c r="DY681">
        <v>1</v>
      </c>
      <c r="DZ681" t="s">
        <v>246</v>
      </c>
      <c r="EA681" t="s">
        <v>929</v>
      </c>
    </row>
    <row r="682" spans="1:131" x14ac:dyDescent="0.4">
      <c r="A682" s="34">
        <v>43067.305104166669</v>
      </c>
      <c r="B682" s="25">
        <v>42935.475694444445</v>
      </c>
      <c r="D682" s="34"/>
      <c r="E682" s="34" t="s">
        <v>193</v>
      </c>
      <c r="F682" s="34" t="s">
        <v>191</v>
      </c>
      <c r="G682" s="34" t="s">
        <v>100</v>
      </c>
      <c r="H682" t="s">
        <v>279</v>
      </c>
      <c r="I682" t="s">
        <v>243</v>
      </c>
      <c r="J682" t="s">
        <v>712</v>
      </c>
      <c r="K682" t="s">
        <v>729</v>
      </c>
      <c r="L682" t="s">
        <v>711</v>
      </c>
      <c r="M682" s="30">
        <v>3.13</v>
      </c>
      <c r="N682">
        <v>6.75</v>
      </c>
      <c r="P682" s="24" t="str">
        <f>IFERROR(MID(RADataTable[[#This Row],[RATemplate]],1,LEN(RADataTable[[#This Row],[RATemplate]])-8),"RA") &amp; " " &amp; RADataTable[[#This Row],[prop_id0]] &amp; " " &amp; RADataTable[[#This Row],[last0]]</f>
        <v>RA 1750302 Dinitz</v>
      </c>
      <c r="T682">
        <v>4</v>
      </c>
      <c r="U682">
        <v>4</v>
      </c>
      <c r="V682" s="34">
        <v>43030.96875</v>
      </c>
      <c r="W682">
        <v>1</v>
      </c>
      <c r="X682" s="15" t="str">
        <f>HYPERLINK("https://www.ejacket.nsf.gov/ej/showProposal.do?Continue=Y&amp;ID="&amp;RADataTable[[#This Row],[prop_id0]],"eJ")</f>
        <v>eJ</v>
      </c>
      <c r="Y682" s="15" t="str">
        <f>HYPERLINK("mailto:"&amp;RADataTable[[#This Row],[email]]&amp;"&amp;subject=Your NSF Proposal:  "&amp;RADataTable[[#This Row],[Div]]&amp;" "&amp;RADataTable[[#This Row],[prop_id0]], RADataTable[[#This Row],[email]])</f>
        <v>mdinitz@cs.jhu.edu</v>
      </c>
      <c r="Z682" s="15" t="str">
        <f>HYPERLINK("mailto:"&amp;RADataTable[[#This Row],[allPIemail]]&amp;"&amp;subject=NSF Proposal:  "&amp;RADataTable[[#This Row],[Div]]&amp;" "&amp;RADataTable[[#This Row],[prop_id0]], "PIs@")</f>
        <v>PIs@</v>
      </c>
      <c r="AA682" t="s">
        <v>245</v>
      </c>
      <c r="AB682" t="s">
        <v>675</v>
      </c>
      <c r="AC682" s="30" t="s">
        <v>801</v>
      </c>
      <c r="AD682" t="s">
        <v>296</v>
      </c>
      <c r="AE682" t="s">
        <v>802</v>
      </c>
      <c r="AF682" s="36">
        <v>507459</v>
      </c>
      <c r="AG682" s="36">
        <v>507459</v>
      </c>
      <c r="AH682" s="24"/>
      <c r="AJ682" s="34"/>
      <c r="AK682" t="s">
        <v>923</v>
      </c>
      <c r="AL682" t="s">
        <v>287</v>
      </c>
      <c r="AM682" s="34" t="s">
        <v>925</v>
      </c>
      <c r="AN682" s="34">
        <v>43032</v>
      </c>
      <c r="AO682" s="24">
        <v>13</v>
      </c>
      <c r="AP682" t="s">
        <v>958</v>
      </c>
      <c r="AR682" s="35"/>
      <c r="AS682"/>
      <c r="AT682" s="34"/>
      <c r="AV682" s="34"/>
      <c r="AX682" s="34"/>
      <c r="AY682"/>
      <c r="BA682" s="34"/>
      <c r="BB682"/>
      <c r="BC682" t="s">
        <v>805</v>
      </c>
      <c r="BD682" s="36">
        <v>507459</v>
      </c>
      <c r="BE682" s="36">
        <v>507459</v>
      </c>
      <c r="BF682">
        <v>0</v>
      </c>
      <c r="BG682" s="34">
        <v>43282</v>
      </c>
      <c r="BH682">
        <v>60</v>
      </c>
      <c r="BI682" t="s">
        <v>283</v>
      </c>
      <c r="BJ682" t="s">
        <v>928</v>
      </c>
      <c r="BK682" t="s">
        <v>934</v>
      </c>
      <c r="BL682" t="s">
        <v>194</v>
      </c>
      <c r="BM682" s="8" t="s">
        <v>192</v>
      </c>
      <c r="BN682" t="s">
        <v>189</v>
      </c>
      <c r="BO682" t="s">
        <v>190</v>
      </c>
      <c r="BP682" s="35" t="s">
        <v>718</v>
      </c>
      <c r="BQ682"/>
      <c r="BU682" s="35"/>
      <c r="BV682" s="35"/>
      <c r="BX682"/>
      <c r="CA682" s="35"/>
      <c r="CB682" s="35"/>
      <c r="CC682"/>
      <c r="CG682" s="35"/>
      <c r="CH682" s="35"/>
      <c r="CK682"/>
      <c r="CM682" s="35"/>
      <c r="CN682" s="35"/>
      <c r="CQ682"/>
      <c r="CS682" s="35"/>
      <c r="CT682" s="35"/>
      <c r="CX682"/>
      <c r="CZ682" s="35"/>
      <c r="DD682" s="34"/>
      <c r="DG682" t="s">
        <v>803</v>
      </c>
      <c r="DH682" t="s">
        <v>959</v>
      </c>
      <c r="DI682" t="s">
        <v>286</v>
      </c>
      <c r="DL682" t="s">
        <v>675</v>
      </c>
      <c r="DM682">
        <v>6</v>
      </c>
      <c r="DN682">
        <v>8</v>
      </c>
      <c r="DO682" t="s">
        <v>804</v>
      </c>
      <c r="DQ682" t="s">
        <v>927</v>
      </c>
      <c r="DR682">
        <v>14</v>
      </c>
      <c r="DS682">
        <v>1</v>
      </c>
      <c r="DU682">
        <v>14</v>
      </c>
      <c r="DV682">
        <v>1</v>
      </c>
      <c r="DX682">
        <v>14</v>
      </c>
      <c r="DY682">
        <v>1</v>
      </c>
      <c r="DZ682" t="s">
        <v>246</v>
      </c>
      <c r="EA682" t="s">
        <v>929</v>
      </c>
    </row>
    <row r="683" spans="1:131" x14ac:dyDescent="0.4">
      <c r="A683" s="34">
        <v>43067.305104166669</v>
      </c>
      <c r="B683" s="25">
        <v>42935.475694444445</v>
      </c>
      <c r="D683" s="34"/>
      <c r="E683" s="34" t="s">
        <v>193</v>
      </c>
      <c r="F683" s="34" t="s">
        <v>191</v>
      </c>
      <c r="G683" s="34" t="s">
        <v>100</v>
      </c>
      <c r="H683" t="s">
        <v>279</v>
      </c>
      <c r="I683" t="s">
        <v>243</v>
      </c>
      <c r="J683" t="s">
        <v>712</v>
      </c>
      <c r="K683" t="s">
        <v>729</v>
      </c>
      <c r="L683" t="s">
        <v>711</v>
      </c>
      <c r="M683" s="30">
        <v>3.13</v>
      </c>
      <c r="N683">
        <v>6.75</v>
      </c>
      <c r="P683" s="24" t="str">
        <f>IFERROR(MID(RADataTable[[#This Row],[RATemplate]],1,LEN(RADataTable[[#This Row],[RATemplate]])-8),"RA") &amp; " " &amp; RADataTable[[#This Row],[prop_id0]] &amp; " " &amp; RADataTable[[#This Row],[last0]]</f>
        <v>RA 1750302 Dinitz</v>
      </c>
      <c r="T683">
        <v>4</v>
      </c>
      <c r="U683">
        <v>4</v>
      </c>
      <c r="V683" s="34">
        <v>43030.96875</v>
      </c>
      <c r="W683">
        <v>1</v>
      </c>
      <c r="X683" s="15" t="str">
        <f>HYPERLINK("https://www.ejacket.nsf.gov/ej/showProposal.do?Continue=Y&amp;ID="&amp;RADataTable[[#This Row],[prop_id0]],"eJ")</f>
        <v>eJ</v>
      </c>
      <c r="Y683" s="15" t="str">
        <f>HYPERLINK("mailto:"&amp;RADataTable[[#This Row],[email]]&amp;"&amp;subject=Your NSF Proposal:  "&amp;RADataTable[[#This Row],[Div]]&amp;" "&amp;RADataTable[[#This Row],[prop_id0]], RADataTable[[#This Row],[email]])</f>
        <v>mdinitz@cs.jhu.edu</v>
      </c>
      <c r="Z683" s="15" t="str">
        <f>HYPERLINK("mailto:"&amp;RADataTable[[#This Row],[allPIemail]]&amp;"&amp;subject=NSF Proposal:  "&amp;RADataTable[[#This Row],[Div]]&amp;" "&amp;RADataTable[[#This Row],[prop_id0]], "PIs@")</f>
        <v>PIs@</v>
      </c>
      <c r="AA683" t="s">
        <v>245</v>
      </c>
      <c r="AB683" t="s">
        <v>675</v>
      </c>
      <c r="AC683" s="30" t="s">
        <v>801</v>
      </c>
      <c r="AD683" t="s">
        <v>296</v>
      </c>
      <c r="AE683" t="s">
        <v>802</v>
      </c>
      <c r="AF683" s="36">
        <v>507459</v>
      </c>
      <c r="AG683" s="36">
        <v>507459</v>
      </c>
      <c r="AH683" s="24"/>
      <c r="AJ683" s="34"/>
      <c r="AK683" t="s">
        <v>923</v>
      </c>
      <c r="AL683" t="s">
        <v>287</v>
      </c>
      <c r="AM683" s="34" t="s">
        <v>925</v>
      </c>
      <c r="AN683" s="34">
        <v>43032</v>
      </c>
      <c r="AO683" s="24">
        <v>13</v>
      </c>
      <c r="AP683" t="s">
        <v>958</v>
      </c>
      <c r="AR683" s="35"/>
      <c r="AS683"/>
      <c r="AT683" s="34"/>
      <c r="AV683" s="34"/>
      <c r="AX683" s="34"/>
      <c r="AY683"/>
      <c r="BA683" s="34"/>
      <c r="BB683"/>
      <c r="BC683" t="s">
        <v>805</v>
      </c>
      <c r="BD683" s="36">
        <v>507459</v>
      </c>
      <c r="BE683" s="36">
        <v>507459</v>
      </c>
      <c r="BF683">
        <v>0</v>
      </c>
      <c r="BG683" s="34">
        <v>43282</v>
      </c>
      <c r="BH683">
        <v>60</v>
      </c>
      <c r="BI683" t="s">
        <v>283</v>
      </c>
      <c r="BJ683" t="s">
        <v>928</v>
      </c>
      <c r="BK683" t="s">
        <v>934</v>
      </c>
      <c r="BL683" t="s">
        <v>194</v>
      </c>
      <c r="BM683" s="8" t="s">
        <v>192</v>
      </c>
      <c r="BN683" t="s">
        <v>189</v>
      </c>
      <c r="BO683" t="s">
        <v>190</v>
      </c>
      <c r="BP683" s="35" t="s">
        <v>718</v>
      </c>
      <c r="BQ683"/>
      <c r="BU683" s="35"/>
      <c r="BV683" s="35"/>
      <c r="BX683"/>
      <c r="CA683" s="35"/>
      <c r="CB683" s="35"/>
      <c r="CC683"/>
      <c r="CG683" s="35"/>
      <c r="CH683" s="35"/>
      <c r="CK683"/>
      <c r="CM683" s="35"/>
      <c r="CN683" s="35"/>
      <c r="CQ683"/>
      <c r="CS683" s="35"/>
      <c r="CT683" s="35"/>
      <c r="CX683"/>
      <c r="CZ683" s="35"/>
      <c r="DD683" s="34"/>
      <c r="DG683" t="s">
        <v>803</v>
      </c>
      <c r="DH683" t="s">
        <v>959</v>
      </c>
      <c r="DI683" t="s">
        <v>286</v>
      </c>
      <c r="DL683" t="s">
        <v>675</v>
      </c>
      <c r="DM683">
        <v>6</v>
      </c>
      <c r="DN683">
        <v>8</v>
      </c>
      <c r="DO683" t="s">
        <v>804</v>
      </c>
      <c r="DQ683" t="s">
        <v>927</v>
      </c>
      <c r="DR683">
        <v>14</v>
      </c>
      <c r="DS683">
        <v>1</v>
      </c>
      <c r="DU683">
        <v>14</v>
      </c>
      <c r="DV683">
        <v>1</v>
      </c>
      <c r="DX683">
        <v>14</v>
      </c>
      <c r="DY683">
        <v>1</v>
      </c>
      <c r="DZ683" t="s">
        <v>246</v>
      </c>
      <c r="EA683" t="s">
        <v>929</v>
      </c>
    </row>
    <row r="684" spans="1:131" x14ac:dyDescent="0.4">
      <c r="A684" s="34">
        <v>43067.305104166669</v>
      </c>
      <c r="B684" s="25">
        <v>42935.475694444445</v>
      </c>
      <c r="D684" s="34"/>
      <c r="E684" s="34" t="s">
        <v>193</v>
      </c>
      <c r="F684" s="34" t="s">
        <v>191</v>
      </c>
      <c r="G684" s="34" t="s">
        <v>100</v>
      </c>
      <c r="H684" t="s">
        <v>279</v>
      </c>
      <c r="I684" t="s">
        <v>243</v>
      </c>
      <c r="J684" t="s">
        <v>712</v>
      </c>
      <c r="K684" t="s">
        <v>729</v>
      </c>
      <c r="L684" t="s">
        <v>711</v>
      </c>
      <c r="M684" s="30">
        <v>3.13</v>
      </c>
      <c r="N684">
        <v>6.75</v>
      </c>
      <c r="P684" s="24" t="str">
        <f>IFERROR(MID(RADataTable[[#This Row],[RATemplate]],1,LEN(RADataTable[[#This Row],[RATemplate]])-8),"RA") &amp; " " &amp; RADataTable[[#This Row],[prop_id0]] &amp; " " &amp; RADataTable[[#This Row],[last0]]</f>
        <v>RA 1750302 Dinitz</v>
      </c>
      <c r="T684">
        <v>4</v>
      </c>
      <c r="U684">
        <v>4</v>
      </c>
      <c r="V684" s="34">
        <v>43030.96875</v>
      </c>
      <c r="W684">
        <v>1</v>
      </c>
      <c r="X684" s="15" t="str">
        <f>HYPERLINK("https://www.ejacket.nsf.gov/ej/showProposal.do?Continue=Y&amp;ID="&amp;RADataTable[[#This Row],[prop_id0]],"eJ")</f>
        <v>eJ</v>
      </c>
      <c r="Y684" s="15" t="str">
        <f>HYPERLINK("mailto:"&amp;RADataTable[[#This Row],[email]]&amp;"&amp;subject=Your NSF Proposal:  "&amp;RADataTable[[#This Row],[Div]]&amp;" "&amp;RADataTable[[#This Row],[prop_id0]], RADataTable[[#This Row],[email]])</f>
        <v>mdinitz@cs.jhu.edu</v>
      </c>
      <c r="Z684" s="15" t="str">
        <f>HYPERLINK("mailto:"&amp;RADataTable[[#This Row],[allPIemail]]&amp;"&amp;subject=NSF Proposal:  "&amp;RADataTable[[#This Row],[Div]]&amp;" "&amp;RADataTable[[#This Row],[prop_id0]], "PIs@")</f>
        <v>PIs@</v>
      </c>
      <c r="AA684" t="s">
        <v>245</v>
      </c>
      <c r="AB684" t="s">
        <v>675</v>
      </c>
      <c r="AC684" s="30" t="s">
        <v>801</v>
      </c>
      <c r="AD684" t="s">
        <v>296</v>
      </c>
      <c r="AE684" t="s">
        <v>802</v>
      </c>
      <c r="AF684" s="36">
        <v>507459</v>
      </c>
      <c r="AG684" s="36">
        <v>507459</v>
      </c>
      <c r="AH684" s="24"/>
      <c r="AJ684" s="34"/>
      <c r="AK684" t="s">
        <v>923</v>
      </c>
      <c r="AL684" t="s">
        <v>287</v>
      </c>
      <c r="AM684" s="34" t="s">
        <v>925</v>
      </c>
      <c r="AN684" s="34">
        <v>43032</v>
      </c>
      <c r="AO684" s="24">
        <v>13</v>
      </c>
      <c r="AP684" t="s">
        <v>958</v>
      </c>
      <c r="AR684" s="35"/>
      <c r="AS684"/>
      <c r="AT684" s="34"/>
      <c r="AV684" s="34"/>
      <c r="AX684" s="34"/>
      <c r="AY684"/>
      <c r="BA684" s="34"/>
      <c r="BB684"/>
      <c r="BC684" t="s">
        <v>805</v>
      </c>
      <c r="BD684" s="36">
        <v>507459</v>
      </c>
      <c r="BE684" s="36">
        <v>507459</v>
      </c>
      <c r="BF684">
        <v>0</v>
      </c>
      <c r="BG684" s="34">
        <v>43282</v>
      </c>
      <c r="BH684">
        <v>60</v>
      </c>
      <c r="BI684" t="s">
        <v>283</v>
      </c>
      <c r="BJ684" t="s">
        <v>928</v>
      </c>
      <c r="BK684" t="s">
        <v>934</v>
      </c>
      <c r="BL684" t="s">
        <v>194</v>
      </c>
      <c r="BM684" s="8" t="s">
        <v>192</v>
      </c>
      <c r="BN684" t="s">
        <v>189</v>
      </c>
      <c r="BO684" t="s">
        <v>190</v>
      </c>
      <c r="BP684" s="35" t="s">
        <v>718</v>
      </c>
      <c r="BQ684"/>
      <c r="BU684" s="35"/>
      <c r="BV684" s="35"/>
      <c r="BX684"/>
      <c r="CA684" s="35"/>
      <c r="CB684" s="35"/>
      <c r="CC684"/>
      <c r="CG684" s="35"/>
      <c r="CH684" s="35"/>
      <c r="CK684"/>
      <c r="CM684" s="35"/>
      <c r="CN684" s="35"/>
      <c r="CQ684"/>
      <c r="CS684" s="35"/>
      <c r="CT684" s="35"/>
      <c r="CX684"/>
      <c r="CZ684" s="35"/>
      <c r="DD684" s="34"/>
      <c r="DG684" t="s">
        <v>803</v>
      </c>
      <c r="DH684" t="s">
        <v>959</v>
      </c>
      <c r="DI684" t="s">
        <v>286</v>
      </c>
      <c r="DL684" t="s">
        <v>675</v>
      </c>
      <c r="DM684">
        <v>6</v>
      </c>
      <c r="DN684">
        <v>8</v>
      </c>
      <c r="DO684" t="s">
        <v>804</v>
      </c>
      <c r="DQ684" t="s">
        <v>927</v>
      </c>
      <c r="DR684">
        <v>14</v>
      </c>
      <c r="DS684">
        <v>1</v>
      </c>
      <c r="DU684">
        <v>14</v>
      </c>
      <c r="DV684">
        <v>1</v>
      </c>
      <c r="DX684">
        <v>14</v>
      </c>
      <c r="DY684">
        <v>1</v>
      </c>
      <c r="DZ684" t="s">
        <v>246</v>
      </c>
      <c r="EA684" t="s">
        <v>929</v>
      </c>
    </row>
    <row r="685" spans="1:131" x14ac:dyDescent="0.4">
      <c r="A685" s="34">
        <v>43067.305104166669</v>
      </c>
      <c r="B685" s="25">
        <v>42935.54583333333</v>
      </c>
      <c r="D685" s="34"/>
      <c r="E685" s="34" t="s">
        <v>193</v>
      </c>
      <c r="F685" s="34" t="s">
        <v>191</v>
      </c>
      <c r="G685" s="34" t="s">
        <v>100</v>
      </c>
      <c r="H685" t="s">
        <v>279</v>
      </c>
      <c r="I685" t="s">
        <v>243</v>
      </c>
      <c r="J685" t="s">
        <v>712</v>
      </c>
      <c r="K685" t="s">
        <v>729</v>
      </c>
      <c r="L685" t="s">
        <v>711</v>
      </c>
      <c r="M685" s="30">
        <v>3.13</v>
      </c>
      <c r="N685">
        <v>6.5</v>
      </c>
      <c r="P685" s="24" t="str">
        <f>IFERROR(MID(RADataTable[[#This Row],[RATemplate]],1,LEN(RADataTable[[#This Row],[RATemplate]])-8),"RA") &amp; " " &amp; RADataTable[[#This Row],[prop_id0]] &amp; " " &amp; RADataTable[[#This Row],[last0]]</f>
        <v>RA 1750463 Raghvendra</v>
      </c>
      <c r="T685">
        <v>4</v>
      </c>
      <c r="U685">
        <v>4</v>
      </c>
      <c r="V685" s="34">
        <v>43032.486805555556</v>
      </c>
      <c r="W685">
        <v>1</v>
      </c>
      <c r="X685" s="15" t="str">
        <f>HYPERLINK("https://www.ejacket.nsf.gov/ej/showProposal.do?Continue=Y&amp;ID="&amp;RADataTable[[#This Row],[prop_id0]],"eJ")</f>
        <v>eJ</v>
      </c>
      <c r="Y685" s="15" t="str">
        <f>HYPERLINK("mailto:"&amp;RADataTable[[#This Row],[email]]&amp;"&amp;subject=Your NSF Proposal:  "&amp;RADataTable[[#This Row],[Div]]&amp;" "&amp;RADataTable[[#This Row],[prop_id0]], RADataTable[[#This Row],[email]])</f>
        <v>sharathr@vt.edu</v>
      </c>
      <c r="Z685" s="15" t="str">
        <f>HYPERLINK("mailto:"&amp;RADataTable[[#This Row],[allPIemail]]&amp;"&amp;subject=NSF Proposal:  "&amp;RADataTable[[#This Row],[Div]]&amp;" "&amp;RADataTable[[#This Row],[prop_id0]], "PIs@")</f>
        <v>PIs@</v>
      </c>
      <c r="AA685" t="s">
        <v>245</v>
      </c>
      <c r="AB685" t="s">
        <v>677</v>
      </c>
      <c r="AC685" s="30" t="s">
        <v>812</v>
      </c>
      <c r="AD685" t="s">
        <v>813</v>
      </c>
      <c r="AE685" t="s">
        <v>814</v>
      </c>
      <c r="AF685" s="36">
        <v>533991</v>
      </c>
      <c r="AG685" s="36">
        <v>533991</v>
      </c>
      <c r="AH685" s="24"/>
      <c r="AJ685" s="34"/>
      <c r="AK685" t="s">
        <v>923</v>
      </c>
      <c r="AL685" t="s">
        <v>287</v>
      </c>
      <c r="AM685" s="34" t="s">
        <v>925</v>
      </c>
      <c r="AN685" s="34">
        <v>43032</v>
      </c>
      <c r="AO685" s="24">
        <v>13</v>
      </c>
      <c r="AP685" t="s">
        <v>962</v>
      </c>
      <c r="AR685" s="35"/>
      <c r="AS685"/>
      <c r="AT685" s="34"/>
      <c r="AV685" s="34"/>
      <c r="AX685" s="34"/>
      <c r="AY685"/>
      <c r="BA685" s="34"/>
      <c r="BB685"/>
      <c r="BC685" t="s">
        <v>818</v>
      </c>
      <c r="BD685" s="36">
        <v>533991</v>
      </c>
      <c r="BE685" s="36">
        <v>533991</v>
      </c>
      <c r="BF685">
        <v>0</v>
      </c>
      <c r="BG685" s="34">
        <v>43110</v>
      </c>
      <c r="BH685">
        <v>60</v>
      </c>
      <c r="BI685" t="s">
        <v>283</v>
      </c>
      <c r="BJ685" t="s">
        <v>928</v>
      </c>
      <c r="BK685" t="s">
        <v>934</v>
      </c>
      <c r="BL685" t="s">
        <v>194</v>
      </c>
      <c r="BM685" s="8" t="s">
        <v>192</v>
      </c>
      <c r="BN685" t="s">
        <v>189</v>
      </c>
      <c r="BO685" t="s">
        <v>190</v>
      </c>
      <c r="BP685" s="35" t="s">
        <v>718</v>
      </c>
      <c r="BQ685"/>
      <c r="BU685" s="35"/>
      <c r="BV685" s="35"/>
      <c r="BX685"/>
      <c r="CA685" s="35"/>
      <c r="CB685" s="35"/>
      <c r="CC685"/>
      <c r="CG685" s="35"/>
      <c r="CH685" s="35"/>
      <c r="CK685"/>
      <c r="CM685" s="35"/>
      <c r="CN685" s="35"/>
      <c r="CQ685"/>
      <c r="CS685" s="35"/>
      <c r="CT685" s="35"/>
      <c r="CX685"/>
      <c r="CZ685" s="35"/>
      <c r="DD685" s="34"/>
      <c r="DG685" t="s">
        <v>816</v>
      </c>
      <c r="DH685" t="s">
        <v>963</v>
      </c>
      <c r="DI685" t="s">
        <v>286</v>
      </c>
      <c r="DL685" t="s">
        <v>677</v>
      </c>
      <c r="DM685">
        <v>5</v>
      </c>
      <c r="DN685">
        <v>8</v>
      </c>
      <c r="DO685" t="s">
        <v>817</v>
      </c>
      <c r="DQ685" t="s">
        <v>927</v>
      </c>
      <c r="DR685">
        <v>14</v>
      </c>
      <c r="DS685">
        <v>2</v>
      </c>
      <c r="DU685">
        <v>14</v>
      </c>
      <c r="DV685">
        <v>2</v>
      </c>
      <c r="DX685">
        <v>14</v>
      </c>
      <c r="DY685">
        <v>2</v>
      </c>
      <c r="DZ685" t="s">
        <v>246</v>
      </c>
      <c r="EA685" t="s">
        <v>929</v>
      </c>
    </row>
    <row r="686" spans="1:131" x14ac:dyDescent="0.4">
      <c r="A686" s="34">
        <v>43067.305104166669</v>
      </c>
      <c r="B686" s="25">
        <v>42935.54583333333</v>
      </c>
      <c r="D686" s="34"/>
      <c r="E686" s="34" t="s">
        <v>193</v>
      </c>
      <c r="F686" s="34" t="s">
        <v>191</v>
      </c>
      <c r="G686" s="34" t="s">
        <v>100</v>
      </c>
      <c r="H686" t="s">
        <v>279</v>
      </c>
      <c r="I686" t="s">
        <v>243</v>
      </c>
      <c r="J686" t="s">
        <v>712</v>
      </c>
      <c r="K686" t="s">
        <v>729</v>
      </c>
      <c r="L686" t="s">
        <v>711</v>
      </c>
      <c r="M686" s="30">
        <v>3.13</v>
      </c>
      <c r="N686">
        <v>6.5</v>
      </c>
      <c r="P686" s="24" t="str">
        <f>IFERROR(MID(RADataTable[[#This Row],[RATemplate]],1,LEN(RADataTable[[#This Row],[RATemplate]])-8),"RA") &amp; " " &amp; RADataTable[[#This Row],[prop_id0]] &amp; " " &amp; RADataTable[[#This Row],[last0]]</f>
        <v>RA 1750463 Raghvendra</v>
      </c>
      <c r="T686">
        <v>4</v>
      </c>
      <c r="U686">
        <v>4</v>
      </c>
      <c r="V686" s="34">
        <v>43032.486805555556</v>
      </c>
      <c r="W686">
        <v>1</v>
      </c>
      <c r="X686" s="15" t="str">
        <f>HYPERLINK("https://www.ejacket.nsf.gov/ej/showProposal.do?Continue=Y&amp;ID="&amp;RADataTable[[#This Row],[prop_id0]],"eJ")</f>
        <v>eJ</v>
      </c>
      <c r="Y686" s="15" t="str">
        <f>HYPERLINK("mailto:"&amp;RADataTable[[#This Row],[email]]&amp;"&amp;subject=Your NSF Proposal:  "&amp;RADataTable[[#This Row],[Div]]&amp;" "&amp;RADataTable[[#This Row],[prop_id0]], RADataTable[[#This Row],[email]])</f>
        <v>sharathr@vt.edu</v>
      </c>
      <c r="Z686" s="15" t="str">
        <f>HYPERLINK("mailto:"&amp;RADataTable[[#This Row],[allPIemail]]&amp;"&amp;subject=NSF Proposal:  "&amp;RADataTable[[#This Row],[Div]]&amp;" "&amp;RADataTable[[#This Row],[prop_id0]], "PIs@")</f>
        <v>PIs@</v>
      </c>
      <c r="AA686" t="s">
        <v>245</v>
      </c>
      <c r="AB686" t="s">
        <v>677</v>
      </c>
      <c r="AC686" s="30" t="s">
        <v>812</v>
      </c>
      <c r="AD686" t="s">
        <v>813</v>
      </c>
      <c r="AE686" t="s">
        <v>814</v>
      </c>
      <c r="AF686" s="36">
        <v>533991</v>
      </c>
      <c r="AG686" s="36">
        <v>533991</v>
      </c>
      <c r="AH686" s="24"/>
      <c r="AJ686" s="34"/>
      <c r="AK686" t="s">
        <v>923</v>
      </c>
      <c r="AL686" t="s">
        <v>287</v>
      </c>
      <c r="AM686" s="34" t="s">
        <v>925</v>
      </c>
      <c r="AN686" s="34">
        <v>43032</v>
      </c>
      <c r="AO686" s="24">
        <v>13</v>
      </c>
      <c r="AP686" t="s">
        <v>962</v>
      </c>
      <c r="AR686" s="35"/>
      <c r="AS686"/>
      <c r="AT686" s="34"/>
      <c r="AV686" s="34"/>
      <c r="AX686" s="34"/>
      <c r="AY686"/>
      <c r="BA686" s="34"/>
      <c r="BB686"/>
      <c r="BC686" t="s">
        <v>818</v>
      </c>
      <c r="BD686" s="36">
        <v>533991</v>
      </c>
      <c r="BE686" s="36">
        <v>533991</v>
      </c>
      <c r="BF686">
        <v>0</v>
      </c>
      <c r="BG686" s="34">
        <v>43110</v>
      </c>
      <c r="BH686">
        <v>60</v>
      </c>
      <c r="BI686" t="s">
        <v>283</v>
      </c>
      <c r="BJ686" t="s">
        <v>928</v>
      </c>
      <c r="BK686" t="s">
        <v>934</v>
      </c>
      <c r="BL686" t="s">
        <v>194</v>
      </c>
      <c r="BM686" s="8" t="s">
        <v>192</v>
      </c>
      <c r="BN686" t="s">
        <v>189</v>
      </c>
      <c r="BO686" t="s">
        <v>190</v>
      </c>
      <c r="BP686" s="35" t="s">
        <v>718</v>
      </c>
      <c r="BQ686"/>
      <c r="BU686" s="35"/>
      <c r="BV686" s="35"/>
      <c r="BX686"/>
      <c r="CA686" s="35"/>
      <c r="CB686" s="35"/>
      <c r="CC686"/>
      <c r="CG686" s="35"/>
      <c r="CH686" s="35"/>
      <c r="CK686"/>
      <c r="CM686" s="35"/>
      <c r="CN686" s="35"/>
      <c r="CQ686"/>
      <c r="CS686" s="35"/>
      <c r="CT686" s="35"/>
      <c r="CX686"/>
      <c r="CZ686" s="35"/>
      <c r="DD686" s="34"/>
      <c r="DG686" t="s">
        <v>816</v>
      </c>
      <c r="DH686" t="s">
        <v>963</v>
      </c>
      <c r="DI686" t="s">
        <v>286</v>
      </c>
      <c r="DL686" t="s">
        <v>677</v>
      </c>
      <c r="DM686">
        <v>5</v>
      </c>
      <c r="DN686">
        <v>8</v>
      </c>
      <c r="DO686" t="s">
        <v>817</v>
      </c>
      <c r="DQ686" t="s">
        <v>927</v>
      </c>
      <c r="DR686">
        <v>14</v>
      </c>
      <c r="DS686">
        <v>2</v>
      </c>
      <c r="DU686">
        <v>14</v>
      </c>
      <c r="DV686">
        <v>2</v>
      </c>
      <c r="DX686">
        <v>14</v>
      </c>
      <c r="DY686">
        <v>2</v>
      </c>
      <c r="DZ686" t="s">
        <v>246</v>
      </c>
      <c r="EA686" t="s">
        <v>929</v>
      </c>
    </row>
    <row r="687" spans="1:131" x14ac:dyDescent="0.4">
      <c r="A687" s="34">
        <v>43067.305104166669</v>
      </c>
      <c r="B687" s="25">
        <v>42935.54583333333</v>
      </c>
      <c r="D687" s="34"/>
      <c r="E687" s="34" t="s">
        <v>193</v>
      </c>
      <c r="F687" s="34" t="s">
        <v>191</v>
      </c>
      <c r="G687" s="34" t="s">
        <v>100</v>
      </c>
      <c r="H687" t="s">
        <v>279</v>
      </c>
      <c r="I687" t="s">
        <v>243</v>
      </c>
      <c r="J687" t="s">
        <v>712</v>
      </c>
      <c r="K687" t="s">
        <v>729</v>
      </c>
      <c r="L687" t="s">
        <v>711</v>
      </c>
      <c r="M687" s="30">
        <v>3.13</v>
      </c>
      <c r="N687">
        <v>6.5</v>
      </c>
      <c r="P687" s="24" t="str">
        <f>IFERROR(MID(RADataTable[[#This Row],[RATemplate]],1,LEN(RADataTable[[#This Row],[RATemplate]])-8),"RA") &amp; " " &amp; RADataTable[[#This Row],[prop_id0]] &amp; " " &amp; RADataTable[[#This Row],[last0]]</f>
        <v>RA 1750463 Raghvendra</v>
      </c>
      <c r="T687">
        <v>4</v>
      </c>
      <c r="U687">
        <v>4</v>
      </c>
      <c r="V687" s="34">
        <v>43032.486805555556</v>
      </c>
      <c r="W687">
        <v>1</v>
      </c>
      <c r="X687" s="15" t="str">
        <f>HYPERLINK("https://www.ejacket.nsf.gov/ej/showProposal.do?Continue=Y&amp;ID="&amp;RADataTable[[#This Row],[prop_id0]],"eJ")</f>
        <v>eJ</v>
      </c>
      <c r="Y687" s="15" t="str">
        <f>HYPERLINK("mailto:"&amp;RADataTable[[#This Row],[email]]&amp;"&amp;subject=Your NSF Proposal:  "&amp;RADataTable[[#This Row],[Div]]&amp;" "&amp;RADataTable[[#This Row],[prop_id0]], RADataTable[[#This Row],[email]])</f>
        <v>sharathr@vt.edu</v>
      </c>
      <c r="Z687" s="15" t="str">
        <f>HYPERLINK("mailto:"&amp;RADataTable[[#This Row],[allPIemail]]&amp;"&amp;subject=NSF Proposal:  "&amp;RADataTable[[#This Row],[Div]]&amp;" "&amp;RADataTable[[#This Row],[prop_id0]], "PIs@")</f>
        <v>PIs@</v>
      </c>
      <c r="AA687" t="s">
        <v>245</v>
      </c>
      <c r="AB687" t="s">
        <v>677</v>
      </c>
      <c r="AC687" s="30" t="s">
        <v>812</v>
      </c>
      <c r="AD687" t="s">
        <v>813</v>
      </c>
      <c r="AE687" t="s">
        <v>814</v>
      </c>
      <c r="AF687" s="36">
        <v>533991</v>
      </c>
      <c r="AG687" s="36">
        <v>533991</v>
      </c>
      <c r="AH687" s="24"/>
      <c r="AJ687" s="34"/>
      <c r="AK687" t="s">
        <v>923</v>
      </c>
      <c r="AL687" t="s">
        <v>287</v>
      </c>
      <c r="AM687" s="34" t="s">
        <v>925</v>
      </c>
      <c r="AN687" s="34">
        <v>43032</v>
      </c>
      <c r="AO687" s="24">
        <v>13</v>
      </c>
      <c r="AP687" t="s">
        <v>962</v>
      </c>
      <c r="AR687" s="35"/>
      <c r="AS687"/>
      <c r="AT687" s="34"/>
      <c r="AV687" s="34"/>
      <c r="AX687" s="34"/>
      <c r="AY687"/>
      <c r="BA687" s="34"/>
      <c r="BB687"/>
      <c r="BC687" t="s">
        <v>818</v>
      </c>
      <c r="BD687" s="36">
        <v>533991</v>
      </c>
      <c r="BE687" s="36">
        <v>533991</v>
      </c>
      <c r="BF687">
        <v>0</v>
      </c>
      <c r="BG687" s="34">
        <v>43110</v>
      </c>
      <c r="BH687">
        <v>60</v>
      </c>
      <c r="BI687" t="s">
        <v>283</v>
      </c>
      <c r="BJ687" t="s">
        <v>928</v>
      </c>
      <c r="BK687" t="s">
        <v>934</v>
      </c>
      <c r="BL687" t="s">
        <v>194</v>
      </c>
      <c r="BM687" s="8" t="s">
        <v>192</v>
      </c>
      <c r="BN687" t="s">
        <v>189</v>
      </c>
      <c r="BO687" t="s">
        <v>190</v>
      </c>
      <c r="BP687" s="35" t="s">
        <v>718</v>
      </c>
      <c r="BQ687"/>
      <c r="BU687" s="35"/>
      <c r="BV687" s="35"/>
      <c r="BX687"/>
      <c r="CA687" s="35"/>
      <c r="CB687" s="35"/>
      <c r="CC687"/>
      <c r="CG687" s="35"/>
      <c r="CH687" s="35"/>
      <c r="CK687"/>
      <c r="CM687" s="35"/>
      <c r="CN687" s="35"/>
      <c r="CQ687"/>
      <c r="CS687" s="35"/>
      <c r="CT687" s="35"/>
      <c r="CX687"/>
      <c r="CZ687" s="35"/>
      <c r="DD687" s="34"/>
      <c r="DG687" t="s">
        <v>816</v>
      </c>
      <c r="DH687" t="s">
        <v>963</v>
      </c>
      <c r="DI687" t="s">
        <v>286</v>
      </c>
      <c r="DL687" t="s">
        <v>677</v>
      </c>
      <c r="DM687">
        <v>5</v>
      </c>
      <c r="DN687">
        <v>8</v>
      </c>
      <c r="DO687" t="s">
        <v>817</v>
      </c>
      <c r="DQ687" t="s">
        <v>927</v>
      </c>
      <c r="DR687">
        <v>14</v>
      </c>
      <c r="DS687">
        <v>2</v>
      </c>
      <c r="DU687">
        <v>14</v>
      </c>
      <c r="DV687">
        <v>2</v>
      </c>
      <c r="DX687">
        <v>14</v>
      </c>
      <c r="DY687">
        <v>2</v>
      </c>
      <c r="DZ687" t="s">
        <v>246</v>
      </c>
      <c r="EA687" t="s">
        <v>929</v>
      </c>
    </row>
    <row r="688" spans="1:131" x14ac:dyDescent="0.4">
      <c r="A688" s="34">
        <v>43067.305104166669</v>
      </c>
      <c r="B688" s="25">
        <v>42935.54583333333</v>
      </c>
      <c r="D688" s="34"/>
      <c r="E688" s="34" t="s">
        <v>193</v>
      </c>
      <c r="F688" s="34" t="s">
        <v>191</v>
      </c>
      <c r="G688" s="34" t="s">
        <v>100</v>
      </c>
      <c r="H688" t="s">
        <v>279</v>
      </c>
      <c r="I688" t="s">
        <v>243</v>
      </c>
      <c r="J688" t="s">
        <v>712</v>
      </c>
      <c r="K688" t="s">
        <v>729</v>
      </c>
      <c r="L688" t="s">
        <v>711</v>
      </c>
      <c r="M688" s="30">
        <v>3.13</v>
      </c>
      <c r="N688">
        <v>6.5</v>
      </c>
      <c r="P688" s="24" t="str">
        <f>IFERROR(MID(RADataTable[[#This Row],[RATemplate]],1,LEN(RADataTable[[#This Row],[RATemplate]])-8),"RA") &amp; " " &amp; RADataTable[[#This Row],[prop_id0]] &amp; " " &amp; RADataTable[[#This Row],[last0]]</f>
        <v>RA 1750463 Raghvendra</v>
      </c>
      <c r="T688">
        <v>4</v>
      </c>
      <c r="U688">
        <v>4</v>
      </c>
      <c r="V688" s="34">
        <v>43032.486805555556</v>
      </c>
      <c r="W688">
        <v>1</v>
      </c>
      <c r="X688" s="15" t="str">
        <f>HYPERLINK("https://www.ejacket.nsf.gov/ej/showProposal.do?Continue=Y&amp;ID="&amp;RADataTable[[#This Row],[prop_id0]],"eJ")</f>
        <v>eJ</v>
      </c>
      <c r="Y688" s="15" t="str">
        <f>HYPERLINK("mailto:"&amp;RADataTable[[#This Row],[email]]&amp;"&amp;subject=Your NSF Proposal:  "&amp;RADataTable[[#This Row],[Div]]&amp;" "&amp;RADataTable[[#This Row],[prop_id0]], RADataTable[[#This Row],[email]])</f>
        <v>sharathr@vt.edu</v>
      </c>
      <c r="Z688" s="15" t="str">
        <f>HYPERLINK("mailto:"&amp;RADataTable[[#This Row],[allPIemail]]&amp;"&amp;subject=NSF Proposal:  "&amp;RADataTable[[#This Row],[Div]]&amp;" "&amp;RADataTable[[#This Row],[prop_id0]], "PIs@")</f>
        <v>PIs@</v>
      </c>
      <c r="AA688" t="s">
        <v>245</v>
      </c>
      <c r="AB688" t="s">
        <v>677</v>
      </c>
      <c r="AC688" s="30" t="s">
        <v>812</v>
      </c>
      <c r="AD688" t="s">
        <v>813</v>
      </c>
      <c r="AE688" t="s">
        <v>814</v>
      </c>
      <c r="AF688" s="36">
        <v>533991</v>
      </c>
      <c r="AG688" s="36">
        <v>533991</v>
      </c>
      <c r="AH688" s="24"/>
      <c r="AJ688" s="34"/>
      <c r="AK688" t="s">
        <v>923</v>
      </c>
      <c r="AL688" t="s">
        <v>287</v>
      </c>
      <c r="AM688" s="34" t="s">
        <v>925</v>
      </c>
      <c r="AN688" s="34">
        <v>43032</v>
      </c>
      <c r="AO688" s="24">
        <v>13</v>
      </c>
      <c r="AP688" t="s">
        <v>962</v>
      </c>
      <c r="AR688" s="35"/>
      <c r="AS688"/>
      <c r="AT688" s="34"/>
      <c r="AV688" s="34"/>
      <c r="AX688" s="34"/>
      <c r="AY688"/>
      <c r="BA688" s="34"/>
      <c r="BB688"/>
      <c r="BC688" t="s">
        <v>818</v>
      </c>
      <c r="BD688" s="36">
        <v>533991</v>
      </c>
      <c r="BE688" s="36">
        <v>533991</v>
      </c>
      <c r="BF688">
        <v>0</v>
      </c>
      <c r="BG688" s="34">
        <v>43110</v>
      </c>
      <c r="BH688">
        <v>60</v>
      </c>
      <c r="BI688" t="s">
        <v>283</v>
      </c>
      <c r="BJ688" t="s">
        <v>928</v>
      </c>
      <c r="BK688" t="s">
        <v>934</v>
      </c>
      <c r="BL688" t="s">
        <v>194</v>
      </c>
      <c r="BM688" s="8" t="s">
        <v>192</v>
      </c>
      <c r="BN688" t="s">
        <v>189</v>
      </c>
      <c r="BO688" t="s">
        <v>190</v>
      </c>
      <c r="BP688" s="35" t="s">
        <v>718</v>
      </c>
      <c r="BQ688"/>
      <c r="BU688" s="35"/>
      <c r="BV688" s="35"/>
      <c r="BX688"/>
      <c r="CA688" s="35"/>
      <c r="CB688" s="35"/>
      <c r="CC688"/>
      <c r="CG688" s="35"/>
      <c r="CH688" s="35"/>
      <c r="CK688"/>
      <c r="CM688" s="35"/>
      <c r="CN688" s="35"/>
      <c r="CQ688"/>
      <c r="CS688" s="35"/>
      <c r="CT688" s="35"/>
      <c r="CX688"/>
      <c r="CZ688" s="35"/>
      <c r="DD688" s="34"/>
      <c r="DG688" t="s">
        <v>816</v>
      </c>
      <c r="DH688" t="s">
        <v>963</v>
      </c>
      <c r="DI688" t="s">
        <v>286</v>
      </c>
      <c r="DL688" t="s">
        <v>677</v>
      </c>
      <c r="DM688">
        <v>5</v>
      </c>
      <c r="DN688">
        <v>8</v>
      </c>
      <c r="DO688" t="s">
        <v>817</v>
      </c>
      <c r="DQ688" t="s">
        <v>927</v>
      </c>
      <c r="DR688">
        <v>14</v>
      </c>
      <c r="DS688">
        <v>2</v>
      </c>
      <c r="DU688">
        <v>14</v>
      </c>
      <c r="DV688">
        <v>2</v>
      </c>
      <c r="DX688">
        <v>14</v>
      </c>
      <c r="DY688">
        <v>2</v>
      </c>
      <c r="DZ688" t="s">
        <v>246</v>
      </c>
      <c r="EA688" t="s">
        <v>929</v>
      </c>
    </row>
    <row r="689" spans="1:131" x14ac:dyDescent="0.4">
      <c r="A689" s="34">
        <v>43067.305104166669</v>
      </c>
      <c r="B689" s="25">
        <v>42935.54583333333</v>
      </c>
      <c r="D689" s="34"/>
      <c r="E689" s="34" t="s">
        <v>193</v>
      </c>
      <c r="F689" s="34" t="s">
        <v>191</v>
      </c>
      <c r="G689" s="34" t="s">
        <v>100</v>
      </c>
      <c r="H689" t="s">
        <v>279</v>
      </c>
      <c r="I689" t="s">
        <v>243</v>
      </c>
      <c r="J689" t="s">
        <v>712</v>
      </c>
      <c r="K689" t="s">
        <v>729</v>
      </c>
      <c r="L689" t="s">
        <v>711</v>
      </c>
      <c r="M689" s="30">
        <v>3.13</v>
      </c>
      <c r="N689">
        <v>6.5</v>
      </c>
      <c r="P689" s="24" t="str">
        <f>IFERROR(MID(RADataTable[[#This Row],[RATemplate]],1,LEN(RADataTable[[#This Row],[RATemplate]])-8),"RA") &amp; " " &amp; RADataTable[[#This Row],[prop_id0]] &amp; " " &amp; RADataTable[[#This Row],[last0]]</f>
        <v>RA 1750463 Raghvendra</v>
      </c>
      <c r="T689">
        <v>4</v>
      </c>
      <c r="U689">
        <v>4</v>
      </c>
      <c r="V689" s="34">
        <v>43032.486805555556</v>
      </c>
      <c r="W689">
        <v>1</v>
      </c>
      <c r="X689" s="15" t="str">
        <f>HYPERLINK("https://www.ejacket.nsf.gov/ej/showProposal.do?Continue=Y&amp;ID="&amp;RADataTable[[#This Row],[prop_id0]],"eJ")</f>
        <v>eJ</v>
      </c>
      <c r="Y689" s="15" t="str">
        <f>HYPERLINK("mailto:"&amp;RADataTable[[#This Row],[email]]&amp;"&amp;subject=Your NSF Proposal:  "&amp;RADataTable[[#This Row],[Div]]&amp;" "&amp;RADataTable[[#This Row],[prop_id0]], RADataTable[[#This Row],[email]])</f>
        <v>sharathr@vt.edu</v>
      </c>
      <c r="Z689" s="15" t="str">
        <f>HYPERLINK("mailto:"&amp;RADataTable[[#This Row],[allPIemail]]&amp;"&amp;subject=NSF Proposal:  "&amp;RADataTable[[#This Row],[Div]]&amp;" "&amp;RADataTable[[#This Row],[prop_id0]], "PIs@")</f>
        <v>PIs@</v>
      </c>
      <c r="AA689" t="s">
        <v>245</v>
      </c>
      <c r="AB689" t="s">
        <v>677</v>
      </c>
      <c r="AC689" s="30" t="s">
        <v>812</v>
      </c>
      <c r="AD689" t="s">
        <v>813</v>
      </c>
      <c r="AE689" t="s">
        <v>814</v>
      </c>
      <c r="AF689" s="36">
        <v>533991</v>
      </c>
      <c r="AG689" s="36">
        <v>533991</v>
      </c>
      <c r="AH689" s="24"/>
      <c r="AJ689" s="34"/>
      <c r="AK689" t="s">
        <v>923</v>
      </c>
      <c r="AL689" t="s">
        <v>287</v>
      </c>
      <c r="AM689" s="34" t="s">
        <v>925</v>
      </c>
      <c r="AN689" s="34">
        <v>43032</v>
      </c>
      <c r="AO689" s="24">
        <v>13</v>
      </c>
      <c r="AP689" t="s">
        <v>962</v>
      </c>
      <c r="AR689" s="35"/>
      <c r="AS689"/>
      <c r="AT689" s="34"/>
      <c r="AV689" s="34"/>
      <c r="AX689" s="34"/>
      <c r="AY689"/>
      <c r="BA689" s="34"/>
      <c r="BB689"/>
      <c r="BC689" t="s">
        <v>818</v>
      </c>
      <c r="BD689" s="36">
        <v>533991</v>
      </c>
      <c r="BE689" s="36">
        <v>533991</v>
      </c>
      <c r="BF689">
        <v>0</v>
      </c>
      <c r="BG689" s="34">
        <v>43110</v>
      </c>
      <c r="BH689">
        <v>60</v>
      </c>
      <c r="BI689" t="s">
        <v>283</v>
      </c>
      <c r="BJ689" t="s">
        <v>928</v>
      </c>
      <c r="BK689" t="s">
        <v>934</v>
      </c>
      <c r="BL689" t="s">
        <v>194</v>
      </c>
      <c r="BM689" s="8" t="s">
        <v>192</v>
      </c>
      <c r="BN689" t="s">
        <v>189</v>
      </c>
      <c r="BO689" t="s">
        <v>190</v>
      </c>
      <c r="BP689" s="35" t="s">
        <v>718</v>
      </c>
      <c r="BQ689"/>
      <c r="BU689" s="35"/>
      <c r="BV689" s="35"/>
      <c r="BX689"/>
      <c r="CA689" s="35"/>
      <c r="CB689" s="35"/>
      <c r="CC689"/>
      <c r="CG689" s="35"/>
      <c r="CH689" s="35"/>
      <c r="CK689"/>
      <c r="CM689" s="35"/>
      <c r="CN689" s="35"/>
      <c r="CQ689"/>
      <c r="CS689" s="35"/>
      <c r="CT689" s="35"/>
      <c r="CX689"/>
      <c r="CZ689" s="35"/>
      <c r="DD689" s="34"/>
      <c r="DG689" t="s">
        <v>816</v>
      </c>
      <c r="DH689" t="s">
        <v>963</v>
      </c>
      <c r="DI689" t="s">
        <v>286</v>
      </c>
      <c r="DL689" t="s">
        <v>677</v>
      </c>
      <c r="DM689">
        <v>5</v>
      </c>
      <c r="DN689">
        <v>8</v>
      </c>
      <c r="DO689" t="s">
        <v>817</v>
      </c>
      <c r="DQ689" t="s">
        <v>927</v>
      </c>
      <c r="DR689">
        <v>14</v>
      </c>
      <c r="DS689">
        <v>2</v>
      </c>
      <c r="DU689">
        <v>14</v>
      </c>
      <c r="DV689">
        <v>2</v>
      </c>
      <c r="DX689">
        <v>14</v>
      </c>
      <c r="DY689">
        <v>2</v>
      </c>
      <c r="DZ689" t="s">
        <v>246</v>
      </c>
      <c r="EA689" t="s">
        <v>929</v>
      </c>
    </row>
    <row r="690" spans="1:131" x14ac:dyDescent="0.4">
      <c r="A690" s="34">
        <v>43067.305104166669</v>
      </c>
      <c r="B690" s="25">
        <v>42935.54583333333</v>
      </c>
      <c r="D690" s="34"/>
      <c r="E690" s="34" t="s">
        <v>193</v>
      </c>
      <c r="F690" s="34" t="s">
        <v>191</v>
      </c>
      <c r="G690" s="34" t="s">
        <v>100</v>
      </c>
      <c r="H690" t="s">
        <v>279</v>
      </c>
      <c r="I690" t="s">
        <v>243</v>
      </c>
      <c r="J690" t="s">
        <v>712</v>
      </c>
      <c r="K690" t="s">
        <v>729</v>
      </c>
      <c r="L690" t="s">
        <v>711</v>
      </c>
      <c r="M690" s="30">
        <v>3.13</v>
      </c>
      <c r="N690">
        <v>6.5</v>
      </c>
      <c r="P690" s="24" t="str">
        <f>IFERROR(MID(RADataTable[[#This Row],[RATemplate]],1,LEN(RADataTable[[#This Row],[RATemplate]])-8),"RA") &amp; " " &amp; RADataTable[[#This Row],[prop_id0]] &amp; " " &amp; RADataTable[[#This Row],[last0]]</f>
        <v>RA 1750463 Raghvendra</v>
      </c>
      <c r="T690">
        <v>4</v>
      </c>
      <c r="U690">
        <v>4</v>
      </c>
      <c r="V690" s="34">
        <v>43032.486805555556</v>
      </c>
      <c r="W690">
        <v>1</v>
      </c>
      <c r="X690" s="15" t="str">
        <f>HYPERLINK("https://www.ejacket.nsf.gov/ej/showProposal.do?Continue=Y&amp;ID="&amp;RADataTable[[#This Row],[prop_id0]],"eJ")</f>
        <v>eJ</v>
      </c>
      <c r="Y690" s="15" t="str">
        <f>HYPERLINK("mailto:"&amp;RADataTable[[#This Row],[email]]&amp;"&amp;subject=Your NSF Proposal:  "&amp;RADataTable[[#This Row],[Div]]&amp;" "&amp;RADataTable[[#This Row],[prop_id0]], RADataTable[[#This Row],[email]])</f>
        <v>sharathr@vt.edu</v>
      </c>
      <c r="Z690" s="15" t="str">
        <f>HYPERLINK("mailto:"&amp;RADataTable[[#This Row],[allPIemail]]&amp;"&amp;subject=NSF Proposal:  "&amp;RADataTable[[#This Row],[Div]]&amp;" "&amp;RADataTable[[#This Row],[prop_id0]], "PIs@")</f>
        <v>PIs@</v>
      </c>
      <c r="AA690" t="s">
        <v>245</v>
      </c>
      <c r="AB690" t="s">
        <v>677</v>
      </c>
      <c r="AC690" s="30" t="s">
        <v>812</v>
      </c>
      <c r="AD690" t="s">
        <v>813</v>
      </c>
      <c r="AE690" t="s">
        <v>814</v>
      </c>
      <c r="AF690" s="36">
        <v>533991</v>
      </c>
      <c r="AG690" s="36">
        <v>533991</v>
      </c>
      <c r="AH690" s="24"/>
      <c r="AJ690" s="34"/>
      <c r="AK690" t="s">
        <v>923</v>
      </c>
      <c r="AL690" t="s">
        <v>287</v>
      </c>
      <c r="AM690" s="34" t="s">
        <v>925</v>
      </c>
      <c r="AN690" s="34">
        <v>43032</v>
      </c>
      <c r="AO690" s="24">
        <v>13</v>
      </c>
      <c r="AP690" t="s">
        <v>962</v>
      </c>
      <c r="AR690" s="35"/>
      <c r="AS690"/>
      <c r="AT690" s="34"/>
      <c r="AV690" s="34"/>
      <c r="AX690" s="34"/>
      <c r="AY690"/>
      <c r="BA690" s="34"/>
      <c r="BB690"/>
      <c r="BC690" t="s">
        <v>818</v>
      </c>
      <c r="BD690" s="36">
        <v>533991</v>
      </c>
      <c r="BE690" s="36">
        <v>533991</v>
      </c>
      <c r="BF690">
        <v>0</v>
      </c>
      <c r="BG690" s="34">
        <v>43110</v>
      </c>
      <c r="BH690">
        <v>60</v>
      </c>
      <c r="BI690" t="s">
        <v>283</v>
      </c>
      <c r="BJ690" t="s">
        <v>928</v>
      </c>
      <c r="BK690" t="s">
        <v>934</v>
      </c>
      <c r="BL690" t="s">
        <v>194</v>
      </c>
      <c r="BM690" s="8" t="s">
        <v>192</v>
      </c>
      <c r="BN690" t="s">
        <v>189</v>
      </c>
      <c r="BO690" t="s">
        <v>190</v>
      </c>
      <c r="BP690" s="35" t="s">
        <v>718</v>
      </c>
      <c r="BQ690"/>
      <c r="BU690" s="35"/>
      <c r="BV690" s="35"/>
      <c r="BX690"/>
      <c r="CA690" s="35"/>
      <c r="CB690" s="35"/>
      <c r="CC690"/>
      <c r="CG690" s="35"/>
      <c r="CH690" s="35"/>
      <c r="CK690"/>
      <c r="CM690" s="35"/>
      <c r="CN690" s="35"/>
      <c r="CQ690"/>
      <c r="CS690" s="35"/>
      <c r="CT690" s="35"/>
      <c r="CX690"/>
      <c r="CZ690" s="35"/>
      <c r="DD690" s="34"/>
      <c r="DG690" t="s">
        <v>816</v>
      </c>
      <c r="DH690" t="s">
        <v>963</v>
      </c>
      <c r="DI690" t="s">
        <v>286</v>
      </c>
      <c r="DL690" t="s">
        <v>677</v>
      </c>
      <c r="DM690">
        <v>5</v>
      </c>
      <c r="DN690">
        <v>8</v>
      </c>
      <c r="DO690" t="s">
        <v>817</v>
      </c>
      <c r="DQ690" t="s">
        <v>927</v>
      </c>
      <c r="DR690">
        <v>14</v>
      </c>
      <c r="DS690">
        <v>2</v>
      </c>
      <c r="DU690">
        <v>14</v>
      </c>
      <c r="DV690">
        <v>2</v>
      </c>
      <c r="DX690">
        <v>14</v>
      </c>
      <c r="DY690">
        <v>2</v>
      </c>
      <c r="DZ690" t="s">
        <v>246</v>
      </c>
      <c r="EA690" t="s">
        <v>929</v>
      </c>
    </row>
    <row r="691" spans="1:131" x14ac:dyDescent="0.4">
      <c r="A691" s="34">
        <v>43067.305104166669</v>
      </c>
      <c r="B691" s="25">
        <v>42935.54583333333</v>
      </c>
      <c r="D691" s="34"/>
      <c r="E691" s="34" t="s">
        <v>193</v>
      </c>
      <c r="F691" s="34" t="s">
        <v>191</v>
      </c>
      <c r="G691" s="34" t="s">
        <v>100</v>
      </c>
      <c r="H691" t="s">
        <v>279</v>
      </c>
      <c r="I691" t="s">
        <v>243</v>
      </c>
      <c r="J691" t="s">
        <v>712</v>
      </c>
      <c r="K691" t="s">
        <v>729</v>
      </c>
      <c r="L691" t="s">
        <v>711</v>
      </c>
      <c r="M691" s="30">
        <v>3.13</v>
      </c>
      <c r="N691">
        <v>6.5</v>
      </c>
      <c r="P691" s="24" t="str">
        <f>IFERROR(MID(RADataTable[[#This Row],[RATemplate]],1,LEN(RADataTable[[#This Row],[RATemplate]])-8),"RA") &amp; " " &amp; RADataTable[[#This Row],[prop_id0]] &amp; " " &amp; RADataTable[[#This Row],[last0]]</f>
        <v>RA 1750463 Raghvendra</v>
      </c>
      <c r="T691">
        <v>4</v>
      </c>
      <c r="U691">
        <v>4</v>
      </c>
      <c r="V691" s="34">
        <v>43032.486805555556</v>
      </c>
      <c r="W691">
        <v>1</v>
      </c>
      <c r="X691" s="15" t="str">
        <f>HYPERLINK("https://www.ejacket.nsf.gov/ej/showProposal.do?Continue=Y&amp;ID="&amp;RADataTable[[#This Row],[prop_id0]],"eJ")</f>
        <v>eJ</v>
      </c>
      <c r="Y691" s="15" t="str">
        <f>HYPERLINK("mailto:"&amp;RADataTable[[#This Row],[email]]&amp;"&amp;subject=Your NSF Proposal:  "&amp;RADataTable[[#This Row],[Div]]&amp;" "&amp;RADataTable[[#This Row],[prop_id0]], RADataTable[[#This Row],[email]])</f>
        <v>sharathr@vt.edu</v>
      </c>
      <c r="Z691" s="15" t="str">
        <f>HYPERLINK("mailto:"&amp;RADataTable[[#This Row],[allPIemail]]&amp;"&amp;subject=NSF Proposal:  "&amp;RADataTable[[#This Row],[Div]]&amp;" "&amp;RADataTable[[#This Row],[prop_id0]], "PIs@")</f>
        <v>PIs@</v>
      </c>
      <c r="AA691" t="s">
        <v>245</v>
      </c>
      <c r="AB691" t="s">
        <v>677</v>
      </c>
      <c r="AC691" s="30" t="s">
        <v>812</v>
      </c>
      <c r="AD691" t="s">
        <v>813</v>
      </c>
      <c r="AE691" t="s">
        <v>814</v>
      </c>
      <c r="AF691" s="36">
        <v>533991</v>
      </c>
      <c r="AG691" s="36">
        <v>533991</v>
      </c>
      <c r="AH691" s="24"/>
      <c r="AJ691" s="34"/>
      <c r="AK691" t="s">
        <v>923</v>
      </c>
      <c r="AL691" t="s">
        <v>287</v>
      </c>
      <c r="AM691" s="34" t="s">
        <v>925</v>
      </c>
      <c r="AN691" s="34">
        <v>43032</v>
      </c>
      <c r="AO691" s="24">
        <v>13</v>
      </c>
      <c r="AP691" t="s">
        <v>962</v>
      </c>
      <c r="AR691" s="35"/>
      <c r="AS691"/>
      <c r="AT691" s="34"/>
      <c r="AV691" s="34"/>
      <c r="AX691" s="34"/>
      <c r="AY691"/>
      <c r="BA691" s="34"/>
      <c r="BB691"/>
      <c r="BC691" t="s">
        <v>818</v>
      </c>
      <c r="BD691" s="36">
        <v>533991</v>
      </c>
      <c r="BE691" s="36">
        <v>533991</v>
      </c>
      <c r="BF691">
        <v>0</v>
      </c>
      <c r="BG691" s="34">
        <v>43110</v>
      </c>
      <c r="BH691">
        <v>60</v>
      </c>
      <c r="BI691" t="s">
        <v>283</v>
      </c>
      <c r="BJ691" t="s">
        <v>928</v>
      </c>
      <c r="BK691" t="s">
        <v>934</v>
      </c>
      <c r="BL691" t="s">
        <v>194</v>
      </c>
      <c r="BM691" s="8" t="s">
        <v>192</v>
      </c>
      <c r="BN691" t="s">
        <v>189</v>
      </c>
      <c r="BO691" t="s">
        <v>190</v>
      </c>
      <c r="BP691" s="35" t="s">
        <v>718</v>
      </c>
      <c r="BQ691"/>
      <c r="BU691" s="35"/>
      <c r="BV691" s="35"/>
      <c r="BX691"/>
      <c r="CA691" s="35"/>
      <c r="CB691" s="35"/>
      <c r="CC691"/>
      <c r="CG691" s="35"/>
      <c r="CH691" s="35"/>
      <c r="CK691"/>
      <c r="CM691" s="35"/>
      <c r="CN691" s="35"/>
      <c r="CQ691"/>
      <c r="CS691" s="35"/>
      <c r="CT691" s="35"/>
      <c r="CX691"/>
      <c r="CZ691" s="35"/>
      <c r="DD691" s="34"/>
      <c r="DG691" t="s">
        <v>816</v>
      </c>
      <c r="DH691" t="s">
        <v>963</v>
      </c>
      <c r="DI691" t="s">
        <v>286</v>
      </c>
      <c r="DL691" t="s">
        <v>677</v>
      </c>
      <c r="DM691">
        <v>5</v>
      </c>
      <c r="DN691">
        <v>8</v>
      </c>
      <c r="DO691" t="s">
        <v>817</v>
      </c>
      <c r="DQ691" t="s">
        <v>927</v>
      </c>
      <c r="DR691">
        <v>14</v>
      </c>
      <c r="DS691">
        <v>2</v>
      </c>
      <c r="DU691">
        <v>14</v>
      </c>
      <c r="DV691">
        <v>2</v>
      </c>
      <c r="DX691">
        <v>14</v>
      </c>
      <c r="DY691">
        <v>2</v>
      </c>
      <c r="DZ691" t="s">
        <v>246</v>
      </c>
      <c r="EA691" t="s">
        <v>929</v>
      </c>
    </row>
    <row r="692" spans="1:131" x14ac:dyDescent="0.4">
      <c r="A692" s="34">
        <v>43067.305104166669</v>
      </c>
      <c r="B692" s="25">
        <v>42935.54583333333</v>
      </c>
      <c r="D692" s="34"/>
      <c r="E692" s="34" t="s">
        <v>193</v>
      </c>
      <c r="F692" s="34" t="s">
        <v>191</v>
      </c>
      <c r="G692" s="34" t="s">
        <v>100</v>
      </c>
      <c r="H692" t="s">
        <v>279</v>
      </c>
      <c r="I692" t="s">
        <v>243</v>
      </c>
      <c r="J692" t="s">
        <v>712</v>
      </c>
      <c r="K692" t="s">
        <v>729</v>
      </c>
      <c r="L692" t="s">
        <v>711</v>
      </c>
      <c r="M692" s="30">
        <v>3.13</v>
      </c>
      <c r="N692">
        <v>6.5</v>
      </c>
      <c r="P692" s="24" t="str">
        <f>IFERROR(MID(RADataTable[[#This Row],[RATemplate]],1,LEN(RADataTable[[#This Row],[RATemplate]])-8),"RA") &amp; " " &amp; RADataTable[[#This Row],[prop_id0]] &amp; " " &amp; RADataTable[[#This Row],[last0]]</f>
        <v>RA 1750463 Raghvendra</v>
      </c>
      <c r="T692">
        <v>4</v>
      </c>
      <c r="U692">
        <v>4</v>
      </c>
      <c r="V692" s="34">
        <v>43032.486805555556</v>
      </c>
      <c r="W692">
        <v>1</v>
      </c>
      <c r="X692" s="15" t="str">
        <f>HYPERLINK("https://www.ejacket.nsf.gov/ej/showProposal.do?Continue=Y&amp;ID="&amp;RADataTable[[#This Row],[prop_id0]],"eJ")</f>
        <v>eJ</v>
      </c>
      <c r="Y692" s="15" t="str">
        <f>HYPERLINK("mailto:"&amp;RADataTable[[#This Row],[email]]&amp;"&amp;subject=Your NSF Proposal:  "&amp;RADataTable[[#This Row],[Div]]&amp;" "&amp;RADataTable[[#This Row],[prop_id0]], RADataTable[[#This Row],[email]])</f>
        <v>sharathr@vt.edu</v>
      </c>
      <c r="Z692" s="15" t="str">
        <f>HYPERLINK("mailto:"&amp;RADataTable[[#This Row],[allPIemail]]&amp;"&amp;subject=NSF Proposal:  "&amp;RADataTable[[#This Row],[Div]]&amp;" "&amp;RADataTable[[#This Row],[prop_id0]], "PIs@")</f>
        <v>PIs@</v>
      </c>
      <c r="AA692" t="s">
        <v>245</v>
      </c>
      <c r="AB692" t="s">
        <v>677</v>
      </c>
      <c r="AC692" s="30" t="s">
        <v>812</v>
      </c>
      <c r="AD692" t="s">
        <v>813</v>
      </c>
      <c r="AE692" t="s">
        <v>814</v>
      </c>
      <c r="AF692" s="36">
        <v>533991</v>
      </c>
      <c r="AG692" s="36">
        <v>533991</v>
      </c>
      <c r="AH692" s="24"/>
      <c r="AJ692" s="34"/>
      <c r="AK692" t="s">
        <v>923</v>
      </c>
      <c r="AL692" t="s">
        <v>287</v>
      </c>
      <c r="AM692" s="34" t="s">
        <v>925</v>
      </c>
      <c r="AN692" s="34">
        <v>43032</v>
      </c>
      <c r="AO692" s="24">
        <v>13</v>
      </c>
      <c r="AP692" t="s">
        <v>962</v>
      </c>
      <c r="AR692" s="35"/>
      <c r="AS692"/>
      <c r="AT692" s="34"/>
      <c r="AV692" s="34"/>
      <c r="AX692" s="34"/>
      <c r="AY692"/>
      <c r="BA692" s="34"/>
      <c r="BB692"/>
      <c r="BC692" t="s">
        <v>818</v>
      </c>
      <c r="BD692" s="36">
        <v>533991</v>
      </c>
      <c r="BE692" s="36">
        <v>533991</v>
      </c>
      <c r="BF692">
        <v>0</v>
      </c>
      <c r="BG692" s="34">
        <v>43110</v>
      </c>
      <c r="BH692">
        <v>60</v>
      </c>
      <c r="BI692" t="s">
        <v>283</v>
      </c>
      <c r="BJ692" t="s">
        <v>928</v>
      </c>
      <c r="BK692" t="s">
        <v>934</v>
      </c>
      <c r="BL692" t="s">
        <v>194</v>
      </c>
      <c r="BM692" s="8" t="s">
        <v>192</v>
      </c>
      <c r="BN692" t="s">
        <v>189</v>
      </c>
      <c r="BO692" t="s">
        <v>190</v>
      </c>
      <c r="BP692" s="35" t="s">
        <v>718</v>
      </c>
      <c r="BQ692"/>
      <c r="BU692" s="35"/>
      <c r="BV692" s="35"/>
      <c r="BX692"/>
      <c r="CA692" s="35"/>
      <c r="CB692" s="35"/>
      <c r="CC692"/>
      <c r="CG692" s="35"/>
      <c r="CH692" s="35"/>
      <c r="CK692"/>
      <c r="CM692" s="35"/>
      <c r="CN692" s="35"/>
      <c r="CQ692"/>
      <c r="CS692" s="35"/>
      <c r="CT692" s="35"/>
      <c r="CX692"/>
      <c r="CZ692" s="35"/>
      <c r="DD692" s="34"/>
      <c r="DG692" t="s">
        <v>816</v>
      </c>
      <c r="DH692" t="s">
        <v>963</v>
      </c>
      <c r="DI692" t="s">
        <v>286</v>
      </c>
      <c r="DL692" t="s">
        <v>677</v>
      </c>
      <c r="DM692">
        <v>5</v>
      </c>
      <c r="DN692">
        <v>8</v>
      </c>
      <c r="DO692" t="s">
        <v>817</v>
      </c>
      <c r="DQ692" t="s">
        <v>927</v>
      </c>
      <c r="DR692">
        <v>14</v>
      </c>
      <c r="DS692">
        <v>2</v>
      </c>
      <c r="DU692">
        <v>14</v>
      </c>
      <c r="DV692">
        <v>2</v>
      </c>
      <c r="DX692">
        <v>14</v>
      </c>
      <c r="DY692">
        <v>2</v>
      </c>
      <c r="DZ692" t="s">
        <v>246</v>
      </c>
      <c r="EA692" t="s">
        <v>929</v>
      </c>
    </row>
    <row r="693" spans="1:131" x14ac:dyDescent="0.4">
      <c r="A693" s="34">
        <v>43067.305104166669</v>
      </c>
      <c r="B693" s="25">
        <v>42935.54583333333</v>
      </c>
      <c r="D693" s="34"/>
      <c r="E693" s="34" t="s">
        <v>193</v>
      </c>
      <c r="F693" s="34" t="s">
        <v>191</v>
      </c>
      <c r="G693" s="34" t="s">
        <v>100</v>
      </c>
      <c r="H693" t="s">
        <v>279</v>
      </c>
      <c r="I693" t="s">
        <v>243</v>
      </c>
      <c r="J693" t="s">
        <v>712</v>
      </c>
      <c r="K693" t="s">
        <v>729</v>
      </c>
      <c r="L693" t="s">
        <v>711</v>
      </c>
      <c r="M693" s="30">
        <v>3.13</v>
      </c>
      <c r="N693">
        <v>6.5</v>
      </c>
      <c r="P693" s="24" t="str">
        <f>IFERROR(MID(RADataTable[[#This Row],[RATemplate]],1,LEN(RADataTable[[#This Row],[RATemplate]])-8),"RA") &amp; " " &amp; RADataTable[[#This Row],[prop_id0]] &amp; " " &amp; RADataTable[[#This Row],[last0]]</f>
        <v>RA 1750463 Raghvendra</v>
      </c>
      <c r="T693">
        <v>4</v>
      </c>
      <c r="U693">
        <v>4</v>
      </c>
      <c r="V693" s="34">
        <v>43032.486805555556</v>
      </c>
      <c r="W693">
        <v>1</v>
      </c>
      <c r="X693" s="15" t="str">
        <f>HYPERLINK("https://www.ejacket.nsf.gov/ej/showProposal.do?Continue=Y&amp;ID="&amp;RADataTable[[#This Row],[prop_id0]],"eJ")</f>
        <v>eJ</v>
      </c>
      <c r="Y693" s="15" t="str">
        <f>HYPERLINK("mailto:"&amp;RADataTable[[#This Row],[email]]&amp;"&amp;subject=Your NSF Proposal:  "&amp;RADataTable[[#This Row],[Div]]&amp;" "&amp;RADataTable[[#This Row],[prop_id0]], RADataTable[[#This Row],[email]])</f>
        <v>sharathr@vt.edu</v>
      </c>
      <c r="Z693" s="15" t="str">
        <f>HYPERLINK("mailto:"&amp;RADataTable[[#This Row],[allPIemail]]&amp;"&amp;subject=NSF Proposal:  "&amp;RADataTable[[#This Row],[Div]]&amp;" "&amp;RADataTable[[#This Row],[prop_id0]], "PIs@")</f>
        <v>PIs@</v>
      </c>
      <c r="AA693" t="s">
        <v>245</v>
      </c>
      <c r="AB693" t="s">
        <v>677</v>
      </c>
      <c r="AC693" s="30" t="s">
        <v>812</v>
      </c>
      <c r="AD693" t="s">
        <v>813</v>
      </c>
      <c r="AE693" t="s">
        <v>814</v>
      </c>
      <c r="AF693" s="36">
        <v>533991</v>
      </c>
      <c r="AG693" s="36">
        <v>533991</v>
      </c>
      <c r="AH693" s="24"/>
      <c r="AJ693" s="34"/>
      <c r="AK693" t="s">
        <v>923</v>
      </c>
      <c r="AL693" t="s">
        <v>287</v>
      </c>
      <c r="AM693" s="34" t="s">
        <v>925</v>
      </c>
      <c r="AN693" s="34">
        <v>43032</v>
      </c>
      <c r="AO693" s="24">
        <v>13</v>
      </c>
      <c r="AP693" t="s">
        <v>962</v>
      </c>
      <c r="AR693" s="35"/>
      <c r="AS693"/>
      <c r="AT693" s="34"/>
      <c r="AV693" s="34"/>
      <c r="AX693" s="34"/>
      <c r="AY693"/>
      <c r="BA693" s="34"/>
      <c r="BB693"/>
      <c r="BC693" t="s">
        <v>818</v>
      </c>
      <c r="BD693" s="36">
        <v>533991</v>
      </c>
      <c r="BE693" s="36">
        <v>533991</v>
      </c>
      <c r="BF693">
        <v>0</v>
      </c>
      <c r="BG693" s="34">
        <v>43110</v>
      </c>
      <c r="BH693">
        <v>60</v>
      </c>
      <c r="BI693" t="s">
        <v>283</v>
      </c>
      <c r="BJ693" t="s">
        <v>928</v>
      </c>
      <c r="BK693" t="s">
        <v>934</v>
      </c>
      <c r="BL693" t="s">
        <v>194</v>
      </c>
      <c r="BM693" s="8" t="s">
        <v>192</v>
      </c>
      <c r="BN693" t="s">
        <v>189</v>
      </c>
      <c r="BO693" t="s">
        <v>190</v>
      </c>
      <c r="BP693" s="35" t="s">
        <v>718</v>
      </c>
      <c r="BQ693"/>
      <c r="BU693" s="35"/>
      <c r="BV693" s="35"/>
      <c r="BX693"/>
      <c r="CA693" s="35"/>
      <c r="CB693" s="35"/>
      <c r="CC693"/>
      <c r="CG693" s="35"/>
      <c r="CH693" s="35"/>
      <c r="CK693"/>
      <c r="CM693" s="35"/>
      <c r="CN693" s="35"/>
      <c r="CQ693"/>
      <c r="CS693" s="35"/>
      <c r="CT693" s="35"/>
      <c r="CX693"/>
      <c r="CZ693" s="35"/>
      <c r="DD693" s="34"/>
      <c r="DG693" t="s">
        <v>816</v>
      </c>
      <c r="DH693" t="s">
        <v>963</v>
      </c>
      <c r="DI693" t="s">
        <v>286</v>
      </c>
      <c r="DL693" t="s">
        <v>677</v>
      </c>
      <c r="DM693">
        <v>5</v>
      </c>
      <c r="DN693">
        <v>8</v>
      </c>
      <c r="DO693" t="s">
        <v>817</v>
      </c>
      <c r="DQ693" t="s">
        <v>927</v>
      </c>
      <c r="DR693">
        <v>14</v>
      </c>
      <c r="DS693">
        <v>2</v>
      </c>
      <c r="DU693">
        <v>14</v>
      </c>
      <c r="DV693">
        <v>2</v>
      </c>
      <c r="DX693">
        <v>14</v>
      </c>
      <c r="DY693">
        <v>2</v>
      </c>
      <c r="DZ693" t="s">
        <v>246</v>
      </c>
      <c r="EA693" t="s">
        <v>929</v>
      </c>
    </row>
    <row r="694" spans="1:131" x14ac:dyDescent="0.4">
      <c r="A694" s="34">
        <v>43067.305104166669</v>
      </c>
      <c r="B694" s="25">
        <v>42935.54583333333</v>
      </c>
      <c r="D694" s="34"/>
      <c r="E694" s="34" t="s">
        <v>193</v>
      </c>
      <c r="F694" s="34" t="s">
        <v>191</v>
      </c>
      <c r="G694" s="34" t="s">
        <v>100</v>
      </c>
      <c r="H694" t="s">
        <v>279</v>
      </c>
      <c r="I694" t="s">
        <v>243</v>
      </c>
      <c r="J694" t="s">
        <v>712</v>
      </c>
      <c r="K694" t="s">
        <v>729</v>
      </c>
      <c r="L694" t="s">
        <v>711</v>
      </c>
      <c r="M694" s="30">
        <v>3.13</v>
      </c>
      <c r="N694">
        <v>6.5</v>
      </c>
      <c r="P694" s="24" t="str">
        <f>IFERROR(MID(RADataTable[[#This Row],[RATemplate]],1,LEN(RADataTable[[#This Row],[RATemplate]])-8),"RA") &amp; " " &amp; RADataTable[[#This Row],[prop_id0]] &amp; " " &amp; RADataTable[[#This Row],[last0]]</f>
        <v>RA 1750463 Raghvendra</v>
      </c>
      <c r="T694">
        <v>4</v>
      </c>
      <c r="U694">
        <v>4</v>
      </c>
      <c r="V694" s="34">
        <v>43032.486805555556</v>
      </c>
      <c r="W694">
        <v>1</v>
      </c>
      <c r="X694" s="15" t="str">
        <f>HYPERLINK("https://www.ejacket.nsf.gov/ej/showProposal.do?Continue=Y&amp;ID="&amp;RADataTable[[#This Row],[prop_id0]],"eJ")</f>
        <v>eJ</v>
      </c>
      <c r="Y694" s="15" t="str">
        <f>HYPERLINK("mailto:"&amp;RADataTable[[#This Row],[email]]&amp;"&amp;subject=Your NSF Proposal:  "&amp;RADataTable[[#This Row],[Div]]&amp;" "&amp;RADataTable[[#This Row],[prop_id0]], RADataTable[[#This Row],[email]])</f>
        <v>sharathr@vt.edu</v>
      </c>
      <c r="Z694" s="15" t="str">
        <f>HYPERLINK("mailto:"&amp;RADataTable[[#This Row],[allPIemail]]&amp;"&amp;subject=NSF Proposal:  "&amp;RADataTable[[#This Row],[Div]]&amp;" "&amp;RADataTable[[#This Row],[prop_id0]], "PIs@")</f>
        <v>PIs@</v>
      </c>
      <c r="AA694" t="s">
        <v>245</v>
      </c>
      <c r="AB694" t="s">
        <v>677</v>
      </c>
      <c r="AC694" s="30" t="s">
        <v>812</v>
      </c>
      <c r="AD694" t="s">
        <v>813</v>
      </c>
      <c r="AE694" t="s">
        <v>814</v>
      </c>
      <c r="AF694" s="36">
        <v>533991</v>
      </c>
      <c r="AG694" s="36">
        <v>533991</v>
      </c>
      <c r="AH694" s="24"/>
      <c r="AJ694" s="34"/>
      <c r="AK694" t="s">
        <v>923</v>
      </c>
      <c r="AL694" t="s">
        <v>287</v>
      </c>
      <c r="AM694" s="34" t="s">
        <v>925</v>
      </c>
      <c r="AN694" s="34">
        <v>43032</v>
      </c>
      <c r="AO694" s="24">
        <v>13</v>
      </c>
      <c r="AP694" t="s">
        <v>962</v>
      </c>
      <c r="AR694" s="35"/>
      <c r="AS694"/>
      <c r="AT694" s="34"/>
      <c r="AV694" s="34"/>
      <c r="AX694" s="34"/>
      <c r="AY694"/>
      <c r="BA694" s="34"/>
      <c r="BB694"/>
      <c r="BC694" t="s">
        <v>818</v>
      </c>
      <c r="BD694" s="36">
        <v>533991</v>
      </c>
      <c r="BE694" s="36">
        <v>533991</v>
      </c>
      <c r="BF694">
        <v>0</v>
      </c>
      <c r="BG694" s="34">
        <v>43110</v>
      </c>
      <c r="BH694">
        <v>60</v>
      </c>
      <c r="BI694" t="s">
        <v>283</v>
      </c>
      <c r="BJ694" t="s">
        <v>928</v>
      </c>
      <c r="BK694" t="s">
        <v>934</v>
      </c>
      <c r="BL694" t="s">
        <v>194</v>
      </c>
      <c r="BM694" s="8" t="s">
        <v>192</v>
      </c>
      <c r="BN694" t="s">
        <v>189</v>
      </c>
      <c r="BO694" t="s">
        <v>190</v>
      </c>
      <c r="BP694" s="35" t="s">
        <v>718</v>
      </c>
      <c r="BQ694"/>
      <c r="BU694" s="35"/>
      <c r="BV694" s="35"/>
      <c r="BX694"/>
      <c r="CA694" s="35"/>
      <c r="CB694" s="35"/>
      <c r="CC694"/>
      <c r="CG694" s="35"/>
      <c r="CH694" s="35"/>
      <c r="CK694"/>
      <c r="CM694" s="35"/>
      <c r="CN694" s="35"/>
      <c r="CQ694"/>
      <c r="CS694" s="35"/>
      <c r="CT694" s="35"/>
      <c r="CX694"/>
      <c r="CZ694" s="35"/>
      <c r="DD694" s="34"/>
      <c r="DG694" t="s">
        <v>816</v>
      </c>
      <c r="DH694" t="s">
        <v>963</v>
      </c>
      <c r="DI694" t="s">
        <v>286</v>
      </c>
      <c r="DL694" t="s">
        <v>677</v>
      </c>
      <c r="DM694">
        <v>5</v>
      </c>
      <c r="DN694">
        <v>8</v>
      </c>
      <c r="DO694" t="s">
        <v>817</v>
      </c>
      <c r="DQ694" t="s">
        <v>927</v>
      </c>
      <c r="DR694">
        <v>14</v>
      </c>
      <c r="DS694">
        <v>2</v>
      </c>
      <c r="DU694">
        <v>14</v>
      </c>
      <c r="DV694">
        <v>2</v>
      </c>
      <c r="DX694">
        <v>14</v>
      </c>
      <c r="DY694">
        <v>2</v>
      </c>
      <c r="DZ694" t="s">
        <v>246</v>
      </c>
      <c r="EA694" t="s">
        <v>929</v>
      </c>
    </row>
    <row r="695" spans="1:131" x14ac:dyDescent="0.4">
      <c r="A695" s="34">
        <v>43067.305104166669</v>
      </c>
      <c r="B695" s="25">
        <v>42935.54583333333</v>
      </c>
      <c r="D695" s="34"/>
      <c r="E695" s="34" t="s">
        <v>193</v>
      </c>
      <c r="F695" s="34" t="s">
        <v>191</v>
      </c>
      <c r="G695" s="34" t="s">
        <v>100</v>
      </c>
      <c r="H695" t="s">
        <v>279</v>
      </c>
      <c r="I695" t="s">
        <v>243</v>
      </c>
      <c r="J695" t="s">
        <v>712</v>
      </c>
      <c r="K695" t="s">
        <v>729</v>
      </c>
      <c r="L695" t="s">
        <v>711</v>
      </c>
      <c r="M695" s="30">
        <v>3.13</v>
      </c>
      <c r="N695">
        <v>6.5</v>
      </c>
      <c r="P695" s="24" t="str">
        <f>IFERROR(MID(RADataTable[[#This Row],[RATemplate]],1,LEN(RADataTable[[#This Row],[RATemplate]])-8),"RA") &amp; " " &amp; RADataTable[[#This Row],[prop_id0]] &amp; " " &amp; RADataTable[[#This Row],[last0]]</f>
        <v>RA 1750463 Raghvendra</v>
      </c>
      <c r="T695">
        <v>4</v>
      </c>
      <c r="U695">
        <v>4</v>
      </c>
      <c r="V695" s="34">
        <v>43032.486805555556</v>
      </c>
      <c r="W695">
        <v>1</v>
      </c>
      <c r="X695" s="15" t="str">
        <f>HYPERLINK("https://www.ejacket.nsf.gov/ej/showProposal.do?Continue=Y&amp;ID="&amp;RADataTable[[#This Row],[prop_id0]],"eJ")</f>
        <v>eJ</v>
      </c>
      <c r="Y695" s="15" t="str">
        <f>HYPERLINK("mailto:"&amp;RADataTable[[#This Row],[email]]&amp;"&amp;subject=Your NSF Proposal:  "&amp;RADataTable[[#This Row],[Div]]&amp;" "&amp;RADataTable[[#This Row],[prop_id0]], RADataTable[[#This Row],[email]])</f>
        <v>sharathr@vt.edu</v>
      </c>
      <c r="Z695" s="15" t="str">
        <f>HYPERLINK("mailto:"&amp;RADataTable[[#This Row],[allPIemail]]&amp;"&amp;subject=NSF Proposal:  "&amp;RADataTable[[#This Row],[Div]]&amp;" "&amp;RADataTable[[#This Row],[prop_id0]], "PIs@")</f>
        <v>PIs@</v>
      </c>
      <c r="AA695" t="s">
        <v>245</v>
      </c>
      <c r="AB695" t="s">
        <v>677</v>
      </c>
      <c r="AC695" s="30" t="s">
        <v>812</v>
      </c>
      <c r="AD695" t="s">
        <v>813</v>
      </c>
      <c r="AE695" t="s">
        <v>814</v>
      </c>
      <c r="AF695" s="36">
        <v>533991</v>
      </c>
      <c r="AG695" s="36">
        <v>533991</v>
      </c>
      <c r="AH695" s="24"/>
      <c r="AJ695" s="34"/>
      <c r="AK695" t="s">
        <v>923</v>
      </c>
      <c r="AL695" t="s">
        <v>287</v>
      </c>
      <c r="AM695" s="34" t="s">
        <v>925</v>
      </c>
      <c r="AN695" s="34">
        <v>43032</v>
      </c>
      <c r="AO695" s="24">
        <v>13</v>
      </c>
      <c r="AP695" t="s">
        <v>962</v>
      </c>
      <c r="AR695" s="35"/>
      <c r="AS695"/>
      <c r="AT695" s="34"/>
      <c r="AV695" s="34"/>
      <c r="AX695" s="34"/>
      <c r="AY695"/>
      <c r="BA695" s="34"/>
      <c r="BB695"/>
      <c r="BC695" t="s">
        <v>818</v>
      </c>
      <c r="BD695" s="36">
        <v>533991</v>
      </c>
      <c r="BE695" s="36">
        <v>533991</v>
      </c>
      <c r="BF695">
        <v>0</v>
      </c>
      <c r="BG695" s="34">
        <v>43110</v>
      </c>
      <c r="BH695">
        <v>60</v>
      </c>
      <c r="BI695" t="s">
        <v>283</v>
      </c>
      <c r="BJ695" t="s">
        <v>928</v>
      </c>
      <c r="BK695" t="s">
        <v>934</v>
      </c>
      <c r="BL695" t="s">
        <v>194</v>
      </c>
      <c r="BM695" s="8" t="s">
        <v>192</v>
      </c>
      <c r="BN695" t="s">
        <v>189</v>
      </c>
      <c r="BO695" t="s">
        <v>190</v>
      </c>
      <c r="BP695" s="35" t="s">
        <v>718</v>
      </c>
      <c r="BQ695"/>
      <c r="BU695" s="35"/>
      <c r="BV695" s="35"/>
      <c r="BX695"/>
      <c r="CA695" s="35"/>
      <c r="CB695" s="35"/>
      <c r="CC695"/>
      <c r="CG695" s="35"/>
      <c r="CH695" s="35"/>
      <c r="CK695"/>
      <c r="CM695" s="35"/>
      <c r="CN695" s="35"/>
      <c r="CQ695"/>
      <c r="CS695" s="35"/>
      <c r="CT695" s="35"/>
      <c r="CX695"/>
      <c r="CZ695" s="35"/>
      <c r="DD695" s="34"/>
      <c r="DG695" t="s">
        <v>816</v>
      </c>
      <c r="DH695" t="s">
        <v>963</v>
      </c>
      <c r="DI695" t="s">
        <v>286</v>
      </c>
      <c r="DL695" t="s">
        <v>677</v>
      </c>
      <c r="DM695">
        <v>5</v>
      </c>
      <c r="DN695">
        <v>8</v>
      </c>
      <c r="DO695" t="s">
        <v>817</v>
      </c>
      <c r="DQ695" t="s">
        <v>927</v>
      </c>
      <c r="DR695">
        <v>14</v>
      </c>
      <c r="DS695">
        <v>2</v>
      </c>
      <c r="DU695">
        <v>14</v>
      </c>
      <c r="DV695">
        <v>2</v>
      </c>
      <c r="DX695">
        <v>14</v>
      </c>
      <c r="DY695">
        <v>2</v>
      </c>
      <c r="DZ695" t="s">
        <v>246</v>
      </c>
      <c r="EA695" t="s">
        <v>929</v>
      </c>
    </row>
    <row r="696" spans="1:131" x14ac:dyDescent="0.4">
      <c r="A696" s="34">
        <v>43067.305104166669</v>
      </c>
      <c r="B696" s="25">
        <v>42935.54583333333</v>
      </c>
      <c r="D696" s="34"/>
      <c r="E696" s="34" t="s">
        <v>193</v>
      </c>
      <c r="F696" s="34" t="s">
        <v>191</v>
      </c>
      <c r="G696" s="34" t="s">
        <v>100</v>
      </c>
      <c r="H696" t="s">
        <v>279</v>
      </c>
      <c r="I696" t="s">
        <v>243</v>
      </c>
      <c r="J696" t="s">
        <v>712</v>
      </c>
      <c r="K696" t="s">
        <v>729</v>
      </c>
      <c r="L696" t="s">
        <v>711</v>
      </c>
      <c r="M696" s="30">
        <v>3.13</v>
      </c>
      <c r="N696">
        <v>6.5</v>
      </c>
      <c r="P696" s="24" t="str">
        <f>IFERROR(MID(RADataTable[[#This Row],[RATemplate]],1,LEN(RADataTable[[#This Row],[RATemplate]])-8),"RA") &amp; " " &amp; RADataTable[[#This Row],[prop_id0]] &amp; " " &amp; RADataTable[[#This Row],[last0]]</f>
        <v>RA 1750463 Raghvendra</v>
      </c>
      <c r="T696">
        <v>4</v>
      </c>
      <c r="U696">
        <v>4</v>
      </c>
      <c r="V696" s="34">
        <v>43032.486805555556</v>
      </c>
      <c r="W696">
        <v>1</v>
      </c>
      <c r="X696" s="15" t="str">
        <f>HYPERLINK("https://www.ejacket.nsf.gov/ej/showProposal.do?Continue=Y&amp;ID="&amp;RADataTable[[#This Row],[prop_id0]],"eJ")</f>
        <v>eJ</v>
      </c>
      <c r="Y696" s="15" t="str">
        <f>HYPERLINK("mailto:"&amp;RADataTable[[#This Row],[email]]&amp;"&amp;subject=Your NSF Proposal:  "&amp;RADataTable[[#This Row],[Div]]&amp;" "&amp;RADataTable[[#This Row],[prop_id0]], RADataTable[[#This Row],[email]])</f>
        <v>sharathr@vt.edu</v>
      </c>
      <c r="Z696" s="15" t="str">
        <f>HYPERLINK("mailto:"&amp;RADataTable[[#This Row],[allPIemail]]&amp;"&amp;subject=NSF Proposal:  "&amp;RADataTable[[#This Row],[Div]]&amp;" "&amp;RADataTable[[#This Row],[prop_id0]], "PIs@")</f>
        <v>PIs@</v>
      </c>
      <c r="AA696" t="s">
        <v>245</v>
      </c>
      <c r="AB696" t="s">
        <v>677</v>
      </c>
      <c r="AC696" s="30" t="s">
        <v>812</v>
      </c>
      <c r="AD696" t="s">
        <v>813</v>
      </c>
      <c r="AE696" t="s">
        <v>814</v>
      </c>
      <c r="AF696" s="36">
        <v>533991</v>
      </c>
      <c r="AG696" s="36">
        <v>533991</v>
      </c>
      <c r="AH696" s="24"/>
      <c r="AJ696" s="34"/>
      <c r="AK696" t="s">
        <v>923</v>
      </c>
      <c r="AL696" t="s">
        <v>287</v>
      </c>
      <c r="AM696" s="34" t="s">
        <v>925</v>
      </c>
      <c r="AN696" s="34">
        <v>43032</v>
      </c>
      <c r="AO696" s="24">
        <v>13</v>
      </c>
      <c r="AP696" t="s">
        <v>962</v>
      </c>
      <c r="AR696" s="35"/>
      <c r="AS696"/>
      <c r="AT696" s="34"/>
      <c r="AV696" s="34"/>
      <c r="AX696" s="34"/>
      <c r="AY696"/>
      <c r="BA696" s="34"/>
      <c r="BB696"/>
      <c r="BC696" t="s">
        <v>818</v>
      </c>
      <c r="BD696" s="36">
        <v>533991</v>
      </c>
      <c r="BE696" s="36">
        <v>533991</v>
      </c>
      <c r="BF696">
        <v>0</v>
      </c>
      <c r="BG696" s="34">
        <v>43110</v>
      </c>
      <c r="BH696">
        <v>60</v>
      </c>
      <c r="BI696" t="s">
        <v>283</v>
      </c>
      <c r="BJ696" t="s">
        <v>928</v>
      </c>
      <c r="BK696" t="s">
        <v>934</v>
      </c>
      <c r="BL696" t="s">
        <v>194</v>
      </c>
      <c r="BM696" s="8" t="s">
        <v>192</v>
      </c>
      <c r="BN696" t="s">
        <v>189</v>
      </c>
      <c r="BO696" t="s">
        <v>190</v>
      </c>
      <c r="BP696" s="35" t="s">
        <v>718</v>
      </c>
      <c r="BQ696"/>
      <c r="BU696" s="35"/>
      <c r="BV696" s="35"/>
      <c r="BX696"/>
      <c r="CA696" s="35"/>
      <c r="CB696" s="35"/>
      <c r="CC696"/>
      <c r="CG696" s="35"/>
      <c r="CH696" s="35"/>
      <c r="CK696"/>
      <c r="CM696" s="35"/>
      <c r="CN696" s="35"/>
      <c r="CQ696"/>
      <c r="CS696" s="35"/>
      <c r="CT696" s="35"/>
      <c r="CX696"/>
      <c r="CZ696" s="35"/>
      <c r="DD696" s="34"/>
      <c r="DG696" t="s">
        <v>816</v>
      </c>
      <c r="DH696" t="s">
        <v>963</v>
      </c>
      <c r="DI696" t="s">
        <v>286</v>
      </c>
      <c r="DL696" t="s">
        <v>677</v>
      </c>
      <c r="DM696">
        <v>5</v>
      </c>
      <c r="DN696">
        <v>8</v>
      </c>
      <c r="DO696" t="s">
        <v>817</v>
      </c>
      <c r="DQ696" t="s">
        <v>927</v>
      </c>
      <c r="DR696">
        <v>14</v>
      </c>
      <c r="DS696">
        <v>2</v>
      </c>
      <c r="DU696">
        <v>14</v>
      </c>
      <c r="DV696">
        <v>2</v>
      </c>
      <c r="DX696">
        <v>14</v>
      </c>
      <c r="DY696">
        <v>2</v>
      </c>
      <c r="DZ696" t="s">
        <v>246</v>
      </c>
      <c r="EA696" t="s">
        <v>929</v>
      </c>
    </row>
    <row r="697" spans="1:131" x14ac:dyDescent="0.4">
      <c r="A697" s="34">
        <v>43067.305104166669</v>
      </c>
      <c r="B697" s="25">
        <v>42935.54583333333</v>
      </c>
      <c r="D697" s="34"/>
      <c r="E697" s="34" t="s">
        <v>193</v>
      </c>
      <c r="F697" s="34" t="s">
        <v>191</v>
      </c>
      <c r="G697" s="34" t="s">
        <v>100</v>
      </c>
      <c r="H697" t="s">
        <v>279</v>
      </c>
      <c r="I697" t="s">
        <v>243</v>
      </c>
      <c r="J697" t="s">
        <v>712</v>
      </c>
      <c r="K697" t="s">
        <v>729</v>
      </c>
      <c r="L697" t="s">
        <v>711</v>
      </c>
      <c r="M697" s="30">
        <v>3.13</v>
      </c>
      <c r="N697">
        <v>6.5</v>
      </c>
      <c r="P697" s="24" t="str">
        <f>IFERROR(MID(RADataTable[[#This Row],[RATemplate]],1,LEN(RADataTable[[#This Row],[RATemplate]])-8),"RA") &amp; " " &amp; RADataTable[[#This Row],[prop_id0]] &amp; " " &amp; RADataTable[[#This Row],[last0]]</f>
        <v>RA 1750463 Raghvendra</v>
      </c>
      <c r="T697">
        <v>4</v>
      </c>
      <c r="U697">
        <v>4</v>
      </c>
      <c r="V697" s="34">
        <v>43032.486805555556</v>
      </c>
      <c r="W697">
        <v>1</v>
      </c>
      <c r="X697" s="15" t="str">
        <f>HYPERLINK("https://www.ejacket.nsf.gov/ej/showProposal.do?Continue=Y&amp;ID="&amp;RADataTable[[#This Row],[prop_id0]],"eJ")</f>
        <v>eJ</v>
      </c>
      <c r="Y697" s="15" t="str">
        <f>HYPERLINK("mailto:"&amp;RADataTable[[#This Row],[email]]&amp;"&amp;subject=Your NSF Proposal:  "&amp;RADataTable[[#This Row],[Div]]&amp;" "&amp;RADataTable[[#This Row],[prop_id0]], RADataTable[[#This Row],[email]])</f>
        <v>sharathr@vt.edu</v>
      </c>
      <c r="Z697" s="15" t="str">
        <f>HYPERLINK("mailto:"&amp;RADataTable[[#This Row],[allPIemail]]&amp;"&amp;subject=NSF Proposal:  "&amp;RADataTable[[#This Row],[Div]]&amp;" "&amp;RADataTable[[#This Row],[prop_id0]], "PIs@")</f>
        <v>PIs@</v>
      </c>
      <c r="AA697" t="s">
        <v>245</v>
      </c>
      <c r="AB697" t="s">
        <v>677</v>
      </c>
      <c r="AC697" s="30" t="s">
        <v>812</v>
      </c>
      <c r="AD697" t="s">
        <v>813</v>
      </c>
      <c r="AE697" t="s">
        <v>814</v>
      </c>
      <c r="AF697" s="36">
        <v>533991</v>
      </c>
      <c r="AG697" s="36">
        <v>533991</v>
      </c>
      <c r="AH697" s="24"/>
      <c r="AJ697" s="34"/>
      <c r="AK697" t="s">
        <v>923</v>
      </c>
      <c r="AL697" t="s">
        <v>287</v>
      </c>
      <c r="AM697" s="34" t="s">
        <v>925</v>
      </c>
      <c r="AN697" s="34">
        <v>43032</v>
      </c>
      <c r="AO697" s="24">
        <v>13</v>
      </c>
      <c r="AP697" t="s">
        <v>962</v>
      </c>
      <c r="AR697" s="35"/>
      <c r="AS697"/>
      <c r="AT697" s="34"/>
      <c r="AV697" s="34"/>
      <c r="AX697" s="34"/>
      <c r="AY697"/>
      <c r="BA697" s="34"/>
      <c r="BB697"/>
      <c r="BC697" t="s">
        <v>818</v>
      </c>
      <c r="BD697" s="36">
        <v>533991</v>
      </c>
      <c r="BE697" s="36">
        <v>533991</v>
      </c>
      <c r="BF697">
        <v>0</v>
      </c>
      <c r="BG697" s="34">
        <v>43110</v>
      </c>
      <c r="BH697">
        <v>60</v>
      </c>
      <c r="BI697" t="s">
        <v>283</v>
      </c>
      <c r="BJ697" t="s">
        <v>928</v>
      </c>
      <c r="BK697" t="s">
        <v>934</v>
      </c>
      <c r="BL697" t="s">
        <v>194</v>
      </c>
      <c r="BM697" s="8" t="s">
        <v>192</v>
      </c>
      <c r="BN697" t="s">
        <v>189</v>
      </c>
      <c r="BO697" t="s">
        <v>190</v>
      </c>
      <c r="BP697" s="35" t="s">
        <v>718</v>
      </c>
      <c r="BQ697"/>
      <c r="BU697" s="35"/>
      <c r="BV697" s="35"/>
      <c r="BX697"/>
      <c r="CA697" s="35"/>
      <c r="CB697" s="35"/>
      <c r="CC697"/>
      <c r="CG697" s="35"/>
      <c r="CH697" s="35"/>
      <c r="CK697"/>
      <c r="CM697" s="35"/>
      <c r="CN697" s="35"/>
      <c r="CQ697"/>
      <c r="CS697" s="35"/>
      <c r="CT697" s="35"/>
      <c r="CX697"/>
      <c r="CZ697" s="35"/>
      <c r="DD697" s="34"/>
      <c r="DG697" t="s">
        <v>816</v>
      </c>
      <c r="DH697" t="s">
        <v>963</v>
      </c>
      <c r="DI697" t="s">
        <v>286</v>
      </c>
      <c r="DL697" t="s">
        <v>677</v>
      </c>
      <c r="DM697">
        <v>5</v>
      </c>
      <c r="DN697">
        <v>8</v>
      </c>
      <c r="DO697" t="s">
        <v>817</v>
      </c>
      <c r="DQ697" t="s">
        <v>927</v>
      </c>
      <c r="DR697">
        <v>14</v>
      </c>
      <c r="DS697">
        <v>2</v>
      </c>
      <c r="DU697">
        <v>14</v>
      </c>
      <c r="DV697">
        <v>2</v>
      </c>
      <c r="DX697">
        <v>14</v>
      </c>
      <c r="DY697">
        <v>2</v>
      </c>
      <c r="DZ697" t="s">
        <v>246</v>
      </c>
      <c r="EA697" t="s">
        <v>929</v>
      </c>
    </row>
    <row r="698" spans="1:131" x14ac:dyDescent="0.4">
      <c r="A698" s="34">
        <v>43067.305104166669</v>
      </c>
      <c r="B698" s="25">
        <v>42935.54583333333</v>
      </c>
      <c r="D698" s="34"/>
      <c r="E698" s="34" t="s">
        <v>193</v>
      </c>
      <c r="F698" s="34" t="s">
        <v>191</v>
      </c>
      <c r="G698" s="34" t="s">
        <v>100</v>
      </c>
      <c r="H698" t="s">
        <v>279</v>
      </c>
      <c r="I698" t="s">
        <v>243</v>
      </c>
      <c r="J698" t="s">
        <v>712</v>
      </c>
      <c r="K698" t="s">
        <v>729</v>
      </c>
      <c r="L698" t="s">
        <v>711</v>
      </c>
      <c r="M698" s="30">
        <v>3.13</v>
      </c>
      <c r="N698">
        <v>6.5</v>
      </c>
      <c r="P698" s="24" t="str">
        <f>IFERROR(MID(RADataTable[[#This Row],[RATemplate]],1,LEN(RADataTable[[#This Row],[RATemplate]])-8),"RA") &amp; " " &amp; RADataTable[[#This Row],[prop_id0]] &amp; " " &amp; RADataTable[[#This Row],[last0]]</f>
        <v>RA 1750463 Raghvendra</v>
      </c>
      <c r="T698">
        <v>4</v>
      </c>
      <c r="U698">
        <v>4</v>
      </c>
      <c r="V698" s="34">
        <v>43032.486805555556</v>
      </c>
      <c r="W698">
        <v>1</v>
      </c>
      <c r="X698" s="15" t="str">
        <f>HYPERLINK("https://www.ejacket.nsf.gov/ej/showProposal.do?Continue=Y&amp;ID="&amp;RADataTable[[#This Row],[prop_id0]],"eJ")</f>
        <v>eJ</v>
      </c>
      <c r="Y698" s="15" t="str">
        <f>HYPERLINK("mailto:"&amp;RADataTable[[#This Row],[email]]&amp;"&amp;subject=Your NSF Proposal:  "&amp;RADataTable[[#This Row],[Div]]&amp;" "&amp;RADataTable[[#This Row],[prop_id0]], RADataTable[[#This Row],[email]])</f>
        <v>sharathr@vt.edu</v>
      </c>
      <c r="Z698" s="15" t="str">
        <f>HYPERLINK("mailto:"&amp;RADataTable[[#This Row],[allPIemail]]&amp;"&amp;subject=NSF Proposal:  "&amp;RADataTable[[#This Row],[Div]]&amp;" "&amp;RADataTable[[#This Row],[prop_id0]], "PIs@")</f>
        <v>PIs@</v>
      </c>
      <c r="AA698" t="s">
        <v>245</v>
      </c>
      <c r="AB698" t="s">
        <v>677</v>
      </c>
      <c r="AC698" s="30" t="s">
        <v>812</v>
      </c>
      <c r="AD698" t="s">
        <v>813</v>
      </c>
      <c r="AE698" t="s">
        <v>814</v>
      </c>
      <c r="AF698" s="36">
        <v>533991</v>
      </c>
      <c r="AG698" s="36">
        <v>533991</v>
      </c>
      <c r="AH698" s="24"/>
      <c r="AJ698" s="34"/>
      <c r="AK698" t="s">
        <v>923</v>
      </c>
      <c r="AL698" t="s">
        <v>287</v>
      </c>
      <c r="AM698" s="34" t="s">
        <v>925</v>
      </c>
      <c r="AN698" s="34">
        <v>43032</v>
      </c>
      <c r="AO698" s="24">
        <v>13</v>
      </c>
      <c r="AP698" t="s">
        <v>962</v>
      </c>
      <c r="AR698" s="35"/>
      <c r="AS698"/>
      <c r="AT698" s="34"/>
      <c r="AV698" s="34"/>
      <c r="AX698" s="34"/>
      <c r="AY698"/>
      <c r="BA698" s="34"/>
      <c r="BB698"/>
      <c r="BC698" t="s">
        <v>818</v>
      </c>
      <c r="BD698" s="36">
        <v>533991</v>
      </c>
      <c r="BE698" s="36">
        <v>533991</v>
      </c>
      <c r="BF698">
        <v>0</v>
      </c>
      <c r="BG698" s="34">
        <v>43110</v>
      </c>
      <c r="BH698">
        <v>60</v>
      </c>
      <c r="BI698" t="s">
        <v>283</v>
      </c>
      <c r="BJ698" t="s">
        <v>928</v>
      </c>
      <c r="BK698" t="s">
        <v>934</v>
      </c>
      <c r="BL698" t="s">
        <v>194</v>
      </c>
      <c r="BM698" s="8" t="s">
        <v>192</v>
      </c>
      <c r="BN698" t="s">
        <v>189</v>
      </c>
      <c r="BO698" t="s">
        <v>190</v>
      </c>
      <c r="BP698" s="35" t="s">
        <v>718</v>
      </c>
      <c r="BQ698"/>
      <c r="BU698" s="35"/>
      <c r="BV698" s="35"/>
      <c r="BX698"/>
      <c r="CA698" s="35"/>
      <c r="CB698" s="35"/>
      <c r="CC698"/>
      <c r="CG698" s="35"/>
      <c r="CH698" s="35"/>
      <c r="CK698"/>
      <c r="CM698" s="35"/>
      <c r="CN698" s="35"/>
      <c r="CQ698"/>
      <c r="CS698" s="35"/>
      <c r="CT698" s="35"/>
      <c r="CX698"/>
      <c r="CZ698" s="35"/>
      <c r="DD698" s="34"/>
      <c r="DG698" t="s">
        <v>816</v>
      </c>
      <c r="DH698" t="s">
        <v>963</v>
      </c>
      <c r="DI698" t="s">
        <v>286</v>
      </c>
      <c r="DL698" t="s">
        <v>677</v>
      </c>
      <c r="DM698">
        <v>5</v>
      </c>
      <c r="DN698">
        <v>8</v>
      </c>
      <c r="DO698" t="s">
        <v>817</v>
      </c>
      <c r="DQ698" t="s">
        <v>927</v>
      </c>
      <c r="DR698">
        <v>14</v>
      </c>
      <c r="DS698">
        <v>2</v>
      </c>
      <c r="DU698">
        <v>14</v>
      </c>
      <c r="DV698">
        <v>2</v>
      </c>
      <c r="DX698">
        <v>14</v>
      </c>
      <c r="DY698">
        <v>2</v>
      </c>
      <c r="DZ698" t="s">
        <v>246</v>
      </c>
      <c r="EA698" t="s">
        <v>929</v>
      </c>
    </row>
    <row r="699" spans="1:131" x14ac:dyDescent="0.4">
      <c r="A699" s="34">
        <v>43067.305104166669</v>
      </c>
      <c r="B699" s="25">
        <v>42935.54583333333</v>
      </c>
      <c r="D699" s="34"/>
      <c r="E699" s="34" t="s">
        <v>193</v>
      </c>
      <c r="F699" s="34" t="s">
        <v>191</v>
      </c>
      <c r="G699" s="34" t="s">
        <v>100</v>
      </c>
      <c r="H699" t="s">
        <v>279</v>
      </c>
      <c r="I699" t="s">
        <v>243</v>
      </c>
      <c r="J699" t="s">
        <v>712</v>
      </c>
      <c r="K699" t="s">
        <v>729</v>
      </c>
      <c r="L699" t="s">
        <v>711</v>
      </c>
      <c r="M699" s="30">
        <v>3.13</v>
      </c>
      <c r="N699">
        <v>6.5</v>
      </c>
      <c r="P699" s="24" t="str">
        <f>IFERROR(MID(RADataTable[[#This Row],[RATemplate]],1,LEN(RADataTable[[#This Row],[RATemplate]])-8),"RA") &amp; " " &amp; RADataTable[[#This Row],[prop_id0]] &amp; " " &amp; RADataTable[[#This Row],[last0]]</f>
        <v>RA 1750463 Raghvendra</v>
      </c>
      <c r="T699">
        <v>4</v>
      </c>
      <c r="U699">
        <v>4</v>
      </c>
      <c r="V699" s="34">
        <v>43032.486805555556</v>
      </c>
      <c r="W699">
        <v>1</v>
      </c>
      <c r="X699" s="15" t="str">
        <f>HYPERLINK("https://www.ejacket.nsf.gov/ej/showProposal.do?Continue=Y&amp;ID="&amp;RADataTable[[#This Row],[prop_id0]],"eJ")</f>
        <v>eJ</v>
      </c>
      <c r="Y699" s="15" t="str">
        <f>HYPERLINK("mailto:"&amp;RADataTable[[#This Row],[email]]&amp;"&amp;subject=Your NSF Proposal:  "&amp;RADataTable[[#This Row],[Div]]&amp;" "&amp;RADataTable[[#This Row],[prop_id0]], RADataTable[[#This Row],[email]])</f>
        <v>sharathr@vt.edu</v>
      </c>
      <c r="Z699" s="15" t="str">
        <f>HYPERLINK("mailto:"&amp;RADataTable[[#This Row],[allPIemail]]&amp;"&amp;subject=NSF Proposal:  "&amp;RADataTable[[#This Row],[Div]]&amp;" "&amp;RADataTable[[#This Row],[prop_id0]], "PIs@")</f>
        <v>PIs@</v>
      </c>
      <c r="AA699" t="s">
        <v>245</v>
      </c>
      <c r="AB699" t="s">
        <v>677</v>
      </c>
      <c r="AC699" s="30" t="s">
        <v>812</v>
      </c>
      <c r="AD699" t="s">
        <v>813</v>
      </c>
      <c r="AE699" t="s">
        <v>814</v>
      </c>
      <c r="AF699" s="36">
        <v>533991</v>
      </c>
      <c r="AG699" s="36">
        <v>533991</v>
      </c>
      <c r="AH699" s="24"/>
      <c r="AJ699" s="34"/>
      <c r="AK699" t="s">
        <v>923</v>
      </c>
      <c r="AL699" t="s">
        <v>287</v>
      </c>
      <c r="AM699" s="34" t="s">
        <v>925</v>
      </c>
      <c r="AN699" s="34">
        <v>43032</v>
      </c>
      <c r="AO699" s="24">
        <v>13</v>
      </c>
      <c r="AP699" t="s">
        <v>962</v>
      </c>
      <c r="AR699" s="35"/>
      <c r="AS699"/>
      <c r="AT699" s="34"/>
      <c r="AV699" s="34"/>
      <c r="AX699" s="34"/>
      <c r="AY699"/>
      <c r="BA699" s="34"/>
      <c r="BB699"/>
      <c r="BC699" t="s">
        <v>818</v>
      </c>
      <c r="BD699" s="36">
        <v>533991</v>
      </c>
      <c r="BE699" s="36">
        <v>533991</v>
      </c>
      <c r="BF699">
        <v>0</v>
      </c>
      <c r="BG699" s="34">
        <v>43110</v>
      </c>
      <c r="BH699">
        <v>60</v>
      </c>
      <c r="BI699" t="s">
        <v>283</v>
      </c>
      <c r="BJ699" t="s">
        <v>928</v>
      </c>
      <c r="BK699" t="s">
        <v>934</v>
      </c>
      <c r="BL699" t="s">
        <v>194</v>
      </c>
      <c r="BM699" s="8" t="s">
        <v>192</v>
      </c>
      <c r="BN699" t="s">
        <v>189</v>
      </c>
      <c r="BO699" t="s">
        <v>190</v>
      </c>
      <c r="BP699" s="35" t="s">
        <v>718</v>
      </c>
      <c r="BQ699"/>
      <c r="BU699" s="35"/>
      <c r="BV699" s="35"/>
      <c r="BX699"/>
      <c r="CA699" s="35"/>
      <c r="CB699" s="35"/>
      <c r="CC699"/>
      <c r="CG699" s="35"/>
      <c r="CH699" s="35"/>
      <c r="CK699"/>
      <c r="CM699" s="35"/>
      <c r="CN699" s="35"/>
      <c r="CQ699"/>
      <c r="CS699" s="35"/>
      <c r="CT699" s="35"/>
      <c r="CX699"/>
      <c r="CZ699" s="35"/>
      <c r="DD699" s="34"/>
      <c r="DG699" t="s">
        <v>816</v>
      </c>
      <c r="DH699" t="s">
        <v>963</v>
      </c>
      <c r="DI699" t="s">
        <v>286</v>
      </c>
      <c r="DL699" t="s">
        <v>677</v>
      </c>
      <c r="DM699">
        <v>5</v>
      </c>
      <c r="DN699">
        <v>8</v>
      </c>
      <c r="DO699" t="s">
        <v>817</v>
      </c>
      <c r="DQ699" t="s">
        <v>927</v>
      </c>
      <c r="DR699">
        <v>14</v>
      </c>
      <c r="DS699">
        <v>2</v>
      </c>
      <c r="DU699">
        <v>14</v>
      </c>
      <c r="DV699">
        <v>2</v>
      </c>
      <c r="DX699">
        <v>14</v>
      </c>
      <c r="DY699">
        <v>2</v>
      </c>
      <c r="DZ699" t="s">
        <v>246</v>
      </c>
      <c r="EA699" t="s">
        <v>929</v>
      </c>
    </row>
    <row r="700" spans="1:131" x14ac:dyDescent="0.4">
      <c r="A700" s="34">
        <v>43067.305104166669</v>
      </c>
      <c r="B700" s="25">
        <v>42935.54583333333</v>
      </c>
      <c r="D700" s="34"/>
      <c r="E700" s="34" t="s">
        <v>193</v>
      </c>
      <c r="F700" s="34" t="s">
        <v>191</v>
      </c>
      <c r="G700" s="34" t="s">
        <v>100</v>
      </c>
      <c r="H700" t="s">
        <v>279</v>
      </c>
      <c r="I700" t="s">
        <v>243</v>
      </c>
      <c r="J700" t="s">
        <v>712</v>
      </c>
      <c r="K700" t="s">
        <v>729</v>
      </c>
      <c r="L700" t="s">
        <v>711</v>
      </c>
      <c r="M700" s="30">
        <v>3.13</v>
      </c>
      <c r="N700">
        <v>6.5</v>
      </c>
      <c r="P700" s="24" t="str">
        <f>IFERROR(MID(RADataTable[[#This Row],[RATemplate]],1,LEN(RADataTable[[#This Row],[RATemplate]])-8),"RA") &amp; " " &amp; RADataTable[[#This Row],[prop_id0]] &amp; " " &amp; RADataTable[[#This Row],[last0]]</f>
        <v>RA 1750463 Raghvendra</v>
      </c>
      <c r="T700">
        <v>4</v>
      </c>
      <c r="U700">
        <v>4</v>
      </c>
      <c r="V700" s="34">
        <v>43032.486805555556</v>
      </c>
      <c r="W700">
        <v>1</v>
      </c>
      <c r="X700" s="15" t="str">
        <f>HYPERLINK("https://www.ejacket.nsf.gov/ej/showProposal.do?Continue=Y&amp;ID="&amp;RADataTable[[#This Row],[prop_id0]],"eJ")</f>
        <v>eJ</v>
      </c>
      <c r="Y700" s="15" t="str">
        <f>HYPERLINK("mailto:"&amp;RADataTable[[#This Row],[email]]&amp;"&amp;subject=Your NSF Proposal:  "&amp;RADataTable[[#This Row],[Div]]&amp;" "&amp;RADataTable[[#This Row],[prop_id0]], RADataTable[[#This Row],[email]])</f>
        <v>sharathr@vt.edu</v>
      </c>
      <c r="Z700" s="15" t="str">
        <f>HYPERLINK("mailto:"&amp;RADataTable[[#This Row],[allPIemail]]&amp;"&amp;subject=NSF Proposal:  "&amp;RADataTable[[#This Row],[Div]]&amp;" "&amp;RADataTable[[#This Row],[prop_id0]], "PIs@")</f>
        <v>PIs@</v>
      </c>
      <c r="AA700" t="s">
        <v>245</v>
      </c>
      <c r="AB700" t="s">
        <v>677</v>
      </c>
      <c r="AC700" s="30" t="s">
        <v>812</v>
      </c>
      <c r="AD700" t="s">
        <v>813</v>
      </c>
      <c r="AE700" t="s">
        <v>814</v>
      </c>
      <c r="AF700" s="36">
        <v>533991</v>
      </c>
      <c r="AG700" s="36">
        <v>533991</v>
      </c>
      <c r="AH700" s="24"/>
      <c r="AJ700" s="34"/>
      <c r="AK700" t="s">
        <v>923</v>
      </c>
      <c r="AL700" t="s">
        <v>287</v>
      </c>
      <c r="AM700" s="34" t="s">
        <v>925</v>
      </c>
      <c r="AN700" s="34">
        <v>43032</v>
      </c>
      <c r="AO700" s="24">
        <v>13</v>
      </c>
      <c r="AP700" t="s">
        <v>962</v>
      </c>
      <c r="AR700" s="35"/>
      <c r="AS700"/>
      <c r="AT700" s="34"/>
      <c r="AV700" s="34"/>
      <c r="AX700" s="34"/>
      <c r="AY700"/>
      <c r="BA700" s="34"/>
      <c r="BB700"/>
      <c r="BC700" t="s">
        <v>818</v>
      </c>
      <c r="BD700" s="36">
        <v>533991</v>
      </c>
      <c r="BE700" s="36">
        <v>533991</v>
      </c>
      <c r="BF700">
        <v>0</v>
      </c>
      <c r="BG700" s="34">
        <v>43110</v>
      </c>
      <c r="BH700">
        <v>60</v>
      </c>
      <c r="BI700" t="s">
        <v>283</v>
      </c>
      <c r="BJ700" t="s">
        <v>928</v>
      </c>
      <c r="BK700" t="s">
        <v>934</v>
      </c>
      <c r="BL700" t="s">
        <v>194</v>
      </c>
      <c r="BM700" s="8" t="s">
        <v>192</v>
      </c>
      <c r="BN700" t="s">
        <v>189</v>
      </c>
      <c r="BO700" t="s">
        <v>190</v>
      </c>
      <c r="BP700" s="35" t="s">
        <v>718</v>
      </c>
      <c r="BQ700"/>
      <c r="BU700" s="35"/>
      <c r="BV700" s="35"/>
      <c r="BX700"/>
      <c r="CA700" s="35"/>
      <c r="CB700" s="35"/>
      <c r="CC700"/>
      <c r="CG700" s="35"/>
      <c r="CH700" s="35"/>
      <c r="CK700"/>
      <c r="CM700" s="35"/>
      <c r="CN700" s="35"/>
      <c r="CQ700"/>
      <c r="CS700" s="35"/>
      <c r="CT700" s="35"/>
      <c r="CX700"/>
      <c r="CZ700" s="35"/>
      <c r="DD700" s="34"/>
      <c r="DG700" t="s">
        <v>816</v>
      </c>
      <c r="DH700" t="s">
        <v>963</v>
      </c>
      <c r="DI700" t="s">
        <v>286</v>
      </c>
      <c r="DL700" t="s">
        <v>677</v>
      </c>
      <c r="DM700">
        <v>5</v>
      </c>
      <c r="DN700">
        <v>8</v>
      </c>
      <c r="DO700" t="s">
        <v>817</v>
      </c>
      <c r="DQ700" t="s">
        <v>927</v>
      </c>
      <c r="DR700">
        <v>14</v>
      </c>
      <c r="DS700">
        <v>2</v>
      </c>
      <c r="DU700">
        <v>14</v>
      </c>
      <c r="DV700">
        <v>2</v>
      </c>
      <c r="DX700">
        <v>14</v>
      </c>
      <c r="DY700">
        <v>2</v>
      </c>
      <c r="DZ700" t="s">
        <v>246</v>
      </c>
      <c r="EA700" t="s">
        <v>929</v>
      </c>
    </row>
    <row r="701" spans="1:131" x14ac:dyDescent="0.4">
      <c r="A701" s="34">
        <v>43067.305104166669</v>
      </c>
      <c r="B701" s="25">
        <v>42935.54583333333</v>
      </c>
      <c r="D701" s="34"/>
      <c r="E701" s="34" t="s">
        <v>193</v>
      </c>
      <c r="F701" s="34" t="s">
        <v>191</v>
      </c>
      <c r="G701" s="34" t="s">
        <v>100</v>
      </c>
      <c r="H701" t="s">
        <v>279</v>
      </c>
      <c r="I701" t="s">
        <v>243</v>
      </c>
      <c r="J701" t="s">
        <v>712</v>
      </c>
      <c r="K701" t="s">
        <v>729</v>
      </c>
      <c r="L701" t="s">
        <v>711</v>
      </c>
      <c r="M701" s="30">
        <v>3.13</v>
      </c>
      <c r="N701">
        <v>6.5</v>
      </c>
      <c r="P701" s="24" t="str">
        <f>IFERROR(MID(RADataTable[[#This Row],[RATemplate]],1,LEN(RADataTable[[#This Row],[RATemplate]])-8),"RA") &amp; " " &amp; RADataTable[[#This Row],[prop_id0]] &amp; " " &amp; RADataTable[[#This Row],[last0]]</f>
        <v>RA 1750463 Raghvendra</v>
      </c>
      <c r="T701">
        <v>4</v>
      </c>
      <c r="U701">
        <v>4</v>
      </c>
      <c r="V701" s="34">
        <v>43032.486805555556</v>
      </c>
      <c r="W701">
        <v>1</v>
      </c>
      <c r="X701" s="15" t="str">
        <f>HYPERLINK("https://www.ejacket.nsf.gov/ej/showProposal.do?Continue=Y&amp;ID="&amp;RADataTable[[#This Row],[prop_id0]],"eJ")</f>
        <v>eJ</v>
      </c>
      <c r="Y701" s="15" t="str">
        <f>HYPERLINK("mailto:"&amp;RADataTable[[#This Row],[email]]&amp;"&amp;subject=Your NSF Proposal:  "&amp;RADataTable[[#This Row],[Div]]&amp;" "&amp;RADataTable[[#This Row],[prop_id0]], RADataTable[[#This Row],[email]])</f>
        <v>sharathr@vt.edu</v>
      </c>
      <c r="Z701" s="15" t="str">
        <f>HYPERLINK("mailto:"&amp;RADataTable[[#This Row],[allPIemail]]&amp;"&amp;subject=NSF Proposal:  "&amp;RADataTable[[#This Row],[Div]]&amp;" "&amp;RADataTable[[#This Row],[prop_id0]], "PIs@")</f>
        <v>PIs@</v>
      </c>
      <c r="AA701" t="s">
        <v>245</v>
      </c>
      <c r="AB701" t="s">
        <v>677</v>
      </c>
      <c r="AC701" s="30" t="s">
        <v>812</v>
      </c>
      <c r="AD701" t="s">
        <v>813</v>
      </c>
      <c r="AE701" t="s">
        <v>814</v>
      </c>
      <c r="AF701" s="36">
        <v>533991</v>
      </c>
      <c r="AG701" s="36">
        <v>533991</v>
      </c>
      <c r="AH701" s="24"/>
      <c r="AJ701" s="34"/>
      <c r="AK701" t="s">
        <v>923</v>
      </c>
      <c r="AL701" t="s">
        <v>287</v>
      </c>
      <c r="AM701" s="34" t="s">
        <v>925</v>
      </c>
      <c r="AN701" s="34">
        <v>43032</v>
      </c>
      <c r="AO701" s="24">
        <v>13</v>
      </c>
      <c r="AP701" t="s">
        <v>962</v>
      </c>
      <c r="AR701" s="35"/>
      <c r="AS701"/>
      <c r="AT701" s="34"/>
      <c r="AV701" s="34"/>
      <c r="AX701" s="34"/>
      <c r="AY701"/>
      <c r="BA701" s="34"/>
      <c r="BB701"/>
      <c r="BC701" t="s">
        <v>818</v>
      </c>
      <c r="BD701" s="36">
        <v>533991</v>
      </c>
      <c r="BE701" s="36">
        <v>533991</v>
      </c>
      <c r="BF701">
        <v>0</v>
      </c>
      <c r="BG701" s="34">
        <v>43110</v>
      </c>
      <c r="BH701">
        <v>60</v>
      </c>
      <c r="BI701" t="s">
        <v>283</v>
      </c>
      <c r="BJ701" t="s">
        <v>928</v>
      </c>
      <c r="BK701" t="s">
        <v>934</v>
      </c>
      <c r="BL701" t="s">
        <v>194</v>
      </c>
      <c r="BM701" s="8" t="s">
        <v>192</v>
      </c>
      <c r="BN701" t="s">
        <v>189</v>
      </c>
      <c r="BO701" t="s">
        <v>190</v>
      </c>
      <c r="BP701" s="35" t="s">
        <v>718</v>
      </c>
      <c r="BQ701"/>
      <c r="BU701" s="35"/>
      <c r="BV701" s="35"/>
      <c r="BX701"/>
      <c r="CA701" s="35"/>
      <c r="CB701" s="35"/>
      <c r="CC701"/>
      <c r="CG701" s="35"/>
      <c r="CH701" s="35"/>
      <c r="CK701"/>
      <c r="CM701" s="35"/>
      <c r="CN701" s="35"/>
      <c r="CQ701"/>
      <c r="CS701" s="35"/>
      <c r="CT701" s="35"/>
      <c r="CX701"/>
      <c r="CZ701" s="35"/>
      <c r="DD701" s="34"/>
      <c r="DG701" t="s">
        <v>816</v>
      </c>
      <c r="DH701" t="s">
        <v>963</v>
      </c>
      <c r="DI701" t="s">
        <v>286</v>
      </c>
      <c r="DL701" t="s">
        <v>677</v>
      </c>
      <c r="DM701">
        <v>5</v>
      </c>
      <c r="DN701">
        <v>8</v>
      </c>
      <c r="DO701" t="s">
        <v>817</v>
      </c>
      <c r="DQ701" t="s">
        <v>927</v>
      </c>
      <c r="DR701">
        <v>14</v>
      </c>
      <c r="DS701">
        <v>2</v>
      </c>
      <c r="DU701">
        <v>14</v>
      </c>
      <c r="DV701">
        <v>2</v>
      </c>
      <c r="DX701">
        <v>14</v>
      </c>
      <c r="DY701">
        <v>2</v>
      </c>
      <c r="DZ701" t="s">
        <v>246</v>
      </c>
      <c r="EA701" t="s">
        <v>929</v>
      </c>
    </row>
    <row r="702" spans="1:131" x14ac:dyDescent="0.4">
      <c r="A702" s="34">
        <v>43067.305104166669</v>
      </c>
      <c r="B702" s="25">
        <v>42935.54583333333</v>
      </c>
      <c r="D702" s="34"/>
      <c r="E702" s="34" t="s">
        <v>193</v>
      </c>
      <c r="F702" s="34" t="s">
        <v>191</v>
      </c>
      <c r="G702" s="34" t="s">
        <v>100</v>
      </c>
      <c r="H702" t="s">
        <v>279</v>
      </c>
      <c r="I702" t="s">
        <v>243</v>
      </c>
      <c r="J702" t="s">
        <v>712</v>
      </c>
      <c r="K702" t="s">
        <v>729</v>
      </c>
      <c r="L702" t="s">
        <v>711</v>
      </c>
      <c r="M702" s="30">
        <v>3.13</v>
      </c>
      <c r="N702">
        <v>6.5</v>
      </c>
      <c r="P702" s="24" t="str">
        <f>IFERROR(MID(RADataTable[[#This Row],[RATemplate]],1,LEN(RADataTable[[#This Row],[RATemplate]])-8),"RA") &amp; " " &amp; RADataTable[[#This Row],[prop_id0]] &amp; " " &amp; RADataTable[[#This Row],[last0]]</f>
        <v>RA 1750463 Raghvendra</v>
      </c>
      <c r="T702">
        <v>4</v>
      </c>
      <c r="U702">
        <v>4</v>
      </c>
      <c r="V702" s="34">
        <v>43032.486805555556</v>
      </c>
      <c r="W702">
        <v>1</v>
      </c>
      <c r="X702" s="15" t="str">
        <f>HYPERLINK("https://www.ejacket.nsf.gov/ej/showProposal.do?Continue=Y&amp;ID="&amp;RADataTable[[#This Row],[prop_id0]],"eJ")</f>
        <v>eJ</v>
      </c>
      <c r="Y702" s="15" t="str">
        <f>HYPERLINK("mailto:"&amp;RADataTable[[#This Row],[email]]&amp;"&amp;subject=Your NSF Proposal:  "&amp;RADataTable[[#This Row],[Div]]&amp;" "&amp;RADataTable[[#This Row],[prop_id0]], RADataTable[[#This Row],[email]])</f>
        <v>sharathr@vt.edu</v>
      </c>
      <c r="Z702" s="15" t="str">
        <f>HYPERLINK("mailto:"&amp;RADataTable[[#This Row],[allPIemail]]&amp;"&amp;subject=NSF Proposal:  "&amp;RADataTable[[#This Row],[Div]]&amp;" "&amp;RADataTable[[#This Row],[prop_id0]], "PIs@")</f>
        <v>PIs@</v>
      </c>
      <c r="AA702" t="s">
        <v>245</v>
      </c>
      <c r="AB702" t="s">
        <v>677</v>
      </c>
      <c r="AC702" s="30" t="s">
        <v>812</v>
      </c>
      <c r="AD702" t="s">
        <v>813</v>
      </c>
      <c r="AE702" t="s">
        <v>814</v>
      </c>
      <c r="AF702" s="36">
        <v>533991</v>
      </c>
      <c r="AG702" s="36">
        <v>533991</v>
      </c>
      <c r="AH702" s="24"/>
      <c r="AJ702" s="34"/>
      <c r="AK702" t="s">
        <v>923</v>
      </c>
      <c r="AL702" t="s">
        <v>287</v>
      </c>
      <c r="AM702" s="34" t="s">
        <v>925</v>
      </c>
      <c r="AN702" s="34">
        <v>43032</v>
      </c>
      <c r="AO702" s="24">
        <v>13</v>
      </c>
      <c r="AP702" t="s">
        <v>962</v>
      </c>
      <c r="AR702" s="35"/>
      <c r="AS702"/>
      <c r="AT702" s="34"/>
      <c r="AV702" s="34"/>
      <c r="AX702" s="34"/>
      <c r="AY702"/>
      <c r="BA702" s="34"/>
      <c r="BB702"/>
      <c r="BC702" t="s">
        <v>818</v>
      </c>
      <c r="BD702" s="36">
        <v>533991</v>
      </c>
      <c r="BE702" s="36">
        <v>533991</v>
      </c>
      <c r="BF702">
        <v>0</v>
      </c>
      <c r="BG702" s="34">
        <v>43110</v>
      </c>
      <c r="BH702">
        <v>60</v>
      </c>
      <c r="BI702" t="s">
        <v>283</v>
      </c>
      <c r="BJ702" t="s">
        <v>928</v>
      </c>
      <c r="BK702" t="s">
        <v>934</v>
      </c>
      <c r="BL702" t="s">
        <v>194</v>
      </c>
      <c r="BM702" s="8" t="s">
        <v>192</v>
      </c>
      <c r="BN702" t="s">
        <v>189</v>
      </c>
      <c r="BO702" t="s">
        <v>190</v>
      </c>
      <c r="BP702" s="35" t="s">
        <v>718</v>
      </c>
      <c r="BQ702"/>
      <c r="BU702" s="35"/>
      <c r="BV702" s="35"/>
      <c r="BX702"/>
      <c r="CA702" s="35"/>
      <c r="CB702" s="35"/>
      <c r="CC702"/>
      <c r="CG702" s="35"/>
      <c r="CH702" s="35"/>
      <c r="CK702"/>
      <c r="CM702" s="35"/>
      <c r="CN702" s="35"/>
      <c r="CQ702"/>
      <c r="CS702" s="35"/>
      <c r="CT702" s="35"/>
      <c r="CX702"/>
      <c r="CZ702" s="35"/>
      <c r="DD702" s="34"/>
      <c r="DG702" t="s">
        <v>816</v>
      </c>
      <c r="DH702" t="s">
        <v>963</v>
      </c>
      <c r="DI702" t="s">
        <v>286</v>
      </c>
      <c r="DL702" t="s">
        <v>677</v>
      </c>
      <c r="DM702">
        <v>5</v>
      </c>
      <c r="DN702">
        <v>8</v>
      </c>
      <c r="DO702" t="s">
        <v>817</v>
      </c>
      <c r="DQ702" t="s">
        <v>927</v>
      </c>
      <c r="DR702">
        <v>14</v>
      </c>
      <c r="DS702">
        <v>2</v>
      </c>
      <c r="DU702">
        <v>14</v>
      </c>
      <c r="DV702">
        <v>2</v>
      </c>
      <c r="DX702">
        <v>14</v>
      </c>
      <c r="DY702">
        <v>2</v>
      </c>
      <c r="DZ702" t="s">
        <v>246</v>
      </c>
      <c r="EA702" t="s">
        <v>929</v>
      </c>
    </row>
    <row r="703" spans="1:131" x14ac:dyDescent="0.4">
      <c r="A703" s="34">
        <v>43067.305104166669</v>
      </c>
      <c r="B703" s="25">
        <v>42935.54583333333</v>
      </c>
      <c r="D703" s="34"/>
      <c r="E703" s="34" t="s">
        <v>193</v>
      </c>
      <c r="F703" s="34" t="s">
        <v>191</v>
      </c>
      <c r="G703" s="34" t="s">
        <v>100</v>
      </c>
      <c r="H703" t="s">
        <v>279</v>
      </c>
      <c r="I703" t="s">
        <v>243</v>
      </c>
      <c r="J703" t="s">
        <v>712</v>
      </c>
      <c r="K703" t="s">
        <v>729</v>
      </c>
      <c r="L703" t="s">
        <v>711</v>
      </c>
      <c r="M703" s="30">
        <v>3.13</v>
      </c>
      <c r="N703">
        <v>6.5</v>
      </c>
      <c r="P703" s="24" t="str">
        <f>IFERROR(MID(RADataTable[[#This Row],[RATemplate]],1,LEN(RADataTable[[#This Row],[RATemplate]])-8),"RA") &amp; " " &amp; RADataTable[[#This Row],[prop_id0]] &amp; " " &amp; RADataTable[[#This Row],[last0]]</f>
        <v>RA 1750463 Raghvendra</v>
      </c>
      <c r="T703">
        <v>4</v>
      </c>
      <c r="U703">
        <v>4</v>
      </c>
      <c r="V703" s="34">
        <v>43032.486805555556</v>
      </c>
      <c r="W703">
        <v>1</v>
      </c>
      <c r="X703" s="15" t="str">
        <f>HYPERLINK("https://www.ejacket.nsf.gov/ej/showProposal.do?Continue=Y&amp;ID="&amp;RADataTable[[#This Row],[prop_id0]],"eJ")</f>
        <v>eJ</v>
      </c>
      <c r="Y703" s="15" t="str">
        <f>HYPERLINK("mailto:"&amp;RADataTable[[#This Row],[email]]&amp;"&amp;subject=Your NSF Proposal:  "&amp;RADataTable[[#This Row],[Div]]&amp;" "&amp;RADataTable[[#This Row],[prop_id0]], RADataTable[[#This Row],[email]])</f>
        <v>sharathr@vt.edu</v>
      </c>
      <c r="Z703" s="15" t="str">
        <f>HYPERLINK("mailto:"&amp;RADataTable[[#This Row],[allPIemail]]&amp;"&amp;subject=NSF Proposal:  "&amp;RADataTable[[#This Row],[Div]]&amp;" "&amp;RADataTable[[#This Row],[prop_id0]], "PIs@")</f>
        <v>PIs@</v>
      </c>
      <c r="AA703" t="s">
        <v>245</v>
      </c>
      <c r="AB703" t="s">
        <v>677</v>
      </c>
      <c r="AC703" s="30" t="s">
        <v>812</v>
      </c>
      <c r="AD703" t="s">
        <v>813</v>
      </c>
      <c r="AE703" t="s">
        <v>814</v>
      </c>
      <c r="AF703" s="36">
        <v>533991</v>
      </c>
      <c r="AG703" s="36">
        <v>533991</v>
      </c>
      <c r="AH703" s="24"/>
      <c r="AJ703" s="34"/>
      <c r="AK703" t="s">
        <v>923</v>
      </c>
      <c r="AL703" t="s">
        <v>287</v>
      </c>
      <c r="AM703" s="34" t="s">
        <v>925</v>
      </c>
      <c r="AN703" s="34">
        <v>43032</v>
      </c>
      <c r="AO703" s="24">
        <v>13</v>
      </c>
      <c r="AP703" t="s">
        <v>962</v>
      </c>
      <c r="AR703" s="35"/>
      <c r="AS703"/>
      <c r="AT703" s="34"/>
      <c r="AV703" s="34"/>
      <c r="AX703" s="34"/>
      <c r="AY703"/>
      <c r="BA703" s="34"/>
      <c r="BB703"/>
      <c r="BC703" t="s">
        <v>818</v>
      </c>
      <c r="BD703" s="36">
        <v>533991</v>
      </c>
      <c r="BE703" s="36">
        <v>533991</v>
      </c>
      <c r="BF703">
        <v>0</v>
      </c>
      <c r="BG703" s="34">
        <v>43110</v>
      </c>
      <c r="BH703">
        <v>60</v>
      </c>
      <c r="BI703" t="s">
        <v>283</v>
      </c>
      <c r="BJ703" t="s">
        <v>928</v>
      </c>
      <c r="BK703" t="s">
        <v>934</v>
      </c>
      <c r="BL703" t="s">
        <v>194</v>
      </c>
      <c r="BM703" s="8" t="s">
        <v>192</v>
      </c>
      <c r="BN703" t="s">
        <v>189</v>
      </c>
      <c r="BO703" t="s">
        <v>190</v>
      </c>
      <c r="BP703" s="35" t="s">
        <v>718</v>
      </c>
      <c r="BQ703"/>
      <c r="BU703" s="35"/>
      <c r="BV703" s="35"/>
      <c r="BX703"/>
      <c r="CA703" s="35"/>
      <c r="CB703" s="35"/>
      <c r="CC703"/>
      <c r="CG703" s="35"/>
      <c r="CH703" s="35"/>
      <c r="CK703"/>
      <c r="CM703" s="35"/>
      <c r="CN703" s="35"/>
      <c r="CQ703"/>
      <c r="CS703" s="35"/>
      <c r="CT703" s="35"/>
      <c r="CX703"/>
      <c r="CZ703" s="35"/>
      <c r="DD703" s="34"/>
      <c r="DG703" t="s">
        <v>816</v>
      </c>
      <c r="DH703" t="s">
        <v>963</v>
      </c>
      <c r="DI703" t="s">
        <v>286</v>
      </c>
      <c r="DL703" t="s">
        <v>677</v>
      </c>
      <c r="DM703">
        <v>5</v>
      </c>
      <c r="DN703">
        <v>8</v>
      </c>
      <c r="DO703" t="s">
        <v>817</v>
      </c>
      <c r="DQ703" t="s">
        <v>927</v>
      </c>
      <c r="DR703">
        <v>14</v>
      </c>
      <c r="DS703">
        <v>2</v>
      </c>
      <c r="DU703">
        <v>14</v>
      </c>
      <c r="DV703">
        <v>2</v>
      </c>
      <c r="DX703">
        <v>14</v>
      </c>
      <c r="DY703">
        <v>2</v>
      </c>
      <c r="DZ703" t="s">
        <v>246</v>
      </c>
      <c r="EA703" t="s">
        <v>929</v>
      </c>
    </row>
    <row r="704" spans="1:131" x14ac:dyDescent="0.4">
      <c r="A704" s="34">
        <v>43067.305104166669</v>
      </c>
      <c r="B704" s="25">
        <v>42935.54583333333</v>
      </c>
      <c r="D704" s="34"/>
      <c r="E704" s="34" t="s">
        <v>193</v>
      </c>
      <c r="F704" s="34" t="s">
        <v>191</v>
      </c>
      <c r="G704" s="34" t="s">
        <v>100</v>
      </c>
      <c r="H704" t="s">
        <v>279</v>
      </c>
      <c r="I704" t="s">
        <v>243</v>
      </c>
      <c r="J704" t="s">
        <v>712</v>
      </c>
      <c r="K704" t="s">
        <v>729</v>
      </c>
      <c r="L704" t="s">
        <v>711</v>
      </c>
      <c r="M704" s="30">
        <v>3.13</v>
      </c>
      <c r="N704">
        <v>6.5</v>
      </c>
      <c r="P704" s="24" t="str">
        <f>IFERROR(MID(RADataTable[[#This Row],[RATemplate]],1,LEN(RADataTable[[#This Row],[RATemplate]])-8),"RA") &amp; " " &amp; RADataTable[[#This Row],[prop_id0]] &amp; " " &amp; RADataTable[[#This Row],[last0]]</f>
        <v>RA 1750463 Raghvendra</v>
      </c>
      <c r="T704">
        <v>4</v>
      </c>
      <c r="U704">
        <v>4</v>
      </c>
      <c r="V704" s="34">
        <v>43032.486805555556</v>
      </c>
      <c r="W704">
        <v>1</v>
      </c>
      <c r="X704" s="15" t="str">
        <f>HYPERLINK("https://www.ejacket.nsf.gov/ej/showProposal.do?Continue=Y&amp;ID="&amp;RADataTable[[#This Row],[prop_id0]],"eJ")</f>
        <v>eJ</v>
      </c>
      <c r="Y704" s="15" t="str">
        <f>HYPERLINK("mailto:"&amp;RADataTable[[#This Row],[email]]&amp;"&amp;subject=Your NSF Proposal:  "&amp;RADataTable[[#This Row],[Div]]&amp;" "&amp;RADataTable[[#This Row],[prop_id0]], RADataTable[[#This Row],[email]])</f>
        <v>sharathr@vt.edu</v>
      </c>
      <c r="Z704" s="15" t="str">
        <f>HYPERLINK("mailto:"&amp;RADataTable[[#This Row],[allPIemail]]&amp;"&amp;subject=NSF Proposal:  "&amp;RADataTable[[#This Row],[Div]]&amp;" "&amp;RADataTable[[#This Row],[prop_id0]], "PIs@")</f>
        <v>PIs@</v>
      </c>
      <c r="AA704" t="s">
        <v>245</v>
      </c>
      <c r="AB704" t="s">
        <v>677</v>
      </c>
      <c r="AC704" s="30" t="s">
        <v>812</v>
      </c>
      <c r="AD704" t="s">
        <v>813</v>
      </c>
      <c r="AE704" t="s">
        <v>814</v>
      </c>
      <c r="AF704" s="36">
        <v>533991</v>
      </c>
      <c r="AG704" s="36">
        <v>533991</v>
      </c>
      <c r="AH704" s="24"/>
      <c r="AJ704" s="34"/>
      <c r="AK704" t="s">
        <v>923</v>
      </c>
      <c r="AL704" t="s">
        <v>287</v>
      </c>
      <c r="AM704" s="34" t="s">
        <v>925</v>
      </c>
      <c r="AN704" s="34">
        <v>43032</v>
      </c>
      <c r="AO704" s="24">
        <v>13</v>
      </c>
      <c r="AP704" t="s">
        <v>962</v>
      </c>
      <c r="AR704" s="35"/>
      <c r="AS704"/>
      <c r="AT704" s="34"/>
      <c r="AV704" s="34"/>
      <c r="AX704" s="34"/>
      <c r="AY704"/>
      <c r="BA704" s="34"/>
      <c r="BB704"/>
      <c r="BC704" t="s">
        <v>818</v>
      </c>
      <c r="BD704" s="36">
        <v>533991</v>
      </c>
      <c r="BE704" s="36">
        <v>533991</v>
      </c>
      <c r="BF704">
        <v>0</v>
      </c>
      <c r="BG704" s="34">
        <v>43110</v>
      </c>
      <c r="BH704">
        <v>60</v>
      </c>
      <c r="BI704" t="s">
        <v>283</v>
      </c>
      <c r="BJ704" t="s">
        <v>928</v>
      </c>
      <c r="BK704" t="s">
        <v>934</v>
      </c>
      <c r="BL704" t="s">
        <v>194</v>
      </c>
      <c r="BM704" s="8" t="s">
        <v>192</v>
      </c>
      <c r="BN704" t="s">
        <v>189</v>
      </c>
      <c r="BO704" t="s">
        <v>190</v>
      </c>
      <c r="BP704" s="35" t="s">
        <v>718</v>
      </c>
      <c r="BQ704"/>
      <c r="BU704" s="35"/>
      <c r="BV704" s="35"/>
      <c r="BX704"/>
      <c r="CA704" s="35"/>
      <c r="CB704" s="35"/>
      <c r="CC704"/>
      <c r="CG704" s="35"/>
      <c r="CH704" s="35"/>
      <c r="CK704"/>
      <c r="CM704" s="35"/>
      <c r="CN704" s="35"/>
      <c r="CQ704"/>
      <c r="CS704" s="35"/>
      <c r="CT704" s="35"/>
      <c r="CX704"/>
      <c r="CZ704" s="35"/>
      <c r="DD704" s="34"/>
      <c r="DG704" t="s">
        <v>816</v>
      </c>
      <c r="DH704" t="s">
        <v>963</v>
      </c>
      <c r="DI704" t="s">
        <v>286</v>
      </c>
      <c r="DL704" t="s">
        <v>677</v>
      </c>
      <c r="DM704">
        <v>5</v>
      </c>
      <c r="DN704">
        <v>8</v>
      </c>
      <c r="DO704" t="s">
        <v>817</v>
      </c>
      <c r="DQ704" t="s">
        <v>927</v>
      </c>
      <c r="DR704">
        <v>14</v>
      </c>
      <c r="DS704">
        <v>2</v>
      </c>
      <c r="DU704">
        <v>14</v>
      </c>
      <c r="DV704">
        <v>2</v>
      </c>
      <c r="DX704">
        <v>14</v>
      </c>
      <c r="DY704">
        <v>2</v>
      </c>
      <c r="DZ704" t="s">
        <v>246</v>
      </c>
      <c r="EA704" t="s">
        <v>929</v>
      </c>
    </row>
    <row r="705" spans="1:131" x14ac:dyDescent="0.4">
      <c r="A705" s="34">
        <v>43067.305104166669</v>
      </c>
      <c r="B705" s="25">
        <v>42935.54583333333</v>
      </c>
      <c r="D705" s="34"/>
      <c r="E705" s="34" t="s">
        <v>193</v>
      </c>
      <c r="F705" s="34" t="s">
        <v>191</v>
      </c>
      <c r="G705" s="34" t="s">
        <v>100</v>
      </c>
      <c r="H705" t="s">
        <v>279</v>
      </c>
      <c r="I705" t="s">
        <v>243</v>
      </c>
      <c r="J705" t="s">
        <v>712</v>
      </c>
      <c r="K705" t="s">
        <v>729</v>
      </c>
      <c r="L705" t="s">
        <v>711</v>
      </c>
      <c r="M705" s="30">
        <v>3.13</v>
      </c>
      <c r="N705">
        <v>6.5</v>
      </c>
      <c r="P705" s="24" t="str">
        <f>IFERROR(MID(RADataTable[[#This Row],[RATemplate]],1,LEN(RADataTable[[#This Row],[RATemplate]])-8),"RA") &amp; " " &amp; RADataTable[[#This Row],[prop_id0]] &amp; " " &amp; RADataTable[[#This Row],[last0]]</f>
        <v>RA 1750463 Raghvendra</v>
      </c>
      <c r="T705">
        <v>4</v>
      </c>
      <c r="U705">
        <v>4</v>
      </c>
      <c r="V705" s="34">
        <v>43032.486805555556</v>
      </c>
      <c r="W705">
        <v>1</v>
      </c>
      <c r="X705" s="15" t="str">
        <f>HYPERLINK("https://www.ejacket.nsf.gov/ej/showProposal.do?Continue=Y&amp;ID="&amp;RADataTable[[#This Row],[prop_id0]],"eJ")</f>
        <v>eJ</v>
      </c>
      <c r="Y705" s="15" t="str">
        <f>HYPERLINK("mailto:"&amp;RADataTable[[#This Row],[email]]&amp;"&amp;subject=Your NSF Proposal:  "&amp;RADataTable[[#This Row],[Div]]&amp;" "&amp;RADataTable[[#This Row],[prop_id0]], RADataTable[[#This Row],[email]])</f>
        <v>sharathr@vt.edu</v>
      </c>
      <c r="Z705" s="15" t="str">
        <f>HYPERLINK("mailto:"&amp;RADataTable[[#This Row],[allPIemail]]&amp;"&amp;subject=NSF Proposal:  "&amp;RADataTable[[#This Row],[Div]]&amp;" "&amp;RADataTable[[#This Row],[prop_id0]], "PIs@")</f>
        <v>PIs@</v>
      </c>
      <c r="AA705" t="s">
        <v>245</v>
      </c>
      <c r="AB705" t="s">
        <v>677</v>
      </c>
      <c r="AC705" s="30" t="s">
        <v>812</v>
      </c>
      <c r="AD705" t="s">
        <v>813</v>
      </c>
      <c r="AE705" t="s">
        <v>814</v>
      </c>
      <c r="AF705" s="36">
        <v>533991</v>
      </c>
      <c r="AG705" s="36">
        <v>533991</v>
      </c>
      <c r="AH705" s="24"/>
      <c r="AJ705" s="34"/>
      <c r="AK705" t="s">
        <v>923</v>
      </c>
      <c r="AL705" t="s">
        <v>287</v>
      </c>
      <c r="AM705" s="34" t="s">
        <v>925</v>
      </c>
      <c r="AN705" s="34">
        <v>43032</v>
      </c>
      <c r="AO705" s="24">
        <v>13</v>
      </c>
      <c r="AP705" t="s">
        <v>962</v>
      </c>
      <c r="AR705" s="35"/>
      <c r="AS705"/>
      <c r="AT705" s="34"/>
      <c r="AV705" s="34"/>
      <c r="AX705" s="34"/>
      <c r="AY705"/>
      <c r="BA705" s="34"/>
      <c r="BB705"/>
      <c r="BC705" t="s">
        <v>818</v>
      </c>
      <c r="BD705" s="36">
        <v>533991</v>
      </c>
      <c r="BE705" s="36">
        <v>533991</v>
      </c>
      <c r="BF705">
        <v>0</v>
      </c>
      <c r="BG705" s="34">
        <v>43110</v>
      </c>
      <c r="BH705">
        <v>60</v>
      </c>
      <c r="BI705" t="s">
        <v>283</v>
      </c>
      <c r="BJ705" t="s">
        <v>928</v>
      </c>
      <c r="BK705" t="s">
        <v>934</v>
      </c>
      <c r="BL705" t="s">
        <v>194</v>
      </c>
      <c r="BM705" s="8" t="s">
        <v>192</v>
      </c>
      <c r="BN705" t="s">
        <v>189</v>
      </c>
      <c r="BO705" t="s">
        <v>190</v>
      </c>
      <c r="BP705" s="35" t="s">
        <v>718</v>
      </c>
      <c r="BQ705"/>
      <c r="BU705" s="35"/>
      <c r="BV705" s="35"/>
      <c r="BX705"/>
      <c r="CA705" s="35"/>
      <c r="CB705" s="35"/>
      <c r="CC705"/>
      <c r="CG705" s="35"/>
      <c r="CH705" s="35"/>
      <c r="CK705"/>
      <c r="CM705" s="35"/>
      <c r="CN705" s="35"/>
      <c r="CQ705"/>
      <c r="CS705" s="35"/>
      <c r="CT705" s="35"/>
      <c r="CX705"/>
      <c r="CZ705" s="35"/>
      <c r="DD705" s="34"/>
      <c r="DG705" t="s">
        <v>816</v>
      </c>
      <c r="DH705" t="s">
        <v>963</v>
      </c>
      <c r="DI705" t="s">
        <v>286</v>
      </c>
      <c r="DL705" t="s">
        <v>677</v>
      </c>
      <c r="DM705">
        <v>5</v>
      </c>
      <c r="DN705">
        <v>8</v>
      </c>
      <c r="DO705" t="s">
        <v>817</v>
      </c>
      <c r="DQ705" t="s">
        <v>927</v>
      </c>
      <c r="DR705">
        <v>14</v>
      </c>
      <c r="DS705">
        <v>2</v>
      </c>
      <c r="DU705">
        <v>14</v>
      </c>
      <c r="DV705">
        <v>2</v>
      </c>
      <c r="DX705">
        <v>14</v>
      </c>
      <c r="DY705">
        <v>2</v>
      </c>
      <c r="DZ705" t="s">
        <v>246</v>
      </c>
      <c r="EA705" t="s">
        <v>929</v>
      </c>
    </row>
    <row r="706" spans="1:131" x14ac:dyDescent="0.4">
      <c r="A706" s="34">
        <v>43067.305104166669</v>
      </c>
      <c r="B706" s="25">
        <v>42935.54583333333</v>
      </c>
      <c r="D706" s="34"/>
      <c r="E706" s="34" t="s">
        <v>193</v>
      </c>
      <c r="F706" s="34" t="s">
        <v>191</v>
      </c>
      <c r="G706" s="34" t="s">
        <v>100</v>
      </c>
      <c r="H706" t="s">
        <v>279</v>
      </c>
      <c r="I706" t="s">
        <v>243</v>
      </c>
      <c r="J706" t="s">
        <v>712</v>
      </c>
      <c r="K706" t="s">
        <v>729</v>
      </c>
      <c r="L706" t="s">
        <v>711</v>
      </c>
      <c r="M706" s="30">
        <v>3.13</v>
      </c>
      <c r="N706">
        <v>6.5</v>
      </c>
      <c r="P706" s="24" t="str">
        <f>IFERROR(MID(RADataTable[[#This Row],[RATemplate]],1,LEN(RADataTable[[#This Row],[RATemplate]])-8),"RA") &amp; " " &amp; RADataTable[[#This Row],[prop_id0]] &amp; " " &amp; RADataTable[[#This Row],[last0]]</f>
        <v>RA 1750463 Raghvendra</v>
      </c>
      <c r="T706">
        <v>4</v>
      </c>
      <c r="U706">
        <v>4</v>
      </c>
      <c r="V706" s="34">
        <v>43032.486805555556</v>
      </c>
      <c r="W706">
        <v>1</v>
      </c>
      <c r="X706" s="15" t="str">
        <f>HYPERLINK("https://www.ejacket.nsf.gov/ej/showProposal.do?Continue=Y&amp;ID="&amp;RADataTable[[#This Row],[prop_id0]],"eJ")</f>
        <v>eJ</v>
      </c>
      <c r="Y706" s="15" t="str">
        <f>HYPERLINK("mailto:"&amp;RADataTable[[#This Row],[email]]&amp;"&amp;subject=Your NSF Proposal:  "&amp;RADataTable[[#This Row],[Div]]&amp;" "&amp;RADataTable[[#This Row],[prop_id0]], RADataTable[[#This Row],[email]])</f>
        <v>sharathr@vt.edu</v>
      </c>
      <c r="Z706" s="15" t="str">
        <f>HYPERLINK("mailto:"&amp;RADataTable[[#This Row],[allPIemail]]&amp;"&amp;subject=NSF Proposal:  "&amp;RADataTable[[#This Row],[Div]]&amp;" "&amp;RADataTable[[#This Row],[prop_id0]], "PIs@")</f>
        <v>PIs@</v>
      </c>
      <c r="AA706" t="s">
        <v>245</v>
      </c>
      <c r="AB706" t="s">
        <v>677</v>
      </c>
      <c r="AC706" s="30" t="s">
        <v>812</v>
      </c>
      <c r="AD706" t="s">
        <v>813</v>
      </c>
      <c r="AE706" t="s">
        <v>814</v>
      </c>
      <c r="AF706" s="36">
        <v>533991</v>
      </c>
      <c r="AG706" s="36">
        <v>533991</v>
      </c>
      <c r="AH706" s="24"/>
      <c r="AJ706" s="34"/>
      <c r="AK706" t="s">
        <v>923</v>
      </c>
      <c r="AL706" t="s">
        <v>287</v>
      </c>
      <c r="AM706" s="34" t="s">
        <v>925</v>
      </c>
      <c r="AN706" s="34">
        <v>43032</v>
      </c>
      <c r="AO706" s="24">
        <v>13</v>
      </c>
      <c r="AP706" t="s">
        <v>962</v>
      </c>
      <c r="AR706" s="35"/>
      <c r="AS706"/>
      <c r="AT706" s="34"/>
      <c r="AV706" s="34"/>
      <c r="AX706" s="34"/>
      <c r="AY706"/>
      <c r="BA706" s="34"/>
      <c r="BB706"/>
      <c r="BC706" t="s">
        <v>818</v>
      </c>
      <c r="BD706" s="36">
        <v>533991</v>
      </c>
      <c r="BE706" s="36">
        <v>533991</v>
      </c>
      <c r="BF706">
        <v>0</v>
      </c>
      <c r="BG706" s="34">
        <v>43110</v>
      </c>
      <c r="BH706">
        <v>60</v>
      </c>
      <c r="BI706" t="s">
        <v>283</v>
      </c>
      <c r="BJ706" t="s">
        <v>928</v>
      </c>
      <c r="BK706" t="s">
        <v>934</v>
      </c>
      <c r="BL706" t="s">
        <v>194</v>
      </c>
      <c r="BM706" s="8" t="s">
        <v>192</v>
      </c>
      <c r="BN706" t="s">
        <v>189</v>
      </c>
      <c r="BO706" t="s">
        <v>190</v>
      </c>
      <c r="BP706" s="35" t="s">
        <v>718</v>
      </c>
      <c r="BQ706"/>
      <c r="BU706" s="35"/>
      <c r="BV706" s="35"/>
      <c r="BX706"/>
      <c r="CA706" s="35"/>
      <c r="CB706" s="35"/>
      <c r="CC706"/>
      <c r="CG706" s="35"/>
      <c r="CH706" s="35"/>
      <c r="CK706"/>
      <c r="CM706" s="35"/>
      <c r="CN706" s="35"/>
      <c r="CQ706"/>
      <c r="CS706" s="35"/>
      <c r="CT706" s="35"/>
      <c r="CX706"/>
      <c r="CZ706" s="35"/>
      <c r="DD706" s="34"/>
      <c r="DG706" t="s">
        <v>816</v>
      </c>
      <c r="DH706" t="s">
        <v>963</v>
      </c>
      <c r="DI706" t="s">
        <v>286</v>
      </c>
      <c r="DL706" t="s">
        <v>677</v>
      </c>
      <c r="DM706">
        <v>5</v>
      </c>
      <c r="DN706">
        <v>8</v>
      </c>
      <c r="DO706" t="s">
        <v>817</v>
      </c>
      <c r="DQ706" t="s">
        <v>927</v>
      </c>
      <c r="DR706">
        <v>14</v>
      </c>
      <c r="DS706">
        <v>2</v>
      </c>
      <c r="DU706">
        <v>14</v>
      </c>
      <c r="DV706">
        <v>2</v>
      </c>
      <c r="DX706">
        <v>14</v>
      </c>
      <c r="DY706">
        <v>2</v>
      </c>
      <c r="DZ706" t="s">
        <v>246</v>
      </c>
      <c r="EA706" t="s">
        <v>929</v>
      </c>
    </row>
    <row r="707" spans="1:131" x14ac:dyDescent="0.4">
      <c r="A707" s="34">
        <v>43067.305104166669</v>
      </c>
      <c r="B707" s="25">
        <v>42935.54583333333</v>
      </c>
      <c r="D707" s="34"/>
      <c r="E707" s="34" t="s">
        <v>193</v>
      </c>
      <c r="F707" s="34" t="s">
        <v>191</v>
      </c>
      <c r="G707" s="34" t="s">
        <v>100</v>
      </c>
      <c r="H707" t="s">
        <v>279</v>
      </c>
      <c r="I707" t="s">
        <v>243</v>
      </c>
      <c r="J707" t="s">
        <v>712</v>
      </c>
      <c r="K707" t="s">
        <v>729</v>
      </c>
      <c r="L707" t="s">
        <v>711</v>
      </c>
      <c r="M707" s="30">
        <v>3.13</v>
      </c>
      <c r="N707">
        <v>6.5</v>
      </c>
      <c r="P707" s="24" t="str">
        <f>IFERROR(MID(RADataTable[[#This Row],[RATemplate]],1,LEN(RADataTable[[#This Row],[RATemplate]])-8),"RA") &amp; " " &amp; RADataTable[[#This Row],[prop_id0]] &amp; " " &amp; RADataTable[[#This Row],[last0]]</f>
        <v>RA 1750463 Raghvendra</v>
      </c>
      <c r="T707">
        <v>4</v>
      </c>
      <c r="U707">
        <v>4</v>
      </c>
      <c r="V707" s="34">
        <v>43032.486805555556</v>
      </c>
      <c r="W707">
        <v>1</v>
      </c>
      <c r="X707" s="15" t="str">
        <f>HYPERLINK("https://www.ejacket.nsf.gov/ej/showProposal.do?Continue=Y&amp;ID="&amp;RADataTable[[#This Row],[prop_id0]],"eJ")</f>
        <v>eJ</v>
      </c>
      <c r="Y707" s="15" t="str">
        <f>HYPERLINK("mailto:"&amp;RADataTable[[#This Row],[email]]&amp;"&amp;subject=Your NSF Proposal:  "&amp;RADataTable[[#This Row],[Div]]&amp;" "&amp;RADataTable[[#This Row],[prop_id0]], RADataTable[[#This Row],[email]])</f>
        <v>sharathr@vt.edu</v>
      </c>
      <c r="Z707" s="15" t="str">
        <f>HYPERLINK("mailto:"&amp;RADataTable[[#This Row],[allPIemail]]&amp;"&amp;subject=NSF Proposal:  "&amp;RADataTable[[#This Row],[Div]]&amp;" "&amp;RADataTable[[#This Row],[prop_id0]], "PIs@")</f>
        <v>PIs@</v>
      </c>
      <c r="AA707" t="s">
        <v>245</v>
      </c>
      <c r="AB707" t="s">
        <v>677</v>
      </c>
      <c r="AC707" s="30" t="s">
        <v>812</v>
      </c>
      <c r="AD707" t="s">
        <v>813</v>
      </c>
      <c r="AE707" t="s">
        <v>814</v>
      </c>
      <c r="AF707" s="36">
        <v>533991</v>
      </c>
      <c r="AG707" s="36">
        <v>533991</v>
      </c>
      <c r="AH707" s="24"/>
      <c r="AJ707" s="34"/>
      <c r="AK707" t="s">
        <v>923</v>
      </c>
      <c r="AL707" t="s">
        <v>287</v>
      </c>
      <c r="AM707" s="34" t="s">
        <v>925</v>
      </c>
      <c r="AN707" s="34">
        <v>43032</v>
      </c>
      <c r="AO707" s="24">
        <v>13</v>
      </c>
      <c r="AP707" t="s">
        <v>962</v>
      </c>
      <c r="AR707" s="35"/>
      <c r="AS707"/>
      <c r="AT707" s="34"/>
      <c r="AV707" s="34"/>
      <c r="AX707" s="34"/>
      <c r="AY707"/>
      <c r="BA707" s="34"/>
      <c r="BB707"/>
      <c r="BC707" t="s">
        <v>818</v>
      </c>
      <c r="BD707" s="36">
        <v>533991</v>
      </c>
      <c r="BE707" s="36">
        <v>533991</v>
      </c>
      <c r="BF707">
        <v>0</v>
      </c>
      <c r="BG707" s="34">
        <v>43110</v>
      </c>
      <c r="BH707">
        <v>60</v>
      </c>
      <c r="BI707" t="s">
        <v>283</v>
      </c>
      <c r="BJ707" t="s">
        <v>928</v>
      </c>
      <c r="BK707" t="s">
        <v>934</v>
      </c>
      <c r="BL707" t="s">
        <v>194</v>
      </c>
      <c r="BM707" s="8" t="s">
        <v>192</v>
      </c>
      <c r="BN707" t="s">
        <v>189</v>
      </c>
      <c r="BO707" t="s">
        <v>190</v>
      </c>
      <c r="BP707" s="35" t="s">
        <v>718</v>
      </c>
      <c r="BQ707"/>
      <c r="BU707" s="35"/>
      <c r="BV707" s="35"/>
      <c r="BX707"/>
      <c r="CA707" s="35"/>
      <c r="CB707" s="35"/>
      <c r="CC707"/>
      <c r="CG707" s="35"/>
      <c r="CH707" s="35"/>
      <c r="CK707"/>
      <c r="CM707" s="35"/>
      <c r="CN707" s="35"/>
      <c r="CQ707"/>
      <c r="CS707" s="35"/>
      <c r="CT707" s="35"/>
      <c r="CX707"/>
      <c r="CZ707" s="35"/>
      <c r="DD707" s="34"/>
      <c r="DG707" t="s">
        <v>816</v>
      </c>
      <c r="DH707" t="s">
        <v>963</v>
      </c>
      <c r="DI707" t="s">
        <v>286</v>
      </c>
      <c r="DL707" t="s">
        <v>677</v>
      </c>
      <c r="DM707">
        <v>5</v>
      </c>
      <c r="DN707">
        <v>8</v>
      </c>
      <c r="DO707" t="s">
        <v>817</v>
      </c>
      <c r="DQ707" t="s">
        <v>927</v>
      </c>
      <c r="DR707">
        <v>14</v>
      </c>
      <c r="DS707">
        <v>2</v>
      </c>
      <c r="DU707">
        <v>14</v>
      </c>
      <c r="DV707">
        <v>2</v>
      </c>
      <c r="DX707">
        <v>14</v>
      </c>
      <c r="DY707">
        <v>2</v>
      </c>
      <c r="DZ707" t="s">
        <v>246</v>
      </c>
      <c r="EA707" t="s">
        <v>929</v>
      </c>
    </row>
    <row r="708" spans="1:131" x14ac:dyDescent="0.4">
      <c r="A708" s="34">
        <v>43067.305104166669</v>
      </c>
      <c r="B708" s="25">
        <v>42935.54583333333</v>
      </c>
      <c r="D708" s="34"/>
      <c r="E708" s="34" t="s">
        <v>193</v>
      </c>
      <c r="F708" s="34" t="s">
        <v>191</v>
      </c>
      <c r="G708" s="34" t="s">
        <v>100</v>
      </c>
      <c r="H708" t="s">
        <v>279</v>
      </c>
      <c r="I708" t="s">
        <v>243</v>
      </c>
      <c r="J708" t="s">
        <v>712</v>
      </c>
      <c r="K708" t="s">
        <v>729</v>
      </c>
      <c r="L708" t="s">
        <v>711</v>
      </c>
      <c r="M708" s="30">
        <v>3.13</v>
      </c>
      <c r="N708">
        <v>6.5</v>
      </c>
      <c r="P708" s="24" t="str">
        <f>IFERROR(MID(RADataTable[[#This Row],[RATemplate]],1,LEN(RADataTable[[#This Row],[RATemplate]])-8),"RA") &amp; " " &amp; RADataTable[[#This Row],[prop_id0]] &amp; " " &amp; RADataTable[[#This Row],[last0]]</f>
        <v>RA 1750463 Raghvendra</v>
      </c>
      <c r="T708">
        <v>4</v>
      </c>
      <c r="U708">
        <v>4</v>
      </c>
      <c r="V708" s="34">
        <v>43032.486805555556</v>
      </c>
      <c r="W708">
        <v>1</v>
      </c>
      <c r="X708" s="15" t="str">
        <f>HYPERLINK("https://www.ejacket.nsf.gov/ej/showProposal.do?Continue=Y&amp;ID="&amp;RADataTable[[#This Row],[prop_id0]],"eJ")</f>
        <v>eJ</v>
      </c>
      <c r="Y708" s="15" t="str">
        <f>HYPERLINK("mailto:"&amp;RADataTable[[#This Row],[email]]&amp;"&amp;subject=Your NSF Proposal:  "&amp;RADataTable[[#This Row],[Div]]&amp;" "&amp;RADataTable[[#This Row],[prop_id0]], RADataTable[[#This Row],[email]])</f>
        <v>sharathr@vt.edu</v>
      </c>
      <c r="Z708" s="15" t="str">
        <f>HYPERLINK("mailto:"&amp;RADataTable[[#This Row],[allPIemail]]&amp;"&amp;subject=NSF Proposal:  "&amp;RADataTable[[#This Row],[Div]]&amp;" "&amp;RADataTable[[#This Row],[prop_id0]], "PIs@")</f>
        <v>PIs@</v>
      </c>
      <c r="AA708" t="s">
        <v>245</v>
      </c>
      <c r="AB708" t="s">
        <v>677</v>
      </c>
      <c r="AC708" s="30" t="s">
        <v>812</v>
      </c>
      <c r="AD708" t="s">
        <v>813</v>
      </c>
      <c r="AE708" t="s">
        <v>814</v>
      </c>
      <c r="AF708" s="36">
        <v>533991</v>
      </c>
      <c r="AG708" s="36">
        <v>533991</v>
      </c>
      <c r="AH708" s="24"/>
      <c r="AJ708" s="34"/>
      <c r="AK708" t="s">
        <v>923</v>
      </c>
      <c r="AL708" t="s">
        <v>287</v>
      </c>
      <c r="AM708" s="34" t="s">
        <v>925</v>
      </c>
      <c r="AN708" s="34">
        <v>43032</v>
      </c>
      <c r="AO708" s="24">
        <v>13</v>
      </c>
      <c r="AP708" t="s">
        <v>962</v>
      </c>
      <c r="AR708" s="35"/>
      <c r="AS708"/>
      <c r="AT708" s="34"/>
      <c r="AV708" s="34"/>
      <c r="AX708" s="34"/>
      <c r="AY708"/>
      <c r="BA708" s="34"/>
      <c r="BB708"/>
      <c r="BC708" t="s">
        <v>818</v>
      </c>
      <c r="BD708" s="36">
        <v>533991</v>
      </c>
      <c r="BE708" s="36">
        <v>533991</v>
      </c>
      <c r="BF708">
        <v>0</v>
      </c>
      <c r="BG708" s="34">
        <v>43110</v>
      </c>
      <c r="BH708">
        <v>60</v>
      </c>
      <c r="BI708" t="s">
        <v>283</v>
      </c>
      <c r="BJ708" t="s">
        <v>928</v>
      </c>
      <c r="BK708" t="s">
        <v>934</v>
      </c>
      <c r="BL708" t="s">
        <v>194</v>
      </c>
      <c r="BM708" s="8" t="s">
        <v>192</v>
      </c>
      <c r="BN708" t="s">
        <v>189</v>
      </c>
      <c r="BO708" t="s">
        <v>190</v>
      </c>
      <c r="BP708" s="35" t="s">
        <v>718</v>
      </c>
      <c r="BQ708"/>
      <c r="BU708" s="35"/>
      <c r="BV708" s="35"/>
      <c r="BX708"/>
      <c r="CA708" s="35"/>
      <c r="CB708" s="35"/>
      <c r="CC708"/>
      <c r="CG708" s="35"/>
      <c r="CH708" s="35"/>
      <c r="CK708"/>
      <c r="CM708" s="35"/>
      <c r="CN708" s="35"/>
      <c r="CQ708"/>
      <c r="CS708" s="35"/>
      <c r="CT708" s="35"/>
      <c r="CX708"/>
      <c r="CZ708" s="35"/>
      <c r="DD708" s="34"/>
      <c r="DG708" t="s">
        <v>816</v>
      </c>
      <c r="DH708" t="s">
        <v>963</v>
      </c>
      <c r="DI708" t="s">
        <v>286</v>
      </c>
      <c r="DL708" t="s">
        <v>677</v>
      </c>
      <c r="DM708">
        <v>5</v>
      </c>
      <c r="DN708">
        <v>8</v>
      </c>
      <c r="DO708" t="s">
        <v>817</v>
      </c>
      <c r="DQ708" t="s">
        <v>927</v>
      </c>
      <c r="DR708">
        <v>14</v>
      </c>
      <c r="DS708">
        <v>2</v>
      </c>
      <c r="DU708">
        <v>14</v>
      </c>
      <c r="DV708">
        <v>2</v>
      </c>
      <c r="DX708">
        <v>14</v>
      </c>
      <c r="DY708">
        <v>2</v>
      </c>
      <c r="DZ708" t="s">
        <v>246</v>
      </c>
      <c r="EA708" t="s">
        <v>929</v>
      </c>
    </row>
    <row r="709" spans="1:131" x14ac:dyDescent="0.4">
      <c r="A709" s="34">
        <v>43067.305104166669</v>
      </c>
      <c r="B709" s="25">
        <v>42935.54583333333</v>
      </c>
      <c r="D709" s="34"/>
      <c r="E709" s="34" t="s">
        <v>193</v>
      </c>
      <c r="F709" s="34" t="s">
        <v>191</v>
      </c>
      <c r="G709" s="34" t="s">
        <v>100</v>
      </c>
      <c r="H709" t="s">
        <v>279</v>
      </c>
      <c r="I709" t="s">
        <v>243</v>
      </c>
      <c r="J709" t="s">
        <v>712</v>
      </c>
      <c r="K709" t="s">
        <v>729</v>
      </c>
      <c r="L709" t="s">
        <v>711</v>
      </c>
      <c r="M709" s="30">
        <v>3.13</v>
      </c>
      <c r="N709">
        <v>6.5</v>
      </c>
      <c r="P709" s="24" t="str">
        <f>IFERROR(MID(RADataTable[[#This Row],[RATemplate]],1,LEN(RADataTable[[#This Row],[RATemplate]])-8),"RA") &amp; " " &amp; RADataTable[[#This Row],[prop_id0]] &amp; " " &amp; RADataTable[[#This Row],[last0]]</f>
        <v>RA 1750463 Raghvendra</v>
      </c>
      <c r="T709">
        <v>4</v>
      </c>
      <c r="U709">
        <v>4</v>
      </c>
      <c r="V709" s="34">
        <v>43032.486805555556</v>
      </c>
      <c r="W709">
        <v>1</v>
      </c>
      <c r="X709" s="15" t="str">
        <f>HYPERLINK("https://www.ejacket.nsf.gov/ej/showProposal.do?Continue=Y&amp;ID="&amp;RADataTable[[#This Row],[prop_id0]],"eJ")</f>
        <v>eJ</v>
      </c>
      <c r="Y709" s="15" t="str">
        <f>HYPERLINK("mailto:"&amp;RADataTable[[#This Row],[email]]&amp;"&amp;subject=Your NSF Proposal:  "&amp;RADataTable[[#This Row],[Div]]&amp;" "&amp;RADataTable[[#This Row],[prop_id0]], RADataTable[[#This Row],[email]])</f>
        <v>sharathr@vt.edu</v>
      </c>
      <c r="Z709" s="15" t="str">
        <f>HYPERLINK("mailto:"&amp;RADataTable[[#This Row],[allPIemail]]&amp;"&amp;subject=NSF Proposal:  "&amp;RADataTable[[#This Row],[Div]]&amp;" "&amp;RADataTable[[#This Row],[prop_id0]], "PIs@")</f>
        <v>PIs@</v>
      </c>
      <c r="AA709" t="s">
        <v>245</v>
      </c>
      <c r="AB709" t="s">
        <v>677</v>
      </c>
      <c r="AC709" s="30" t="s">
        <v>812</v>
      </c>
      <c r="AD709" t="s">
        <v>813</v>
      </c>
      <c r="AE709" t="s">
        <v>814</v>
      </c>
      <c r="AF709" s="36">
        <v>533991</v>
      </c>
      <c r="AG709" s="36">
        <v>533991</v>
      </c>
      <c r="AH709" s="24"/>
      <c r="AJ709" s="34"/>
      <c r="AK709" t="s">
        <v>923</v>
      </c>
      <c r="AL709" t="s">
        <v>287</v>
      </c>
      <c r="AM709" s="34" t="s">
        <v>925</v>
      </c>
      <c r="AN709" s="34">
        <v>43032</v>
      </c>
      <c r="AO709" s="24">
        <v>13</v>
      </c>
      <c r="AP709" t="s">
        <v>962</v>
      </c>
      <c r="AR709" s="35"/>
      <c r="AS709"/>
      <c r="AT709" s="34"/>
      <c r="AV709" s="34"/>
      <c r="AX709" s="34"/>
      <c r="AY709"/>
      <c r="BA709" s="34"/>
      <c r="BB709"/>
      <c r="BC709" t="s">
        <v>818</v>
      </c>
      <c r="BD709" s="36">
        <v>533991</v>
      </c>
      <c r="BE709" s="36">
        <v>533991</v>
      </c>
      <c r="BF709">
        <v>0</v>
      </c>
      <c r="BG709" s="34">
        <v>43110</v>
      </c>
      <c r="BH709">
        <v>60</v>
      </c>
      <c r="BI709" t="s">
        <v>283</v>
      </c>
      <c r="BJ709" t="s">
        <v>928</v>
      </c>
      <c r="BK709" t="s">
        <v>934</v>
      </c>
      <c r="BL709" t="s">
        <v>194</v>
      </c>
      <c r="BM709" s="8" t="s">
        <v>192</v>
      </c>
      <c r="BN709" t="s">
        <v>189</v>
      </c>
      <c r="BO709" t="s">
        <v>190</v>
      </c>
      <c r="BP709" s="35" t="s">
        <v>718</v>
      </c>
      <c r="BQ709"/>
      <c r="BU709" s="35"/>
      <c r="BV709" s="35"/>
      <c r="BX709"/>
      <c r="CA709" s="35"/>
      <c r="CB709" s="35"/>
      <c r="CC709"/>
      <c r="CG709" s="35"/>
      <c r="CH709" s="35"/>
      <c r="CK709"/>
      <c r="CM709" s="35"/>
      <c r="CN709" s="35"/>
      <c r="CQ709"/>
      <c r="CS709" s="35"/>
      <c r="CT709" s="35"/>
      <c r="CX709"/>
      <c r="CZ709" s="35"/>
      <c r="DD709" s="34"/>
      <c r="DG709" t="s">
        <v>816</v>
      </c>
      <c r="DH709" t="s">
        <v>963</v>
      </c>
      <c r="DI709" t="s">
        <v>286</v>
      </c>
      <c r="DL709" t="s">
        <v>677</v>
      </c>
      <c r="DM709">
        <v>5</v>
      </c>
      <c r="DN709">
        <v>8</v>
      </c>
      <c r="DO709" t="s">
        <v>817</v>
      </c>
      <c r="DQ709" t="s">
        <v>927</v>
      </c>
      <c r="DR709">
        <v>14</v>
      </c>
      <c r="DS709">
        <v>2</v>
      </c>
      <c r="DU709">
        <v>14</v>
      </c>
      <c r="DV709">
        <v>2</v>
      </c>
      <c r="DX709">
        <v>14</v>
      </c>
      <c r="DY709">
        <v>2</v>
      </c>
      <c r="DZ709" t="s">
        <v>246</v>
      </c>
      <c r="EA709" t="s">
        <v>929</v>
      </c>
    </row>
    <row r="710" spans="1:131" x14ac:dyDescent="0.4">
      <c r="A710" s="34">
        <v>43067.305104166669</v>
      </c>
      <c r="B710" s="25">
        <v>42935.54583333333</v>
      </c>
      <c r="D710" s="34"/>
      <c r="E710" s="34" t="s">
        <v>193</v>
      </c>
      <c r="F710" s="34" t="s">
        <v>191</v>
      </c>
      <c r="G710" s="34" t="s">
        <v>100</v>
      </c>
      <c r="H710" t="s">
        <v>279</v>
      </c>
      <c r="I710" t="s">
        <v>243</v>
      </c>
      <c r="J710" t="s">
        <v>712</v>
      </c>
      <c r="K710" t="s">
        <v>729</v>
      </c>
      <c r="L710" t="s">
        <v>711</v>
      </c>
      <c r="M710" s="30">
        <v>3.13</v>
      </c>
      <c r="N710">
        <v>6.5</v>
      </c>
      <c r="P710" s="24" t="str">
        <f>IFERROR(MID(RADataTable[[#This Row],[RATemplate]],1,LEN(RADataTable[[#This Row],[RATemplate]])-8),"RA") &amp; " " &amp; RADataTable[[#This Row],[prop_id0]] &amp; " " &amp; RADataTable[[#This Row],[last0]]</f>
        <v>RA 1750463 Raghvendra</v>
      </c>
      <c r="T710">
        <v>4</v>
      </c>
      <c r="U710">
        <v>4</v>
      </c>
      <c r="V710" s="34">
        <v>43032.486805555556</v>
      </c>
      <c r="W710">
        <v>1</v>
      </c>
      <c r="X710" s="15" t="str">
        <f>HYPERLINK("https://www.ejacket.nsf.gov/ej/showProposal.do?Continue=Y&amp;ID="&amp;RADataTable[[#This Row],[prop_id0]],"eJ")</f>
        <v>eJ</v>
      </c>
      <c r="Y710" s="15" t="str">
        <f>HYPERLINK("mailto:"&amp;RADataTable[[#This Row],[email]]&amp;"&amp;subject=Your NSF Proposal:  "&amp;RADataTable[[#This Row],[Div]]&amp;" "&amp;RADataTable[[#This Row],[prop_id0]], RADataTable[[#This Row],[email]])</f>
        <v>sharathr@vt.edu</v>
      </c>
      <c r="Z710" s="15" t="str">
        <f>HYPERLINK("mailto:"&amp;RADataTable[[#This Row],[allPIemail]]&amp;"&amp;subject=NSF Proposal:  "&amp;RADataTable[[#This Row],[Div]]&amp;" "&amp;RADataTable[[#This Row],[prop_id0]], "PIs@")</f>
        <v>PIs@</v>
      </c>
      <c r="AA710" t="s">
        <v>245</v>
      </c>
      <c r="AB710" t="s">
        <v>677</v>
      </c>
      <c r="AC710" s="30" t="s">
        <v>812</v>
      </c>
      <c r="AD710" t="s">
        <v>813</v>
      </c>
      <c r="AE710" t="s">
        <v>814</v>
      </c>
      <c r="AF710" s="36">
        <v>533991</v>
      </c>
      <c r="AG710" s="36">
        <v>533991</v>
      </c>
      <c r="AH710" s="24"/>
      <c r="AJ710" s="34"/>
      <c r="AK710" t="s">
        <v>923</v>
      </c>
      <c r="AL710" t="s">
        <v>287</v>
      </c>
      <c r="AM710" s="34" t="s">
        <v>925</v>
      </c>
      <c r="AN710" s="34">
        <v>43032</v>
      </c>
      <c r="AO710" s="24">
        <v>13</v>
      </c>
      <c r="AP710" t="s">
        <v>962</v>
      </c>
      <c r="AR710" s="35"/>
      <c r="AS710"/>
      <c r="AT710" s="34"/>
      <c r="AV710" s="34"/>
      <c r="AX710" s="34"/>
      <c r="AY710"/>
      <c r="BA710" s="34"/>
      <c r="BB710"/>
      <c r="BC710" t="s">
        <v>818</v>
      </c>
      <c r="BD710" s="36">
        <v>533991</v>
      </c>
      <c r="BE710" s="36">
        <v>533991</v>
      </c>
      <c r="BF710">
        <v>0</v>
      </c>
      <c r="BG710" s="34">
        <v>43110</v>
      </c>
      <c r="BH710">
        <v>60</v>
      </c>
      <c r="BI710" t="s">
        <v>283</v>
      </c>
      <c r="BJ710" t="s">
        <v>928</v>
      </c>
      <c r="BK710" t="s">
        <v>934</v>
      </c>
      <c r="BL710" t="s">
        <v>194</v>
      </c>
      <c r="BM710" s="8" t="s">
        <v>192</v>
      </c>
      <c r="BN710" t="s">
        <v>189</v>
      </c>
      <c r="BO710" t="s">
        <v>190</v>
      </c>
      <c r="BP710" s="35" t="s">
        <v>718</v>
      </c>
      <c r="BQ710"/>
      <c r="BU710" s="35"/>
      <c r="BV710" s="35"/>
      <c r="BX710"/>
      <c r="CA710" s="35"/>
      <c r="CB710" s="35"/>
      <c r="CC710"/>
      <c r="CG710" s="35"/>
      <c r="CH710" s="35"/>
      <c r="CK710"/>
      <c r="CM710" s="35"/>
      <c r="CN710" s="35"/>
      <c r="CQ710"/>
      <c r="CS710" s="35"/>
      <c r="CT710" s="35"/>
      <c r="CX710"/>
      <c r="CZ710" s="35"/>
      <c r="DD710" s="34"/>
      <c r="DG710" t="s">
        <v>816</v>
      </c>
      <c r="DH710" t="s">
        <v>963</v>
      </c>
      <c r="DI710" t="s">
        <v>286</v>
      </c>
      <c r="DL710" t="s">
        <v>677</v>
      </c>
      <c r="DM710">
        <v>5</v>
      </c>
      <c r="DN710">
        <v>8</v>
      </c>
      <c r="DO710" t="s">
        <v>817</v>
      </c>
      <c r="DQ710" t="s">
        <v>927</v>
      </c>
      <c r="DR710">
        <v>14</v>
      </c>
      <c r="DS710">
        <v>2</v>
      </c>
      <c r="DU710">
        <v>14</v>
      </c>
      <c r="DV710">
        <v>2</v>
      </c>
      <c r="DX710">
        <v>14</v>
      </c>
      <c r="DY710">
        <v>2</v>
      </c>
      <c r="DZ710" t="s">
        <v>246</v>
      </c>
      <c r="EA710" t="s">
        <v>929</v>
      </c>
    </row>
    <row r="711" spans="1:131" x14ac:dyDescent="0.4">
      <c r="A711" s="34">
        <v>43067.305104166669</v>
      </c>
      <c r="B711" s="25">
        <v>42935.54583333333</v>
      </c>
      <c r="D711" s="34"/>
      <c r="E711" s="34" t="s">
        <v>193</v>
      </c>
      <c r="F711" s="34" t="s">
        <v>191</v>
      </c>
      <c r="G711" s="34" t="s">
        <v>100</v>
      </c>
      <c r="H711" t="s">
        <v>279</v>
      </c>
      <c r="I711" t="s">
        <v>243</v>
      </c>
      <c r="J711" t="s">
        <v>712</v>
      </c>
      <c r="K711" t="s">
        <v>729</v>
      </c>
      <c r="L711" t="s">
        <v>711</v>
      </c>
      <c r="M711" s="30">
        <v>3.13</v>
      </c>
      <c r="N711">
        <v>6.5</v>
      </c>
      <c r="P711" s="24" t="str">
        <f>IFERROR(MID(RADataTable[[#This Row],[RATemplate]],1,LEN(RADataTable[[#This Row],[RATemplate]])-8),"RA") &amp; " " &amp; RADataTable[[#This Row],[prop_id0]] &amp; " " &amp; RADataTable[[#This Row],[last0]]</f>
        <v>RA 1750463 Raghvendra</v>
      </c>
      <c r="T711">
        <v>4</v>
      </c>
      <c r="U711">
        <v>4</v>
      </c>
      <c r="V711" s="34">
        <v>43032.486805555556</v>
      </c>
      <c r="W711">
        <v>1</v>
      </c>
      <c r="X711" s="15" t="str">
        <f>HYPERLINK("https://www.ejacket.nsf.gov/ej/showProposal.do?Continue=Y&amp;ID="&amp;RADataTable[[#This Row],[prop_id0]],"eJ")</f>
        <v>eJ</v>
      </c>
      <c r="Y711" s="15" t="str">
        <f>HYPERLINK("mailto:"&amp;RADataTable[[#This Row],[email]]&amp;"&amp;subject=Your NSF Proposal:  "&amp;RADataTable[[#This Row],[Div]]&amp;" "&amp;RADataTable[[#This Row],[prop_id0]], RADataTable[[#This Row],[email]])</f>
        <v>sharathr@vt.edu</v>
      </c>
      <c r="Z711" s="15" t="str">
        <f>HYPERLINK("mailto:"&amp;RADataTable[[#This Row],[allPIemail]]&amp;"&amp;subject=NSF Proposal:  "&amp;RADataTable[[#This Row],[Div]]&amp;" "&amp;RADataTable[[#This Row],[prop_id0]], "PIs@")</f>
        <v>PIs@</v>
      </c>
      <c r="AA711" t="s">
        <v>245</v>
      </c>
      <c r="AB711" t="s">
        <v>677</v>
      </c>
      <c r="AC711" s="30" t="s">
        <v>812</v>
      </c>
      <c r="AD711" t="s">
        <v>813</v>
      </c>
      <c r="AE711" t="s">
        <v>814</v>
      </c>
      <c r="AF711" s="36">
        <v>533991</v>
      </c>
      <c r="AG711" s="36">
        <v>533991</v>
      </c>
      <c r="AH711" s="24"/>
      <c r="AJ711" s="34"/>
      <c r="AK711" t="s">
        <v>923</v>
      </c>
      <c r="AL711" t="s">
        <v>287</v>
      </c>
      <c r="AM711" s="34" t="s">
        <v>925</v>
      </c>
      <c r="AN711" s="34">
        <v>43032</v>
      </c>
      <c r="AO711" s="24">
        <v>13</v>
      </c>
      <c r="AP711" t="s">
        <v>962</v>
      </c>
      <c r="AR711" s="35"/>
      <c r="AS711"/>
      <c r="AT711" s="34"/>
      <c r="AV711" s="34"/>
      <c r="AX711" s="34"/>
      <c r="AY711"/>
      <c r="BA711" s="34"/>
      <c r="BB711"/>
      <c r="BC711" t="s">
        <v>818</v>
      </c>
      <c r="BD711" s="36">
        <v>533991</v>
      </c>
      <c r="BE711" s="36">
        <v>533991</v>
      </c>
      <c r="BF711">
        <v>0</v>
      </c>
      <c r="BG711" s="34">
        <v>43110</v>
      </c>
      <c r="BH711">
        <v>60</v>
      </c>
      <c r="BI711" t="s">
        <v>283</v>
      </c>
      <c r="BJ711" t="s">
        <v>928</v>
      </c>
      <c r="BK711" t="s">
        <v>934</v>
      </c>
      <c r="BL711" t="s">
        <v>194</v>
      </c>
      <c r="BM711" s="8" t="s">
        <v>192</v>
      </c>
      <c r="BN711" t="s">
        <v>189</v>
      </c>
      <c r="BO711" t="s">
        <v>190</v>
      </c>
      <c r="BP711" s="35" t="s">
        <v>718</v>
      </c>
      <c r="BQ711"/>
      <c r="BU711" s="35"/>
      <c r="BV711" s="35"/>
      <c r="BX711"/>
      <c r="CA711" s="35"/>
      <c r="CB711" s="35"/>
      <c r="CC711"/>
      <c r="CG711" s="35"/>
      <c r="CH711" s="35"/>
      <c r="CK711"/>
      <c r="CM711" s="35"/>
      <c r="CN711" s="35"/>
      <c r="CQ711"/>
      <c r="CS711" s="35"/>
      <c r="CT711" s="35"/>
      <c r="CX711"/>
      <c r="CZ711" s="35"/>
      <c r="DD711" s="34"/>
      <c r="DG711" t="s">
        <v>816</v>
      </c>
      <c r="DH711" t="s">
        <v>963</v>
      </c>
      <c r="DI711" t="s">
        <v>286</v>
      </c>
      <c r="DL711" t="s">
        <v>677</v>
      </c>
      <c r="DM711">
        <v>5</v>
      </c>
      <c r="DN711">
        <v>8</v>
      </c>
      <c r="DO711" t="s">
        <v>817</v>
      </c>
      <c r="DQ711" t="s">
        <v>927</v>
      </c>
      <c r="DR711">
        <v>14</v>
      </c>
      <c r="DS711">
        <v>2</v>
      </c>
      <c r="DU711">
        <v>14</v>
      </c>
      <c r="DV711">
        <v>2</v>
      </c>
      <c r="DX711">
        <v>14</v>
      </c>
      <c r="DY711">
        <v>2</v>
      </c>
      <c r="DZ711" t="s">
        <v>246</v>
      </c>
      <c r="EA711" t="s">
        <v>929</v>
      </c>
    </row>
    <row r="712" spans="1:131" x14ac:dyDescent="0.4">
      <c r="A712" s="34">
        <v>43067.305104166669</v>
      </c>
      <c r="B712" s="25">
        <v>42935.54583333333</v>
      </c>
      <c r="D712" s="34"/>
      <c r="E712" s="34" t="s">
        <v>193</v>
      </c>
      <c r="F712" s="34" t="s">
        <v>191</v>
      </c>
      <c r="G712" s="34" t="s">
        <v>100</v>
      </c>
      <c r="H712" t="s">
        <v>279</v>
      </c>
      <c r="I712" t="s">
        <v>243</v>
      </c>
      <c r="J712" t="s">
        <v>712</v>
      </c>
      <c r="K712" t="s">
        <v>729</v>
      </c>
      <c r="L712" t="s">
        <v>711</v>
      </c>
      <c r="M712" s="30">
        <v>3.13</v>
      </c>
      <c r="N712">
        <v>6.5</v>
      </c>
      <c r="P712" s="24" t="str">
        <f>IFERROR(MID(RADataTable[[#This Row],[RATemplate]],1,LEN(RADataTable[[#This Row],[RATemplate]])-8),"RA") &amp; " " &amp; RADataTable[[#This Row],[prop_id0]] &amp; " " &amp; RADataTable[[#This Row],[last0]]</f>
        <v>RA 1750463 Raghvendra</v>
      </c>
      <c r="T712">
        <v>4</v>
      </c>
      <c r="U712">
        <v>4</v>
      </c>
      <c r="V712" s="34">
        <v>43032.486805555556</v>
      </c>
      <c r="W712">
        <v>1</v>
      </c>
      <c r="X712" s="15" t="str">
        <f>HYPERLINK("https://www.ejacket.nsf.gov/ej/showProposal.do?Continue=Y&amp;ID="&amp;RADataTable[[#This Row],[prop_id0]],"eJ")</f>
        <v>eJ</v>
      </c>
      <c r="Y712" s="15" t="str">
        <f>HYPERLINK("mailto:"&amp;RADataTable[[#This Row],[email]]&amp;"&amp;subject=Your NSF Proposal:  "&amp;RADataTable[[#This Row],[Div]]&amp;" "&amp;RADataTable[[#This Row],[prop_id0]], RADataTable[[#This Row],[email]])</f>
        <v>sharathr@vt.edu</v>
      </c>
      <c r="Z712" s="15" t="str">
        <f>HYPERLINK("mailto:"&amp;RADataTable[[#This Row],[allPIemail]]&amp;"&amp;subject=NSF Proposal:  "&amp;RADataTable[[#This Row],[Div]]&amp;" "&amp;RADataTable[[#This Row],[prop_id0]], "PIs@")</f>
        <v>PIs@</v>
      </c>
      <c r="AA712" t="s">
        <v>245</v>
      </c>
      <c r="AB712" t="s">
        <v>677</v>
      </c>
      <c r="AC712" s="30" t="s">
        <v>812</v>
      </c>
      <c r="AD712" t="s">
        <v>813</v>
      </c>
      <c r="AE712" t="s">
        <v>814</v>
      </c>
      <c r="AF712" s="36">
        <v>533991</v>
      </c>
      <c r="AG712" s="36">
        <v>533991</v>
      </c>
      <c r="AH712" s="24"/>
      <c r="AJ712" s="34"/>
      <c r="AK712" t="s">
        <v>923</v>
      </c>
      <c r="AL712" t="s">
        <v>287</v>
      </c>
      <c r="AM712" s="34" t="s">
        <v>925</v>
      </c>
      <c r="AN712" s="34">
        <v>43032</v>
      </c>
      <c r="AO712" s="24">
        <v>13</v>
      </c>
      <c r="AP712" t="s">
        <v>962</v>
      </c>
      <c r="AR712" s="35"/>
      <c r="AS712"/>
      <c r="AT712" s="34"/>
      <c r="AV712" s="34"/>
      <c r="AX712" s="34"/>
      <c r="AY712"/>
      <c r="BA712" s="34"/>
      <c r="BB712"/>
      <c r="BC712" t="s">
        <v>818</v>
      </c>
      <c r="BD712" s="36">
        <v>533991</v>
      </c>
      <c r="BE712" s="36">
        <v>533991</v>
      </c>
      <c r="BF712">
        <v>0</v>
      </c>
      <c r="BG712" s="34">
        <v>43110</v>
      </c>
      <c r="BH712">
        <v>60</v>
      </c>
      <c r="BI712" t="s">
        <v>283</v>
      </c>
      <c r="BJ712" t="s">
        <v>928</v>
      </c>
      <c r="BK712" t="s">
        <v>934</v>
      </c>
      <c r="BL712" t="s">
        <v>194</v>
      </c>
      <c r="BM712" s="8" t="s">
        <v>192</v>
      </c>
      <c r="BN712" t="s">
        <v>189</v>
      </c>
      <c r="BO712" t="s">
        <v>190</v>
      </c>
      <c r="BP712" s="35" t="s">
        <v>718</v>
      </c>
      <c r="BQ712"/>
      <c r="BU712" s="35"/>
      <c r="BV712" s="35"/>
      <c r="BX712"/>
      <c r="CA712" s="35"/>
      <c r="CB712" s="35"/>
      <c r="CC712"/>
      <c r="CG712" s="35"/>
      <c r="CH712" s="35"/>
      <c r="CK712"/>
      <c r="CM712" s="35"/>
      <c r="CN712" s="35"/>
      <c r="CQ712"/>
      <c r="CS712" s="35"/>
      <c r="CT712" s="35"/>
      <c r="CX712"/>
      <c r="CZ712" s="35"/>
      <c r="DD712" s="34"/>
      <c r="DG712" t="s">
        <v>816</v>
      </c>
      <c r="DH712" t="s">
        <v>963</v>
      </c>
      <c r="DI712" t="s">
        <v>286</v>
      </c>
      <c r="DL712" t="s">
        <v>677</v>
      </c>
      <c r="DM712">
        <v>5</v>
      </c>
      <c r="DN712">
        <v>8</v>
      </c>
      <c r="DO712" t="s">
        <v>817</v>
      </c>
      <c r="DQ712" t="s">
        <v>927</v>
      </c>
      <c r="DR712">
        <v>14</v>
      </c>
      <c r="DS712">
        <v>2</v>
      </c>
      <c r="DU712">
        <v>14</v>
      </c>
      <c r="DV712">
        <v>2</v>
      </c>
      <c r="DX712">
        <v>14</v>
      </c>
      <c r="DY712">
        <v>2</v>
      </c>
      <c r="DZ712" t="s">
        <v>246</v>
      </c>
      <c r="EA712" t="s">
        <v>929</v>
      </c>
    </row>
    <row r="713" spans="1:131" x14ac:dyDescent="0.4">
      <c r="A713" s="34">
        <v>43067.305104166669</v>
      </c>
      <c r="B713" s="25">
        <v>42935.54583333333</v>
      </c>
      <c r="D713" s="34"/>
      <c r="E713" s="34" t="s">
        <v>193</v>
      </c>
      <c r="F713" s="34" t="s">
        <v>191</v>
      </c>
      <c r="G713" s="34" t="s">
        <v>100</v>
      </c>
      <c r="H713" t="s">
        <v>279</v>
      </c>
      <c r="I713" t="s">
        <v>243</v>
      </c>
      <c r="J713" t="s">
        <v>712</v>
      </c>
      <c r="K713" t="s">
        <v>729</v>
      </c>
      <c r="L713" t="s">
        <v>711</v>
      </c>
      <c r="M713" s="30">
        <v>3.13</v>
      </c>
      <c r="N713">
        <v>6.5</v>
      </c>
      <c r="P713" s="24" t="str">
        <f>IFERROR(MID(RADataTable[[#This Row],[RATemplate]],1,LEN(RADataTable[[#This Row],[RATemplate]])-8),"RA") &amp; " " &amp; RADataTable[[#This Row],[prop_id0]] &amp; " " &amp; RADataTable[[#This Row],[last0]]</f>
        <v>RA 1750463 Raghvendra</v>
      </c>
      <c r="T713">
        <v>4</v>
      </c>
      <c r="U713">
        <v>4</v>
      </c>
      <c r="V713" s="34">
        <v>43032.486805555556</v>
      </c>
      <c r="W713">
        <v>1</v>
      </c>
      <c r="X713" s="15" t="str">
        <f>HYPERLINK("https://www.ejacket.nsf.gov/ej/showProposal.do?Continue=Y&amp;ID="&amp;RADataTable[[#This Row],[prop_id0]],"eJ")</f>
        <v>eJ</v>
      </c>
      <c r="Y713" s="15" t="str">
        <f>HYPERLINK("mailto:"&amp;RADataTable[[#This Row],[email]]&amp;"&amp;subject=Your NSF Proposal:  "&amp;RADataTable[[#This Row],[Div]]&amp;" "&amp;RADataTable[[#This Row],[prop_id0]], RADataTable[[#This Row],[email]])</f>
        <v>sharathr@vt.edu</v>
      </c>
      <c r="Z713" s="15" t="str">
        <f>HYPERLINK("mailto:"&amp;RADataTable[[#This Row],[allPIemail]]&amp;"&amp;subject=NSF Proposal:  "&amp;RADataTable[[#This Row],[Div]]&amp;" "&amp;RADataTable[[#This Row],[prop_id0]], "PIs@")</f>
        <v>PIs@</v>
      </c>
      <c r="AA713" t="s">
        <v>245</v>
      </c>
      <c r="AB713" t="s">
        <v>677</v>
      </c>
      <c r="AC713" s="30" t="s">
        <v>812</v>
      </c>
      <c r="AD713" t="s">
        <v>813</v>
      </c>
      <c r="AE713" t="s">
        <v>814</v>
      </c>
      <c r="AF713" s="36">
        <v>533991</v>
      </c>
      <c r="AG713" s="36">
        <v>533991</v>
      </c>
      <c r="AH713" s="24"/>
      <c r="AJ713" s="34"/>
      <c r="AK713" t="s">
        <v>923</v>
      </c>
      <c r="AL713" t="s">
        <v>287</v>
      </c>
      <c r="AM713" s="34" t="s">
        <v>925</v>
      </c>
      <c r="AN713" s="34">
        <v>43032</v>
      </c>
      <c r="AO713" s="24">
        <v>13</v>
      </c>
      <c r="AP713" t="s">
        <v>962</v>
      </c>
      <c r="AR713" s="35"/>
      <c r="AS713"/>
      <c r="AT713" s="34"/>
      <c r="AV713" s="34"/>
      <c r="AX713" s="34"/>
      <c r="AY713"/>
      <c r="BA713" s="34"/>
      <c r="BB713"/>
      <c r="BC713" t="s">
        <v>818</v>
      </c>
      <c r="BD713" s="36">
        <v>533991</v>
      </c>
      <c r="BE713" s="36">
        <v>533991</v>
      </c>
      <c r="BF713">
        <v>0</v>
      </c>
      <c r="BG713" s="34">
        <v>43110</v>
      </c>
      <c r="BH713">
        <v>60</v>
      </c>
      <c r="BI713" t="s">
        <v>283</v>
      </c>
      <c r="BJ713" t="s">
        <v>928</v>
      </c>
      <c r="BK713" t="s">
        <v>934</v>
      </c>
      <c r="BL713" t="s">
        <v>194</v>
      </c>
      <c r="BM713" s="8" t="s">
        <v>192</v>
      </c>
      <c r="BN713" t="s">
        <v>189</v>
      </c>
      <c r="BO713" t="s">
        <v>190</v>
      </c>
      <c r="BP713" s="35" t="s">
        <v>718</v>
      </c>
      <c r="BQ713"/>
      <c r="BU713" s="35"/>
      <c r="BV713" s="35"/>
      <c r="BX713"/>
      <c r="CA713" s="35"/>
      <c r="CB713" s="35"/>
      <c r="CC713"/>
      <c r="CG713" s="35"/>
      <c r="CH713" s="35"/>
      <c r="CK713"/>
      <c r="CM713" s="35"/>
      <c r="CN713" s="35"/>
      <c r="CQ713"/>
      <c r="CS713" s="35"/>
      <c r="CT713" s="35"/>
      <c r="CX713"/>
      <c r="CZ713" s="35"/>
      <c r="DD713" s="34"/>
      <c r="DG713" t="s">
        <v>816</v>
      </c>
      <c r="DH713" t="s">
        <v>963</v>
      </c>
      <c r="DI713" t="s">
        <v>286</v>
      </c>
      <c r="DL713" t="s">
        <v>677</v>
      </c>
      <c r="DM713">
        <v>5</v>
      </c>
      <c r="DN713">
        <v>8</v>
      </c>
      <c r="DO713" t="s">
        <v>817</v>
      </c>
      <c r="DQ713" t="s">
        <v>927</v>
      </c>
      <c r="DR713">
        <v>14</v>
      </c>
      <c r="DS713">
        <v>2</v>
      </c>
      <c r="DU713">
        <v>14</v>
      </c>
      <c r="DV713">
        <v>2</v>
      </c>
      <c r="DX713">
        <v>14</v>
      </c>
      <c r="DY713">
        <v>2</v>
      </c>
      <c r="DZ713" t="s">
        <v>246</v>
      </c>
      <c r="EA713" t="s">
        <v>929</v>
      </c>
    </row>
    <row r="714" spans="1:131" x14ac:dyDescent="0.4">
      <c r="A714" s="34">
        <v>43067.305104166669</v>
      </c>
      <c r="B714" s="25">
        <v>42935.54583333333</v>
      </c>
      <c r="D714" s="34"/>
      <c r="E714" s="34" t="s">
        <v>193</v>
      </c>
      <c r="F714" s="34" t="s">
        <v>191</v>
      </c>
      <c r="G714" s="34" t="s">
        <v>100</v>
      </c>
      <c r="H714" t="s">
        <v>279</v>
      </c>
      <c r="I714" t="s">
        <v>243</v>
      </c>
      <c r="J714" t="s">
        <v>712</v>
      </c>
      <c r="K714" t="s">
        <v>729</v>
      </c>
      <c r="L714" t="s">
        <v>711</v>
      </c>
      <c r="M714" s="30">
        <v>3.13</v>
      </c>
      <c r="N714">
        <v>6.5</v>
      </c>
      <c r="P714" s="24" t="str">
        <f>IFERROR(MID(RADataTable[[#This Row],[RATemplate]],1,LEN(RADataTable[[#This Row],[RATemplate]])-8),"RA") &amp; " " &amp; RADataTable[[#This Row],[prop_id0]] &amp; " " &amp; RADataTable[[#This Row],[last0]]</f>
        <v>RA 1750463 Raghvendra</v>
      </c>
      <c r="T714">
        <v>4</v>
      </c>
      <c r="U714">
        <v>4</v>
      </c>
      <c r="V714" s="34">
        <v>43032.486805555556</v>
      </c>
      <c r="W714">
        <v>1</v>
      </c>
      <c r="X714" s="15" t="str">
        <f>HYPERLINK("https://www.ejacket.nsf.gov/ej/showProposal.do?Continue=Y&amp;ID="&amp;RADataTable[[#This Row],[prop_id0]],"eJ")</f>
        <v>eJ</v>
      </c>
      <c r="Y714" s="15" t="str">
        <f>HYPERLINK("mailto:"&amp;RADataTable[[#This Row],[email]]&amp;"&amp;subject=Your NSF Proposal:  "&amp;RADataTable[[#This Row],[Div]]&amp;" "&amp;RADataTable[[#This Row],[prop_id0]], RADataTable[[#This Row],[email]])</f>
        <v>sharathr@vt.edu</v>
      </c>
      <c r="Z714" s="15" t="str">
        <f>HYPERLINK("mailto:"&amp;RADataTable[[#This Row],[allPIemail]]&amp;"&amp;subject=NSF Proposal:  "&amp;RADataTable[[#This Row],[Div]]&amp;" "&amp;RADataTable[[#This Row],[prop_id0]], "PIs@")</f>
        <v>PIs@</v>
      </c>
      <c r="AA714" t="s">
        <v>245</v>
      </c>
      <c r="AB714" t="s">
        <v>677</v>
      </c>
      <c r="AC714" s="30" t="s">
        <v>812</v>
      </c>
      <c r="AD714" t="s">
        <v>813</v>
      </c>
      <c r="AE714" t="s">
        <v>814</v>
      </c>
      <c r="AF714" s="36">
        <v>533991</v>
      </c>
      <c r="AG714" s="36">
        <v>533991</v>
      </c>
      <c r="AH714" s="24"/>
      <c r="AJ714" s="34"/>
      <c r="AK714" t="s">
        <v>923</v>
      </c>
      <c r="AL714" t="s">
        <v>287</v>
      </c>
      <c r="AM714" s="34" t="s">
        <v>925</v>
      </c>
      <c r="AN714" s="34">
        <v>43032</v>
      </c>
      <c r="AO714" s="24">
        <v>13</v>
      </c>
      <c r="AP714" t="s">
        <v>962</v>
      </c>
      <c r="AR714" s="35"/>
      <c r="AS714"/>
      <c r="AT714" s="34"/>
      <c r="AV714" s="34"/>
      <c r="AX714" s="34"/>
      <c r="AY714"/>
      <c r="BA714" s="34"/>
      <c r="BB714"/>
      <c r="BC714" t="s">
        <v>818</v>
      </c>
      <c r="BD714" s="36">
        <v>533991</v>
      </c>
      <c r="BE714" s="36">
        <v>533991</v>
      </c>
      <c r="BF714">
        <v>0</v>
      </c>
      <c r="BG714" s="34">
        <v>43110</v>
      </c>
      <c r="BH714">
        <v>60</v>
      </c>
      <c r="BI714" t="s">
        <v>283</v>
      </c>
      <c r="BJ714" t="s">
        <v>928</v>
      </c>
      <c r="BK714" t="s">
        <v>934</v>
      </c>
      <c r="BL714" t="s">
        <v>194</v>
      </c>
      <c r="BM714" s="8" t="s">
        <v>192</v>
      </c>
      <c r="BN714" t="s">
        <v>189</v>
      </c>
      <c r="BO714" t="s">
        <v>190</v>
      </c>
      <c r="BP714" s="35" t="s">
        <v>718</v>
      </c>
      <c r="BQ714"/>
      <c r="BU714" s="35"/>
      <c r="BV714" s="35"/>
      <c r="BX714"/>
      <c r="CA714" s="35"/>
      <c r="CB714" s="35"/>
      <c r="CC714"/>
      <c r="CG714" s="35"/>
      <c r="CH714" s="35"/>
      <c r="CK714"/>
      <c r="CM714" s="35"/>
      <c r="CN714" s="35"/>
      <c r="CQ714"/>
      <c r="CS714" s="35"/>
      <c r="CT714" s="35"/>
      <c r="CX714"/>
      <c r="CZ714" s="35"/>
      <c r="DD714" s="34"/>
      <c r="DG714" t="s">
        <v>816</v>
      </c>
      <c r="DH714" t="s">
        <v>963</v>
      </c>
      <c r="DI714" t="s">
        <v>286</v>
      </c>
      <c r="DL714" t="s">
        <v>677</v>
      </c>
      <c r="DM714">
        <v>5</v>
      </c>
      <c r="DN714">
        <v>8</v>
      </c>
      <c r="DO714" t="s">
        <v>817</v>
      </c>
      <c r="DQ714" t="s">
        <v>927</v>
      </c>
      <c r="DR714">
        <v>14</v>
      </c>
      <c r="DS714">
        <v>2</v>
      </c>
      <c r="DU714">
        <v>14</v>
      </c>
      <c r="DV714">
        <v>2</v>
      </c>
      <c r="DX714">
        <v>14</v>
      </c>
      <c r="DY714">
        <v>2</v>
      </c>
      <c r="DZ714" t="s">
        <v>246</v>
      </c>
      <c r="EA714" t="s">
        <v>929</v>
      </c>
    </row>
    <row r="715" spans="1:131" x14ac:dyDescent="0.4">
      <c r="A715" s="34">
        <v>43067.305104166669</v>
      </c>
      <c r="B715" s="25">
        <v>42935.54583333333</v>
      </c>
      <c r="D715" s="34"/>
      <c r="E715" s="34" t="s">
        <v>193</v>
      </c>
      <c r="F715" s="34" t="s">
        <v>191</v>
      </c>
      <c r="G715" s="34" t="s">
        <v>100</v>
      </c>
      <c r="H715" t="s">
        <v>279</v>
      </c>
      <c r="I715" t="s">
        <v>243</v>
      </c>
      <c r="J715" t="s">
        <v>712</v>
      </c>
      <c r="K715" t="s">
        <v>729</v>
      </c>
      <c r="L715" t="s">
        <v>711</v>
      </c>
      <c r="M715" s="30">
        <v>3.13</v>
      </c>
      <c r="N715">
        <v>6.5</v>
      </c>
      <c r="P715" s="24" t="str">
        <f>IFERROR(MID(RADataTable[[#This Row],[RATemplate]],1,LEN(RADataTable[[#This Row],[RATemplate]])-8),"RA") &amp; " " &amp; RADataTable[[#This Row],[prop_id0]] &amp; " " &amp; RADataTable[[#This Row],[last0]]</f>
        <v>RA 1750463 Raghvendra</v>
      </c>
      <c r="T715">
        <v>4</v>
      </c>
      <c r="U715">
        <v>4</v>
      </c>
      <c r="V715" s="34">
        <v>43032.486805555556</v>
      </c>
      <c r="W715">
        <v>1</v>
      </c>
      <c r="X715" s="15" t="str">
        <f>HYPERLINK("https://www.ejacket.nsf.gov/ej/showProposal.do?Continue=Y&amp;ID="&amp;RADataTable[[#This Row],[prop_id0]],"eJ")</f>
        <v>eJ</v>
      </c>
      <c r="Y715" s="15" t="str">
        <f>HYPERLINK("mailto:"&amp;RADataTable[[#This Row],[email]]&amp;"&amp;subject=Your NSF Proposal:  "&amp;RADataTable[[#This Row],[Div]]&amp;" "&amp;RADataTable[[#This Row],[prop_id0]], RADataTable[[#This Row],[email]])</f>
        <v>sharathr@vt.edu</v>
      </c>
      <c r="Z715" s="15" t="str">
        <f>HYPERLINK("mailto:"&amp;RADataTable[[#This Row],[allPIemail]]&amp;"&amp;subject=NSF Proposal:  "&amp;RADataTable[[#This Row],[Div]]&amp;" "&amp;RADataTable[[#This Row],[prop_id0]], "PIs@")</f>
        <v>PIs@</v>
      </c>
      <c r="AA715" t="s">
        <v>245</v>
      </c>
      <c r="AB715" t="s">
        <v>677</v>
      </c>
      <c r="AC715" s="30" t="s">
        <v>812</v>
      </c>
      <c r="AD715" t="s">
        <v>813</v>
      </c>
      <c r="AE715" t="s">
        <v>814</v>
      </c>
      <c r="AF715" s="36">
        <v>533991</v>
      </c>
      <c r="AG715" s="36">
        <v>533991</v>
      </c>
      <c r="AH715" s="24"/>
      <c r="AJ715" s="34"/>
      <c r="AK715" t="s">
        <v>923</v>
      </c>
      <c r="AL715" t="s">
        <v>287</v>
      </c>
      <c r="AM715" s="34" t="s">
        <v>925</v>
      </c>
      <c r="AN715" s="34">
        <v>43032</v>
      </c>
      <c r="AO715" s="24">
        <v>13</v>
      </c>
      <c r="AP715" t="s">
        <v>962</v>
      </c>
      <c r="AR715" s="35"/>
      <c r="AS715"/>
      <c r="AT715" s="34"/>
      <c r="AV715" s="34"/>
      <c r="AX715" s="34"/>
      <c r="AY715"/>
      <c r="BA715" s="34"/>
      <c r="BB715"/>
      <c r="BC715" t="s">
        <v>818</v>
      </c>
      <c r="BD715" s="36">
        <v>533991</v>
      </c>
      <c r="BE715" s="36">
        <v>533991</v>
      </c>
      <c r="BF715">
        <v>0</v>
      </c>
      <c r="BG715" s="34">
        <v>43110</v>
      </c>
      <c r="BH715">
        <v>60</v>
      </c>
      <c r="BI715" t="s">
        <v>283</v>
      </c>
      <c r="BJ715" t="s">
        <v>928</v>
      </c>
      <c r="BK715" t="s">
        <v>934</v>
      </c>
      <c r="BL715" t="s">
        <v>194</v>
      </c>
      <c r="BM715" s="8" t="s">
        <v>192</v>
      </c>
      <c r="BN715" t="s">
        <v>189</v>
      </c>
      <c r="BO715" t="s">
        <v>190</v>
      </c>
      <c r="BP715" s="35" t="s">
        <v>718</v>
      </c>
      <c r="BQ715"/>
      <c r="BU715" s="35"/>
      <c r="BV715" s="35"/>
      <c r="BX715"/>
      <c r="CA715" s="35"/>
      <c r="CB715" s="35"/>
      <c r="CC715"/>
      <c r="CG715" s="35"/>
      <c r="CH715" s="35"/>
      <c r="CK715"/>
      <c r="CM715" s="35"/>
      <c r="CN715" s="35"/>
      <c r="CQ715"/>
      <c r="CS715" s="35"/>
      <c r="CT715" s="35"/>
      <c r="CX715"/>
      <c r="CZ715" s="35"/>
      <c r="DD715" s="34"/>
      <c r="DG715" t="s">
        <v>816</v>
      </c>
      <c r="DH715" t="s">
        <v>963</v>
      </c>
      <c r="DI715" t="s">
        <v>286</v>
      </c>
      <c r="DL715" t="s">
        <v>677</v>
      </c>
      <c r="DM715">
        <v>5</v>
      </c>
      <c r="DN715">
        <v>8</v>
      </c>
      <c r="DO715" t="s">
        <v>817</v>
      </c>
      <c r="DQ715" t="s">
        <v>927</v>
      </c>
      <c r="DR715">
        <v>14</v>
      </c>
      <c r="DS715">
        <v>2</v>
      </c>
      <c r="DU715">
        <v>14</v>
      </c>
      <c r="DV715">
        <v>2</v>
      </c>
      <c r="DX715">
        <v>14</v>
      </c>
      <c r="DY715">
        <v>2</v>
      </c>
      <c r="DZ715" t="s">
        <v>246</v>
      </c>
      <c r="EA715" t="s">
        <v>929</v>
      </c>
    </row>
    <row r="716" spans="1:131" x14ac:dyDescent="0.4">
      <c r="A716" s="34">
        <v>43067.305104166669</v>
      </c>
      <c r="B716" s="25">
        <v>42935.680555555555</v>
      </c>
      <c r="D716" s="34"/>
      <c r="E716" s="34" t="s">
        <v>193</v>
      </c>
      <c r="F716" s="34" t="s">
        <v>191</v>
      </c>
      <c r="G716" s="34" t="s">
        <v>100</v>
      </c>
      <c r="H716" t="s">
        <v>279</v>
      </c>
      <c r="I716" t="s">
        <v>243</v>
      </c>
      <c r="J716" t="s">
        <v>712</v>
      </c>
      <c r="K716" t="s">
        <v>713</v>
      </c>
      <c r="L716" t="s">
        <v>711</v>
      </c>
      <c r="M716" s="30">
        <v>3.13</v>
      </c>
      <c r="N716">
        <v>4.75</v>
      </c>
      <c r="P716" s="24" t="str">
        <f>IFERROR(MID(RADataTable[[#This Row],[RATemplate]],1,LEN(RADataTable[[#This Row],[RATemplate]])-8),"RA") &amp; " " &amp; RADataTable[[#This Row],[prop_id0]] &amp; " " &amp; RADataTable[[#This Row],[last0]]</f>
        <v>RA 1751047 Gibson</v>
      </c>
      <c r="T716">
        <v>4</v>
      </c>
      <c r="U716">
        <v>4</v>
      </c>
      <c r="V716" s="34">
        <v>43030.177777777775</v>
      </c>
      <c r="W716">
        <v>1</v>
      </c>
      <c r="X716" s="15" t="str">
        <f>HYPERLINK("https://www.ejacket.nsf.gov/ej/showProposal.do?Continue=Y&amp;ID="&amp;RADataTable[[#This Row],[prop_id0]],"eJ")</f>
        <v>eJ</v>
      </c>
      <c r="Y716" s="15" t="str">
        <f>HYPERLINK("mailto:"&amp;RADataTable[[#This Row],[email]]&amp;"&amp;subject=Your NSF Proposal:  "&amp;RADataTable[[#This Row],[Div]]&amp;" "&amp;RADataTable[[#This Row],[prop_id0]], RADataTable[[#This Row],[email]])</f>
        <v>MATTHEW.GIBSON@UTSA.EDU</v>
      </c>
      <c r="Z716" s="15" t="str">
        <f>HYPERLINK("mailto:"&amp;RADataTable[[#This Row],[allPIemail]]&amp;"&amp;subject=NSF Proposal:  "&amp;RADataTable[[#This Row],[Div]]&amp;" "&amp;RADataTable[[#This Row],[prop_id0]], "PIs@")</f>
        <v>PIs@</v>
      </c>
      <c r="AA716" t="s">
        <v>245</v>
      </c>
      <c r="AB716" t="s">
        <v>679</v>
      </c>
      <c r="AC716" s="30" t="s">
        <v>824</v>
      </c>
      <c r="AD716" t="s">
        <v>825</v>
      </c>
      <c r="AE716" t="s">
        <v>826</v>
      </c>
      <c r="AF716" s="36">
        <v>415497</v>
      </c>
      <c r="AG716" s="36">
        <v>415497</v>
      </c>
      <c r="AH716" s="24"/>
      <c r="AJ716" s="34"/>
      <c r="AK716" t="s">
        <v>923</v>
      </c>
      <c r="AL716" t="s">
        <v>287</v>
      </c>
      <c r="AM716" s="34" t="s">
        <v>925</v>
      </c>
      <c r="AN716" s="34">
        <v>43032</v>
      </c>
      <c r="AO716" s="24">
        <v>13</v>
      </c>
      <c r="AP716" t="s">
        <v>965</v>
      </c>
      <c r="AR716" s="35"/>
      <c r="AS716"/>
      <c r="AT716" s="34"/>
      <c r="AV716" s="34"/>
      <c r="AX716" s="34"/>
      <c r="AY716"/>
      <c r="BA716" s="34"/>
      <c r="BB716"/>
      <c r="BC716" t="s">
        <v>829</v>
      </c>
      <c r="BD716" s="36">
        <v>415497</v>
      </c>
      <c r="BE716" s="36">
        <v>415497</v>
      </c>
      <c r="BF716">
        <v>0</v>
      </c>
      <c r="BG716" s="34">
        <v>43132</v>
      </c>
      <c r="BH716">
        <v>60</v>
      </c>
      <c r="BI716" t="s">
        <v>283</v>
      </c>
      <c r="BJ716" t="s">
        <v>928</v>
      </c>
      <c r="BK716" t="s">
        <v>234</v>
      </c>
      <c r="BL716" t="s">
        <v>194</v>
      </c>
      <c r="BM716" s="8" t="s">
        <v>192</v>
      </c>
      <c r="BN716" t="s">
        <v>189</v>
      </c>
      <c r="BO716" t="s">
        <v>190</v>
      </c>
      <c r="BP716" s="35" t="s">
        <v>726</v>
      </c>
      <c r="BQ716"/>
      <c r="BU716" s="35"/>
      <c r="BV716" s="35"/>
      <c r="BX716"/>
      <c r="CA716" s="35"/>
      <c r="CB716" s="35"/>
      <c r="CC716"/>
      <c r="CG716" s="35"/>
      <c r="CH716" s="35"/>
      <c r="CK716"/>
      <c r="CM716" s="35"/>
      <c r="CN716" s="35"/>
      <c r="CQ716"/>
      <c r="CS716" s="35"/>
      <c r="CT716" s="35"/>
      <c r="CX716"/>
      <c r="CZ716" s="35"/>
      <c r="DD716" s="34"/>
      <c r="DG716" t="s">
        <v>827</v>
      </c>
      <c r="DH716" t="s">
        <v>966</v>
      </c>
      <c r="DI716" t="s">
        <v>286</v>
      </c>
      <c r="DL716" t="s">
        <v>679</v>
      </c>
      <c r="DM716">
        <v>3</v>
      </c>
      <c r="DN716">
        <v>7</v>
      </c>
      <c r="DO716" t="s">
        <v>828</v>
      </c>
      <c r="DQ716" t="s">
        <v>927</v>
      </c>
      <c r="DR716">
        <v>14</v>
      </c>
      <c r="DS716">
        <v>0</v>
      </c>
      <c r="DU716">
        <v>14</v>
      </c>
      <c r="DV716">
        <v>0</v>
      </c>
      <c r="DX716">
        <v>14</v>
      </c>
      <c r="DY716">
        <v>0</v>
      </c>
      <c r="DZ716" t="s">
        <v>246</v>
      </c>
      <c r="EA716" t="s">
        <v>929</v>
      </c>
    </row>
    <row r="717" spans="1:131" x14ac:dyDescent="0.4">
      <c r="A717" s="34">
        <v>43067.305104166669</v>
      </c>
      <c r="B717" s="25">
        <v>42935.680555555555</v>
      </c>
      <c r="D717" s="34"/>
      <c r="E717" s="34" t="s">
        <v>193</v>
      </c>
      <c r="F717" s="34" t="s">
        <v>191</v>
      </c>
      <c r="G717" s="34" t="s">
        <v>100</v>
      </c>
      <c r="H717" t="s">
        <v>279</v>
      </c>
      <c r="I717" t="s">
        <v>243</v>
      </c>
      <c r="J717" t="s">
        <v>712</v>
      </c>
      <c r="K717" t="s">
        <v>713</v>
      </c>
      <c r="L717" t="s">
        <v>711</v>
      </c>
      <c r="M717" s="30">
        <v>3.13</v>
      </c>
      <c r="N717">
        <v>4.75</v>
      </c>
      <c r="P717" s="24" t="str">
        <f>IFERROR(MID(RADataTable[[#This Row],[RATemplate]],1,LEN(RADataTable[[#This Row],[RATemplate]])-8),"RA") &amp; " " &amp; RADataTable[[#This Row],[prop_id0]] &amp; " " &amp; RADataTable[[#This Row],[last0]]</f>
        <v>RA 1751047 Gibson</v>
      </c>
      <c r="T717">
        <v>4</v>
      </c>
      <c r="U717">
        <v>4</v>
      </c>
      <c r="V717" s="34">
        <v>43030.177777777775</v>
      </c>
      <c r="W717">
        <v>1</v>
      </c>
      <c r="X717" s="15" t="str">
        <f>HYPERLINK("https://www.ejacket.nsf.gov/ej/showProposal.do?Continue=Y&amp;ID="&amp;RADataTable[[#This Row],[prop_id0]],"eJ")</f>
        <v>eJ</v>
      </c>
      <c r="Y717" s="15" t="str">
        <f>HYPERLINK("mailto:"&amp;RADataTable[[#This Row],[email]]&amp;"&amp;subject=Your NSF Proposal:  "&amp;RADataTable[[#This Row],[Div]]&amp;" "&amp;RADataTable[[#This Row],[prop_id0]], RADataTable[[#This Row],[email]])</f>
        <v>MATTHEW.GIBSON@UTSA.EDU</v>
      </c>
      <c r="Z717" s="15" t="str">
        <f>HYPERLINK("mailto:"&amp;RADataTable[[#This Row],[allPIemail]]&amp;"&amp;subject=NSF Proposal:  "&amp;RADataTable[[#This Row],[Div]]&amp;" "&amp;RADataTable[[#This Row],[prop_id0]], "PIs@")</f>
        <v>PIs@</v>
      </c>
      <c r="AA717" t="s">
        <v>245</v>
      </c>
      <c r="AB717" t="s">
        <v>679</v>
      </c>
      <c r="AC717" s="30" t="s">
        <v>824</v>
      </c>
      <c r="AD717" t="s">
        <v>825</v>
      </c>
      <c r="AE717" t="s">
        <v>826</v>
      </c>
      <c r="AF717" s="36">
        <v>415497</v>
      </c>
      <c r="AG717" s="36">
        <v>415497</v>
      </c>
      <c r="AH717" s="24"/>
      <c r="AJ717" s="34"/>
      <c r="AK717" t="s">
        <v>923</v>
      </c>
      <c r="AL717" t="s">
        <v>287</v>
      </c>
      <c r="AM717" s="34" t="s">
        <v>925</v>
      </c>
      <c r="AN717" s="34">
        <v>43032</v>
      </c>
      <c r="AO717" s="24">
        <v>13</v>
      </c>
      <c r="AP717" t="s">
        <v>965</v>
      </c>
      <c r="AR717" s="35"/>
      <c r="AS717"/>
      <c r="AT717" s="34"/>
      <c r="AV717" s="34"/>
      <c r="AX717" s="34"/>
      <c r="AY717"/>
      <c r="BA717" s="34"/>
      <c r="BB717"/>
      <c r="BC717" t="s">
        <v>829</v>
      </c>
      <c r="BD717" s="36">
        <v>415497</v>
      </c>
      <c r="BE717" s="36">
        <v>415497</v>
      </c>
      <c r="BF717">
        <v>0</v>
      </c>
      <c r="BG717" s="34">
        <v>43132</v>
      </c>
      <c r="BH717">
        <v>60</v>
      </c>
      <c r="BI717" t="s">
        <v>283</v>
      </c>
      <c r="BJ717" t="s">
        <v>928</v>
      </c>
      <c r="BK717" t="s">
        <v>234</v>
      </c>
      <c r="BL717" t="s">
        <v>194</v>
      </c>
      <c r="BM717" s="8" t="s">
        <v>192</v>
      </c>
      <c r="BN717" t="s">
        <v>189</v>
      </c>
      <c r="BO717" t="s">
        <v>190</v>
      </c>
      <c r="BP717" s="35" t="s">
        <v>726</v>
      </c>
      <c r="BQ717"/>
      <c r="BU717" s="35"/>
      <c r="BV717" s="35"/>
      <c r="BX717"/>
      <c r="CA717" s="35"/>
      <c r="CB717" s="35"/>
      <c r="CC717"/>
      <c r="CG717" s="35"/>
      <c r="CH717" s="35"/>
      <c r="CK717"/>
      <c r="CM717" s="35"/>
      <c r="CN717" s="35"/>
      <c r="CQ717"/>
      <c r="CS717" s="35"/>
      <c r="CT717" s="35"/>
      <c r="CX717"/>
      <c r="CZ717" s="35"/>
      <c r="DD717" s="34"/>
      <c r="DG717" t="s">
        <v>827</v>
      </c>
      <c r="DH717" t="s">
        <v>966</v>
      </c>
      <c r="DI717" t="s">
        <v>286</v>
      </c>
      <c r="DL717" t="s">
        <v>679</v>
      </c>
      <c r="DM717">
        <v>3</v>
      </c>
      <c r="DN717">
        <v>7</v>
      </c>
      <c r="DO717" t="s">
        <v>828</v>
      </c>
      <c r="DQ717" t="s">
        <v>927</v>
      </c>
      <c r="DR717">
        <v>14</v>
      </c>
      <c r="DS717">
        <v>0</v>
      </c>
      <c r="DU717">
        <v>14</v>
      </c>
      <c r="DV717">
        <v>0</v>
      </c>
      <c r="DX717">
        <v>14</v>
      </c>
      <c r="DY717">
        <v>0</v>
      </c>
      <c r="DZ717" t="s">
        <v>246</v>
      </c>
      <c r="EA717" t="s">
        <v>929</v>
      </c>
    </row>
    <row r="718" spans="1:131" x14ac:dyDescent="0.4">
      <c r="A718" s="34">
        <v>43067.305104166669</v>
      </c>
      <c r="B718" s="25">
        <v>42935.680555555555</v>
      </c>
      <c r="D718" s="34"/>
      <c r="E718" s="34" t="s">
        <v>193</v>
      </c>
      <c r="F718" s="34" t="s">
        <v>191</v>
      </c>
      <c r="G718" s="34" t="s">
        <v>100</v>
      </c>
      <c r="H718" t="s">
        <v>279</v>
      </c>
      <c r="I718" t="s">
        <v>243</v>
      </c>
      <c r="J718" t="s">
        <v>712</v>
      </c>
      <c r="K718" t="s">
        <v>713</v>
      </c>
      <c r="L718" t="s">
        <v>711</v>
      </c>
      <c r="M718" s="30">
        <v>3.13</v>
      </c>
      <c r="N718">
        <v>4.75</v>
      </c>
      <c r="P718" s="24" t="str">
        <f>IFERROR(MID(RADataTable[[#This Row],[RATemplate]],1,LEN(RADataTable[[#This Row],[RATemplate]])-8),"RA") &amp; " " &amp; RADataTable[[#This Row],[prop_id0]] &amp; " " &amp; RADataTable[[#This Row],[last0]]</f>
        <v>RA 1751047 Gibson</v>
      </c>
      <c r="T718">
        <v>4</v>
      </c>
      <c r="U718">
        <v>4</v>
      </c>
      <c r="V718" s="34">
        <v>43030.177777777775</v>
      </c>
      <c r="W718">
        <v>1</v>
      </c>
      <c r="X718" s="15" t="str">
        <f>HYPERLINK("https://www.ejacket.nsf.gov/ej/showProposal.do?Continue=Y&amp;ID="&amp;RADataTable[[#This Row],[prop_id0]],"eJ")</f>
        <v>eJ</v>
      </c>
      <c r="Y718" s="15" t="str">
        <f>HYPERLINK("mailto:"&amp;RADataTable[[#This Row],[email]]&amp;"&amp;subject=Your NSF Proposal:  "&amp;RADataTable[[#This Row],[Div]]&amp;" "&amp;RADataTable[[#This Row],[prop_id0]], RADataTable[[#This Row],[email]])</f>
        <v>MATTHEW.GIBSON@UTSA.EDU</v>
      </c>
      <c r="Z718" s="15" t="str">
        <f>HYPERLINK("mailto:"&amp;RADataTable[[#This Row],[allPIemail]]&amp;"&amp;subject=NSF Proposal:  "&amp;RADataTable[[#This Row],[Div]]&amp;" "&amp;RADataTable[[#This Row],[prop_id0]], "PIs@")</f>
        <v>PIs@</v>
      </c>
      <c r="AA718" t="s">
        <v>245</v>
      </c>
      <c r="AB718" t="s">
        <v>679</v>
      </c>
      <c r="AC718" s="30" t="s">
        <v>824</v>
      </c>
      <c r="AD718" t="s">
        <v>825</v>
      </c>
      <c r="AE718" t="s">
        <v>826</v>
      </c>
      <c r="AF718" s="36">
        <v>415497</v>
      </c>
      <c r="AG718" s="36">
        <v>415497</v>
      </c>
      <c r="AH718" s="24"/>
      <c r="AJ718" s="34"/>
      <c r="AK718" t="s">
        <v>923</v>
      </c>
      <c r="AL718" t="s">
        <v>287</v>
      </c>
      <c r="AM718" s="34" t="s">
        <v>925</v>
      </c>
      <c r="AN718" s="34">
        <v>43032</v>
      </c>
      <c r="AO718" s="24">
        <v>13</v>
      </c>
      <c r="AP718" t="s">
        <v>965</v>
      </c>
      <c r="AR718" s="35"/>
      <c r="AS718"/>
      <c r="AT718" s="34"/>
      <c r="AV718" s="34"/>
      <c r="AX718" s="34"/>
      <c r="AY718"/>
      <c r="BA718" s="34"/>
      <c r="BB718"/>
      <c r="BC718" t="s">
        <v>829</v>
      </c>
      <c r="BD718" s="36">
        <v>415497</v>
      </c>
      <c r="BE718" s="36">
        <v>415497</v>
      </c>
      <c r="BF718">
        <v>0</v>
      </c>
      <c r="BG718" s="34">
        <v>43132</v>
      </c>
      <c r="BH718">
        <v>60</v>
      </c>
      <c r="BI718" t="s">
        <v>283</v>
      </c>
      <c r="BJ718" t="s">
        <v>928</v>
      </c>
      <c r="BK718" t="s">
        <v>234</v>
      </c>
      <c r="BL718" t="s">
        <v>194</v>
      </c>
      <c r="BM718" s="8" t="s">
        <v>192</v>
      </c>
      <c r="BN718" t="s">
        <v>189</v>
      </c>
      <c r="BO718" t="s">
        <v>190</v>
      </c>
      <c r="BP718" s="35" t="s">
        <v>726</v>
      </c>
      <c r="BQ718"/>
      <c r="BU718" s="35"/>
      <c r="BV718" s="35"/>
      <c r="BX718"/>
      <c r="CA718" s="35"/>
      <c r="CB718" s="35"/>
      <c r="CC718"/>
      <c r="CG718" s="35"/>
      <c r="CH718" s="35"/>
      <c r="CK718"/>
      <c r="CM718" s="35"/>
      <c r="CN718" s="35"/>
      <c r="CQ718"/>
      <c r="CS718" s="35"/>
      <c r="CT718" s="35"/>
      <c r="CX718"/>
      <c r="CZ718" s="35"/>
      <c r="DD718" s="34"/>
      <c r="DG718" t="s">
        <v>827</v>
      </c>
      <c r="DH718" t="s">
        <v>966</v>
      </c>
      <c r="DI718" t="s">
        <v>286</v>
      </c>
      <c r="DL718" t="s">
        <v>679</v>
      </c>
      <c r="DM718">
        <v>3</v>
      </c>
      <c r="DN718">
        <v>7</v>
      </c>
      <c r="DO718" t="s">
        <v>828</v>
      </c>
      <c r="DQ718" t="s">
        <v>927</v>
      </c>
      <c r="DR718">
        <v>14</v>
      </c>
      <c r="DS718">
        <v>0</v>
      </c>
      <c r="DU718">
        <v>14</v>
      </c>
      <c r="DV718">
        <v>0</v>
      </c>
      <c r="DX718">
        <v>14</v>
      </c>
      <c r="DY718">
        <v>0</v>
      </c>
      <c r="DZ718" t="s">
        <v>246</v>
      </c>
      <c r="EA718" t="s">
        <v>929</v>
      </c>
    </row>
    <row r="719" spans="1:131" x14ac:dyDescent="0.4">
      <c r="A719" s="34">
        <v>43067.305104166669</v>
      </c>
      <c r="B719" s="25">
        <v>42935.680555555555</v>
      </c>
      <c r="D719" s="34"/>
      <c r="E719" s="34" t="s">
        <v>193</v>
      </c>
      <c r="F719" s="34" t="s">
        <v>191</v>
      </c>
      <c r="G719" s="34" t="s">
        <v>100</v>
      </c>
      <c r="H719" t="s">
        <v>279</v>
      </c>
      <c r="I719" t="s">
        <v>243</v>
      </c>
      <c r="J719" t="s">
        <v>712</v>
      </c>
      <c r="K719" t="s">
        <v>713</v>
      </c>
      <c r="L719" t="s">
        <v>711</v>
      </c>
      <c r="M719" s="30">
        <v>3.13</v>
      </c>
      <c r="N719">
        <v>4.75</v>
      </c>
      <c r="P719" s="24" t="str">
        <f>IFERROR(MID(RADataTable[[#This Row],[RATemplate]],1,LEN(RADataTable[[#This Row],[RATemplate]])-8),"RA") &amp; " " &amp; RADataTable[[#This Row],[prop_id0]] &amp; " " &amp; RADataTable[[#This Row],[last0]]</f>
        <v>RA 1751047 Gibson</v>
      </c>
      <c r="T719">
        <v>4</v>
      </c>
      <c r="U719">
        <v>4</v>
      </c>
      <c r="V719" s="34">
        <v>43030.177777777775</v>
      </c>
      <c r="W719">
        <v>1</v>
      </c>
      <c r="X719" s="15" t="str">
        <f>HYPERLINK("https://www.ejacket.nsf.gov/ej/showProposal.do?Continue=Y&amp;ID="&amp;RADataTable[[#This Row],[prop_id0]],"eJ")</f>
        <v>eJ</v>
      </c>
      <c r="Y719" s="15" t="str">
        <f>HYPERLINK("mailto:"&amp;RADataTable[[#This Row],[email]]&amp;"&amp;subject=Your NSF Proposal:  "&amp;RADataTable[[#This Row],[Div]]&amp;" "&amp;RADataTable[[#This Row],[prop_id0]], RADataTable[[#This Row],[email]])</f>
        <v>MATTHEW.GIBSON@UTSA.EDU</v>
      </c>
      <c r="Z719" s="15" t="str">
        <f>HYPERLINK("mailto:"&amp;RADataTable[[#This Row],[allPIemail]]&amp;"&amp;subject=NSF Proposal:  "&amp;RADataTable[[#This Row],[Div]]&amp;" "&amp;RADataTable[[#This Row],[prop_id0]], "PIs@")</f>
        <v>PIs@</v>
      </c>
      <c r="AA719" t="s">
        <v>245</v>
      </c>
      <c r="AB719" t="s">
        <v>679</v>
      </c>
      <c r="AC719" s="30" t="s">
        <v>824</v>
      </c>
      <c r="AD719" t="s">
        <v>825</v>
      </c>
      <c r="AE719" t="s">
        <v>826</v>
      </c>
      <c r="AF719" s="36">
        <v>415497</v>
      </c>
      <c r="AG719" s="36">
        <v>415497</v>
      </c>
      <c r="AH719" s="24"/>
      <c r="AJ719" s="34"/>
      <c r="AK719" t="s">
        <v>923</v>
      </c>
      <c r="AL719" t="s">
        <v>287</v>
      </c>
      <c r="AM719" s="34" t="s">
        <v>925</v>
      </c>
      <c r="AN719" s="34">
        <v>43032</v>
      </c>
      <c r="AO719" s="24">
        <v>13</v>
      </c>
      <c r="AP719" t="s">
        <v>965</v>
      </c>
      <c r="AR719" s="35"/>
      <c r="AS719"/>
      <c r="AT719" s="34"/>
      <c r="AV719" s="34"/>
      <c r="AX719" s="34"/>
      <c r="AY719"/>
      <c r="BA719" s="34"/>
      <c r="BB719"/>
      <c r="BC719" t="s">
        <v>829</v>
      </c>
      <c r="BD719" s="36">
        <v>415497</v>
      </c>
      <c r="BE719" s="36">
        <v>415497</v>
      </c>
      <c r="BF719">
        <v>0</v>
      </c>
      <c r="BG719" s="34">
        <v>43132</v>
      </c>
      <c r="BH719">
        <v>60</v>
      </c>
      <c r="BI719" t="s">
        <v>283</v>
      </c>
      <c r="BJ719" t="s">
        <v>928</v>
      </c>
      <c r="BK719" t="s">
        <v>234</v>
      </c>
      <c r="BL719" t="s">
        <v>194</v>
      </c>
      <c r="BM719" s="8" t="s">
        <v>192</v>
      </c>
      <c r="BN719" t="s">
        <v>189</v>
      </c>
      <c r="BO719" t="s">
        <v>190</v>
      </c>
      <c r="BP719" s="35" t="s">
        <v>726</v>
      </c>
      <c r="BQ719"/>
      <c r="BU719" s="35"/>
      <c r="BV719" s="35"/>
      <c r="BX719"/>
      <c r="CA719" s="35"/>
      <c r="CB719" s="35"/>
      <c r="CC719"/>
      <c r="CG719" s="35"/>
      <c r="CH719" s="35"/>
      <c r="CK719"/>
      <c r="CM719" s="35"/>
      <c r="CN719" s="35"/>
      <c r="CQ719"/>
      <c r="CS719" s="35"/>
      <c r="CT719" s="35"/>
      <c r="CX719"/>
      <c r="CZ719" s="35"/>
      <c r="DD719" s="34"/>
      <c r="DG719" t="s">
        <v>827</v>
      </c>
      <c r="DH719" t="s">
        <v>966</v>
      </c>
      <c r="DI719" t="s">
        <v>286</v>
      </c>
      <c r="DL719" t="s">
        <v>679</v>
      </c>
      <c r="DM719">
        <v>3</v>
      </c>
      <c r="DN719">
        <v>7</v>
      </c>
      <c r="DO719" t="s">
        <v>828</v>
      </c>
      <c r="DQ719" t="s">
        <v>927</v>
      </c>
      <c r="DR719">
        <v>14</v>
      </c>
      <c r="DS719">
        <v>0</v>
      </c>
      <c r="DU719">
        <v>14</v>
      </c>
      <c r="DV719">
        <v>0</v>
      </c>
      <c r="DX719">
        <v>14</v>
      </c>
      <c r="DY719">
        <v>0</v>
      </c>
      <c r="DZ719" t="s">
        <v>246</v>
      </c>
      <c r="EA719" t="s">
        <v>929</v>
      </c>
    </row>
    <row r="720" spans="1:131" x14ac:dyDescent="0.4">
      <c r="A720" s="34">
        <v>43067.305104166669</v>
      </c>
      <c r="B720" s="25">
        <v>42935.680555555555</v>
      </c>
      <c r="D720" s="34"/>
      <c r="E720" s="34" t="s">
        <v>193</v>
      </c>
      <c r="F720" s="34" t="s">
        <v>191</v>
      </c>
      <c r="G720" s="34" t="s">
        <v>100</v>
      </c>
      <c r="H720" t="s">
        <v>279</v>
      </c>
      <c r="I720" t="s">
        <v>243</v>
      </c>
      <c r="J720" t="s">
        <v>712</v>
      </c>
      <c r="K720" t="s">
        <v>713</v>
      </c>
      <c r="L720" t="s">
        <v>711</v>
      </c>
      <c r="M720" s="30">
        <v>3.13</v>
      </c>
      <c r="N720">
        <v>4.75</v>
      </c>
      <c r="P720" s="24" t="str">
        <f>IFERROR(MID(RADataTable[[#This Row],[RATemplate]],1,LEN(RADataTable[[#This Row],[RATemplate]])-8),"RA") &amp; " " &amp; RADataTable[[#This Row],[prop_id0]] &amp; " " &amp; RADataTable[[#This Row],[last0]]</f>
        <v>RA 1751047 Gibson</v>
      </c>
      <c r="T720">
        <v>4</v>
      </c>
      <c r="U720">
        <v>4</v>
      </c>
      <c r="V720" s="34">
        <v>43030.177777777775</v>
      </c>
      <c r="W720">
        <v>1</v>
      </c>
      <c r="X720" s="15" t="str">
        <f>HYPERLINK("https://www.ejacket.nsf.gov/ej/showProposal.do?Continue=Y&amp;ID="&amp;RADataTable[[#This Row],[prop_id0]],"eJ")</f>
        <v>eJ</v>
      </c>
      <c r="Y720" s="15" t="str">
        <f>HYPERLINK("mailto:"&amp;RADataTable[[#This Row],[email]]&amp;"&amp;subject=Your NSF Proposal:  "&amp;RADataTable[[#This Row],[Div]]&amp;" "&amp;RADataTable[[#This Row],[prop_id0]], RADataTable[[#This Row],[email]])</f>
        <v>MATTHEW.GIBSON@UTSA.EDU</v>
      </c>
      <c r="Z720" s="15" t="str">
        <f>HYPERLINK("mailto:"&amp;RADataTable[[#This Row],[allPIemail]]&amp;"&amp;subject=NSF Proposal:  "&amp;RADataTable[[#This Row],[Div]]&amp;" "&amp;RADataTable[[#This Row],[prop_id0]], "PIs@")</f>
        <v>PIs@</v>
      </c>
      <c r="AA720" t="s">
        <v>245</v>
      </c>
      <c r="AB720" t="s">
        <v>679</v>
      </c>
      <c r="AC720" s="30" t="s">
        <v>824</v>
      </c>
      <c r="AD720" t="s">
        <v>825</v>
      </c>
      <c r="AE720" t="s">
        <v>826</v>
      </c>
      <c r="AF720" s="36">
        <v>415497</v>
      </c>
      <c r="AG720" s="36">
        <v>415497</v>
      </c>
      <c r="AH720" s="24"/>
      <c r="AJ720" s="34"/>
      <c r="AK720" t="s">
        <v>923</v>
      </c>
      <c r="AL720" t="s">
        <v>287</v>
      </c>
      <c r="AM720" s="34" t="s">
        <v>925</v>
      </c>
      <c r="AN720" s="34">
        <v>43032</v>
      </c>
      <c r="AO720" s="24">
        <v>13</v>
      </c>
      <c r="AP720" t="s">
        <v>965</v>
      </c>
      <c r="AR720" s="35"/>
      <c r="AS720"/>
      <c r="AT720" s="34"/>
      <c r="AV720" s="34"/>
      <c r="AX720" s="34"/>
      <c r="AY720"/>
      <c r="BA720" s="34"/>
      <c r="BB720"/>
      <c r="BC720" t="s">
        <v>829</v>
      </c>
      <c r="BD720" s="36">
        <v>415497</v>
      </c>
      <c r="BE720" s="36">
        <v>415497</v>
      </c>
      <c r="BF720">
        <v>0</v>
      </c>
      <c r="BG720" s="34">
        <v>43132</v>
      </c>
      <c r="BH720">
        <v>60</v>
      </c>
      <c r="BI720" t="s">
        <v>283</v>
      </c>
      <c r="BJ720" t="s">
        <v>928</v>
      </c>
      <c r="BK720" t="s">
        <v>234</v>
      </c>
      <c r="BL720" t="s">
        <v>194</v>
      </c>
      <c r="BM720" s="8" t="s">
        <v>192</v>
      </c>
      <c r="BN720" t="s">
        <v>189</v>
      </c>
      <c r="BO720" t="s">
        <v>190</v>
      </c>
      <c r="BP720" s="35" t="s">
        <v>726</v>
      </c>
      <c r="BQ720"/>
      <c r="BU720" s="35"/>
      <c r="BV720" s="35"/>
      <c r="BX720"/>
      <c r="CA720" s="35"/>
      <c r="CB720" s="35"/>
      <c r="CC720"/>
      <c r="CG720" s="35"/>
      <c r="CH720" s="35"/>
      <c r="CK720"/>
      <c r="CM720" s="35"/>
      <c r="CN720" s="35"/>
      <c r="CQ720"/>
      <c r="CS720" s="35"/>
      <c r="CT720" s="35"/>
      <c r="CX720"/>
      <c r="CZ720" s="35"/>
      <c r="DD720" s="34"/>
      <c r="DG720" t="s">
        <v>827</v>
      </c>
      <c r="DH720" t="s">
        <v>966</v>
      </c>
      <c r="DI720" t="s">
        <v>286</v>
      </c>
      <c r="DL720" t="s">
        <v>679</v>
      </c>
      <c r="DM720">
        <v>3</v>
      </c>
      <c r="DN720">
        <v>7</v>
      </c>
      <c r="DO720" t="s">
        <v>828</v>
      </c>
      <c r="DQ720" t="s">
        <v>927</v>
      </c>
      <c r="DR720">
        <v>14</v>
      </c>
      <c r="DS720">
        <v>0</v>
      </c>
      <c r="DU720">
        <v>14</v>
      </c>
      <c r="DV720">
        <v>0</v>
      </c>
      <c r="DX720">
        <v>14</v>
      </c>
      <c r="DY720">
        <v>0</v>
      </c>
      <c r="DZ720" t="s">
        <v>246</v>
      </c>
      <c r="EA720" t="s">
        <v>929</v>
      </c>
    </row>
    <row r="721" spans="1:131" x14ac:dyDescent="0.4">
      <c r="A721" s="34">
        <v>43067.305104166669</v>
      </c>
      <c r="B721" s="25">
        <v>42935.680555555555</v>
      </c>
      <c r="D721" s="34"/>
      <c r="E721" s="34" t="s">
        <v>193</v>
      </c>
      <c r="F721" s="34" t="s">
        <v>191</v>
      </c>
      <c r="G721" s="34" t="s">
        <v>100</v>
      </c>
      <c r="H721" t="s">
        <v>279</v>
      </c>
      <c r="I721" t="s">
        <v>243</v>
      </c>
      <c r="J721" t="s">
        <v>712</v>
      </c>
      <c r="K721" t="s">
        <v>713</v>
      </c>
      <c r="L721" t="s">
        <v>711</v>
      </c>
      <c r="M721" s="30">
        <v>3.13</v>
      </c>
      <c r="N721">
        <v>4.75</v>
      </c>
      <c r="P721" s="24" t="str">
        <f>IFERROR(MID(RADataTable[[#This Row],[RATemplate]],1,LEN(RADataTable[[#This Row],[RATemplate]])-8),"RA") &amp; " " &amp; RADataTable[[#This Row],[prop_id0]] &amp; " " &amp; RADataTable[[#This Row],[last0]]</f>
        <v>RA 1751047 Gibson</v>
      </c>
      <c r="T721">
        <v>4</v>
      </c>
      <c r="U721">
        <v>4</v>
      </c>
      <c r="V721" s="34">
        <v>43030.177777777775</v>
      </c>
      <c r="W721">
        <v>1</v>
      </c>
      <c r="X721" s="15" t="str">
        <f>HYPERLINK("https://www.ejacket.nsf.gov/ej/showProposal.do?Continue=Y&amp;ID="&amp;RADataTable[[#This Row],[prop_id0]],"eJ")</f>
        <v>eJ</v>
      </c>
      <c r="Y721" s="15" t="str">
        <f>HYPERLINK("mailto:"&amp;RADataTable[[#This Row],[email]]&amp;"&amp;subject=Your NSF Proposal:  "&amp;RADataTable[[#This Row],[Div]]&amp;" "&amp;RADataTable[[#This Row],[prop_id0]], RADataTable[[#This Row],[email]])</f>
        <v>MATTHEW.GIBSON@UTSA.EDU</v>
      </c>
      <c r="Z721" s="15" t="str">
        <f>HYPERLINK("mailto:"&amp;RADataTable[[#This Row],[allPIemail]]&amp;"&amp;subject=NSF Proposal:  "&amp;RADataTable[[#This Row],[Div]]&amp;" "&amp;RADataTable[[#This Row],[prop_id0]], "PIs@")</f>
        <v>PIs@</v>
      </c>
      <c r="AA721" t="s">
        <v>245</v>
      </c>
      <c r="AB721" t="s">
        <v>679</v>
      </c>
      <c r="AC721" s="30" t="s">
        <v>824</v>
      </c>
      <c r="AD721" t="s">
        <v>825</v>
      </c>
      <c r="AE721" t="s">
        <v>826</v>
      </c>
      <c r="AF721" s="36">
        <v>415497</v>
      </c>
      <c r="AG721" s="36">
        <v>415497</v>
      </c>
      <c r="AH721" s="24"/>
      <c r="AJ721" s="34"/>
      <c r="AK721" t="s">
        <v>923</v>
      </c>
      <c r="AL721" t="s">
        <v>287</v>
      </c>
      <c r="AM721" s="34" t="s">
        <v>925</v>
      </c>
      <c r="AN721" s="34">
        <v>43032</v>
      </c>
      <c r="AO721" s="24">
        <v>13</v>
      </c>
      <c r="AP721" t="s">
        <v>965</v>
      </c>
      <c r="AR721" s="35"/>
      <c r="AS721"/>
      <c r="AT721" s="34"/>
      <c r="AV721" s="34"/>
      <c r="AX721" s="34"/>
      <c r="AY721"/>
      <c r="BA721" s="34"/>
      <c r="BB721"/>
      <c r="BC721" t="s">
        <v>829</v>
      </c>
      <c r="BD721" s="36">
        <v>415497</v>
      </c>
      <c r="BE721" s="36">
        <v>415497</v>
      </c>
      <c r="BF721">
        <v>0</v>
      </c>
      <c r="BG721" s="34">
        <v>43132</v>
      </c>
      <c r="BH721">
        <v>60</v>
      </c>
      <c r="BI721" t="s">
        <v>283</v>
      </c>
      <c r="BJ721" t="s">
        <v>928</v>
      </c>
      <c r="BK721" t="s">
        <v>234</v>
      </c>
      <c r="BL721" t="s">
        <v>194</v>
      </c>
      <c r="BM721" s="8" t="s">
        <v>192</v>
      </c>
      <c r="BN721" t="s">
        <v>189</v>
      </c>
      <c r="BO721" t="s">
        <v>190</v>
      </c>
      <c r="BP721" s="35" t="s">
        <v>726</v>
      </c>
      <c r="BQ721"/>
      <c r="BU721" s="35"/>
      <c r="BV721" s="35"/>
      <c r="BX721"/>
      <c r="CA721" s="35"/>
      <c r="CB721" s="35"/>
      <c r="CC721"/>
      <c r="CG721" s="35"/>
      <c r="CH721" s="35"/>
      <c r="CK721"/>
      <c r="CM721" s="35"/>
      <c r="CN721" s="35"/>
      <c r="CQ721"/>
      <c r="CS721" s="35"/>
      <c r="CT721" s="35"/>
      <c r="CX721"/>
      <c r="CZ721" s="35"/>
      <c r="DD721" s="34"/>
      <c r="DG721" t="s">
        <v>827</v>
      </c>
      <c r="DH721" t="s">
        <v>966</v>
      </c>
      <c r="DI721" t="s">
        <v>286</v>
      </c>
      <c r="DL721" t="s">
        <v>679</v>
      </c>
      <c r="DM721">
        <v>3</v>
      </c>
      <c r="DN721">
        <v>7</v>
      </c>
      <c r="DO721" t="s">
        <v>828</v>
      </c>
      <c r="DQ721" t="s">
        <v>927</v>
      </c>
      <c r="DR721">
        <v>14</v>
      </c>
      <c r="DS721">
        <v>0</v>
      </c>
      <c r="DU721">
        <v>14</v>
      </c>
      <c r="DV721">
        <v>0</v>
      </c>
      <c r="DX721">
        <v>14</v>
      </c>
      <c r="DY721">
        <v>0</v>
      </c>
      <c r="DZ721" t="s">
        <v>246</v>
      </c>
      <c r="EA721" t="s">
        <v>929</v>
      </c>
    </row>
    <row r="722" spans="1:131" x14ac:dyDescent="0.4">
      <c r="A722" s="34">
        <v>43067.305104166669</v>
      </c>
      <c r="B722" s="25">
        <v>42935.680555555555</v>
      </c>
      <c r="D722" s="34"/>
      <c r="E722" s="34" t="s">
        <v>193</v>
      </c>
      <c r="F722" s="34" t="s">
        <v>191</v>
      </c>
      <c r="G722" s="34" t="s">
        <v>100</v>
      </c>
      <c r="H722" t="s">
        <v>279</v>
      </c>
      <c r="I722" t="s">
        <v>243</v>
      </c>
      <c r="J722" t="s">
        <v>712</v>
      </c>
      <c r="K722" t="s">
        <v>713</v>
      </c>
      <c r="L722" t="s">
        <v>711</v>
      </c>
      <c r="M722" s="30">
        <v>3.13</v>
      </c>
      <c r="N722">
        <v>4.75</v>
      </c>
      <c r="P722" s="24" t="str">
        <f>IFERROR(MID(RADataTable[[#This Row],[RATemplate]],1,LEN(RADataTable[[#This Row],[RATemplate]])-8),"RA") &amp; " " &amp; RADataTable[[#This Row],[prop_id0]] &amp; " " &amp; RADataTable[[#This Row],[last0]]</f>
        <v>RA 1751047 Gibson</v>
      </c>
      <c r="T722">
        <v>4</v>
      </c>
      <c r="U722">
        <v>4</v>
      </c>
      <c r="V722" s="34">
        <v>43030.177777777775</v>
      </c>
      <c r="W722">
        <v>1</v>
      </c>
      <c r="X722" s="15" t="str">
        <f>HYPERLINK("https://www.ejacket.nsf.gov/ej/showProposal.do?Continue=Y&amp;ID="&amp;RADataTable[[#This Row],[prop_id0]],"eJ")</f>
        <v>eJ</v>
      </c>
      <c r="Y722" s="15" t="str">
        <f>HYPERLINK("mailto:"&amp;RADataTable[[#This Row],[email]]&amp;"&amp;subject=Your NSF Proposal:  "&amp;RADataTable[[#This Row],[Div]]&amp;" "&amp;RADataTable[[#This Row],[prop_id0]], RADataTable[[#This Row],[email]])</f>
        <v>MATTHEW.GIBSON@UTSA.EDU</v>
      </c>
      <c r="Z722" s="15" t="str">
        <f>HYPERLINK("mailto:"&amp;RADataTable[[#This Row],[allPIemail]]&amp;"&amp;subject=NSF Proposal:  "&amp;RADataTable[[#This Row],[Div]]&amp;" "&amp;RADataTable[[#This Row],[prop_id0]], "PIs@")</f>
        <v>PIs@</v>
      </c>
      <c r="AA722" t="s">
        <v>245</v>
      </c>
      <c r="AB722" t="s">
        <v>679</v>
      </c>
      <c r="AC722" s="30" t="s">
        <v>824</v>
      </c>
      <c r="AD722" t="s">
        <v>825</v>
      </c>
      <c r="AE722" t="s">
        <v>826</v>
      </c>
      <c r="AF722" s="36">
        <v>415497</v>
      </c>
      <c r="AG722" s="36">
        <v>415497</v>
      </c>
      <c r="AH722" s="24"/>
      <c r="AJ722" s="34"/>
      <c r="AK722" t="s">
        <v>923</v>
      </c>
      <c r="AL722" t="s">
        <v>287</v>
      </c>
      <c r="AM722" s="34" t="s">
        <v>925</v>
      </c>
      <c r="AN722" s="34">
        <v>43032</v>
      </c>
      <c r="AO722" s="24">
        <v>13</v>
      </c>
      <c r="AP722" t="s">
        <v>965</v>
      </c>
      <c r="AR722" s="35"/>
      <c r="AS722"/>
      <c r="AT722" s="34"/>
      <c r="AV722" s="34"/>
      <c r="AX722" s="34"/>
      <c r="AY722"/>
      <c r="BA722" s="34"/>
      <c r="BB722"/>
      <c r="BC722" t="s">
        <v>829</v>
      </c>
      <c r="BD722" s="36">
        <v>415497</v>
      </c>
      <c r="BE722" s="36">
        <v>415497</v>
      </c>
      <c r="BF722">
        <v>0</v>
      </c>
      <c r="BG722" s="34">
        <v>43132</v>
      </c>
      <c r="BH722">
        <v>60</v>
      </c>
      <c r="BI722" t="s">
        <v>283</v>
      </c>
      <c r="BJ722" t="s">
        <v>928</v>
      </c>
      <c r="BK722" t="s">
        <v>234</v>
      </c>
      <c r="BL722" t="s">
        <v>194</v>
      </c>
      <c r="BM722" s="8" t="s">
        <v>192</v>
      </c>
      <c r="BN722" t="s">
        <v>189</v>
      </c>
      <c r="BO722" t="s">
        <v>190</v>
      </c>
      <c r="BP722" s="35" t="s">
        <v>726</v>
      </c>
      <c r="BQ722"/>
      <c r="BU722" s="35"/>
      <c r="BV722" s="35"/>
      <c r="BX722"/>
      <c r="CA722" s="35"/>
      <c r="CB722" s="35"/>
      <c r="CC722"/>
      <c r="CG722" s="35"/>
      <c r="CH722" s="35"/>
      <c r="CK722"/>
      <c r="CM722" s="35"/>
      <c r="CN722" s="35"/>
      <c r="CQ722"/>
      <c r="CS722" s="35"/>
      <c r="CT722" s="35"/>
      <c r="CX722"/>
      <c r="CZ722" s="35"/>
      <c r="DD722" s="34"/>
      <c r="DG722" t="s">
        <v>827</v>
      </c>
      <c r="DH722" t="s">
        <v>966</v>
      </c>
      <c r="DI722" t="s">
        <v>286</v>
      </c>
      <c r="DL722" t="s">
        <v>679</v>
      </c>
      <c r="DM722">
        <v>3</v>
      </c>
      <c r="DN722">
        <v>7</v>
      </c>
      <c r="DO722" t="s">
        <v>828</v>
      </c>
      <c r="DQ722" t="s">
        <v>927</v>
      </c>
      <c r="DR722">
        <v>14</v>
      </c>
      <c r="DS722">
        <v>0</v>
      </c>
      <c r="DU722">
        <v>14</v>
      </c>
      <c r="DV722">
        <v>0</v>
      </c>
      <c r="DX722">
        <v>14</v>
      </c>
      <c r="DY722">
        <v>0</v>
      </c>
      <c r="DZ722" t="s">
        <v>246</v>
      </c>
      <c r="EA722" t="s">
        <v>929</v>
      </c>
    </row>
    <row r="723" spans="1:131" x14ac:dyDescent="0.4">
      <c r="A723" s="34">
        <v>43067.305104166669</v>
      </c>
      <c r="B723" s="25">
        <v>42935.680555555555</v>
      </c>
      <c r="D723" s="34"/>
      <c r="E723" s="34" t="s">
        <v>193</v>
      </c>
      <c r="F723" s="34" t="s">
        <v>191</v>
      </c>
      <c r="G723" s="34" t="s">
        <v>100</v>
      </c>
      <c r="H723" t="s">
        <v>279</v>
      </c>
      <c r="I723" t="s">
        <v>243</v>
      </c>
      <c r="J723" t="s">
        <v>712</v>
      </c>
      <c r="K723" t="s">
        <v>713</v>
      </c>
      <c r="L723" t="s">
        <v>711</v>
      </c>
      <c r="M723" s="30">
        <v>3.13</v>
      </c>
      <c r="N723">
        <v>4.75</v>
      </c>
      <c r="P723" s="24" t="str">
        <f>IFERROR(MID(RADataTable[[#This Row],[RATemplate]],1,LEN(RADataTable[[#This Row],[RATemplate]])-8),"RA") &amp; " " &amp; RADataTable[[#This Row],[prop_id0]] &amp; " " &amp; RADataTable[[#This Row],[last0]]</f>
        <v>RA 1751047 Gibson</v>
      </c>
      <c r="T723">
        <v>4</v>
      </c>
      <c r="U723">
        <v>4</v>
      </c>
      <c r="V723" s="34">
        <v>43030.177777777775</v>
      </c>
      <c r="W723">
        <v>1</v>
      </c>
      <c r="X723" s="15" t="str">
        <f>HYPERLINK("https://www.ejacket.nsf.gov/ej/showProposal.do?Continue=Y&amp;ID="&amp;RADataTable[[#This Row],[prop_id0]],"eJ")</f>
        <v>eJ</v>
      </c>
      <c r="Y723" s="15" t="str">
        <f>HYPERLINK("mailto:"&amp;RADataTable[[#This Row],[email]]&amp;"&amp;subject=Your NSF Proposal:  "&amp;RADataTable[[#This Row],[Div]]&amp;" "&amp;RADataTable[[#This Row],[prop_id0]], RADataTable[[#This Row],[email]])</f>
        <v>MATTHEW.GIBSON@UTSA.EDU</v>
      </c>
      <c r="Z723" s="15" t="str">
        <f>HYPERLINK("mailto:"&amp;RADataTable[[#This Row],[allPIemail]]&amp;"&amp;subject=NSF Proposal:  "&amp;RADataTable[[#This Row],[Div]]&amp;" "&amp;RADataTable[[#This Row],[prop_id0]], "PIs@")</f>
        <v>PIs@</v>
      </c>
      <c r="AA723" t="s">
        <v>245</v>
      </c>
      <c r="AB723" t="s">
        <v>679</v>
      </c>
      <c r="AC723" s="30" t="s">
        <v>824</v>
      </c>
      <c r="AD723" t="s">
        <v>825</v>
      </c>
      <c r="AE723" t="s">
        <v>826</v>
      </c>
      <c r="AF723" s="36">
        <v>415497</v>
      </c>
      <c r="AG723" s="36">
        <v>415497</v>
      </c>
      <c r="AH723" s="24"/>
      <c r="AJ723" s="34"/>
      <c r="AK723" t="s">
        <v>923</v>
      </c>
      <c r="AL723" t="s">
        <v>287</v>
      </c>
      <c r="AM723" s="34" t="s">
        <v>925</v>
      </c>
      <c r="AN723" s="34">
        <v>43032</v>
      </c>
      <c r="AO723" s="24">
        <v>13</v>
      </c>
      <c r="AP723" t="s">
        <v>965</v>
      </c>
      <c r="AR723" s="35"/>
      <c r="AS723"/>
      <c r="AT723" s="34"/>
      <c r="AV723" s="34"/>
      <c r="AX723" s="34"/>
      <c r="AY723"/>
      <c r="BA723" s="34"/>
      <c r="BB723"/>
      <c r="BC723" t="s">
        <v>829</v>
      </c>
      <c r="BD723" s="36">
        <v>415497</v>
      </c>
      <c r="BE723" s="36">
        <v>415497</v>
      </c>
      <c r="BF723">
        <v>0</v>
      </c>
      <c r="BG723" s="34">
        <v>43132</v>
      </c>
      <c r="BH723">
        <v>60</v>
      </c>
      <c r="BI723" t="s">
        <v>283</v>
      </c>
      <c r="BJ723" t="s">
        <v>928</v>
      </c>
      <c r="BK723" t="s">
        <v>234</v>
      </c>
      <c r="BL723" t="s">
        <v>194</v>
      </c>
      <c r="BM723" s="8" t="s">
        <v>192</v>
      </c>
      <c r="BN723" t="s">
        <v>189</v>
      </c>
      <c r="BO723" t="s">
        <v>190</v>
      </c>
      <c r="BP723" s="35" t="s">
        <v>726</v>
      </c>
      <c r="BQ723"/>
      <c r="BU723" s="35"/>
      <c r="BV723" s="35"/>
      <c r="BX723"/>
      <c r="CA723" s="35"/>
      <c r="CB723" s="35"/>
      <c r="CC723"/>
      <c r="CG723" s="35"/>
      <c r="CH723" s="35"/>
      <c r="CK723"/>
      <c r="CM723" s="35"/>
      <c r="CN723" s="35"/>
      <c r="CQ723"/>
      <c r="CS723" s="35"/>
      <c r="CT723" s="35"/>
      <c r="CX723"/>
      <c r="CZ723" s="35"/>
      <c r="DD723" s="34"/>
      <c r="DG723" t="s">
        <v>827</v>
      </c>
      <c r="DH723" t="s">
        <v>966</v>
      </c>
      <c r="DI723" t="s">
        <v>286</v>
      </c>
      <c r="DL723" t="s">
        <v>679</v>
      </c>
      <c r="DM723">
        <v>3</v>
      </c>
      <c r="DN723">
        <v>7</v>
      </c>
      <c r="DO723" t="s">
        <v>828</v>
      </c>
      <c r="DQ723" t="s">
        <v>927</v>
      </c>
      <c r="DR723">
        <v>14</v>
      </c>
      <c r="DS723">
        <v>0</v>
      </c>
      <c r="DU723">
        <v>14</v>
      </c>
      <c r="DV723">
        <v>0</v>
      </c>
      <c r="DX723">
        <v>14</v>
      </c>
      <c r="DY723">
        <v>0</v>
      </c>
      <c r="DZ723" t="s">
        <v>246</v>
      </c>
      <c r="EA723" t="s">
        <v>929</v>
      </c>
    </row>
    <row r="724" spans="1:131" x14ac:dyDescent="0.4">
      <c r="A724" s="34">
        <v>43067.305104166669</v>
      </c>
      <c r="B724" s="25">
        <v>42935.680555555555</v>
      </c>
      <c r="D724" s="34"/>
      <c r="E724" s="34" t="s">
        <v>193</v>
      </c>
      <c r="F724" s="34" t="s">
        <v>191</v>
      </c>
      <c r="G724" s="34" t="s">
        <v>100</v>
      </c>
      <c r="H724" t="s">
        <v>279</v>
      </c>
      <c r="I724" t="s">
        <v>243</v>
      </c>
      <c r="J724" t="s">
        <v>712</v>
      </c>
      <c r="K724" t="s">
        <v>713</v>
      </c>
      <c r="L724" t="s">
        <v>711</v>
      </c>
      <c r="M724" s="30">
        <v>3.13</v>
      </c>
      <c r="N724">
        <v>4.75</v>
      </c>
      <c r="P724" s="24" t="str">
        <f>IFERROR(MID(RADataTable[[#This Row],[RATemplate]],1,LEN(RADataTable[[#This Row],[RATemplate]])-8),"RA") &amp; " " &amp; RADataTable[[#This Row],[prop_id0]] &amp; " " &amp; RADataTable[[#This Row],[last0]]</f>
        <v>RA 1751047 Gibson</v>
      </c>
      <c r="T724">
        <v>4</v>
      </c>
      <c r="U724">
        <v>4</v>
      </c>
      <c r="V724" s="34">
        <v>43030.177777777775</v>
      </c>
      <c r="W724">
        <v>1</v>
      </c>
      <c r="X724" s="15" t="str">
        <f>HYPERLINK("https://www.ejacket.nsf.gov/ej/showProposal.do?Continue=Y&amp;ID="&amp;RADataTable[[#This Row],[prop_id0]],"eJ")</f>
        <v>eJ</v>
      </c>
      <c r="Y724" s="15" t="str">
        <f>HYPERLINK("mailto:"&amp;RADataTable[[#This Row],[email]]&amp;"&amp;subject=Your NSF Proposal:  "&amp;RADataTable[[#This Row],[Div]]&amp;" "&amp;RADataTable[[#This Row],[prop_id0]], RADataTable[[#This Row],[email]])</f>
        <v>MATTHEW.GIBSON@UTSA.EDU</v>
      </c>
      <c r="Z724" s="15" t="str">
        <f>HYPERLINK("mailto:"&amp;RADataTable[[#This Row],[allPIemail]]&amp;"&amp;subject=NSF Proposal:  "&amp;RADataTable[[#This Row],[Div]]&amp;" "&amp;RADataTable[[#This Row],[prop_id0]], "PIs@")</f>
        <v>PIs@</v>
      </c>
      <c r="AA724" t="s">
        <v>245</v>
      </c>
      <c r="AB724" t="s">
        <v>679</v>
      </c>
      <c r="AC724" s="30" t="s">
        <v>824</v>
      </c>
      <c r="AD724" t="s">
        <v>825</v>
      </c>
      <c r="AE724" t="s">
        <v>826</v>
      </c>
      <c r="AF724" s="36">
        <v>415497</v>
      </c>
      <c r="AG724" s="36">
        <v>415497</v>
      </c>
      <c r="AH724" s="24"/>
      <c r="AJ724" s="34"/>
      <c r="AK724" t="s">
        <v>923</v>
      </c>
      <c r="AL724" t="s">
        <v>287</v>
      </c>
      <c r="AM724" s="34" t="s">
        <v>925</v>
      </c>
      <c r="AN724" s="34">
        <v>43032</v>
      </c>
      <c r="AO724" s="24">
        <v>13</v>
      </c>
      <c r="AP724" t="s">
        <v>965</v>
      </c>
      <c r="AR724" s="35"/>
      <c r="AS724"/>
      <c r="AT724" s="34"/>
      <c r="AV724" s="34"/>
      <c r="AX724" s="34"/>
      <c r="AY724"/>
      <c r="BA724" s="34"/>
      <c r="BB724"/>
      <c r="BC724" t="s">
        <v>829</v>
      </c>
      <c r="BD724" s="36">
        <v>415497</v>
      </c>
      <c r="BE724" s="36">
        <v>415497</v>
      </c>
      <c r="BF724">
        <v>0</v>
      </c>
      <c r="BG724" s="34">
        <v>43132</v>
      </c>
      <c r="BH724">
        <v>60</v>
      </c>
      <c r="BI724" t="s">
        <v>283</v>
      </c>
      <c r="BJ724" t="s">
        <v>928</v>
      </c>
      <c r="BK724" t="s">
        <v>234</v>
      </c>
      <c r="BL724" t="s">
        <v>194</v>
      </c>
      <c r="BM724" s="8" t="s">
        <v>192</v>
      </c>
      <c r="BN724" t="s">
        <v>189</v>
      </c>
      <c r="BO724" t="s">
        <v>190</v>
      </c>
      <c r="BP724" s="35" t="s">
        <v>726</v>
      </c>
      <c r="BQ724"/>
      <c r="BU724" s="35"/>
      <c r="BV724" s="35"/>
      <c r="BX724"/>
      <c r="CA724" s="35"/>
      <c r="CB724" s="35"/>
      <c r="CC724"/>
      <c r="CG724" s="35"/>
      <c r="CH724" s="35"/>
      <c r="CK724"/>
      <c r="CM724" s="35"/>
      <c r="CN724" s="35"/>
      <c r="CQ724"/>
      <c r="CS724" s="35"/>
      <c r="CT724" s="35"/>
      <c r="CX724"/>
      <c r="CZ724" s="35"/>
      <c r="DD724" s="34"/>
      <c r="DG724" t="s">
        <v>827</v>
      </c>
      <c r="DH724" t="s">
        <v>966</v>
      </c>
      <c r="DI724" t="s">
        <v>286</v>
      </c>
      <c r="DL724" t="s">
        <v>679</v>
      </c>
      <c r="DM724">
        <v>3</v>
      </c>
      <c r="DN724">
        <v>7</v>
      </c>
      <c r="DO724" t="s">
        <v>828</v>
      </c>
      <c r="DQ724" t="s">
        <v>927</v>
      </c>
      <c r="DR724">
        <v>14</v>
      </c>
      <c r="DS724">
        <v>0</v>
      </c>
      <c r="DU724">
        <v>14</v>
      </c>
      <c r="DV724">
        <v>0</v>
      </c>
      <c r="DX724">
        <v>14</v>
      </c>
      <c r="DY724">
        <v>0</v>
      </c>
      <c r="DZ724" t="s">
        <v>246</v>
      </c>
      <c r="EA724" t="s">
        <v>929</v>
      </c>
    </row>
    <row r="725" spans="1:131" x14ac:dyDescent="0.4">
      <c r="A725" s="34">
        <v>43067.305104166669</v>
      </c>
      <c r="B725" s="25">
        <v>42935.680555555555</v>
      </c>
      <c r="D725" s="34"/>
      <c r="E725" s="34" t="s">
        <v>193</v>
      </c>
      <c r="F725" s="34" t="s">
        <v>191</v>
      </c>
      <c r="G725" s="34" t="s">
        <v>100</v>
      </c>
      <c r="H725" t="s">
        <v>279</v>
      </c>
      <c r="I725" t="s">
        <v>243</v>
      </c>
      <c r="J725" t="s">
        <v>712</v>
      </c>
      <c r="K725" t="s">
        <v>713</v>
      </c>
      <c r="L725" t="s">
        <v>711</v>
      </c>
      <c r="M725" s="30">
        <v>3.13</v>
      </c>
      <c r="N725">
        <v>4.75</v>
      </c>
      <c r="P725" s="24" t="str">
        <f>IFERROR(MID(RADataTable[[#This Row],[RATemplate]],1,LEN(RADataTable[[#This Row],[RATemplate]])-8),"RA") &amp; " " &amp; RADataTable[[#This Row],[prop_id0]] &amp; " " &amp; RADataTable[[#This Row],[last0]]</f>
        <v>RA 1751047 Gibson</v>
      </c>
      <c r="T725">
        <v>4</v>
      </c>
      <c r="U725">
        <v>4</v>
      </c>
      <c r="V725" s="34">
        <v>43030.177777777775</v>
      </c>
      <c r="W725">
        <v>1</v>
      </c>
      <c r="X725" s="15" t="str">
        <f>HYPERLINK("https://www.ejacket.nsf.gov/ej/showProposal.do?Continue=Y&amp;ID="&amp;RADataTable[[#This Row],[prop_id0]],"eJ")</f>
        <v>eJ</v>
      </c>
      <c r="Y725" s="15" t="str">
        <f>HYPERLINK("mailto:"&amp;RADataTable[[#This Row],[email]]&amp;"&amp;subject=Your NSF Proposal:  "&amp;RADataTable[[#This Row],[Div]]&amp;" "&amp;RADataTable[[#This Row],[prop_id0]], RADataTable[[#This Row],[email]])</f>
        <v>MATTHEW.GIBSON@UTSA.EDU</v>
      </c>
      <c r="Z725" s="15" t="str">
        <f>HYPERLINK("mailto:"&amp;RADataTable[[#This Row],[allPIemail]]&amp;"&amp;subject=NSF Proposal:  "&amp;RADataTable[[#This Row],[Div]]&amp;" "&amp;RADataTable[[#This Row],[prop_id0]], "PIs@")</f>
        <v>PIs@</v>
      </c>
      <c r="AA725" t="s">
        <v>245</v>
      </c>
      <c r="AB725" t="s">
        <v>679</v>
      </c>
      <c r="AC725" s="30" t="s">
        <v>824</v>
      </c>
      <c r="AD725" t="s">
        <v>825</v>
      </c>
      <c r="AE725" t="s">
        <v>826</v>
      </c>
      <c r="AF725" s="36">
        <v>415497</v>
      </c>
      <c r="AG725" s="36">
        <v>415497</v>
      </c>
      <c r="AH725" s="24"/>
      <c r="AJ725" s="34"/>
      <c r="AK725" t="s">
        <v>923</v>
      </c>
      <c r="AL725" t="s">
        <v>287</v>
      </c>
      <c r="AM725" s="34" t="s">
        <v>925</v>
      </c>
      <c r="AN725" s="34">
        <v>43032</v>
      </c>
      <c r="AO725" s="24">
        <v>13</v>
      </c>
      <c r="AP725" t="s">
        <v>965</v>
      </c>
      <c r="AR725" s="35"/>
      <c r="AS725"/>
      <c r="AT725" s="34"/>
      <c r="AV725" s="34"/>
      <c r="AX725" s="34"/>
      <c r="AY725"/>
      <c r="BA725" s="34"/>
      <c r="BB725"/>
      <c r="BC725" t="s">
        <v>829</v>
      </c>
      <c r="BD725" s="36">
        <v>415497</v>
      </c>
      <c r="BE725" s="36">
        <v>415497</v>
      </c>
      <c r="BF725">
        <v>0</v>
      </c>
      <c r="BG725" s="34">
        <v>43132</v>
      </c>
      <c r="BH725">
        <v>60</v>
      </c>
      <c r="BI725" t="s">
        <v>283</v>
      </c>
      <c r="BJ725" t="s">
        <v>928</v>
      </c>
      <c r="BK725" t="s">
        <v>234</v>
      </c>
      <c r="BL725" t="s">
        <v>194</v>
      </c>
      <c r="BM725" s="8" t="s">
        <v>192</v>
      </c>
      <c r="BN725" t="s">
        <v>189</v>
      </c>
      <c r="BO725" t="s">
        <v>190</v>
      </c>
      <c r="BP725" s="35" t="s">
        <v>726</v>
      </c>
      <c r="BQ725"/>
      <c r="BU725" s="35"/>
      <c r="BV725" s="35"/>
      <c r="BX725"/>
      <c r="CA725" s="35"/>
      <c r="CB725" s="35"/>
      <c r="CC725"/>
      <c r="CG725" s="35"/>
      <c r="CH725" s="35"/>
      <c r="CK725"/>
      <c r="CM725" s="35"/>
      <c r="CN725" s="35"/>
      <c r="CQ725"/>
      <c r="CS725" s="35"/>
      <c r="CT725" s="35"/>
      <c r="CX725"/>
      <c r="CZ725" s="35"/>
      <c r="DD725" s="34"/>
      <c r="DG725" t="s">
        <v>827</v>
      </c>
      <c r="DH725" t="s">
        <v>966</v>
      </c>
      <c r="DI725" t="s">
        <v>286</v>
      </c>
      <c r="DL725" t="s">
        <v>679</v>
      </c>
      <c r="DM725">
        <v>3</v>
      </c>
      <c r="DN725">
        <v>7</v>
      </c>
      <c r="DO725" t="s">
        <v>828</v>
      </c>
      <c r="DQ725" t="s">
        <v>927</v>
      </c>
      <c r="DR725">
        <v>14</v>
      </c>
      <c r="DS725">
        <v>0</v>
      </c>
      <c r="DU725">
        <v>14</v>
      </c>
      <c r="DV725">
        <v>0</v>
      </c>
      <c r="DX725">
        <v>14</v>
      </c>
      <c r="DY725">
        <v>0</v>
      </c>
      <c r="DZ725" t="s">
        <v>246</v>
      </c>
      <c r="EA725" t="s">
        <v>929</v>
      </c>
    </row>
    <row r="726" spans="1:131" x14ac:dyDescent="0.4">
      <c r="A726" s="34">
        <v>43067.305104166669</v>
      </c>
      <c r="B726" s="25">
        <v>42935.680555555555</v>
      </c>
      <c r="D726" s="34"/>
      <c r="E726" s="34" t="s">
        <v>193</v>
      </c>
      <c r="F726" s="34" t="s">
        <v>191</v>
      </c>
      <c r="G726" s="34" t="s">
        <v>100</v>
      </c>
      <c r="H726" t="s">
        <v>279</v>
      </c>
      <c r="I726" t="s">
        <v>243</v>
      </c>
      <c r="J726" t="s">
        <v>712</v>
      </c>
      <c r="K726" t="s">
        <v>713</v>
      </c>
      <c r="L726" t="s">
        <v>711</v>
      </c>
      <c r="M726" s="30">
        <v>3.13</v>
      </c>
      <c r="N726">
        <v>4.75</v>
      </c>
      <c r="P726" s="24" t="str">
        <f>IFERROR(MID(RADataTable[[#This Row],[RATemplate]],1,LEN(RADataTable[[#This Row],[RATemplate]])-8),"RA") &amp; " " &amp; RADataTable[[#This Row],[prop_id0]] &amp; " " &amp; RADataTable[[#This Row],[last0]]</f>
        <v>RA 1751047 Gibson</v>
      </c>
      <c r="T726">
        <v>4</v>
      </c>
      <c r="U726">
        <v>4</v>
      </c>
      <c r="V726" s="34">
        <v>43030.177777777775</v>
      </c>
      <c r="W726">
        <v>1</v>
      </c>
      <c r="X726" s="15" t="str">
        <f>HYPERLINK("https://www.ejacket.nsf.gov/ej/showProposal.do?Continue=Y&amp;ID="&amp;RADataTable[[#This Row],[prop_id0]],"eJ")</f>
        <v>eJ</v>
      </c>
      <c r="Y726" s="15" t="str">
        <f>HYPERLINK("mailto:"&amp;RADataTable[[#This Row],[email]]&amp;"&amp;subject=Your NSF Proposal:  "&amp;RADataTable[[#This Row],[Div]]&amp;" "&amp;RADataTable[[#This Row],[prop_id0]], RADataTable[[#This Row],[email]])</f>
        <v>MATTHEW.GIBSON@UTSA.EDU</v>
      </c>
      <c r="Z726" s="15" t="str">
        <f>HYPERLINK("mailto:"&amp;RADataTable[[#This Row],[allPIemail]]&amp;"&amp;subject=NSF Proposal:  "&amp;RADataTable[[#This Row],[Div]]&amp;" "&amp;RADataTable[[#This Row],[prop_id0]], "PIs@")</f>
        <v>PIs@</v>
      </c>
      <c r="AA726" t="s">
        <v>245</v>
      </c>
      <c r="AB726" t="s">
        <v>679</v>
      </c>
      <c r="AC726" s="30" t="s">
        <v>824</v>
      </c>
      <c r="AD726" t="s">
        <v>825</v>
      </c>
      <c r="AE726" t="s">
        <v>826</v>
      </c>
      <c r="AF726" s="36">
        <v>415497</v>
      </c>
      <c r="AG726" s="36">
        <v>415497</v>
      </c>
      <c r="AH726" s="24"/>
      <c r="AJ726" s="34"/>
      <c r="AK726" t="s">
        <v>923</v>
      </c>
      <c r="AL726" t="s">
        <v>287</v>
      </c>
      <c r="AM726" s="34" t="s">
        <v>925</v>
      </c>
      <c r="AN726" s="34">
        <v>43032</v>
      </c>
      <c r="AO726" s="24">
        <v>13</v>
      </c>
      <c r="AP726" t="s">
        <v>965</v>
      </c>
      <c r="AR726" s="35"/>
      <c r="AS726"/>
      <c r="AT726" s="34"/>
      <c r="AV726" s="34"/>
      <c r="AX726" s="34"/>
      <c r="AY726"/>
      <c r="BA726" s="34"/>
      <c r="BB726"/>
      <c r="BC726" t="s">
        <v>829</v>
      </c>
      <c r="BD726" s="36">
        <v>415497</v>
      </c>
      <c r="BE726" s="36">
        <v>415497</v>
      </c>
      <c r="BF726">
        <v>0</v>
      </c>
      <c r="BG726" s="34">
        <v>43132</v>
      </c>
      <c r="BH726">
        <v>60</v>
      </c>
      <c r="BI726" t="s">
        <v>283</v>
      </c>
      <c r="BJ726" t="s">
        <v>928</v>
      </c>
      <c r="BK726" t="s">
        <v>234</v>
      </c>
      <c r="BL726" t="s">
        <v>194</v>
      </c>
      <c r="BM726" s="8" t="s">
        <v>192</v>
      </c>
      <c r="BN726" t="s">
        <v>189</v>
      </c>
      <c r="BO726" t="s">
        <v>190</v>
      </c>
      <c r="BP726" s="35" t="s">
        <v>726</v>
      </c>
      <c r="BQ726"/>
      <c r="BU726" s="35"/>
      <c r="BV726" s="35"/>
      <c r="BX726"/>
      <c r="CA726" s="35"/>
      <c r="CB726" s="35"/>
      <c r="CC726"/>
      <c r="CG726" s="35"/>
      <c r="CH726" s="35"/>
      <c r="CK726"/>
      <c r="CM726" s="35"/>
      <c r="CN726" s="35"/>
      <c r="CQ726"/>
      <c r="CS726" s="35"/>
      <c r="CT726" s="35"/>
      <c r="CX726"/>
      <c r="CZ726" s="35"/>
      <c r="DD726" s="34"/>
      <c r="DG726" t="s">
        <v>827</v>
      </c>
      <c r="DH726" t="s">
        <v>966</v>
      </c>
      <c r="DI726" t="s">
        <v>286</v>
      </c>
      <c r="DL726" t="s">
        <v>679</v>
      </c>
      <c r="DM726">
        <v>3</v>
      </c>
      <c r="DN726">
        <v>7</v>
      </c>
      <c r="DO726" t="s">
        <v>828</v>
      </c>
      <c r="DQ726" t="s">
        <v>927</v>
      </c>
      <c r="DR726">
        <v>14</v>
      </c>
      <c r="DS726">
        <v>0</v>
      </c>
      <c r="DU726">
        <v>14</v>
      </c>
      <c r="DV726">
        <v>0</v>
      </c>
      <c r="DX726">
        <v>14</v>
      </c>
      <c r="DY726">
        <v>0</v>
      </c>
      <c r="DZ726" t="s">
        <v>246</v>
      </c>
      <c r="EA726" t="s">
        <v>929</v>
      </c>
    </row>
    <row r="727" spans="1:131" x14ac:dyDescent="0.4">
      <c r="A727" s="34">
        <v>43067.305104166669</v>
      </c>
      <c r="B727" s="25">
        <v>42935.680555555555</v>
      </c>
      <c r="D727" s="34"/>
      <c r="E727" s="34" t="s">
        <v>193</v>
      </c>
      <c r="F727" s="34" t="s">
        <v>191</v>
      </c>
      <c r="G727" s="34" t="s">
        <v>100</v>
      </c>
      <c r="H727" t="s">
        <v>279</v>
      </c>
      <c r="I727" t="s">
        <v>243</v>
      </c>
      <c r="J727" t="s">
        <v>712</v>
      </c>
      <c r="K727" t="s">
        <v>713</v>
      </c>
      <c r="L727" t="s">
        <v>711</v>
      </c>
      <c r="M727" s="30">
        <v>3.13</v>
      </c>
      <c r="N727">
        <v>4.75</v>
      </c>
      <c r="P727" s="24" t="str">
        <f>IFERROR(MID(RADataTable[[#This Row],[RATemplate]],1,LEN(RADataTable[[#This Row],[RATemplate]])-8),"RA") &amp; " " &amp; RADataTable[[#This Row],[prop_id0]] &amp; " " &amp; RADataTable[[#This Row],[last0]]</f>
        <v>RA 1751047 Gibson</v>
      </c>
      <c r="T727">
        <v>4</v>
      </c>
      <c r="U727">
        <v>4</v>
      </c>
      <c r="V727" s="34">
        <v>43030.177777777775</v>
      </c>
      <c r="W727">
        <v>1</v>
      </c>
      <c r="X727" s="15" t="str">
        <f>HYPERLINK("https://www.ejacket.nsf.gov/ej/showProposal.do?Continue=Y&amp;ID="&amp;RADataTable[[#This Row],[prop_id0]],"eJ")</f>
        <v>eJ</v>
      </c>
      <c r="Y727" s="15" t="str">
        <f>HYPERLINK("mailto:"&amp;RADataTable[[#This Row],[email]]&amp;"&amp;subject=Your NSF Proposal:  "&amp;RADataTable[[#This Row],[Div]]&amp;" "&amp;RADataTable[[#This Row],[prop_id0]], RADataTable[[#This Row],[email]])</f>
        <v>MATTHEW.GIBSON@UTSA.EDU</v>
      </c>
      <c r="Z727" s="15" t="str">
        <f>HYPERLINK("mailto:"&amp;RADataTable[[#This Row],[allPIemail]]&amp;"&amp;subject=NSF Proposal:  "&amp;RADataTable[[#This Row],[Div]]&amp;" "&amp;RADataTable[[#This Row],[prop_id0]], "PIs@")</f>
        <v>PIs@</v>
      </c>
      <c r="AA727" t="s">
        <v>245</v>
      </c>
      <c r="AB727" t="s">
        <v>679</v>
      </c>
      <c r="AC727" s="30" t="s">
        <v>824</v>
      </c>
      <c r="AD727" t="s">
        <v>825</v>
      </c>
      <c r="AE727" t="s">
        <v>826</v>
      </c>
      <c r="AF727" s="36">
        <v>415497</v>
      </c>
      <c r="AG727" s="36">
        <v>415497</v>
      </c>
      <c r="AH727" s="24"/>
      <c r="AJ727" s="34"/>
      <c r="AK727" t="s">
        <v>923</v>
      </c>
      <c r="AL727" t="s">
        <v>287</v>
      </c>
      <c r="AM727" s="34" t="s">
        <v>925</v>
      </c>
      <c r="AN727" s="34">
        <v>43032</v>
      </c>
      <c r="AO727" s="24">
        <v>13</v>
      </c>
      <c r="AP727" t="s">
        <v>965</v>
      </c>
      <c r="AR727" s="35"/>
      <c r="AS727"/>
      <c r="AT727" s="34"/>
      <c r="AV727" s="34"/>
      <c r="AX727" s="34"/>
      <c r="AY727"/>
      <c r="BA727" s="34"/>
      <c r="BB727"/>
      <c r="BC727" t="s">
        <v>829</v>
      </c>
      <c r="BD727" s="36">
        <v>415497</v>
      </c>
      <c r="BE727" s="36">
        <v>415497</v>
      </c>
      <c r="BF727">
        <v>0</v>
      </c>
      <c r="BG727" s="34">
        <v>43132</v>
      </c>
      <c r="BH727">
        <v>60</v>
      </c>
      <c r="BI727" t="s">
        <v>283</v>
      </c>
      <c r="BJ727" t="s">
        <v>928</v>
      </c>
      <c r="BK727" t="s">
        <v>234</v>
      </c>
      <c r="BL727" t="s">
        <v>194</v>
      </c>
      <c r="BM727" s="8" t="s">
        <v>192</v>
      </c>
      <c r="BN727" t="s">
        <v>189</v>
      </c>
      <c r="BO727" t="s">
        <v>190</v>
      </c>
      <c r="BP727" s="35" t="s">
        <v>726</v>
      </c>
      <c r="BQ727"/>
      <c r="BU727" s="35"/>
      <c r="BV727" s="35"/>
      <c r="BX727"/>
      <c r="CA727" s="35"/>
      <c r="CB727" s="35"/>
      <c r="CC727"/>
      <c r="CG727" s="35"/>
      <c r="CH727" s="35"/>
      <c r="CK727"/>
      <c r="CM727" s="35"/>
      <c r="CN727" s="35"/>
      <c r="CQ727"/>
      <c r="CS727" s="35"/>
      <c r="CT727" s="35"/>
      <c r="CX727"/>
      <c r="CZ727" s="35"/>
      <c r="DD727" s="34"/>
      <c r="DG727" t="s">
        <v>827</v>
      </c>
      <c r="DH727" t="s">
        <v>966</v>
      </c>
      <c r="DI727" t="s">
        <v>286</v>
      </c>
      <c r="DL727" t="s">
        <v>679</v>
      </c>
      <c r="DM727">
        <v>3</v>
      </c>
      <c r="DN727">
        <v>7</v>
      </c>
      <c r="DO727" t="s">
        <v>828</v>
      </c>
      <c r="DQ727" t="s">
        <v>927</v>
      </c>
      <c r="DR727">
        <v>14</v>
      </c>
      <c r="DS727">
        <v>0</v>
      </c>
      <c r="DU727">
        <v>14</v>
      </c>
      <c r="DV727">
        <v>0</v>
      </c>
      <c r="DX727">
        <v>14</v>
      </c>
      <c r="DY727">
        <v>0</v>
      </c>
      <c r="DZ727" t="s">
        <v>246</v>
      </c>
      <c r="EA727" t="s">
        <v>929</v>
      </c>
    </row>
    <row r="728" spans="1:131" x14ac:dyDescent="0.4">
      <c r="A728" s="34">
        <v>43067.305104166669</v>
      </c>
      <c r="B728" s="25">
        <v>42935.680555555555</v>
      </c>
      <c r="D728" s="34"/>
      <c r="E728" s="34" t="s">
        <v>193</v>
      </c>
      <c r="F728" s="34" t="s">
        <v>191</v>
      </c>
      <c r="G728" s="34" t="s">
        <v>100</v>
      </c>
      <c r="H728" t="s">
        <v>279</v>
      </c>
      <c r="I728" t="s">
        <v>243</v>
      </c>
      <c r="J728" t="s">
        <v>712</v>
      </c>
      <c r="K728" t="s">
        <v>713</v>
      </c>
      <c r="L728" t="s">
        <v>711</v>
      </c>
      <c r="M728" s="30">
        <v>3.13</v>
      </c>
      <c r="N728">
        <v>4.75</v>
      </c>
      <c r="P728" s="24" t="str">
        <f>IFERROR(MID(RADataTable[[#This Row],[RATemplate]],1,LEN(RADataTable[[#This Row],[RATemplate]])-8),"RA") &amp; " " &amp; RADataTable[[#This Row],[prop_id0]] &amp; " " &amp; RADataTable[[#This Row],[last0]]</f>
        <v>RA 1751047 Gibson</v>
      </c>
      <c r="T728">
        <v>4</v>
      </c>
      <c r="U728">
        <v>4</v>
      </c>
      <c r="V728" s="34">
        <v>43030.177777777775</v>
      </c>
      <c r="W728">
        <v>1</v>
      </c>
      <c r="X728" s="15" t="str">
        <f>HYPERLINK("https://www.ejacket.nsf.gov/ej/showProposal.do?Continue=Y&amp;ID="&amp;RADataTable[[#This Row],[prop_id0]],"eJ")</f>
        <v>eJ</v>
      </c>
      <c r="Y728" s="15" t="str">
        <f>HYPERLINK("mailto:"&amp;RADataTable[[#This Row],[email]]&amp;"&amp;subject=Your NSF Proposal:  "&amp;RADataTable[[#This Row],[Div]]&amp;" "&amp;RADataTable[[#This Row],[prop_id0]], RADataTable[[#This Row],[email]])</f>
        <v>MATTHEW.GIBSON@UTSA.EDU</v>
      </c>
      <c r="Z728" s="15" t="str">
        <f>HYPERLINK("mailto:"&amp;RADataTable[[#This Row],[allPIemail]]&amp;"&amp;subject=NSF Proposal:  "&amp;RADataTable[[#This Row],[Div]]&amp;" "&amp;RADataTable[[#This Row],[prop_id0]], "PIs@")</f>
        <v>PIs@</v>
      </c>
      <c r="AA728" t="s">
        <v>245</v>
      </c>
      <c r="AB728" t="s">
        <v>679</v>
      </c>
      <c r="AC728" s="30" t="s">
        <v>824</v>
      </c>
      <c r="AD728" t="s">
        <v>825</v>
      </c>
      <c r="AE728" t="s">
        <v>826</v>
      </c>
      <c r="AF728" s="36">
        <v>415497</v>
      </c>
      <c r="AG728" s="36">
        <v>415497</v>
      </c>
      <c r="AH728" s="24"/>
      <c r="AJ728" s="34"/>
      <c r="AK728" t="s">
        <v>923</v>
      </c>
      <c r="AL728" t="s">
        <v>287</v>
      </c>
      <c r="AM728" s="34" t="s">
        <v>925</v>
      </c>
      <c r="AN728" s="34">
        <v>43032</v>
      </c>
      <c r="AO728" s="24">
        <v>13</v>
      </c>
      <c r="AP728" t="s">
        <v>965</v>
      </c>
      <c r="AR728" s="35"/>
      <c r="AS728"/>
      <c r="AT728" s="34"/>
      <c r="AV728" s="34"/>
      <c r="AX728" s="34"/>
      <c r="AY728"/>
      <c r="BA728" s="34"/>
      <c r="BB728"/>
      <c r="BC728" t="s">
        <v>829</v>
      </c>
      <c r="BD728" s="36">
        <v>415497</v>
      </c>
      <c r="BE728" s="36">
        <v>415497</v>
      </c>
      <c r="BF728">
        <v>0</v>
      </c>
      <c r="BG728" s="34">
        <v>43132</v>
      </c>
      <c r="BH728">
        <v>60</v>
      </c>
      <c r="BI728" t="s">
        <v>283</v>
      </c>
      <c r="BJ728" t="s">
        <v>928</v>
      </c>
      <c r="BK728" t="s">
        <v>234</v>
      </c>
      <c r="BL728" t="s">
        <v>194</v>
      </c>
      <c r="BM728" s="8" t="s">
        <v>192</v>
      </c>
      <c r="BN728" t="s">
        <v>189</v>
      </c>
      <c r="BO728" t="s">
        <v>190</v>
      </c>
      <c r="BP728" s="35" t="s">
        <v>726</v>
      </c>
      <c r="BQ728"/>
      <c r="BU728" s="35"/>
      <c r="BV728" s="35"/>
      <c r="BX728"/>
      <c r="CA728" s="35"/>
      <c r="CB728" s="35"/>
      <c r="CC728"/>
      <c r="CG728" s="35"/>
      <c r="CH728" s="35"/>
      <c r="CK728"/>
      <c r="CM728" s="35"/>
      <c r="CN728" s="35"/>
      <c r="CQ728"/>
      <c r="CS728" s="35"/>
      <c r="CT728" s="35"/>
      <c r="CX728"/>
      <c r="CZ728" s="35"/>
      <c r="DD728" s="34"/>
      <c r="DG728" t="s">
        <v>827</v>
      </c>
      <c r="DH728" t="s">
        <v>966</v>
      </c>
      <c r="DI728" t="s">
        <v>286</v>
      </c>
      <c r="DL728" t="s">
        <v>679</v>
      </c>
      <c r="DM728">
        <v>3</v>
      </c>
      <c r="DN728">
        <v>7</v>
      </c>
      <c r="DO728" t="s">
        <v>828</v>
      </c>
      <c r="DQ728" t="s">
        <v>927</v>
      </c>
      <c r="DR728">
        <v>14</v>
      </c>
      <c r="DS728">
        <v>0</v>
      </c>
      <c r="DU728">
        <v>14</v>
      </c>
      <c r="DV728">
        <v>0</v>
      </c>
      <c r="DX728">
        <v>14</v>
      </c>
      <c r="DY728">
        <v>0</v>
      </c>
      <c r="DZ728" t="s">
        <v>246</v>
      </c>
      <c r="EA728" t="s">
        <v>929</v>
      </c>
    </row>
    <row r="729" spans="1:131" x14ac:dyDescent="0.4">
      <c r="A729" s="34">
        <v>43067.305104166669</v>
      </c>
      <c r="B729" s="25">
        <v>42935.680555555555</v>
      </c>
      <c r="D729" s="34"/>
      <c r="E729" s="34" t="s">
        <v>193</v>
      </c>
      <c r="F729" s="34" t="s">
        <v>191</v>
      </c>
      <c r="G729" s="34" t="s">
        <v>100</v>
      </c>
      <c r="H729" t="s">
        <v>279</v>
      </c>
      <c r="I729" t="s">
        <v>243</v>
      </c>
      <c r="J729" t="s">
        <v>712</v>
      </c>
      <c r="K729" t="s">
        <v>713</v>
      </c>
      <c r="L729" t="s">
        <v>711</v>
      </c>
      <c r="M729" s="30">
        <v>3.13</v>
      </c>
      <c r="N729">
        <v>4.75</v>
      </c>
      <c r="P729" s="24" t="str">
        <f>IFERROR(MID(RADataTable[[#This Row],[RATemplate]],1,LEN(RADataTable[[#This Row],[RATemplate]])-8),"RA") &amp; " " &amp; RADataTable[[#This Row],[prop_id0]] &amp; " " &amp; RADataTable[[#This Row],[last0]]</f>
        <v>RA 1751047 Gibson</v>
      </c>
      <c r="T729">
        <v>4</v>
      </c>
      <c r="U729">
        <v>4</v>
      </c>
      <c r="V729" s="34">
        <v>43030.177777777775</v>
      </c>
      <c r="W729">
        <v>1</v>
      </c>
      <c r="X729" s="15" t="str">
        <f>HYPERLINK("https://www.ejacket.nsf.gov/ej/showProposal.do?Continue=Y&amp;ID="&amp;RADataTable[[#This Row],[prop_id0]],"eJ")</f>
        <v>eJ</v>
      </c>
      <c r="Y729" s="15" t="str">
        <f>HYPERLINK("mailto:"&amp;RADataTable[[#This Row],[email]]&amp;"&amp;subject=Your NSF Proposal:  "&amp;RADataTable[[#This Row],[Div]]&amp;" "&amp;RADataTable[[#This Row],[prop_id0]], RADataTable[[#This Row],[email]])</f>
        <v>MATTHEW.GIBSON@UTSA.EDU</v>
      </c>
      <c r="Z729" s="15" t="str">
        <f>HYPERLINK("mailto:"&amp;RADataTable[[#This Row],[allPIemail]]&amp;"&amp;subject=NSF Proposal:  "&amp;RADataTable[[#This Row],[Div]]&amp;" "&amp;RADataTable[[#This Row],[prop_id0]], "PIs@")</f>
        <v>PIs@</v>
      </c>
      <c r="AA729" t="s">
        <v>245</v>
      </c>
      <c r="AB729" t="s">
        <v>679</v>
      </c>
      <c r="AC729" s="30" t="s">
        <v>824</v>
      </c>
      <c r="AD729" t="s">
        <v>825</v>
      </c>
      <c r="AE729" t="s">
        <v>826</v>
      </c>
      <c r="AF729" s="36">
        <v>415497</v>
      </c>
      <c r="AG729" s="36">
        <v>415497</v>
      </c>
      <c r="AH729" s="24"/>
      <c r="AJ729" s="34"/>
      <c r="AK729" t="s">
        <v>923</v>
      </c>
      <c r="AL729" t="s">
        <v>287</v>
      </c>
      <c r="AM729" s="34" t="s">
        <v>925</v>
      </c>
      <c r="AN729" s="34">
        <v>43032</v>
      </c>
      <c r="AO729" s="24">
        <v>13</v>
      </c>
      <c r="AP729" t="s">
        <v>965</v>
      </c>
      <c r="AR729" s="35"/>
      <c r="AS729"/>
      <c r="AT729" s="34"/>
      <c r="AV729" s="34"/>
      <c r="AX729" s="34"/>
      <c r="AY729"/>
      <c r="BA729" s="34"/>
      <c r="BB729"/>
      <c r="BC729" t="s">
        <v>829</v>
      </c>
      <c r="BD729" s="36">
        <v>415497</v>
      </c>
      <c r="BE729" s="36">
        <v>415497</v>
      </c>
      <c r="BF729">
        <v>0</v>
      </c>
      <c r="BG729" s="34">
        <v>43132</v>
      </c>
      <c r="BH729">
        <v>60</v>
      </c>
      <c r="BI729" t="s">
        <v>283</v>
      </c>
      <c r="BJ729" t="s">
        <v>928</v>
      </c>
      <c r="BK729" t="s">
        <v>234</v>
      </c>
      <c r="BL729" t="s">
        <v>194</v>
      </c>
      <c r="BM729" s="8" t="s">
        <v>192</v>
      </c>
      <c r="BN729" t="s">
        <v>189</v>
      </c>
      <c r="BO729" t="s">
        <v>190</v>
      </c>
      <c r="BP729" s="35" t="s">
        <v>726</v>
      </c>
      <c r="BQ729"/>
      <c r="BU729" s="35"/>
      <c r="BV729" s="35"/>
      <c r="BX729"/>
      <c r="CA729" s="35"/>
      <c r="CB729" s="35"/>
      <c r="CC729"/>
      <c r="CG729" s="35"/>
      <c r="CH729" s="35"/>
      <c r="CK729"/>
      <c r="CM729" s="35"/>
      <c r="CN729" s="35"/>
      <c r="CQ729"/>
      <c r="CS729" s="35"/>
      <c r="CT729" s="35"/>
      <c r="CX729"/>
      <c r="CZ729" s="35"/>
      <c r="DD729" s="34"/>
      <c r="DG729" t="s">
        <v>827</v>
      </c>
      <c r="DH729" t="s">
        <v>966</v>
      </c>
      <c r="DI729" t="s">
        <v>286</v>
      </c>
      <c r="DL729" t="s">
        <v>679</v>
      </c>
      <c r="DM729">
        <v>3</v>
      </c>
      <c r="DN729">
        <v>7</v>
      </c>
      <c r="DO729" t="s">
        <v>828</v>
      </c>
      <c r="DQ729" t="s">
        <v>927</v>
      </c>
      <c r="DR729">
        <v>14</v>
      </c>
      <c r="DS729">
        <v>0</v>
      </c>
      <c r="DU729">
        <v>14</v>
      </c>
      <c r="DV729">
        <v>0</v>
      </c>
      <c r="DX729">
        <v>14</v>
      </c>
      <c r="DY729">
        <v>0</v>
      </c>
      <c r="DZ729" t="s">
        <v>246</v>
      </c>
      <c r="EA729" t="s">
        <v>929</v>
      </c>
    </row>
    <row r="730" spans="1:131" x14ac:dyDescent="0.4">
      <c r="A730" s="34">
        <v>43067.305104166669</v>
      </c>
      <c r="B730" s="25">
        <v>42935.680555555555</v>
      </c>
      <c r="D730" s="34"/>
      <c r="E730" s="34" t="s">
        <v>193</v>
      </c>
      <c r="F730" s="34" t="s">
        <v>191</v>
      </c>
      <c r="G730" s="34" t="s">
        <v>100</v>
      </c>
      <c r="H730" t="s">
        <v>279</v>
      </c>
      <c r="I730" t="s">
        <v>243</v>
      </c>
      <c r="J730" t="s">
        <v>712</v>
      </c>
      <c r="K730" t="s">
        <v>713</v>
      </c>
      <c r="L730" t="s">
        <v>711</v>
      </c>
      <c r="M730" s="30">
        <v>3.13</v>
      </c>
      <c r="N730">
        <v>4.75</v>
      </c>
      <c r="P730" s="24" t="str">
        <f>IFERROR(MID(RADataTable[[#This Row],[RATemplate]],1,LEN(RADataTable[[#This Row],[RATemplate]])-8),"RA") &amp; " " &amp; RADataTable[[#This Row],[prop_id0]] &amp; " " &amp; RADataTable[[#This Row],[last0]]</f>
        <v>RA 1751047 Gibson</v>
      </c>
      <c r="T730">
        <v>4</v>
      </c>
      <c r="U730">
        <v>4</v>
      </c>
      <c r="V730" s="34">
        <v>43030.177777777775</v>
      </c>
      <c r="W730">
        <v>1</v>
      </c>
      <c r="X730" s="15" t="str">
        <f>HYPERLINK("https://www.ejacket.nsf.gov/ej/showProposal.do?Continue=Y&amp;ID="&amp;RADataTable[[#This Row],[prop_id0]],"eJ")</f>
        <v>eJ</v>
      </c>
      <c r="Y730" s="15" t="str">
        <f>HYPERLINK("mailto:"&amp;RADataTable[[#This Row],[email]]&amp;"&amp;subject=Your NSF Proposal:  "&amp;RADataTable[[#This Row],[Div]]&amp;" "&amp;RADataTable[[#This Row],[prop_id0]], RADataTable[[#This Row],[email]])</f>
        <v>MATTHEW.GIBSON@UTSA.EDU</v>
      </c>
      <c r="Z730" s="15" t="str">
        <f>HYPERLINK("mailto:"&amp;RADataTable[[#This Row],[allPIemail]]&amp;"&amp;subject=NSF Proposal:  "&amp;RADataTable[[#This Row],[Div]]&amp;" "&amp;RADataTable[[#This Row],[prop_id0]], "PIs@")</f>
        <v>PIs@</v>
      </c>
      <c r="AA730" t="s">
        <v>245</v>
      </c>
      <c r="AB730" t="s">
        <v>679</v>
      </c>
      <c r="AC730" s="30" t="s">
        <v>824</v>
      </c>
      <c r="AD730" t="s">
        <v>825</v>
      </c>
      <c r="AE730" t="s">
        <v>826</v>
      </c>
      <c r="AF730" s="36">
        <v>415497</v>
      </c>
      <c r="AG730" s="36">
        <v>415497</v>
      </c>
      <c r="AH730" s="24"/>
      <c r="AJ730" s="34"/>
      <c r="AK730" t="s">
        <v>923</v>
      </c>
      <c r="AL730" t="s">
        <v>287</v>
      </c>
      <c r="AM730" s="34" t="s">
        <v>925</v>
      </c>
      <c r="AN730" s="34">
        <v>43032</v>
      </c>
      <c r="AO730" s="24">
        <v>13</v>
      </c>
      <c r="AP730" t="s">
        <v>965</v>
      </c>
      <c r="AR730" s="35"/>
      <c r="AS730"/>
      <c r="AT730" s="34"/>
      <c r="AV730" s="34"/>
      <c r="AX730" s="34"/>
      <c r="AY730"/>
      <c r="BA730" s="34"/>
      <c r="BB730"/>
      <c r="BC730" t="s">
        <v>829</v>
      </c>
      <c r="BD730" s="36">
        <v>415497</v>
      </c>
      <c r="BE730" s="36">
        <v>415497</v>
      </c>
      <c r="BF730">
        <v>0</v>
      </c>
      <c r="BG730" s="34">
        <v>43132</v>
      </c>
      <c r="BH730">
        <v>60</v>
      </c>
      <c r="BI730" t="s">
        <v>283</v>
      </c>
      <c r="BJ730" t="s">
        <v>928</v>
      </c>
      <c r="BK730" t="s">
        <v>234</v>
      </c>
      <c r="BL730" t="s">
        <v>194</v>
      </c>
      <c r="BM730" s="8" t="s">
        <v>192</v>
      </c>
      <c r="BN730" t="s">
        <v>189</v>
      </c>
      <c r="BO730" t="s">
        <v>190</v>
      </c>
      <c r="BP730" s="35" t="s">
        <v>726</v>
      </c>
      <c r="BQ730"/>
      <c r="BU730" s="35"/>
      <c r="BV730" s="35"/>
      <c r="BX730"/>
      <c r="CA730" s="35"/>
      <c r="CB730" s="35"/>
      <c r="CC730"/>
      <c r="CG730" s="35"/>
      <c r="CH730" s="35"/>
      <c r="CK730"/>
      <c r="CM730" s="35"/>
      <c r="CN730" s="35"/>
      <c r="CQ730"/>
      <c r="CS730" s="35"/>
      <c r="CT730" s="35"/>
      <c r="CX730"/>
      <c r="CZ730" s="35"/>
      <c r="DD730" s="34"/>
      <c r="DG730" t="s">
        <v>827</v>
      </c>
      <c r="DH730" t="s">
        <v>966</v>
      </c>
      <c r="DI730" t="s">
        <v>286</v>
      </c>
      <c r="DL730" t="s">
        <v>679</v>
      </c>
      <c r="DM730">
        <v>3</v>
      </c>
      <c r="DN730">
        <v>7</v>
      </c>
      <c r="DO730" t="s">
        <v>828</v>
      </c>
      <c r="DQ730" t="s">
        <v>927</v>
      </c>
      <c r="DR730">
        <v>14</v>
      </c>
      <c r="DS730">
        <v>0</v>
      </c>
      <c r="DU730">
        <v>14</v>
      </c>
      <c r="DV730">
        <v>0</v>
      </c>
      <c r="DX730">
        <v>14</v>
      </c>
      <c r="DY730">
        <v>0</v>
      </c>
      <c r="DZ730" t="s">
        <v>246</v>
      </c>
      <c r="EA730" t="s">
        <v>929</v>
      </c>
    </row>
    <row r="731" spans="1:131" x14ac:dyDescent="0.4">
      <c r="A731" s="34">
        <v>43067.305104166669</v>
      </c>
      <c r="B731" s="25">
        <v>42935.680555555555</v>
      </c>
      <c r="D731" s="34"/>
      <c r="E731" s="34" t="s">
        <v>193</v>
      </c>
      <c r="F731" s="34" t="s">
        <v>191</v>
      </c>
      <c r="G731" s="34" t="s">
        <v>100</v>
      </c>
      <c r="H731" t="s">
        <v>279</v>
      </c>
      <c r="I731" t="s">
        <v>243</v>
      </c>
      <c r="J731" t="s">
        <v>712</v>
      </c>
      <c r="K731" t="s">
        <v>713</v>
      </c>
      <c r="L731" t="s">
        <v>711</v>
      </c>
      <c r="M731" s="30">
        <v>3.13</v>
      </c>
      <c r="N731">
        <v>4.75</v>
      </c>
      <c r="P731" s="24" t="str">
        <f>IFERROR(MID(RADataTable[[#This Row],[RATemplate]],1,LEN(RADataTable[[#This Row],[RATemplate]])-8),"RA") &amp; " " &amp; RADataTable[[#This Row],[prop_id0]] &amp; " " &amp; RADataTable[[#This Row],[last0]]</f>
        <v>RA 1751047 Gibson</v>
      </c>
      <c r="T731">
        <v>4</v>
      </c>
      <c r="U731">
        <v>4</v>
      </c>
      <c r="V731" s="34">
        <v>43030.177777777775</v>
      </c>
      <c r="W731">
        <v>1</v>
      </c>
      <c r="X731" s="15" t="str">
        <f>HYPERLINK("https://www.ejacket.nsf.gov/ej/showProposal.do?Continue=Y&amp;ID="&amp;RADataTable[[#This Row],[prop_id0]],"eJ")</f>
        <v>eJ</v>
      </c>
      <c r="Y731" s="15" t="str">
        <f>HYPERLINK("mailto:"&amp;RADataTable[[#This Row],[email]]&amp;"&amp;subject=Your NSF Proposal:  "&amp;RADataTable[[#This Row],[Div]]&amp;" "&amp;RADataTable[[#This Row],[prop_id0]], RADataTable[[#This Row],[email]])</f>
        <v>MATTHEW.GIBSON@UTSA.EDU</v>
      </c>
      <c r="Z731" s="15" t="str">
        <f>HYPERLINK("mailto:"&amp;RADataTable[[#This Row],[allPIemail]]&amp;"&amp;subject=NSF Proposal:  "&amp;RADataTable[[#This Row],[Div]]&amp;" "&amp;RADataTable[[#This Row],[prop_id0]], "PIs@")</f>
        <v>PIs@</v>
      </c>
      <c r="AA731" t="s">
        <v>245</v>
      </c>
      <c r="AB731" t="s">
        <v>679</v>
      </c>
      <c r="AC731" s="30" t="s">
        <v>824</v>
      </c>
      <c r="AD731" t="s">
        <v>825</v>
      </c>
      <c r="AE731" t="s">
        <v>826</v>
      </c>
      <c r="AF731" s="36">
        <v>415497</v>
      </c>
      <c r="AG731" s="36">
        <v>415497</v>
      </c>
      <c r="AH731" s="24"/>
      <c r="AJ731" s="34"/>
      <c r="AK731" t="s">
        <v>923</v>
      </c>
      <c r="AL731" t="s">
        <v>287</v>
      </c>
      <c r="AM731" s="34" t="s">
        <v>925</v>
      </c>
      <c r="AN731" s="34">
        <v>43032</v>
      </c>
      <c r="AO731" s="24">
        <v>13</v>
      </c>
      <c r="AP731" t="s">
        <v>965</v>
      </c>
      <c r="AR731" s="35"/>
      <c r="AS731"/>
      <c r="AT731" s="34"/>
      <c r="AV731" s="34"/>
      <c r="AX731" s="34"/>
      <c r="AY731"/>
      <c r="BA731" s="34"/>
      <c r="BB731"/>
      <c r="BC731" t="s">
        <v>829</v>
      </c>
      <c r="BD731" s="36">
        <v>415497</v>
      </c>
      <c r="BE731" s="36">
        <v>415497</v>
      </c>
      <c r="BF731">
        <v>0</v>
      </c>
      <c r="BG731" s="34">
        <v>43132</v>
      </c>
      <c r="BH731">
        <v>60</v>
      </c>
      <c r="BI731" t="s">
        <v>283</v>
      </c>
      <c r="BJ731" t="s">
        <v>928</v>
      </c>
      <c r="BK731" t="s">
        <v>234</v>
      </c>
      <c r="BL731" t="s">
        <v>194</v>
      </c>
      <c r="BM731" s="8" t="s">
        <v>192</v>
      </c>
      <c r="BN731" t="s">
        <v>189</v>
      </c>
      <c r="BO731" t="s">
        <v>190</v>
      </c>
      <c r="BP731" s="35" t="s">
        <v>726</v>
      </c>
      <c r="BQ731"/>
      <c r="BU731" s="35"/>
      <c r="BV731" s="35"/>
      <c r="BX731"/>
      <c r="CA731" s="35"/>
      <c r="CB731" s="35"/>
      <c r="CC731"/>
      <c r="CG731" s="35"/>
      <c r="CH731" s="35"/>
      <c r="CK731"/>
      <c r="CM731" s="35"/>
      <c r="CN731" s="35"/>
      <c r="CQ731"/>
      <c r="CS731" s="35"/>
      <c r="CT731" s="35"/>
      <c r="CX731"/>
      <c r="CZ731" s="35"/>
      <c r="DD731" s="34"/>
      <c r="DG731" t="s">
        <v>827</v>
      </c>
      <c r="DH731" t="s">
        <v>966</v>
      </c>
      <c r="DI731" t="s">
        <v>286</v>
      </c>
      <c r="DL731" t="s">
        <v>679</v>
      </c>
      <c r="DM731">
        <v>3</v>
      </c>
      <c r="DN731">
        <v>7</v>
      </c>
      <c r="DO731" t="s">
        <v>828</v>
      </c>
      <c r="DQ731" t="s">
        <v>927</v>
      </c>
      <c r="DR731">
        <v>14</v>
      </c>
      <c r="DS731">
        <v>0</v>
      </c>
      <c r="DU731">
        <v>14</v>
      </c>
      <c r="DV731">
        <v>0</v>
      </c>
      <c r="DX731">
        <v>14</v>
      </c>
      <c r="DY731">
        <v>0</v>
      </c>
      <c r="DZ731" t="s">
        <v>246</v>
      </c>
      <c r="EA731" t="s">
        <v>929</v>
      </c>
    </row>
    <row r="732" spans="1:131" x14ac:dyDescent="0.4">
      <c r="A732" s="34">
        <v>43067.305104166669</v>
      </c>
      <c r="B732" s="25">
        <v>42935.680555555555</v>
      </c>
      <c r="D732" s="34"/>
      <c r="E732" s="34" t="s">
        <v>193</v>
      </c>
      <c r="F732" s="34" t="s">
        <v>191</v>
      </c>
      <c r="G732" s="34" t="s">
        <v>100</v>
      </c>
      <c r="H732" t="s">
        <v>279</v>
      </c>
      <c r="I732" t="s">
        <v>243</v>
      </c>
      <c r="J732" t="s">
        <v>712</v>
      </c>
      <c r="K732" t="s">
        <v>713</v>
      </c>
      <c r="L732" t="s">
        <v>711</v>
      </c>
      <c r="M732" s="30">
        <v>3.13</v>
      </c>
      <c r="N732">
        <v>4.75</v>
      </c>
      <c r="P732" s="24" t="str">
        <f>IFERROR(MID(RADataTable[[#This Row],[RATemplate]],1,LEN(RADataTable[[#This Row],[RATemplate]])-8),"RA") &amp; " " &amp; RADataTable[[#This Row],[prop_id0]] &amp; " " &amp; RADataTable[[#This Row],[last0]]</f>
        <v>RA 1751047 Gibson</v>
      </c>
      <c r="T732">
        <v>4</v>
      </c>
      <c r="U732">
        <v>4</v>
      </c>
      <c r="V732" s="34">
        <v>43030.177777777775</v>
      </c>
      <c r="W732">
        <v>1</v>
      </c>
      <c r="X732" s="15" t="str">
        <f>HYPERLINK("https://www.ejacket.nsf.gov/ej/showProposal.do?Continue=Y&amp;ID="&amp;RADataTable[[#This Row],[prop_id0]],"eJ")</f>
        <v>eJ</v>
      </c>
      <c r="Y732" s="15" t="str">
        <f>HYPERLINK("mailto:"&amp;RADataTable[[#This Row],[email]]&amp;"&amp;subject=Your NSF Proposal:  "&amp;RADataTable[[#This Row],[Div]]&amp;" "&amp;RADataTable[[#This Row],[prop_id0]], RADataTable[[#This Row],[email]])</f>
        <v>MATTHEW.GIBSON@UTSA.EDU</v>
      </c>
      <c r="Z732" s="15" t="str">
        <f>HYPERLINK("mailto:"&amp;RADataTable[[#This Row],[allPIemail]]&amp;"&amp;subject=NSF Proposal:  "&amp;RADataTable[[#This Row],[Div]]&amp;" "&amp;RADataTable[[#This Row],[prop_id0]], "PIs@")</f>
        <v>PIs@</v>
      </c>
      <c r="AA732" t="s">
        <v>245</v>
      </c>
      <c r="AB732" t="s">
        <v>679</v>
      </c>
      <c r="AC732" s="30" t="s">
        <v>824</v>
      </c>
      <c r="AD732" t="s">
        <v>825</v>
      </c>
      <c r="AE732" t="s">
        <v>826</v>
      </c>
      <c r="AF732" s="36">
        <v>415497</v>
      </c>
      <c r="AG732" s="36">
        <v>415497</v>
      </c>
      <c r="AH732" s="24"/>
      <c r="AJ732" s="34"/>
      <c r="AK732" t="s">
        <v>923</v>
      </c>
      <c r="AL732" t="s">
        <v>287</v>
      </c>
      <c r="AM732" s="34" t="s">
        <v>925</v>
      </c>
      <c r="AN732" s="34">
        <v>43032</v>
      </c>
      <c r="AO732" s="24">
        <v>13</v>
      </c>
      <c r="AP732" t="s">
        <v>965</v>
      </c>
      <c r="AR732" s="35"/>
      <c r="AS732"/>
      <c r="AT732" s="34"/>
      <c r="AV732" s="34"/>
      <c r="AX732" s="34"/>
      <c r="AY732"/>
      <c r="BA732" s="34"/>
      <c r="BB732"/>
      <c r="BC732" t="s">
        <v>829</v>
      </c>
      <c r="BD732" s="36">
        <v>415497</v>
      </c>
      <c r="BE732" s="36">
        <v>415497</v>
      </c>
      <c r="BF732">
        <v>0</v>
      </c>
      <c r="BG732" s="34">
        <v>43132</v>
      </c>
      <c r="BH732">
        <v>60</v>
      </c>
      <c r="BI732" t="s">
        <v>283</v>
      </c>
      <c r="BJ732" t="s">
        <v>928</v>
      </c>
      <c r="BK732" t="s">
        <v>234</v>
      </c>
      <c r="BL732" t="s">
        <v>194</v>
      </c>
      <c r="BM732" s="8" t="s">
        <v>192</v>
      </c>
      <c r="BN732" t="s">
        <v>189</v>
      </c>
      <c r="BO732" t="s">
        <v>190</v>
      </c>
      <c r="BP732" s="35" t="s">
        <v>726</v>
      </c>
      <c r="BQ732"/>
      <c r="BU732" s="35"/>
      <c r="BV732" s="35"/>
      <c r="BX732"/>
      <c r="CA732" s="35"/>
      <c r="CB732" s="35"/>
      <c r="CC732"/>
      <c r="CG732" s="35"/>
      <c r="CH732" s="35"/>
      <c r="CK732"/>
      <c r="CM732" s="35"/>
      <c r="CN732" s="35"/>
      <c r="CQ732"/>
      <c r="CS732" s="35"/>
      <c r="CT732" s="35"/>
      <c r="CX732"/>
      <c r="CZ732" s="35"/>
      <c r="DD732" s="34"/>
      <c r="DG732" t="s">
        <v>827</v>
      </c>
      <c r="DH732" t="s">
        <v>966</v>
      </c>
      <c r="DI732" t="s">
        <v>286</v>
      </c>
      <c r="DL732" t="s">
        <v>679</v>
      </c>
      <c r="DM732">
        <v>3</v>
      </c>
      <c r="DN732">
        <v>7</v>
      </c>
      <c r="DO732" t="s">
        <v>828</v>
      </c>
      <c r="DQ732" t="s">
        <v>927</v>
      </c>
      <c r="DR732">
        <v>14</v>
      </c>
      <c r="DS732">
        <v>0</v>
      </c>
      <c r="DU732">
        <v>14</v>
      </c>
      <c r="DV732">
        <v>0</v>
      </c>
      <c r="DX732">
        <v>14</v>
      </c>
      <c r="DY732">
        <v>0</v>
      </c>
      <c r="DZ732" t="s">
        <v>246</v>
      </c>
      <c r="EA732" t="s">
        <v>929</v>
      </c>
    </row>
    <row r="733" spans="1:131" x14ac:dyDescent="0.4">
      <c r="A733" s="34">
        <v>43067.305104166669</v>
      </c>
      <c r="B733" s="25">
        <v>42935.680555555555</v>
      </c>
      <c r="D733" s="34"/>
      <c r="E733" s="34" t="s">
        <v>193</v>
      </c>
      <c r="F733" s="34" t="s">
        <v>191</v>
      </c>
      <c r="G733" s="34" t="s">
        <v>100</v>
      </c>
      <c r="H733" t="s">
        <v>279</v>
      </c>
      <c r="I733" t="s">
        <v>243</v>
      </c>
      <c r="J733" t="s">
        <v>712</v>
      </c>
      <c r="K733" t="s">
        <v>713</v>
      </c>
      <c r="L733" t="s">
        <v>711</v>
      </c>
      <c r="M733" s="30">
        <v>3.13</v>
      </c>
      <c r="N733">
        <v>4.75</v>
      </c>
      <c r="P733" s="24" t="str">
        <f>IFERROR(MID(RADataTable[[#This Row],[RATemplate]],1,LEN(RADataTable[[#This Row],[RATemplate]])-8),"RA") &amp; " " &amp; RADataTable[[#This Row],[prop_id0]] &amp; " " &amp; RADataTable[[#This Row],[last0]]</f>
        <v>RA 1751047 Gibson</v>
      </c>
      <c r="T733">
        <v>4</v>
      </c>
      <c r="U733">
        <v>4</v>
      </c>
      <c r="V733" s="34">
        <v>43030.177777777775</v>
      </c>
      <c r="W733">
        <v>1</v>
      </c>
      <c r="X733" s="15" t="str">
        <f>HYPERLINK("https://www.ejacket.nsf.gov/ej/showProposal.do?Continue=Y&amp;ID="&amp;RADataTable[[#This Row],[prop_id0]],"eJ")</f>
        <v>eJ</v>
      </c>
      <c r="Y733" s="15" t="str">
        <f>HYPERLINK("mailto:"&amp;RADataTable[[#This Row],[email]]&amp;"&amp;subject=Your NSF Proposal:  "&amp;RADataTable[[#This Row],[Div]]&amp;" "&amp;RADataTable[[#This Row],[prop_id0]], RADataTable[[#This Row],[email]])</f>
        <v>MATTHEW.GIBSON@UTSA.EDU</v>
      </c>
      <c r="Z733" s="15" t="str">
        <f>HYPERLINK("mailto:"&amp;RADataTable[[#This Row],[allPIemail]]&amp;"&amp;subject=NSF Proposal:  "&amp;RADataTable[[#This Row],[Div]]&amp;" "&amp;RADataTable[[#This Row],[prop_id0]], "PIs@")</f>
        <v>PIs@</v>
      </c>
      <c r="AA733" t="s">
        <v>245</v>
      </c>
      <c r="AB733" t="s">
        <v>679</v>
      </c>
      <c r="AC733" s="30" t="s">
        <v>824</v>
      </c>
      <c r="AD733" t="s">
        <v>825</v>
      </c>
      <c r="AE733" t="s">
        <v>826</v>
      </c>
      <c r="AF733" s="36">
        <v>415497</v>
      </c>
      <c r="AG733" s="36">
        <v>415497</v>
      </c>
      <c r="AH733" s="24"/>
      <c r="AJ733" s="34"/>
      <c r="AK733" t="s">
        <v>923</v>
      </c>
      <c r="AL733" t="s">
        <v>287</v>
      </c>
      <c r="AM733" s="34" t="s">
        <v>925</v>
      </c>
      <c r="AN733" s="34">
        <v>43032</v>
      </c>
      <c r="AO733" s="24">
        <v>13</v>
      </c>
      <c r="AP733" t="s">
        <v>965</v>
      </c>
      <c r="AR733" s="35"/>
      <c r="AS733"/>
      <c r="AT733" s="34"/>
      <c r="AV733" s="34"/>
      <c r="AX733" s="34"/>
      <c r="AY733"/>
      <c r="BA733" s="34"/>
      <c r="BB733"/>
      <c r="BC733" t="s">
        <v>829</v>
      </c>
      <c r="BD733" s="36">
        <v>415497</v>
      </c>
      <c r="BE733" s="36">
        <v>415497</v>
      </c>
      <c r="BF733">
        <v>0</v>
      </c>
      <c r="BG733" s="34">
        <v>43132</v>
      </c>
      <c r="BH733">
        <v>60</v>
      </c>
      <c r="BI733" t="s">
        <v>283</v>
      </c>
      <c r="BJ733" t="s">
        <v>928</v>
      </c>
      <c r="BK733" t="s">
        <v>234</v>
      </c>
      <c r="BL733" t="s">
        <v>194</v>
      </c>
      <c r="BM733" s="8" t="s">
        <v>192</v>
      </c>
      <c r="BN733" t="s">
        <v>189</v>
      </c>
      <c r="BO733" t="s">
        <v>190</v>
      </c>
      <c r="BP733" s="35" t="s">
        <v>726</v>
      </c>
      <c r="BQ733"/>
      <c r="BU733" s="35"/>
      <c r="BV733" s="35"/>
      <c r="BX733"/>
      <c r="CA733" s="35"/>
      <c r="CB733" s="35"/>
      <c r="CC733"/>
      <c r="CG733" s="35"/>
      <c r="CH733" s="35"/>
      <c r="CK733"/>
      <c r="CM733" s="35"/>
      <c r="CN733" s="35"/>
      <c r="CQ733"/>
      <c r="CS733" s="35"/>
      <c r="CT733" s="35"/>
      <c r="CX733"/>
      <c r="CZ733" s="35"/>
      <c r="DD733" s="34"/>
      <c r="DG733" t="s">
        <v>827</v>
      </c>
      <c r="DH733" t="s">
        <v>966</v>
      </c>
      <c r="DI733" t="s">
        <v>286</v>
      </c>
      <c r="DL733" t="s">
        <v>679</v>
      </c>
      <c r="DM733">
        <v>3</v>
      </c>
      <c r="DN733">
        <v>7</v>
      </c>
      <c r="DO733" t="s">
        <v>828</v>
      </c>
      <c r="DQ733" t="s">
        <v>927</v>
      </c>
      <c r="DR733">
        <v>14</v>
      </c>
      <c r="DS733">
        <v>0</v>
      </c>
      <c r="DU733">
        <v>14</v>
      </c>
      <c r="DV733">
        <v>0</v>
      </c>
      <c r="DX733">
        <v>14</v>
      </c>
      <c r="DY733">
        <v>0</v>
      </c>
      <c r="DZ733" t="s">
        <v>246</v>
      </c>
      <c r="EA733" t="s">
        <v>929</v>
      </c>
    </row>
    <row r="734" spans="1:131" x14ac:dyDescent="0.4">
      <c r="A734" s="34">
        <v>43067.305104166669</v>
      </c>
      <c r="B734" s="25">
        <v>42935.680555555555</v>
      </c>
      <c r="D734" s="34"/>
      <c r="E734" s="34" t="s">
        <v>193</v>
      </c>
      <c r="F734" s="34" t="s">
        <v>191</v>
      </c>
      <c r="G734" s="34" t="s">
        <v>100</v>
      </c>
      <c r="H734" t="s">
        <v>279</v>
      </c>
      <c r="I734" t="s">
        <v>243</v>
      </c>
      <c r="J734" t="s">
        <v>712</v>
      </c>
      <c r="K734" t="s">
        <v>713</v>
      </c>
      <c r="L734" t="s">
        <v>711</v>
      </c>
      <c r="M734" s="30">
        <v>3.13</v>
      </c>
      <c r="N734">
        <v>4.75</v>
      </c>
      <c r="P734" s="24" t="str">
        <f>IFERROR(MID(RADataTable[[#This Row],[RATemplate]],1,LEN(RADataTable[[#This Row],[RATemplate]])-8),"RA") &amp; " " &amp; RADataTable[[#This Row],[prop_id0]] &amp; " " &amp; RADataTable[[#This Row],[last0]]</f>
        <v>RA 1751047 Gibson</v>
      </c>
      <c r="T734">
        <v>4</v>
      </c>
      <c r="U734">
        <v>4</v>
      </c>
      <c r="V734" s="34">
        <v>43030.177777777775</v>
      </c>
      <c r="W734">
        <v>1</v>
      </c>
      <c r="X734" s="15" t="str">
        <f>HYPERLINK("https://www.ejacket.nsf.gov/ej/showProposal.do?Continue=Y&amp;ID="&amp;RADataTable[[#This Row],[prop_id0]],"eJ")</f>
        <v>eJ</v>
      </c>
      <c r="Y734" s="15" t="str">
        <f>HYPERLINK("mailto:"&amp;RADataTable[[#This Row],[email]]&amp;"&amp;subject=Your NSF Proposal:  "&amp;RADataTable[[#This Row],[Div]]&amp;" "&amp;RADataTable[[#This Row],[prop_id0]], RADataTable[[#This Row],[email]])</f>
        <v>MATTHEW.GIBSON@UTSA.EDU</v>
      </c>
      <c r="Z734" s="15" t="str">
        <f>HYPERLINK("mailto:"&amp;RADataTable[[#This Row],[allPIemail]]&amp;"&amp;subject=NSF Proposal:  "&amp;RADataTable[[#This Row],[Div]]&amp;" "&amp;RADataTable[[#This Row],[prop_id0]], "PIs@")</f>
        <v>PIs@</v>
      </c>
      <c r="AA734" t="s">
        <v>245</v>
      </c>
      <c r="AB734" t="s">
        <v>679</v>
      </c>
      <c r="AC734" s="30" t="s">
        <v>824</v>
      </c>
      <c r="AD734" t="s">
        <v>825</v>
      </c>
      <c r="AE734" t="s">
        <v>826</v>
      </c>
      <c r="AF734" s="36">
        <v>415497</v>
      </c>
      <c r="AG734" s="36">
        <v>415497</v>
      </c>
      <c r="AH734" s="24"/>
      <c r="AJ734" s="34"/>
      <c r="AK734" t="s">
        <v>923</v>
      </c>
      <c r="AL734" t="s">
        <v>287</v>
      </c>
      <c r="AM734" s="34" t="s">
        <v>925</v>
      </c>
      <c r="AN734" s="34">
        <v>43032</v>
      </c>
      <c r="AO734" s="24">
        <v>13</v>
      </c>
      <c r="AP734" t="s">
        <v>965</v>
      </c>
      <c r="AR734" s="35"/>
      <c r="AS734"/>
      <c r="AT734" s="34"/>
      <c r="AV734" s="34"/>
      <c r="AX734" s="34"/>
      <c r="AY734"/>
      <c r="BA734" s="34"/>
      <c r="BB734"/>
      <c r="BC734" t="s">
        <v>829</v>
      </c>
      <c r="BD734" s="36">
        <v>415497</v>
      </c>
      <c r="BE734" s="36">
        <v>415497</v>
      </c>
      <c r="BF734">
        <v>0</v>
      </c>
      <c r="BG734" s="34">
        <v>43132</v>
      </c>
      <c r="BH734">
        <v>60</v>
      </c>
      <c r="BI734" t="s">
        <v>283</v>
      </c>
      <c r="BJ734" t="s">
        <v>928</v>
      </c>
      <c r="BK734" t="s">
        <v>234</v>
      </c>
      <c r="BL734" t="s">
        <v>194</v>
      </c>
      <c r="BM734" s="8" t="s">
        <v>192</v>
      </c>
      <c r="BN734" t="s">
        <v>189</v>
      </c>
      <c r="BO734" t="s">
        <v>190</v>
      </c>
      <c r="BP734" s="35" t="s">
        <v>726</v>
      </c>
      <c r="BQ734"/>
      <c r="BU734" s="35"/>
      <c r="BV734" s="35"/>
      <c r="BX734"/>
      <c r="CA734" s="35"/>
      <c r="CB734" s="35"/>
      <c r="CC734"/>
      <c r="CG734" s="35"/>
      <c r="CH734" s="35"/>
      <c r="CK734"/>
      <c r="CM734" s="35"/>
      <c r="CN734" s="35"/>
      <c r="CQ734"/>
      <c r="CS734" s="35"/>
      <c r="CT734" s="35"/>
      <c r="CX734"/>
      <c r="CZ734" s="35"/>
      <c r="DD734" s="34"/>
      <c r="DG734" t="s">
        <v>827</v>
      </c>
      <c r="DH734" t="s">
        <v>966</v>
      </c>
      <c r="DI734" t="s">
        <v>286</v>
      </c>
      <c r="DL734" t="s">
        <v>679</v>
      </c>
      <c r="DM734">
        <v>3</v>
      </c>
      <c r="DN734">
        <v>7</v>
      </c>
      <c r="DO734" t="s">
        <v>828</v>
      </c>
      <c r="DQ734" t="s">
        <v>927</v>
      </c>
      <c r="DR734">
        <v>14</v>
      </c>
      <c r="DS734">
        <v>0</v>
      </c>
      <c r="DU734">
        <v>14</v>
      </c>
      <c r="DV734">
        <v>0</v>
      </c>
      <c r="DX734">
        <v>14</v>
      </c>
      <c r="DY734">
        <v>0</v>
      </c>
      <c r="DZ734" t="s">
        <v>246</v>
      </c>
      <c r="EA734" t="s">
        <v>929</v>
      </c>
    </row>
    <row r="735" spans="1:131" x14ac:dyDescent="0.4">
      <c r="A735" s="34">
        <v>43067.305104166669</v>
      </c>
      <c r="B735" s="25">
        <v>42935.680555555555</v>
      </c>
      <c r="D735" s="34"/>
      <c r="E735" s="34" t="s">
        <v>193</v>
      </c>
      <c r="F735" s="34" t="s">
        <v>191</v>
      </c>
      <c r="G735" s="34" t="s">
        <v>100</v>
      </c>
      <c r="H735" t="s">
        <v>279</v>
      </c>
      <c r="I735" t="s">
        <v>243</v>
      </c>
      <c r="J735" t="s">
        <v>712</v>
      </c>
      <c r="K735" t="s">
        <v>713</v>
      </c>
      <c r="L735" t="s">
        <v>711</v>
      </c>
      <c r="M735" s="30">
        <v>3.13</v>
      </c>
      <c r="N735">
        <v>4.75</v>
      </c>
      <c r="P735" s="24" t="str">
        <f>IFERROR(MID(RADataTable[[#This Row],[RATemplate]],1,LEN(RADataTable[[#This Row],[RATemplate]])-8),"RA") &amp; " " &amp; RADataTable[[#This Row],[prop_id0]] &amp; " " &amp; RADataTable[[#This Row],[last0]]</f>
        <v>RA 1751047 Gibson</v>
      </c>
      <c r="T735">
        <v>4</v>
      </c>
      <c r="U735">
        <v>4</v>
      </c>
      <c r="V735" s="34">
        <v>43030.177777777775</v>
      </c>
      <c r="W735">
        <v>1</v>
      </c>
      <c r="X735" s="15" t="str">
        <f>HYPERLINK("https://www.ejacket.nsf.gov/ej/showProposal.do?Continue=Y&amp;ID="&amp;RADataTable[[#This Row],[prop_id0]],"eJ")</f>
        <v>eJ</v>
      </c>
      <c r="Y735" s="15" t="str">
        <f>HYPERLINK("mailto:"&amp;RADataTable[[#This Row],[email]]&amp;"&amp;subject=Your NSF Proposal:  "&amp;RADataTable[[#This Row],[Div]]&amp;" "&amp;RADataTable[[#This Row],[prop_id0]], RADataTable[[#This Row],[email]])</f>
        <v>MATTHEW.GIBSON@UTSA.EDU</v>
      </c>
      <c r="Z735" s="15" t="str">
        <f>HYPERLINK("mailto:"&amp;RADataTable[[#This Row],[allPIemail]]&amp;"&amp;subject=NSF Proposal:  "&amp;RADataTable[[#This Row],[Div]]&amp;" "&amp;RADataTable[[#This Row],[prop_id0]], "PIs@")</f>
        <v>PIs@</v>
      </c>
      <c r="AA735" t="s">
        <v>245</v>
      </c>
      <c r="AB735" t="s">
        <v>679</v>
      </c>
      <c r="AC735" s="30" t="s">
        <v>824</v>
      </c>
      <c r="AD735" t="s">
        <v>825</v>
      </c>
      <c r="AE735" t="s">
        <v>826</v>
      </c>
      <c r="AF735" s="36">
        <v>415497</v>
      </c>
      <c r="AG735" s="36">
        <v>415497</v>
      </c>
      <c r="AH735" s="24"/>
      <c r="AJ735" s="34"/>
      <c r="AK735" t="s">
        <v>923</v>
      </c>
      <c r="AL735" t="s">
        <v>287</v>
      </c>
      <c r="AM735" s="34" t="s">
        <v>925</v>
      </c>
      <c r="AN735" s="34">
        <v>43032</v>
      </c>
      <c r="AO735" s="24">
        <v>13</v>
      </c>
      <c r="AP735" t="s">
        <v>965</v>
      </c>
      <c r="AR735" s="35"/>
      <c r="AS735"/>
      <c r="AT735" s="34"/>
      <c r="AV735" s="34"/>
      <c r="AX735" s="34"/>
      <c r="AY735"/>
      <c r="BA735" s="34"/>
      <c r="BB735"/>
      <c r="BC735" t="s">
        <v>829</v>
      </c>
      <c r="BD735" s="36">
        <v>415497</v>
      </c>
      <c r="BE735" s="36">
        <v>415497</v>
      </c>
      <c r="BF735">
        <v>0</v>
      </c>
      <c r="BG735" s="34">
        <v>43132</v>
      </c>
      <c r="BH735">
        <v>60</v>
      </c>
      <c r="BI735" t="s">
        <v>283</v>
      </c>
      <c r="BJ735" t="s">
        <v>928</v>
      </c>
      <c r="BK735" t="s">
        <v>234</v>
      </c>
      <c r="BL735" t="s">
        <v>194</v>
      </c>
      <c r="BM735" s="8" t="s">
        <v>192</v>
      </c>
      <c r="BN735" t="s">
        <v>189</v>
      </c>
      <c r="BO735" t="s">
        <v>190</v>
      </c>
      <c r="BP735" s="35" t="s">
        <v>726</v>
      </c>
      <c r="BQ735"/>
      <c r="BU735" s="35"/>
      <c r="BV735" s="35"/>
      <c r="BX735"/>
      <c r="CA735" s="35"/>
      <c r="CB735" s="35"/>
      <c r="CC735"/>
      <c r="CG735" s="35"/>
      <c r="CH735" s="35"/>
      <c r="CK735"/>
      <c r="CM735" s="35"/>
      <c r="CN735" s="35"/>
      <c r="CQ735"/>
      <c r="CS735" s="35"/>
      <c r="CT735" s="35"/>
      <c r="CX735"/>
      <c r="CZ735" s="35"/>
      <c r="DD735" s="34"/>
      <c r="DG735" t="s">
        <v>827</v>
      </c>
      <c r="DH735" t="s">
        <v>966</v>
      </c>
      <c r="DI735" t="s">
        <v>286</v>
      </c>
      <c r="DL735" t="s">
        <v>679</v>
      </c>
      <c r="DM735">
        <v>3</v>
      </c>
      <c r="DN735">
        <v>7</v>
      </c>
      <c r="DO735" t="s">
        <v>828</v>
      </c>
      <c r="DQ735" t="s">
        <v>927</v>
      </c>
      <c r="DR735">
        <v>14</v>
      </c>
      <c r="DS735">
        <v>0</v>
      </c>
      <c r="DU735">
        <v>14</v>
      </c>
      <c r="DV735">
        <v>0</v>
      </c>
      <c r="DX735">
        <v>14</v>
      </c>
      <c r="DY735">
        <v>0</v>
      </c>
      <c r="DZ735" t="s">
        <v>246</v>
      </c>
      <c r="EA735" t="s">
        <v>929</v>
      </c>
    </row>
    <row r="736" spans="1:131" x14ac:dyDescent="0.4">
      <c r="A736" s="34">
        <v>43067.305104166669</v>
      </c>
      <c r="B736" s="25">
        <v>42935.680555555555</v>
      </c>
      <c r="D736" s="34"/>
      <c r="E736" s="34" t="s">
        <v>193</v>
      </c>
      <c r="F736" s="34" t="s">
        <v>191</v>
      </c>
      <c r="G736" s="34" t="s">
        <v>100</v>
      </c>
      <c r="H736" t="s">
        <v>279</v>
      </c>
      <c r="I736" t="s">
        <v>243</v>
      </c>
      <c r="J736" t="s">
        <v>712</v>
      </c>
      <c r="K736" t="s">
        <v>713</v>
      </c>
      <c r="L736" t="s">
        <v>711</v>
      </c>
      <c r="M736" s="30">
        <v>3.13</v>
      </c>
      <c r="N736">
        <v>4.75</v>
      </c>
      <c r="P736" s="24" t="str">
        <f>IFERROR(MID(RADataTable[[#This Row],[RATemplate]],1,LEN(RADataTable[[#This Row],[RATemplate]])-8),"RA") &amp; " " &amp; RADataTable[[#This Row],[prop_id0]] &amp; " " &amp; RADataTable[[#This Row],[last0]]</f>
        <v>RA 1751047 Gibson</v>
      </c>
      <c r="T736">
        <v>4</v>
      </c>
      <c r="U736">
        <v>4</v>
      </c>
      <c r="V736" s="34">
        <v>43030.177777777775</v>
      </c>
      <c r="W736">
        <v>1</v>
      </c>
      <c r="X736" s="15" t="str">
        <f>HYPERLINK("https://www.ejacket.nsf.gov/ej/showProposal.do?Continue=Y&amp;ID="&amp;RADataTable[[#This Row],[prop_id0]],"eJ")</f>
        <v>eJ</v>
      </c>
      <c r="Y736" s="15" t="str">
        <f>HYPERLINK("mailto:"&amp;RADataTable[[#This Row],[email]]&amp;"&amp;subject=Your NSF Proposal:  "&amp;RADataTable[[#This Row],[Div]]&amp;" "&amp;RADataTable[[#This Row],[prop_id0]], RADataTable[[#This Row],[email]])</f>
        <v>MATTHEW.GIBSON@UTSA.EDU</v>
      </c>
      <c r="Z736" s="15" t="str">
        <f>HYPERLINK("mailto:"&amp;RADataTable[[#This Row],[allPIemail]]&amp;"&amp;subject=NSF Proposal:  "&amp;RADataTable[[#This Row],[Div]]&amp;" "&amp;RADataTable[[#This Row],[prop_id0]], "PIs@")</f>
        <v>PIs@</v>
      </c>
      <c r="AA736" t="s">
        <v>245</v>
      </c>
      <c r="AB736" t="s">
        <v>679</v>
      </c>
      <c r="AC736" s="30" t="s">
        <v>824</v>
      </c>
      <c r="AD736" t="s">
        <v>825</v>
      </c>
      <c r="AE736" t="s">
        <v>826</v>
      </c>
      <c r="AF736" s="36">
        <v>415497</v>
      </c>
      <c r="AG736" s="36">
        <v>415497</v>
      </c>
      <c r="AH736" s="24"/>
      <c r="AJ736" s="34"/>
      <c r="AK736" t="s">
        <v>923</v>
      </c>
      <c r="AL736" t="s">
        <v>287</v>
      </c>
      <c r="AM736" s="34" t="s">
        <v>925</v>
      </c>
      <c r="AN736" s="34">
        <v>43032</v>
      </c>
      <c r="AO736" s="24">
        <v>13</v>
      </c>
      <c r="AP736" t="s">
        <v>965</v>
      </c>
      <c r="AR736" s="35"/>
      <c r="AS736"/>
      <c r="AT736" s="34"/>
      <c r="AV736" s="34"/>
      <c r="AX736" s="34"/>
      <c r="AY736"/>
      <c r="BA736" s="34"/>
      <c r="BB736"/>
      <c r="BC736" t="s">
        <v>829</v>
      </c>
      <c r="BD736" s="36">
        <v>415497</v>
      </c>
      <c r="BE736" s="36">
        <v>415497</v>
      </c>
      <c r="BF736">
        <v>0</v>
      </c>
      <c r="BG736" s="34">
        <v>43132</v>
      </c>
      <c r="BH736">
        <v>60</v>
      </c>
      <c r="BI736" t="s">
        <v>283</v>
      </c>
      <c r="BJ736" t="s">
        <v>928</v>
      </c>
      <c r="BK736" t="s">
        <v>234</v>
      </c>
      <c r="BL736" t="s">
        <v>194</v>
      </c>
      <c r="BM736" s="8" t="s">
        <v>192</v>
      </c>
      <c r="BN736" t="s">
        <v>189</v>
      </c>
      <c r="BO736" t="s">
        <v>190</v>
      </c>
      <c r="BP736" s="35" t="s">
        <v>726</v>
      </c>
      <c r="BQ736"/>
      <c r="BU736" s="35"/>
      <c r="BV736" s="35"/>
      <c r="BX736"/>
      <c r="CA736" s="35"/>
      <c r="CB736" s="35"/>
      <c r="CC736"/>
      <c r="CG736" s="35"/>
      <c r="CH736" s="35"/>
      <c r="CK736"/>
      <c r="CM736" s="35"/>
      <c r="CN736" s="35"/>
      <c r="CQ736"/>
      <c r="CS736" s="35"/>
      <c r="CT736" s="35"/>
      <c r="CX736"/>
      <c r="CZ736" s="35"/>
      <c r="DD736" s="34"/>
      <c r="DG736" t="s">
        <v>827</v>
      </c>
      <c r="DH736" t="s">
        <v>966</v>
      </c>
      <c r="DI736" t="s">
        <v>286</v>
      </c>
      <c r="DL736" t="s">
        <v>679</v>
      </c>
      <c r="DM736">
        <v>3</v>
      </c>
      <c r="DN736">
        <v>7</v>
      </c>
      <c r="DO736" t="s">
        <v>828</v>
      </c>
      <c r="DQ736" t="s">
        <v>927</v>
      </c>
      <c r="DR736">
        <v>14</v>
      </c>
      <c r="DS736">
        <v>0</v>
      </c>
      <c r="DU736">
        <v>14</v>
      </c>
      <c r="DV736">
        <v>0</v>
      </c>
      <c r="DX736">
        <v>14</v>
      </c>
      <c r="DY736">
        <v>0</v>
      </c>
      <c r="DZ736" t="s">
        <v>246</v>
      </c>
      <c r="EA736" t="s">
        <v>929</v>
      </c>
    </row>
    <row r="737" spans="1:131" x14ac:dyDescent="0.4">
      <c r="A737" s="34">
        <v>43067.305104166669</v>
      </c>
      <c r="B737" s="25">
        <v>42935.680555555555</v>
      </c>
      <c r="D737" s="34"/>
      <c r="E737" s="34" t="s">
        <v>193</v>
      </c>
      <c r="F737" s="34" t="s">
        <v>191</v>
      </c>
      <c r="G737" s="34" t="s">
        <v>100</v>
      </c>
      <c r="H737" t="s">
        <v>279</v>
      </c>
      <c r="I737" t="s">
        <v>243</v>
      </c>
      <c r="J737" t="s">
        <v>712</v>
      </c>
      <c r="K737" t="s">
        <v>713</v>
      </c>
      <c r="L737" t="s">
        <v>711</v>
      </c>
      <c r="M737" s="30">
        <v>3.13</v>
      </c>
      <c r="N737">
        <v>4.75</v>
      </c>
      <c r="P737" s="24" t="str">
        <f>IFERROR(MID(RADataTable[[#This Row],[RATemplate]],1,LEN(RADataTable[[#This Row],[RATemplate]])-8),"RA") &amp; " " &amp; RADataTable[[#This Row],[prop_id0]] &amp; " " &amp; RADataTable[[#This Row],[last0]]</f>
        <v>RA 1751047 Gibson</v>
      </c>
      <c r="T737">
        <v>4</v>
      </c>
      <c r="U737">
        <v>4</v>
      </c>
      <c r="V737" s="34">
        <v>43030.177777777775</v>
      </c>
      <c r="W737">
        <v>1</v>
      </c>
      <c r="X737" s="15" t="str">
        <f>HYPERLINK("https://www.ejacket.nsf.gov/ej/showProposal.do?Continue=Y&amp;ID="&amp;RADataTable[[#This Row],[prop_id0]],"eJ")</f>
        <v>eJ</v>
      </c>
      <c r="Y737" s="15" t="str">
        <f>HYPERLINK("mailto:"&amp;RADataTable[[#This Row],[email]]&amp;"&amp;subject=Your NSF Proposal:  "&amp;RADataTable[[#This Row],[Div]]&amp;" "&amp;RADataTable[[#This Row],[prop_id0]], RADataTable[[#This Row],[email]])</f>
        <v>MATTHEW.GIBSON@UTSA.EDU</v>
      </c>
      <c r="Z737" s="15" t="str">
        <f>HYPERLINK("mailto:"&amp;RADataTable[[#This Row],[allPIemail]]&amp;"&amp;subject=NSF Proposal:  "&amp;RADataTable[[#This Row],[Div]]&amp;" "&amp;RADataTable[[#This Row],[prop_id0]], "PIs@")</f>
        <v>PIs@</v>
      </c>
      <c r="AA737" t="s">
        <v>245</v>
      </c>
      <c r="AB737" t="s">
        <v>679</v>
      </c>
      <c r="AC737" s="30" t="s">
        <v>824</v>
      </c>
      <c r="AD737" t="s">
        <v>825</v>
      </c>
      <c r="AE737" t="s">
        <v>826</v>
      </c>
      <c r="AF737" s="36">
        <v>415497</v>
      </c>
      <c r="AG737" s="36">
        <v>415497</v>
      </c>
      <c r="AH737" s="24"/>
      <c r="AJ737" s="34"/>
      <c r="AK737" t="s">
        <v>923</v>
      </c>
      <c r="AL737" t="s">
        <v>287</v>
      </c>
      <c r="AM737" s="34" t="s">
        <v>925</v>
      </c>
      <c r="AN737" s="34">
        <v>43032</v>
      </c>
      <c r="AO737" s="24">
        <v>13</v>
      </c>
      <c r="AP737" t="s">
        <v>965</v>
      </c>
      <c r="AR737" s="35"/>
      <c r="AS737"/>
      <c r="AT737" s="34"/>
      <c r="AV737" s="34"/>
      <c r="AX737" s="34"/>
      <c r="AY737"/>
      <c r="BA737" s="34"/>
      <c r="BB737"/>
      <c r="BC737" t="s">
        <v>829</v>
      </c>
      <c r="BD737" s="36">
        <v>415497</v>
      </c>
      <c r="BE737" s="36">
        <v>415497</v>
      </c>
      <c r="BF737">
        <v>0</v>
      </c>
      <c r="BG737" s="34">
        <v>43132</v>
      </c>
      <c r="BH737">
        <v>60</v>
      </c>
      <c r="BI737" t="s">
        <v>283</v>
      </c>
      <c r="BJ737" t="s">
        <v>928</v>
      </c>
      <c r="BK737" t="s">
        <v>234</v>
      </c>
      <c r="BL737" t="s">
        <v>194</v>
      </c>
      <c r="BM737" s="8" t="s">
        <v>192</v>
      </c>
      <c r="BN737" t="s">
        <v>189</v>
      </c>
      <c r="BO737" t="s">
        <v>190</v>
      </c>
      <c r="BP737" s="35" t="s">
        <v>726</v>
      </c>
      <c r="BQ737"/>
      <c r="BU737" s="35"/>
      <c r="BV737" s="35"/>
      <c r="BX737"/>
      <c r="CA737" s="35"/>
      <c r="CB737" s="35"/>
      <c r="CC737"/>
      <c r="CG737" s="35"/>
      <c r="CH737" s="35"/>
      <c r="CK737"/>
      <c r="CM737" s="35"/>
      <c r="CN737" s="35"/>
      <c r="CQ737"/>
      <c r="CS737" s="35"/>
      <c r="CT737" s="35"/>
      <c r="CX737"/>
      <c r="CZ737" s="35"/>
      <c r="DD737" s="34"/>
      <c r="DG737" t="s">
        <v>827</v>
      </c>
      <c r="DH737" t="s">
        <v>966</v>
      </c>
      <c r="DI737" t="s">
        <v>286</v>
      </c>
      <c r="DL737" t="s">
        <v>679</v>
      </c>
      <c r="DM737">
        <v>3</v>
      </c>
      <c r="DN737">
        <v>7</v>
      </c>
      <c r="DO737" t="s">
        <v>828</v>
      </c>
      <c r="DQ737" t="s">
        <v>927</v>
      </c>
      <c r="DR737">
        <v>14</v>
      </c>
      <c r="DS737">
        <v>0</v>
      </c>
      <c r="DU737">
        <v>14</v>
      </c>
      <c r="DV737">
        <v>0</v>
      </c>
      <c r="DX737">
        <v>14</v>
      </c>
      <c r="DY737">
        <v>0</v>
      </c>
      <c r="DZ737" t="s">
        <v>246</v>
      </c>
      <c r="EA737" t="s">
        <v>929</v>
      </c>
    </row>
    <row r="738" spans="1:131" x14ac:dyDescent="0.4">
      <c r="A738" s="34">
        <v>43067.305104166669</v>
      </c>
      <c r="B738" s="25">
        <v>42935.680555555555</v>
      </c>
      <c r="D738" s="34"/>
      <c r="E738" s="34" t="s">
        <v>193</v>
      </c>
      <c r="F738" s="34" t="s">
        <v>191</v>
      </c>
      <c r="G738" s="34" t="s">
        <v>100</v>
      </c>
      <c r="H738" t="s">
        <v>279</v>
      </c>
      <c r="I738" t="s">
        <v>243</v>
      </c>
      <c r="J738" t="s">
        <v>712</v>
      </c>
      <c r="K738" t="s">
        <v>713</v>
      </c>
      <c r="L738" t="s">
        <v>711</v>
      </c>
      <c r="M738" s="30">
        <v>3.13</v>
      </c>
      <c r="N738">
        <v>4.75</v>
      </c>
      <c r="P738" s="24" t="str">
        <f>IFERROR(MID(RADataTable[[#This Row],[RATemplate]],1,LEN(RADataTable[[#This Row],[RATemplate]])-8),"RA") &amp; " " &amp; RADataTable[[#This Row],[prop_id0]] &amp; " " &amp; RADataTable[[#This Row],[last0]]</f>
        <v>RA 1751047 Gibson</v>
      </c>
      <c r="T738">
        <v>4</v>
      </c>
      <c r="U738">
        <v>4</v>
      </c>
      <c r="V738" s="34">
        <v>43030.177777777775</v>
      </c>
      <c r="W738">
        <v>1</v>
      </c>
      <c r="X738" s="15" t="str">
        <f>HYPERLINK("https://www.ejacket.nsf.gov/ej/showProposal.do?Continue=Y&amp;ID="&amp;RADataTable[[#This Row],[prop_id0]],"eJ")</f>
        <v>eJ</v>
      </c>
      <c r="Y738" s="15" t="str">
        <f>HYPERLINK("mailto:"&amp;RADataTable[[#This Row],[email]]&amp;"&amp;subject=Your NSF Proposal:  "&amp;RADataTable[[#This Row],[Div]]&amp;" "&amp;RADataTable[[#This Row],[prop_id0]], RADataTable[[#This Row],[email]])</f>
        <v>MATTHEW.GIBSON@UTSA.EDU</v>
      </c>
      <c r="Z738" s="15" t="str">
        <f>HYPERLINK("mailto:"&amp;RADataTable[[#This Row],[allPIemail]]&amp;"&amp;subject=NSF Proposal:  "&amp;RADataTable[[#This Row],[Div]]&amp;" "&amp;RADataTable[[#This Row],[prop_id0]], "PIs@")</f>
        <v>PIs@</v>
      </c>
      <c r="AA738" t="s">
        <v>245</v>
      </c>
      <c r="AB738" t="s">
        <v>679</v>
      </c>
      <c r="AC738" s="30" t="s">
        <v>824</v>
      </c>
      <c r="AD738" t="s">
        <v>825</v>
      </c>
      <c r="AE738" t="s">
        <v>826</v>
      </c>
      <c r="AF738" s="36">
        <v>415497</v>
      </c>
      <c r="AG738" s="36">
        <v>415497</v>
      </c>
      <c r="AH738" s="24"/>
      <c r="AJ738" s="34"/>
      <c r="AK738" t="s">
        <v>923</v>
      </c>
      <c r="AL738" t="s">
        <v>287</v>
      </c>
      <c r="AM738" s="34" t="s">
        <v>925</v>
      </c>
      <c r="AN738" s="34">
        <v>43032</v>
      </c>
      <c r="AO738" s="24">
        <v>13</v>
      </c>
      <c r="AP738" t="s">
        <v>965</v>
      </c>
      <c r="AR738" s="35"/>
      <c r="AS738"/>
      <c r="AT738" s="34"/>
      <c r="AV738" s="34"/>
      <c r="AX738" s="34"/>
      <c r="AY738"/>
      <c r="BA738" s="34"/>
      <c r="BB738"/>
      <c r="BC738" t="s">
        <v>829</v>
      </c>
      <c r="BD738" s="36">
        <v>415497</v>
      </c>
      <c r="BE738" s="36">
        <v>415497</v>
      </c>
      <c r="BF738">
        <v>0</v>
      </c>
      <c r="BG738" s="34">
        <v>43132</v>
      </c>
      <c r="BH738">
        <v>60</v>
      </c>
      <c r="BI738" t="s">
        <v>283</v>
      </c>
      <c r="BJ738" t="s">
        <v>928</v>
      </c>
      <c r="BK738" t="s">
        <v>234</v>
      </c>
      <c r="BL738" t="s">
        <v>194</v>
      </c>
      <c r="BM738" s="8" t="s">
        <v>192</v>
      </c>
      <c r="BN738" t="s">
        <v>189</v>
      </c>
      <c r="BO738" t="s">
        <v>190</v>
      </c>
      <c r="BP738" s="35" t="s">
        <v>726</v>
      </c>
      <c r="BQ738"/>
      <c r="BU738" s="35"/>
      <c r="BV738" s="35"/>
      <c r="BX738"/>
      <c r="CA738" s="35"/>
      <c r="CB738" s="35"/>
      <c r="CC738"/>
      <c r="CG738" s="35"/>
      <c r="CH738" s="35"/>
      <c r="CK738"/>
      <c r="CM738" s="35"/>
      <c r="CN738" s="35"/>
      <c r="CQ738"/>
      <c r="CS738" s="35"/>
      <c r="CT738" s="35"/>
      <c r="CX738"/>
      <c r="CZ738" s="35"/>
      <c r="DD738" s="34"/>
      <c r="DG738" t="s">
        <v>827</v>
      </c>
      <c r="DH738" t="s">
        <v>966</v>
      </c>
      <c r="DI738" t="s">
        <v>286</v>
      </c>
      <c r="DL738" t="s">
        <v>679</v>
      </c>
      <c r="DM738">
        <v>3</v>
      </c>
      <c r="DN738">
        <v>7</v>
      </c>
      <c r="DO738" t="s">
        <v>828</v>
      </c>
      <c r="DQ738" t="s">
        <v>927</v>
      </c>
      <c r="DR738">
        <v>14</v>
      </c>
      <c r="DS738">
        <v>0</v>
      </c>
      <c r="DU738">
        <v>14</v>
      </c>
      <c r="DV738">
        <v>0</v>
      </c>
      <c r="DX738">
        <v>14</v>
      </c>
      <c r="DY738">
        <v>0</v>
      </c>
      <c r="DZ738" t="s">
        <v>246</v>
      </c>
      <c r="EA738" t="s">
        <v>929</v>
      </c>
    </row>
    <row r="739" spans="1:131" x14ac:dyDescent="0.4">
      <c r="A739" s="34">
        <v>43067.305104166669</v>
      </c>
      <c r="B739" s="25">
        <v>42935.680555555555</v>
      </c>
      <c r="D739" s="34"/>
      <c r="E739" s="34" t="s">
        <v>193</v>
      </c>
      <c r="F739" s="34" t="s">
        <v>191</v>
      </c>
      <c r="G739" s="34" t="s">
        <v>100</v>
      </c>
      <c r="H739" t="s">
        <v>279</v>
      </c>
      <c r="I739" t="s">
        <v>243</v>
      </c>
      <c r="J739" t="s">
        <v>712</v>
      </c>
      <c r="K739" t="s">
        <v>713</v>
      </c>
      <c r="L739" t="s">
        <v>711</v>
      </c>
      <c r="M739" s="30">
        <v>3.13</v>
      </c>
      <c r="N739">
        <v>4.75</v>
      </c>
      <c r="P739" s="24" t="str">
        <f>IFERROR(MID(RADataTable[[#This Row],[RATemplate]],1,LEN(RADataTable[[#This Row],[RATemplate]])-8),"RA") &amp; " " &amp; RADataTable[[#This Row],[prop_id0]] &amp; " " &amp; RADataTable[[#This Row],[last0]]</f>
        <v>RA 1751047 Gibson</v>
      </c>
      <c r="T739">
        <v>4</v>
      </c>
      <c r="U739">
        <v>4</v>
      </c>
      <c r="V739" s="34">
        <v>43030.177777777775</v>
      </c>
      <c r="W739">
        <v>1</v>
      </c>
      <c r="X739" s="15" t="str">
        <f>HYPERLINK("https://www.ejacket.nsf.gov/ej/showProposal.do?Continue=Y&amp;ID="&amp;RADataTable[[#This Row],[prop_id0]],"eJ")</f>
        <v>eJ</v>
      </c>
      <c r="Y739" s="15" t="str">
        <f>HYPERLINK("mailto:"&amp;RADataTable[[#This Row],[email]]&amp;"&amp;subject=Your NSF Proposal:  "&amp;RADataTable[[#This Row],[Div]]&amp;" "&amp;RADataTable[[#This Row],[prop_id0]], RADataTable[[#This Row],[email]])</f>
        <v>MATTHEW.GIBSON@UTSA.EDU</v>
      </c>
      <c r="Z739" s="15" t="str">
        <f>HYPERLINK("mailto:"&amp;RADataTable[[#This Row],[allPIemail]]&amp;"&amp;subject=NSF Proposal:  "&amp;RADataTable[[#This Row],[Div]]&amp;" "&amp;RADataTable[[#This Row],[prop_id0]], "PIs@")</f>
        <v>PIs@</v>
      </c>
      <c r="AA739" t="s">
        <v>245</v>
      </c>
      <c r="AB739" t="s">
        <v>679</v>
      </c>
      <c r="AC739" s="30" t="s">
        <v>824</v>
      </c>
      <c r="AD739" t="s">
        <v>825</v>
      </c>
      <c r="AE739" t="s">
        <v>826</v>
      </c>
      <c r="AF739" s="36">
        <v>415497</v>
      </c>
      <c r="AG739" s="36">
        <v>415497</v>
      </c>
      <c r="AH739" s="24"/>
      <c r="AJ739" s="34"/>
      <c r="AK739" t="s">
        <v>923</v>
      </c>
      <c r="AL739" t="s">
        <v>287</v>
      </c>
      <c r="AM739" s="34" t="s">
        <v>925</v>
      </c>
      <c r="AN739" s="34">
        <v>43032</v>
      </c>
      <c r="AO739" s="24">
        <v>13</v>
      </c>
      <c r="AP739" t="s">
        <v>965</v>
      </c>
      <c r="AR739" s="35"/>
      <c r="AS739"/>
      <c r="AT739" s="34"/>
      <c r="AV739" s="34"/>
      <c r="AX739" s="34"/>
      <c r="AY739"/>
      <c r="BA739" s="34"/>
      <c r="BB739"/>
      <c r="BC739" t="s">
        <v>829</v>
      </c>
      <c r="BD739" s="36">
        <v>415497</v>
      </c>
      <c r="BE739" s="36">
        <v>415497</v>
      </c>
      <c r="BF739">
        <v>0</v>
      </c>
      <c r="BG739" s="34">
        <v>43132</v>
      </c>
      <c r="BH739">
        <v>60</v>
      </c>
      <c r="BI739" t="s">
        <v>283</v>
      </c>
      <c r="BJ739" t="s">
        <v>928</v>
      </c>
      <c r="BK739" t="s">
        <v>234</v>
      </c>
      <c r="BL739" t="s">
        <v>194</v>
      </c>
      <c r="BM739" s="8" t="s">
        <v>192</v>
      </c>
      <c r="BN739" t="s">
        <v>189</v>
      </c>
      <c r="BO739" t="s">
        <v>190</v>
      </c>
      <c r="BP739" s="35" t="s">
        <v>726</v>
      </c>
      <c r="BQ739"/>
      <c r="BU739" s="35"/>
      <c r="BV739" s="35"/>
      <c r="BX739"/>
      <c r="CA739" s="35"/>
      <c r="CB739" s="35"/>
      <c r="CC739"/>
      <c r="CG739" s="35"/>
      <c r="CH739" s="35"/>
      <c r="CK739"/>
      <c r="CM739" s="35"/>
      <c r="CN739" s="35"/>
      <c r="CQ739"/>
      <c r="CS739" s="35"/>
      <c r="CT739" s="35"/>
      <c r="CX739"/>
      <c r="CZ739" s="35"/>
      <c r="DD739" s="34"/>
      <c r="DG739" t="s">
        <v>827</v>
      </c>
      <c r="DH739" t="s">
        <v>966</v>
      </c>
      <c r="DI739" t="s">
        <v>286</v>
      </c>
      <c r="DL739" t="s">
        <v>679</v>
      </c>
      <c r="DM739">
        <v>3</v>
      </c>
      <c r="DN739">
        <v>7</v>
      </c>
      <c r="DO739" t="s">
        <v>828</v>
      </c>
      <c r="DQ739" t="s">
        <v>927</v>
      </c>
      <c r="DR739">
        <v>14</v>
      </c>
      <c r="DS739">
        <v>0</v>
      </c>
      <c r="DU739">
        <v>14</v>
      </c>
      <c r="DV739">
        <v>0</v>
      </c>
      <c r="DX739">
        <v>14</v>
      </c>
      <c r="DY739">
        <v>0</v>
      </c>
      <c r="DZ739" t="s">
        <v>246</v>
      </c>
      <c r="EA739" t="s">
        <v>929</v>
      </c>
    </row>
    <row r="740" spans="1:131" x14ac:dyDescent="0.4">
      <c r="A740" s="34">
        <v>43067.305104166669</v>
      </c>
      <c r="B740" s="25">
        <v>42935.680555555555</v>
      </c>
      <c r="D740" s="34"/>
      <c r="E740" s="34" t="s">
        <v>193</v>
      </c>
      <c r="F740" s="34" t="s">
        <v>191</v>
      </c>
      <c r="G740" s="34" t="s">
        <v>100</v>
      </c>
      <c r="H740" t="s">
        <v>279</v>
      </c>
      <c r="I740" t="s">
        <v>243</v>
      </c>
      <c r="J740" t="s">
        <v>712</v>
      </c>
      <c r="K740" t="s">
        <v>713</v>
      </c>
      <c r="L740" t="s">
        <v>711</v>
      </c>
      <c r="M740" s="30">
        <v>3.13</v>
      </c>
      <c r="N740">
        <v>4.75</v>
      </c>
      <c r="P740" s="24" t="str">
        <f>IFERROR(MID(RADataTable[[#This Row],[RATemplate]],1,LEN(RADataTable[[#This Row],[RATemplate]])-8),"RA") &amp; " " &amp; RADataTable[[#This Row],[prop_id0]] &amp; " " &amp; RADataTable[[#This Row],[last0]]</f>
        <v>RA 1751047 Gibson</v>
      </c>
      <c r="T740">
        <v>4</v>
      </c>
      <c r="U740">
        <v>4</v>
      </c>
      <c r="V740" s="34">
        <v>43030.177777777775</v>
      </c>
      <c r="W740">
        <v>1</v>
      </c>
      <c r="X740" s="15" t="str">
        <f>HYPERLINK("https://www.ejacket.nsf.gov/ej/showProposal.do?Continue=Y&amp;ID="&amp;RADataTable[[#This Row],[prop_id0]],"eJ")</f>
        <v>eJ</v>
      </c>
      <c r="Y740" s="15" t="str">
        <f>HYPERLINK("mailto:"&amp;RADataTable[[#This Row],[email]]&amp;"&amp;subject=Your NSF Proposal:  "&amp;RADataTable[[#This Row],[Div]]&amp;" "&amp;RADataTable[[#This Row],[prop_id0]], RADataTable[[#This Row],[email]])</f>
        <v>MATTHEW.GIBSON@UTSA.EDU</v>
      </c>
      <c r="Z740" s="15" t="str">
        <f>HYPERLINK("mailto:"&amp;RADataTable[[#This Row],[allPIemail]]&amp;"&amp;subject=NSF Proposal:  "&amp;RADataTable[[#This Row],[Div]]&amp;" "&amp;RADataTable[[#This Row],[prop_id0]], "PIs@")</f>
        <v>PIs@</v>
      </c>
      <c r="AA740" t="s">
        <v>245</v>
      </c>
      <c r="AB740" t="s">
        <v>679</v>
      </c>
      <c r="AC740" s="30" t="s">
        <v>824</v>
      </c>
      <c r="AD740" t="s">
        <v>825</v>
      </c>
      <c r="AE740" t="s">
        <v>826</v>
      </c>
      <c r="AF740" s="36">
        <v>415497</v>
      </c>
      <c r="AG740" s="36">
        <v>415497</v>
      </c>
      <c r="AH740" s="24"/>
      <c r="AJ740" s="34"/>
      <c r="AK740" t="s">
        <v>923</v>
      </c>
      <c r="AL740" t="s">
        <v>287</v>
      </c>
      <c r="AM740" s="34" t="s">
        <v>925</v>
      </c>
      <c r="AN740" s="34">
        <v>43032</v>
      </c>
      <c r="AO740" s="24">
        <v>13</v>
      </c>
      <c r="AP740" t="s">
        <v>965</v>
      </c>
      <c r="AR740" s="35"/>
      <c r="AS740"/>
      <c r="AT740" s="34"/>
      <c r="AV740" s="34"/>
      <c r="AX740" s="34"/>
      <c r="AY740"/>
      <c r="BA740" s="34"/>
      <c r="BB740"/>
      <c r="BC740" t="s">
        <v>829</v>
      </c>
      <c r="BD740" s="36">
        <v>415497</v>
      </c>
      <c r="BE740" s="36">
        <v>415497</v>
      </c>
      <c r="BF740">
        <v>0</v>
      </c>
      <c r="BG740" s="34">
        <v>43132</v>
      </c>
      <c r="BH740">
        <v>60</v>
      </c>
      <c r="BI740" t="s">
        <v>283</v>
      </c>
      <c r="BJ740" t="s">
        <v>928</v>
      </c>
      <c r="BK740" t="s">
        <v>234</v>
      </c>
      <c r="BL740" t="s">
        <v>194</v>
      </c>
      <c r="BM740" s="8" t="s">
        <v>192</v>
      </c>
      <c r="BN740" t="s">
        <v>189</v>
      </c>
      <c r="BO740" t="s">
        <v>190</v>
      </c>
      <c r="BP740" s="35" t="s">
        <v>726</v>
      </c>
      <c r="BQ740"/>
      <c r="BU740" s="35"/>
      <c r="BV740" s="35"/>
      <c r="BX740"/>
      <c r="CA740" s="35"/>
      <c r="CB740" s="35"/>
      <c r="CC740"/>
      <c r="CG740" s="35"/>
      <c r="CH740" s="35"/>
      <c r="CK740"/>
      <c r="CM740" s="35"/>
      <c r="CN740" s="35"/>
      <c r="CQ740"/>
      <c r="CS740" s="35"/>
      <c r="CT740" s="35"/>
      <c r="CX740"/>
      <c r="CZ740" s="35"/>
      <c r="DD740" s="34"/>
      <c r="DG740" t="s">
        <v>827</v>
      </c>
      <c r="DH740" t="s">
        <v>966</v>
      </c>
      <c r="DI740" t="s">
        <v>286</v>
      </c>
      <c r="DL740" t="s">
        <v>679</v>
      </c>
      <c r="DM740">
        <v>3</v>
      </c>
      <c r="DN740">
        <v>7</v>
      </c>
      <c r="DO740" t="s">
        <v>828</v>
      </c>
      <c r="DQ740" t="s">
        <v>927</v>
      </c>
      <c r="DR740">
        <v>14</v>
      </c>
      <c r="DS740">
        <v>0</v>
      </c>
      <c r="DU740">
        <v>14</v>
      </c>
      <c r="DV740">
        <v>0</v>
      </c>
      <c r="DX740">
        <v>14</v>
      </c>
      <c r="DY740">
        <v>0</v>
      </c>
      <c r="DZ740" t="s">
        <v>246</v>
      </c>
      <c r="EA740" t="s">
        <v>929</v>
      </c>
    </row>
    <row r="741" spans="1:131" x14ac:dyDescent="0.4">
      <c r="A741" s="34">
        <v>43067.305104166669</v>
      </c>
      <c r="B741" s="25">
        <v>42935.680555555555</v>
      </c>
      <c r="D741" s="34"/>
      <c r="E741" s="34" t="s">
        <v>193</v>
      </c>
      <c r="F741" s="34" t="s">
        <v>191</v>
      </c>
      <c r="G741" s="34" t="s">
        <v>100</v>
      </c>
      <c r="H741" t="s">
        <v>279</v>
      </c>
      <c r="I741" t="s">
        <v>243</v>
      </c>
      <c r="J741" t="s">
        <v>712</v>
      </c>
      <c r="K741" t="s">
        <v>713</v>
      </c>
      <c r="L741" t="s">
        <v>711</v>
      </c>
      <c r="M741" s="30">
        <v>3.13</v>
      </c>
      <c r="N741">
        <v>4.75</v>
      </c>
      <c r="P741" s="24" t="str">
        <f>IFERROR(MID(RADataTable[[#This Row],[RATemplate]],1,LEN(RADataTable[[#This Row],[RATemplate]])-8),"RA") &amp; " " &amp; RADataTable[[#This Row],[prop_id0]] &amp; " " &amp; RADataTable[[#This Row],[last0]]</f>
        <v>RA 1751047 Gibson</v>
      </c>
      <c r="T741">
        <v>4</v>
      </c>
      <c r="U741">
        <v>4</v>
      </c>
      <c r="V741" s="34">
        <v>43030.177777777775</v>
      </c>
      <c r="W741">
        <v>1</v>
      </c>
      <c r="X741" s="15" t="str">
        <f>HYPERLINK("https://www.ejacket.nsf.gov/ej/showProposal.do?Continue=Y&amp;ID="&amp;RADataTable[[#This Row],[prop_id0]],"eJ")</f>
        <v>eJ</v>
      </c>
      <c r="Y741" s="15" t="str">
        <f>HYPERLINK("mailto:"&amp;RADataTable[[#This Row],[email]]&amp;"&amp;subject=Your NSF Proposal:  "&amp;RADataTable[[#This Row],[Div]]&amp;" "&amp;RADataTable[[#This Row],[prop_id0]], RADataTable[[#This Row],[email]])</f>
        <v>MATTHEW.GIBSON@UTSA.EDU</v>
      </c>
      <c r="Z741" s="15" t="str">
        <f>HYPERLINK("mailto:"&amp;RADataTable[[#This Row],[allPIemail]]&amp;"&amp;subject=NSF Proposal:  "&amp;RADataTable[[#This Row],[Div]]&amp;" "&amp;RADataTable[[#This Row],[prop_id0]], "PIs@")</f>
        <v>PIs@</v>
      </c>
      <c r="AA741" t="s">
        <v>245</v>
      </c>
      <c r="AB741" t="s">
        <v>679</v>
      </c>
      <c r="AC741" s="30" t="s">
        <v>824</v>
      </c>
      <c r="AD741" t="s">
        <v>825</v>
      </c>
      <c r="AE741" t="s">
        <v>826</v>
      </c>
      <c r="AF741" s="36">
        <v>415497</v>
      </c>
      <c r="AG741" s="36">
        <v>415497</v>
      </c>
      <c r="AH741" s="24"/>
      <c r="AJ741" s="34"/>
      <c r="AK741" t="s">
        <v>923</v>
      </c>
      <c r="AL741" t="s">
        <v>287</v>
      </c>
      <c r="AM741" s="34" t="s">
        <v>925</v>
      </c>
      <c r="AN741" s="34">
        <v>43032</v>
      </c>
      <c r="AO741" s="24">
        <v>13</v>
      </c>
      <c r="AP741" t="s">
        <v>965</v>
      </c>
      <c r="AR741" s="35"/>
      <c r="AS741"/>
      <c r="AT741" s="34"/>
      <c r="AV741" s="34"/>
      <c r="AX741" s="34"/>
      <c r="AY741"/>
      <c r="BA741" s="34"/>
      <c r="BB741"/>
      <c r="BC741" t="s">
        <v>829</v>
      </c>
      <c r="BD741" s="36">
        <v>415497</v>
      </c>
      <c r="BE741" s="36">
        <v>415497</v>
      </c>
      <c r="BF741">
        <v>0</v>
      </c>
      <c r="BG741" s="34">
        <v>43132</v>
      </c>
      <c r="BH741">
        <v>60</v>
      </c>
      <c r="BI741" t="s">
        <v>283</v>
      </c>
      <c r="BJ741" t="s">
        <v>928</v>
      </c>
      <c r="BK741" t="s">
        <v>234</v>
      </c>
      <c r="BL741" t="s">
        <v>194</v>
      </c>
      <c r="BM741" s="8" t="s">
        <v>192</v>
      </c>
      <c r="BN741" t="s">
        <v>189</v>
      </c>
      <c r="BO741" t="s">
        <v>190</v>
      </c>
      <c r="BP741" s="35" t="s">
        <v>726</v>
      </c>
      <c r="BQ741"/>
      <c r="BU741" s="35"/>
      <c r="BV741" s="35"/>
      <c r="BX741"/>
      <c r="CA741" s="35"/>
      <c r="CB741" s="35"/>
      <c r="CC741"/>
      <c r="CG741" s="35"/>
      <c r="CH741" s="35"/>
      <c r="CK741"/>
      <c r="CM741" s="35"/>
      <c r="CN741" s="35"/>
      <c r="CQ741"/>
      <c r="CS741" s="35"/>
      <c r="CT741" s="35"/>
      <c r="CX741"/>
      <c r="CZ741" s="35"/>
      <c r="DD741" s="34"/>
      <c r="DG741" t="s">
        <v>827</v>
      </c>
      <c r="DH741" t="s">
        <v>966</v>
      </c>
      <c r="DI741" t="s">
        <v>286</v>
      </c>
      <c r="DL741" t="s">
        <v>679</v>
      </c>
      <c r="DM741">
        <v>3</v>
      </c>
      <c r="DN741">
        <v>7</v>
      </c>
      <c r="DO741" t="s">
        <v>828</v>
      </c>
      <c r="DQ741" t="s">
        <v>927</v>
      </c>
      <c r="DR741">
        <v>14</v>
      </c>
      <c r="DS741">
        <v>0</v>
      </c>
      <c r="DU741">
        <v>14</v>
      </c>
      <c r="DV741">
        <v>0</v>
      </c>
      <c r="DX741">
        <v>14</v>
      </c>
      <c r="DY741">
        <v>0</v>
      </c>
      <c r="DZ741" t="s">
        <v>246</v>
      </c>
      <c r="EA741" t="s">
        <v>929</v>
      </c>
    </row>
    <row r="742" spans="1:131" x14ac:dyDescent="0.4">
      <c r="A742" s="34">
        <v>43067.305104166669</v>
      </c>
      <c r="B742" s="25">
        <v>42935.680555555555</v>
      </c>
      <c r="D742" s="34"/>
      <c r="E742" s="34" t="s">
        <v>193</v>
      </c>
      <c r="F742" s="34" t="s">
        <v>191</v>
      </c>
      <c r="G742" s="34" t="s">
        <v>100</v>
      </c>
      <c r="H742" t="s">
        <v>279</v>
      </c>
      <c r="I742" t="s">
        <v>243</v>
      </c>
      <c r="J742" t="s">
        <v>712</v>
      </c>
      <c r="K742" t="s">
        <v>713</v>
      </c>
      <c r="L742" t="s">
        <v>711</v>
      </c>
      <c r="M742" s="30">
        <v>3.13</v>
      </c>
      <c r="N742">
        <v>4.75</v>
      </c>
      <c r="P742" s="24" t="str">
        <f>IFERROR(MID(RADataTable[[#This Row],[RATemplate]],1,LEN(RADataTable[[#This Row],[RATemplate]])-8),"RA") &amp; " " &amp; RADataTable[[#This Row],[prop_id0]] &amp; " " &amp; RADataTable[[#This Row],[last0]]</f>
        <v>RA 1751047 Gibson</v>
      </c>
      <c r="T742">
        <v>4</v>
      </c>
      <c r="U742">
        <v>4</v>
      </c>
      <c r="V742" s="34">
        <v>43030.177777777775</v>
      </c>
      <c r="W742">
        <v>1</v>
      </c>
      <c r="X742" s="15" t="str">
        <f>HYPERLINK("https://www.ejacket.nsf.gov/ej/showProposal.do?Continue=Y&amp;ID="&amp;RADataTable[[#This Row],[prop_id0]],"eJ")</f>
        <v>eJ</v>
      </c>
      <c r="Y742" s="15" t="str">
        <f>HYPERLINK("mailto:"&amp;RADataTable[[#This Row],[email]]&amp;"&amp;subject=Your NSF Proposal:  "&amp;RADataTable[[#This Row],[Div]]&amp;" "&amp;RADataTable[[#This Row],[prop_id0]], RADataTable[[#This Row],[email]])</f>
        <v>MATTHEW.GIBSON@UTSA.EDU</v>
      </c>
      <c r="Z742" s="15" t="str">
        <f>HYPERLINK("mailto:"&amp;RADataTable[[#This Row],[allPIemail]]&amp;"&amp;subject=NSF Proposal:  "&amp;RADataTable[[#This Row],[Div]]&amp;" "&amp;RADataTable[[#This Row],[prop_id0]], "PIs@")</f>
        <v>PIs@</v>
      </c>
      <c r="AA742" t="s">
        <v>245</v>
      </c>
      <c r="AB742" t="s">
        <v>679</v>
      </c>
      <c r="AC742" s="30" t="s">
        <v>824</v>
      </c>
      <c r="AD742" t="s">
        <v>825</v>
      </c>
      <c r="AE742" t="s">
        <v>826</v>
      </c>
      <c r="AF742" s="36">
        <v>415497</v>
      </c>
      <c r="AG742" s="36">
        <v>415497</v>
      </c>
      <c r="AH742" s="24"/>
      <c r="AJ742" s="34"/>
      <c r="AK742" t="s">
        <v>923</v>
      </c>
      <c r="AL742" t="s">
        <v>287</v>
      </c>
      <c r="AM742" s="34" t="s">
        <v>925</v>
      </c>
      <c r="AN742" s="34">
        <v>43032</v>
      </c>
      <c r="AO742" s="24">
        <v>13</v>
      </c>
      <c r="AP742" t="s">
        <v>965</v>
      </c>
      <c r="AR742" s="35"/>
      <c r="AS742"/>
      <c r="AT742" s="34"/>
      <c r="AV742" s="34"/>
      <c r="AX742" s="34"/>
      <c r="AY742"/>
      <c r="BA742" s="34"/>
      <c r="BB742"/>
      <c r="BC742" t="s">
        <v>829</v>
      </c>
      <c r="BD742" s="36">
        <v>415497</v>
      </c>
      <c r="BE742" s="36">
        <v>415497</v>
      </c>
      <c r="BF742">
        <v>0</v>
      </c>
      <c r="BG742" s="34">
        <v>43132</v>
      </c>
      <c r="BH742">
        <v>60</v>
      </c>
      <c r="BI742" t="s">
        <v>283</v>
      </c>
      <c r="BJ742" t="s">
        <v>928</v>
      </c>
      <c r="BK742" t="s">
        <v>234</v>
      </c>
      <c r="BL742" t="s">
        <v>194</v>
      </c>
      <c r="BM742" s="8" t="s">
        <v>192</v>
      </c>
      <c r="BN742" t="s">
        <v>189</v>
      </c>
      <c r="BO742" t="s">
        <v>190</v>
      </c>
      <c r="BP742" s="35" t="s">
        <v>726</v>
      </c>
      <c r="BQ742"/>
      <c r="BU742" s="35"/>
      <c r="BV742" s="35"/>
      <c r="BX742"/>
      <c r="CA742" s="35"/>
      <c r="CB742" s="35"/>
      <c r="CC742"/>
      <c r="CG742" s="35"/>
      <c r="CH742" s="35"/>
      <c r="CK742"/>
      <c r="CM742" s="35"/>
      <c r="CN742" s="35"/>
      <c r="CQ742"/>
      <c r="CS742" s="35"/>
      <c r="CT742" s="35"/>
      <c r="CX742"/>
      <c r="CZ742" s="35"/>
      <c r="DD742" s="34"/>
      <c r="DG742" t="s">
        <v>827</v>
      </c>
      <c r="DH742" t="s">
        <v>966</v>
      </c>
      <c r="DI742" t="s">
        <v>286</v>
      </c>
      <c r="DL742" t="s">
        <v>679</v>
      </c>
      <c r="DM742">
        <v>3</v>
      </c>
      <c r="DN742">
        <v>7</v>
      </c>
      <c r="DO742" t="s">
        <v>828</v>
      </c>
      <c r="DQ742" t="s">
        <v>927</v>
      </c>
      <c r="DR742">
        <v>14</v>
      </c>
      <c r="DS742">
        <v>0</v>
      </c>
      <c r="DU742">
        <v>14</v>
      </c>
      <c r="DV742">
        <v>0</v>
      </c>
      <c r="DX742">
        <v>14</v>
      </c>
      <c r="DY742">
        <v>0</v>
      </c>
      <c r="DZ742" t="s">
        <v>246</v>
      </c>
      <c r="EA742" t="s">
        <v>929</v>
      </c>
    </row>
    <row r="743" spans="1:131" x14ac:dyDescent="0.4">
      <c r="A743" s="34">
        <v>43067.305104166669</v>
      </c>
      <c r="B743" s="25">
        <v>42935.680555555555</v>
      </c>
      <c r="D743" s="34"/>
      <c r="E743" s="34" t="s">
        <v>193</v>
      </c>
      <c r="F743" s="34" t="s">
        <v>191</v>
      </c>
      <c r="G743" s="34" t="s">
        <v>100</v>
      </c>
      <c r="H743" t="s">
        <v>279</v>
      </c>
      <c r="I743" t="s">
        <v>243</v>
      </c>
      <c r="J743" t="s">
        <v>712</v>
      </c>
      <c r="K743" t="s">
        <v>713</v>
      </c>
      <c r="L743" t="s">
        <v>711</v>
      </c>
      <c r="M743" s="30">
        <v>3.13</v>
      </c>
      <c r="N743">
        <v>4.75</v>
      </c>
      <c r="P743" s="24" t="str">
        <f>IFERROR(MID(RADataTable[[#This Row],[RATemplate]],1,LEN(RADataTable[[#This Row],[RATemplate]])-8),"RA") &amp; " " &amp; RADataTable[[#This Row],[prop_id0]] &amp; " " &amp; RADataTable[[#This Row],[last0]]</f>
        <v>RA 1751047 Gibson</v>
      </c>
      <c r="T743">
        <v>4</v>
      </c>
      <c r="U743">
        <v>4</v>
      </c>
      <c r="V743" s="34">
        <v>43030.177777777775</v>
      </c>
      <c r="W743">
        <v>1</v>
      </c>
      <c r="X743" s="15" t="str">
        <f>HYPERLINK("https://www.ejacket.nsf.gov/ej/showProposal.do?Continue=Y&amp;ID="&amp;RADataTable[[#This Row],[prop_id0]],"eJ")</f>
        <v>eJ</v>
      </c>
      <c r="Y743" s="15" t="str">
        <f>HYPERLINK("mailto:"&amp;RADataTable[[#This Row],[email]]&amp;"&amp;subject=Your NSF Proposal:  "&amp;RADataTable[[#This Row],[Div]]&amp;" "&amp;RADataTable[[#This Row],[prop_id0]], RADataTable[[#This Row],[email]])</f>
        <v>MATTHEW.GIBSON@UTSA.EDU</v>
      </c>
      <c r="Z743" s="15" t="str">
        <f>HYPERLINK("mailto:"&amp;RADataTable[[#This Row],[allPIemail]]&amp;"&amp;subject=NSF Proposal:  "&amp;RADataTable[[#This Row],[Div]]&amp;" "&amp;RADataTable[[#This Row],[prop_id0]], "PIs@")</f>
        <v>PIs@</v>
      </c>
      <c r="AA743" t="s">
        <v>245</v>
      </c>
      <c r="AB743" t="s">
        <v>679</v>
      </c>
      <c r="AC743" s="30" t="s">
        <v>824</v>
      </c>
      <c r="AD743" t="s">
        <v>825</v>
      </c>
      <c r="AE743" t="s">
        <v>826</v>
      </c>
      <c r="AF743" s="36">
        <v>415497</v>
      </c>
      <c r="AG743" s="36">
        <v>415497</v>
      </c>
      <c r="AH743" s="24"/>
      <c r="AJ743" s="34"/>
      <c r="AK743" t="s">
        <v>923</v>
      </c>
      <c r="AL743" t="s">
        <v>287</v>
      </c>
      <c r="AM743" s="34" t="s">
        <v>925</v>
      </c>
      <c r="AN743" s="34">
        <v>43032</v>
      </c>
      <c r="AO743" s="24">
        <v>13</v>
      </c>
      <c r="AP743" t="s">
        <v>965</v>
      </c>
      <c r="AR743" s="35"/>
      <c r="AS743"/>
      <c r="AT743" s="34"/>
      <c r="AV743" s="34"/>
      <c r="AX743" s="34"/>
      <c r="AY743"/>
      <c r="BA743" s="34"/>
      <c r="BB743"/>
      <c r="BC743" t="s">
        <v>829</v>
      </c>
      <c r="BD743" s="36">
        <v>415497</v>
      </c>
      <c r="BE743" s="36">
        <v>415497</v>
      </c>
      <c r="BF743">
        <v>0</v>
      </c>
      <c r="BG743" s="34">
        <v>43132</v>
      </c>
      <c r="BH743">
        <v>60</v>
      </c>
      <c r="BI743" t="s">
        <v>283</v>
      </c>
      <c r="BJ743" t="s">
        <v>928</v>
      </c>
      <c r="BK743" t="s">
        <v>234</v>
      </c>
      <c r="BL743" t="s">
        <v>194</v>
      </c>
      <c r="BM743" s="8" t="s">
        <v>192</v>
      </c>
      <c r="BN743" t="s">
        <v>189</v>
      </c>
      <c r="BO743" t="s">
        <v>190</v>
      </c>
      <c r="BP743" s="35" t="s">
        <v>726</v>
      </c>
      <c r="BQ743"/>
      <c r="BU743" s="35"/>
      <c r="BV743" s="35"/>
      <c r="BX743"/>
      <c r="CA743" s="35"/>
      <c r="CB743" s="35"/>
      <c r="CC743"/>
      <c r="CG743" s="35"/>
      <c r="CH743" s="35"/>
      <c r="CK743"/>
      <c r="CM743" s="35"/>
      <c r="CN743" s="35"/>
      <c r="CQ743"/>
      <c r="CS743" s="35"/>
      <c r="CT743" s="35"/>
      <c r="CX743"/>
      <c r="CZ743" s="35"/>
      <c r="DD743" s="34"/>
      <c r="DG743" t="s">
        <v>827</v>
      </c>
      <c r="DH743" t="s">
        <v>966</v>
      </c>
      <c r="DI743" t="s">
        <v>286</v>
      </c>
      <c r="DL743" t="s">
        <v>679</v>
      </c>
      <c r="DM743">
        <v>3</v>
      </c>
      <c r="DN743">
        <v>7</v>
      </c>
      <c r="DO743" t="s">
        <v>828</v>
      </c>
      <c r="DQ743" t="s">
        <v>927</v>
      </c>
      <c r="DR743">
        <v>14</v>
      </c>
      <c r="DS743">
        <v>0</v>
      </c>
      <c r="DU743">
        <v>14</v>
      </c>
      <c r="DV743">
        <v>0</v>
      </c>
      <c r="DX743">
        <v>14</v>
      </c>
      <c r="DY743">
        <v>0</v>
      </c>
      <c r="DZ743" t="s">
        <v>246</v>
      </c>
      <c r="EA743" t="s">
        <v>929</v>
      </c>
    </row>
    <row r="744" spans="1:131" x14ac:dyDescent="0.4">
      <c r="A744" s="34">
        <v>43067.305104166669</v>
      </c>
      <c r="B744" s="25">
        <v>42935.680555555555</v>
      </c>
      <c r="D744" s="34"/>
      <c r="E744" s="34" t="s">
        <v>193</v>
      </c>
      <c r="F744" s="34" t="s">
        <v>191</v>
      </c>
      <c r="G744" s="34" t="s">
        <v>100</v>
      </c>
      <c r="H744" t="s">
        <v>279</v>
      </c>
      <c r="I744" t="s">
        <v>243</v>
      </c>
      <c r="J744" t="s">
        <v>712</v>
      </c>
      <c r="K744" t="s">
        <v>713</v>
      </c>
      <c r="L744" t="s">
        <v>711</v>
      </c>
      <c r="M744" s="30">
        <v>3.13</v>
      </c>
      <c r="N744">
        <v>4.75</v>
      </c>
      <c r="P744" s="24" t="str">
        <f>IFERROR(MID(RADataTable[[#This Row],[RATemplate]],1,LEN(RADataTable[[#This Row],[RATemplate]])-8),"RA") &amp; " " &amp; RADataTable[[#This Row],[prop_id0]] &amp; " " &amp; RADataTable[[#This Row],[last0]]</f>
        <v>RA 1751047 Gibson</v>
      </c>
      <c r="T744">
        <v>4</v>
      </c>
      <c r="U744">
        <v>4</v>
      </c>
      <c r="V744" s="34">
        <v>43030.177777777775</v>
      </c>
      <c r="W744">
        <v>1</v>
      </c>
      <c r="X744" s="15" t="str">
        <f>HYPERLINK("https://www.ejacket.nsf.gov/ej/showProposal.do?Continue=Y&amp;ID="&amp;RADataTable[[#This Row],[prop_id0]],"eJ")</f>
        <v>eJ</v>
      </c>
      <c r="Y744" s="15" t="str">
        <f>HYPERLINK("mailto:"&amp;RADataTable[[#This Row],[email]]&amp;"&amp;subject=Your NSF Proposal:  "&amp;RADataTable[[#This Row],[Div]]&amp;" "&amp;RADataTable[[#This Row],[prop_id0]], RADataTable[[#This Row],[email]])</f>
        <v>MATTHEW.GIBSON@UTSA.EDU</v>
      </c>
      <c r="Z744" s="15" t="str">
        <f>HYPERLINK("mailto:"&amp;RADataTable[[#This Row],[allPIemail]]&amp;"&amp;subject=NSF Proposal:  "&amp;RADataTable[[#This Row],[Div]]&amp;" "&amp;RADataTable[[#This Row],[prop_id0]], "PIs@")</f>
        <v>PIs@</v>
      </c>
      <c r="AA744" t="s">
        <v>245</v>
      </c>
      <c r="AB744" t="s">
        <v>679</v>
      </c>
      <c r="AC744" s="30" t="s">
        <v>824</v>
      </c>
      <c r="AD744" t="s">
        <v>825</v>
      </c>
      <c r="AE744" t="s">
        <v>826</v>
      </c>
      <c r="AF744" s="36">
        <v>415497</v>
      </c>
      <c r="AG744" s="36">
        <v>415497</v>
      </c>
      <c r="AH744" s="24"/>
      <c r="AJ744" s="34"/>
      <c r="AK744" t="s">
        <v>923</v>
      </c>
      <c r="AL744" t="s">
        <v>287</v>
      </c>
      <c r="AM744" s="34" t="s">
        <v>925</v>
      </c>
      <c r="AN744" s="34">
        <v>43032</v>
      </c>
      <c r="AO744" s="24">
        <v>13</v>
      </c>
      <c r="AP744" t="s">
        <v>965</v>
      </c>
      <c r="AR744" s="35"/>
      <c r="AS744"/>
      <c r="AT744" s="34"/>
      <c r="AV744" s="34"/>
      <c r="AX744" s="34"/>
      <c r="AY744"/>
      <c r="BA744" s="34"/>
      <c r="BB744"/>
      <c r="BC744" t="s">
        <v>829</v>
      </c>
      <c r="BD744" s="36">
        <v>415497</v>
      </c>
      <c r="BE744" s="36">
        <v>415497</v>
      </c>
      <c r="BF744">
        <v>0</v>
      </c>
      <c r="BG744" s="34">
        <v>43132</v>
      </c>
      <c r="BH744">
        <v>60</v>
      </c>
      <c r="BI744" t="s">
        <v>283</v>
      </c>
      <c r="BJ744" t="s">
        <v>928</v>
      </c>
      <c r="BK744" t="s">
        <v>234</v>
      </c>
      <c r="BL744" t="s">
        <v>194</v>
      </c>
      <c r="BM744" s="8" t="s">
        <v>192</v>
      </c>
      <c r="BN744" t="s">
        <v>189</v>
      </c>
      <c r="BO744" t="s">
        <v>190</v>
      </c>
      <c r="BP744" s="35" t="s">
        <v>726</v>
      </c>
      <c r="BQ744"/>
      <c r="BU744" s="35"/>
      <c r="BV744" s="35"/>
      <c r="BX744"/>
      <c r="CA744" s="35"/>
      <c r="CB744" s="35"/>
      <c r="CC744"/>
      <c r="CG744" s="35"/>
      <c r="CH744" s="35"/>
      <c r="CK744"/>
      <c r="CM744" s="35"/>
      <c r="CN744" s="35"/>
      <c r="CQ744"/>
      <c r="CS744" s="35"/>
      <c r="CT744" s="35"/>
      <c r="CX744"/>
      <c r="CZ744" s="35"/>
      <c r="DD744" s="34"/>
      <c r="DG744" t="s">
        <v>827</v>
      </c>
      <c r="DH744" t="s">
        <v>966</v>
      </c>
      <c r="DI744" t="s">
        <v>286</v>
      </c>
      <c r="DL744" t="s">
        <v>679</v>
      </c>
      <c r="DM744">
        <v>3</v>
      </c>
      <c r="DN744">
        <v>7</v>
      </c>
      <c r="DO744" t="s">
        <v>828</v>
      </c>
      <c r="DQ744" t="s">
        <v>927</v>
      </c>
      <c r="DR744">
        <v>14</v>
      </c>
      <c r="DS744">
        <v>0</v>
      </c>
      <c r="DU744">
        <v>14</v>
      </c>
      <c r="DV744">
        <v>0</v>
      </c>
      <c r="DX744">
        <v>14</v>
      </c>
      <c r="DY744">
        <v>0</v>
      </c>
      <c r="DZ744" t="s">
        <v>246</v>
      </c>
      <c r="EA744" t="s">
        <v>929</v>
      </c>
    </row>
    <row r="745" spans="1:131" x14ac:dyDescent="0.4">
      <c r="A745" s="34">
        <v>43067.305104166669</v>
      </c>
      <c r="B745" s="25">
        <v>42935.680555555555</v>
      </c>
      <c r="D745" s="34"/>
      <c r="E745" s="34" t="s">
        <v>193</v>
      </c>
      <c r="F745" s="34" t="s">
        <v>191</v>
      </c>
      <c r="G745" s="34" t="s">
        <v>100</v>
      </c>
      <c r="H745" t="s">
        <v>279</v>
      </c>
      <c r="I745" t="s">
        <v>243</v>
      </c>
      <c r="J745" t="s">
        <v>712</v>
      </c>
      <c r="K745" t="s">
        <v>713</v>
      </c>
      <c r="L745" t="s">
        <v>711</v>
      </c>
      <c r="M745" s="30">
        <v>3.13</v>
      </c>
      <c r="N745">
        <v>4.75</v>
      </c>
      <c r="P745" s="24" t="str">
        <f>IFERROR(MID(RADataTable[[#This Row],[RATemplate]],1,LEN(RADataTable[[#This Row],[RATemplate]])-8),"RA") &amp; " " &amp; RADataTable[[#This Row],[prop_id0]] &amp; " " &amp; RADataTable[[#This Row],[last0]]</f>
        <v>RA 1751047 Gibson</v>
      </c>
      <c r="T745">
        <v>4</v>
      </c>
      <c r="U745">
        <v>4</v>
      </c>
      <c r="V745" s="34">
        <v>43030.177777777775</v>
      </c>
      <c r="W745">
        <v>1</v>
      </c>
      <c r="X745" s="15" t="str">
        <f>HYPERLINK("https://www.ejacket.nsf.gov/ej/showProposal.do?Continue=Y&amp;ID="&amp;RADataTable[[#This Row],[prop_id0]],"eJ")</f>
        <v>eJ</v>
      </c>
      <c r="Y745" s="15" t="str">
        <f>HYPERLINK("mailto:"&amp;RADataTable[[#This Row],[email]]&amp;"&amp;subject=Your NSF Proposal:  "&amp;RADataTable[[#This Row],[Div]]&amp;" "&amp;RADataTable[[#This Row],[prop_id0]], RADataTable[[#This Row],[email]])</f>
        <v>MATTHEW.GIBSON@UTSA.EDU</v>
      </c>
      <c r="Z745" s="15" t="str">
        <f>HYPERLINK("mailto:"&amp;RADataTable[[#This Row],[allPIemail]]&amp;"&amp;subject=NSF Proposal:  "&amp;RADataTable[[#This Row],[Div]]&amp;" "&amp;RADataTable[[#This Row],[prop_id0]], "PIs@")</f>
        <v>PIs@</v>
      </c>
      <c r="AA745" t="s">
        <v>245</v>
      </c>
      <c r="AB745" t="s">
        <v>679</v>
      </c>
      <c r="AC745" s="30" t="s">
        <v>824</v>
      </c>
      <c r="AD745" t="s">
        <v>825</v>
      </c>
      <c r="AE745" t="s">
        <v>826</v>
      </c>
      <c r="AF745" s="36">
        <v>415497</v>
      </c>
      <c r="AG745" s="36">
        <v>415497</v>
      </c>
      <c r="AH745" s="24"/>
      <c r="AJ745" s="34"/>
      <c r="AK745" t="s">
        <v>923</v>
      </c>
      <c r="AL745" t="s">
        <v>287</v>
      </c>
      <c r="AM745" s="34" t="s">
        <v>925</v>
      </c>
      <c r="AN745" s="34">
        <v>43032</v>
      </c>
      <c r="AO745" s="24">
        <v>13</v>
      </c>
      <c r="AP745" t="s">
        <v>965</v>
      </c>
      <c r="AR745" s="35"/>
      <c r="AS745"/>
      <c r="AT745" s="34"/>
      <c r="AV745" s="34"/>
      <c r="AX745" s="34"/>
      <c r="AY745"/>
      <c r="BA745" s="34"/>
      <c r="BB745"/>
      <c r="BC745" t="s">
        <v>829</v>
      </c>
      <c r="BD745" s="36">
        <v>415497</v>
      </c>
      <c r="BE745" s="36">
        <v>415497</v>
      </c>
      <c r="BF745">
        <v>0</v>
      </c>
      <c r="BG745" s="34">
        <v>43132</v>
      </c>
      <c r="BH745">
        <v>60</v>
      </c>
      <c r="BI745" t="s">
        <v>283</v>
      </c>
      <c r="BJ745" t="s">
        <v>928</v>
      </c>
      <c r="BK745" t="s">
        <v>234</v>
      </c>
      <c r="BL745" t="s">
        <v>194</v>
      </c>
      <c r="BM745" s="8" t="s">
        <v>192</v>
      </c>
      <c r="BN745" t="s">
        <v>189</v>
      </c>
      <c r="BO745" t="s">
        <v>190</v>
      </c>
      <c r="BP745" s="35" t="s">
        <v>726</v>
      </c>
      <c r="BQ745"/>
      <c r="BU745" s="35"/>
      <c r="BV745" s="35"/>
      <c r="BX745"/>
      <c r="CA745" s="35"/>
      <c r="CB745" s="35"/>
      <c r="CC745"/>
      <c r="CG745" s="35"/>
      <c r="CH745" s="35"/>
      <c r="CK745"/>
      <c r="CM745" s="35"/>
      <c r="CN745" s="35"/>
      <c r="CQ745"/>
      <c r="CS745" s="35"/>
      <c r="CT745" s="35"/>
      <c r="CX745"/>
      <c r="CZ745" s="35"/>
      <c r="DD745" s="34"/>
      <c r="DG745" t="s">
        <v>827</v>
      </c>
      <c r="DH745" t="s">
        <v>966</v>
      </c>
      <c r="DI745" t="s">
        <v>286</v>
      </c>
      <c r="DL745" t="s">
        <v>679</v>
      </c>
      <c r="DM745">
        <v>3</v>
      </c>
      <c r="DN745">
        <v>7</v>
      </c>
      <c r="DO745" t="s">
        <v>828</v>
      </c>
      <c r="DQ745" t="s">
        <v>927</v>
      </c>
      <c r="DR745">
        <v>14</v>
      </c>
      <c r="DS745">
        <v>0</v>
      </c>
      <c r="DU745">
        <v>14</v>
      </c>
      <c r="DV745">
        <v>0</v>
      </c>
      <c r="DX745">
        <v>14</v>
      </c>
      <c r="DY745">
        <v>0</v>
      </c>
      <c r="DZ745" t="s">
        <v>246</v>
      </c>
      <c r="EA745" t="s">
        <v>929</v>
      </c>
    </row>
    <row r="746" spans="1:131" x14ac:dyDescent="0.4">
      <c r="A746" s="34">
        <v>43067.305104166669</v>
      </c>
      <c r="B746" s="25">
        <v>42935.680555555555</v>
      </c>
      <c r="D746" s="34"/>
      <c r="E746" s="34" t="s">
        <v>193</v>
      </c>
      <c r="F746" s="34" t="s">
        <v>191</v>
      </c>
      <c r="G746" s="34" t="s">
        <v>100</v>
      </c>
      <c r="H746" t="s">
        <v>279</v>
      </c>
      <c r="I746" t="s">
        <v>243</v>
      </c>
      <c r="J746" t="s">
        <v>712</v>
      </c>
      <c r="K746" t="s">
        <v>713</v>
      </c>
      <c r="L746" t="s">
        <v>711</v>
      </c>
      <c r="M746" s="30">
        <v>3.13</v>
      </c>
      <c r="N746">
        <v>4.75</v>
      </c>
      <c r="P746" s="24" t="str">
        <f>IFERROR(MID(RADataTable[[#This Row],[RATemplate]],1,LEN(RADataTable[[#This Row],[RATemplate]])-8),"RA") &amp; " " &amp; RADataTable[[#This Row],[prop_id0]] &amp; " " &amp; RADataTable[[#This Row],[last0]]</f>
        <v>RA 1751047 Gibson</v>
      </c>
      <c r="T746">
        <v>4</v>
      </c>
      <c r="U746">
        <v>4</v>
      </c>
      <c r="V746" s="34">
        <v>43030.177777777775</v>
      </c>
      <c r="W746">
        <v>1</v>
      </c>
      <c r="X746" s="15" t="str">
        <f>HYPERLINK("https://www.ejacket.nsf.gov/ej/showProposal.do?Continue=Y&amp;ID="&amp;RADataTable[[#This Row],[prop_id0]],"eJ")</f>
        <v>eJ</v>
      </c>
      <c r="Y746" s="15" t="str">
        <f>HYPERLINK("mailto:"&amp;RADataTable[[#This Row],[email]]&amp;"&amp;subject=Your NSF Proposal:  "&amp;RADataTable[[#This Row],[Div]]&amp;" "&amp;RADataTable[[#This Row],[prop_id0]], RADataTable[[#This Row],[email]])</f>
        <v>MATTHEW.GIBSON@UTSA.EDU</v>
      </c>
      <c r="Z746" s="15" t="str">
        <f>HYPERLINK("mailto:"&amp;RADataTable[[#This Row],[allPIemail]]&amp;"&amp;subject=NSF Proposal:  "&amp;RADataTable[[#This Row],[Div]]&amp;" "&amp;RADataTable[[#This Row],[prop_id0]], "PIs@")</f>
        <v>PIs@</v>
      </c>
      <c r="AA746" t="s">
        <v>245</v>
      </c>
      <c r="AB746" t="s">
        <v>679</v>
      </c>
      <c r="AC746" s="30" t="s">
        <v>824</v>
      </c>
      <c r="AD746" t="s">
        <v>825</v>
      </c>
      <c r="AE746" t="s">
        <v>826</v>
      </c>
      <c r="AF746" s="36">
        <v>415497</v>
      </c>
      <c r="AG746" s="36">
        <v>415497</v>
      </c>
      <c r="AH746" s="24"/>
      <c r="AJ746" s="34"/>
      <c r="AK746" t="s">
        <v>923</v>
      </c>
      <c r="AL746" t="s">
        <v>287</v>
      </c>
      <c r="AM746" s="34" t="s">
        <v>925</v>
      </c>
      <c r="AN746" s="34">
        <v>43032</v>
      </c>
      <c r="AO746" s="24">
        <v>13</v>
      </c>
      <c r="AP746" t="s">
        <v>965</v>
      </c>
      <c r="AR746" s="35"/>
      <c r="AS746"/>
      <c r="AT746" s="34"/>
      <c r="AV746" s="34"/>
      <c r="AX746" s="34"/>
      <c r="AY746"/>
      <c r="BA746" s="34"/>
      <c r="BB746"/>
      <c r="BC746" t="s">
        <v>829</v>
      </c>
      <c r="BD746" s="36">
        <v>415497</v>
      </c>
      <c r="BE746" s="36">
        <v>415497</v>
      </c>
      <c r="BF746">
        <v>0</v>
      </c>
      <c r="BG746" s="34">
        <v>43132</v>
      </c>
      <c r="BH746">
        <v>60</v>
      </c>
      <c r="BI746" t="s">
        <v>283</v>
      </c>
      <c r="BJ746" t="s">
        <v>928</v>
      </c>
      <c r="BK746" t="s">
        <v>234</v>
      </c>
      <c r="BL746" t="s">
        <v>194</v>
      </c>
      <c r="BM746" s="8" t="s">
        <v>192</v>
      </c>
      <c r="BN746" t="s">
        <v>189</v>
      </c>
      <c r="BO746" t="s">
        <v>190</v>
      </c>
      <c r="BP746" s="35" t="s">
        <v>726</v>
      </c>
      <c r="BQ746"/>
      <c r="BU746" s="35"/>
      <c r="BV746" s="35"/>
      <c r="BX746"/>
      <c r="CA746" s="35"/>
      <c r="CB746" s="35"/>
      <c r="CC746"/>
      <c r="CG746" s="35"/>
      <c r="CH746" s="35"/>
      <c r="CK746"/>
      <c r="CM746" s="35"/>
      <c r="CN746" s="35"/>
      <c r="CQ746"/>
      <c r="CS746" s="35"/>
      <c r="CT746" s="35"/>
      <c r="CX746"/>
      <c r="CZ746" s="35"/>
      <c r="DD746" s="34"/>
      <c r="DG746" t="s">
        <v>827</v>
      </c>
      <c r="DH746" t="s">
        <v>966</v>
      </c>
      <c r="DI746" t="s">
        <v>286</v>
      </c>
      <c r="DL746" t="s">
        <v>679</v>
      </c>
      <c r="DM746">
        <v>3</v>
      </c>
      <c r="DN746">
        <v>7</v>
      </c>
      <c r="DO746" t="s">
        <v>828</v>
      </c>
      <c r="DQ746" t="s">
        <v>927</v>
      </c>
      <c r="DR746">
        <v>14</v>
      </c>
      <c r="DS746">
        <v>0</v>
      </c>
      <c r="DU746">
        <v>14</v>
      </c>
      <c r="DV746">
        <v>0</v>
      </c>
      <c r="DX746">
        <v>14</v>
      </c>
      <c r="DY746">
        <v>0</v>
      </c>
      <c r="DZ746" t="s">
        <v>246</v>
      </c>
      <c r="EA746" t="s">
        <v>929</v>
      </c>
    </row>
    <row r="747" spans="1:131" x14ac:dyDescent="0.4">
      <c r="A747" s="34">
        <v>43067.305104166669</v>
      </c>
      <c r="B747" s="25">
        <v>42935.851388888892</v>
      </c>
      <c r="D747" s="34"/>
      <c r="E747" s="34" t="s">
        <v>193</v>
      </c>
      <c r="F747" s="34" t="s">
        <v>191</v>
      </c>
      <c r="G747" s="34" t="s">
        <v>100</v>
      </c>
      <c r="H747" t="s">
        <v>279</v>
      </c>
      <c r="I747" t="s">
        <v>243</v>
      </c>
      <c r="J747" t="s">
        <v>712</v>
      </c>
      <c r="K747" t="s">
        <v>729</v>
      </c>
      <c r="L747" t="s">
        <v>711</v>
      </c>
      <c r="M747" s="30">
        <v>3.13</v>
      </c>
      <c r="N747">
        <v>5.5</v>
      </c>
      <c r="P747" s="24" t="str">
        <f>IFERROR(MID(RADataTable[[#This Row],[RATemplate]],1,LEN(RADataTable[[#This Row],[RATemplate]])-8),"RA") &amp; " " &amp; RADataTable[[#This Row],[prop_id0]] &amp; " " &amp; RADataTable[[#This Row],[last0]]</f>
        <v>RA 1751416 Sitchinava</v>
      </c>
      <c r="T747">
        <v>4</v>
      </c>
      <c r="U747">
        <v>4</v>
      </c>
      <c r="V747" s="34">
        <v>43031.703472222223</v>
      </c>
      <c r="W747">
        <v>1</v>
      </c>
      <c r="X747" s="15" t="str">
        <f>HYPERLINK("https://www.ejacket.nsf.gov/ej/showProposal.do?Continue=Y&amp;ID="&amp;RADataTable[[#This Row],[prop_id0]],"eJ")</f>
        <v>eJ</v>
      </c>
      <c r="Y747" s="15" t="str">
        <f>HYPERLINK("mailto:"&amp;RADataTable[[#This Row],[email]]&amp;"&amp;subject=Your NSF Proposal:  "&amp;RADataTable[[#This Row],[Div]]&amp;" "&amp;RADataTable[[#This Row],[prop_id0]], RADataTable[[#This Row],[email]])</f>
        <v>nodari@hawaii.edu</v>
      </c>
      <c r="Z747" s="15" t="str">
        <f>HYPERLINK("mailto:"&amp;RADataTable[[#This Row],[allPIemail]]&amp;"&amp;subject=NSF Proposal:  "&amp;RADataTable[[#This Row],[Div]]&amp;" "&amp;RADataTable[[#This Row],[prop_id0]], "PIs@")</f>
        <v>PIs@</v>
      </c>
      <c r="AA747" t="s">
        <v>245</v>
      </c>
      <c r="AB747" t="s">
        <v>683</v>
      </c>
      <c r="AC747" s="30" t="s">
        <v>848</v>
      </c>
      <c r="AD747" t="s">
        <v>849</v>
      </c>
      <c r="AE747" t="s">
        <v>850</v>
      </c>
      <c r="AF747" s="36">
        <v>549999</v>
      </c>
      <c r="AG747" s="36">
        <v>549999</v>
      </c>
      <c r="AH747" s="24"/>
      <c r="AJ747" s="34"/>
      <c r="AK747" t="s">
        <v>923</v>
      </c>
      <c r="AL747" t="s">
        <v>287</v>
      </c>
      <c r="AM747" s="34" t="s">
        <v>925</v>
      </c>
      <c r="AN747" s="34">
        <v>43032</v>
      </c>
      <c r="AO747" s="24">
        <v>13</v>
      </c>
      <c r="AP747" t="s">
        <v>971</v>
      </c>
      <c r="AR747" s="35"/>
      <c r="AS747"/>
      <c r="AT747" s="34"/>
      <c r="AV747" s="34"/>
      <c r="AX747" s="34"/>
      <c r="AY747"/>
      <c r="BA747" s="34"/>
      <c r="BB747"/>
      <c r="BC747" t="s">
        <v>854</v>
      </c>
      <c r="BD747" s="36">
        <v>549999</v>
      </c>
      <c r="BE747" s="36">
        <v>549999</v>
      </c>
      <c r="BF747">
        <v>0</v>
      </c>
      <c r="BG747" s="34">
        <v>43160</v>
      </c>
      <c r="BH747">
        <v>60</v>
      </c>
      <c r="BI747" t="s">
        <v>283</v>
      </c>
      <c r="BJ747" t="s">
        <v>928</v>
      </c>
      <c r="BK747" t="s">
        <v>934</v>
      </c>
      <c r="BL747" t="s">
        <v>194</v>
      </c>
      <c r="BM747" s="8" t="s">
        <v>192</v>
      </c>
      <c r="BN747" t="s">
        <v>189</v>
      </c>
      <c r="BO747" t="s">
        <v>190</v>
      </c>
      <c r="BP747" s="35" t="s">
        <v>852</v>
      </c>
      <c r="BQ747"/>
      <c r="BU747" s="35"/>
      <c r="BV747" s="35"/>
      <c r="BX747"/>
      <c r="CA747" s="35"/>
      <c r="CB747" s="35"/>
      <c r="CC747"/>
      <c r="CG747" s="35"/>
      <c r="CH747" s="35"/>
      <c r="CK747"/>
      <c r="CM747" s="35"/>
      <c r="CN747" s="35"/>
      <c r="CQ747"/>
      <c r="CS747" s="35"/>
      <c r="CT747" s="35"/>
      <c r="CX747"/>
      <c r="CZ747" s="35"/>
      <c r="DD747" s="34"/>
      <c r="DG747" t="s">
        <v>851</v>
      </c>
      <c r="DH747" t="s">
        <v>972</v>
      </c>
      <c r="DI747" t="s">
        <v>286</v>
      </c>
      <c r="DL747" t="s">
        <v>683</v>
      </c>
      <c r="DM747">
        <v>4</v>
      </c>
      <c r="DN747">
        <v>7</v>
      </c>
      <c r="DO747" t="s">
        <v>853</v>
      </c>
      <c r="DQ747" t="s">
        <v>927</v>
      </c>
      <c r="DR747">
        <v>14</v>
      </c>
      <c r="DS747">
        <v>1</v>
      </c>
      <c r="DU747">
        <v>14</v>
      </c>
      <c r="DV747">
        <v>1</v>
      </c>
      <c r="DX747">
        <v>14</v>
      </c>
      <c r="DY747">
        <v>1</v>
      </c>
      <c r="DZ747" t="s">
        <v>246</v>
      </c>
      <c r="EA747" t="s">
        <v>929</v>
      </c>
    </row>
    <row r="748" spans="1:131" x14ac:dyDescent="0.4">
      <c r="A748" s="34">
        <v>43067.305104166669</v>
      </c>
      <c r="B748" s="25">
        <v>42935.851388888892</v>
      </c>
      <c r="D748" s="34"/>
      <c r="E748" s="34" t="s">
        <v>193</v>
      </c>
      <c r="F748" s="34" t="s">
        <v>191</v>
      </c>
      <c r="G748" s="34" t="s">
        <v>100</v>
      </c>
      <c r="H748" t="s">
        <v>279</v>
      </c>
      <c r="I748" t="s">
        <v>243</v>
      </c>
      <c r="J748" t="s">
        <v>712</v>
      </c>
      <c r="K748" t="s">
        <v>729</v>
      </c>
      <c r="L748" t="s">
        <v>711</v>
      </c>
      <c r="M748" s="30">
        <v>3.13</v>
      </c>
      <c r="N748">
        <v>5.5</v>
      </c>
      <c r="P748" s="24" t="str">
        <f>IFERROR(MID(RADataTable[[#This Row],[RATemplate]],1,LEN(RADataTable[[#This Row],[RATemplate]])-8),"RA") &amp; " " &amp; RADataTable[[#This Row],[prop_id0]] &amp; " " &amp; RADataTable[[#This Row],[last0]]</f>
        <v>RA 1751416 Sitchinava</v>
      </c>
      <c r="T748">
        <v>4</v>
      </c>
      <c r="U748">
        <v>4</v>
      </c>
      <c r="V748" s="34">
        <v>43031.703472222223</v>
      </c>
      <c r="W748">
        <v>1</v>
      </c>
      <c r="X748" s="15" t="str">
        <f>HYPERLINK("https://www.ejacket.nsf.gov/ej/showProposal.do?Continue=Y&amp;ID="&amp;RADataTable[[#This Row],[prop_id0]],"eJ")</f>
        <v>eJ</v>
      </c>
      <c r="Y748" s="15" t="str">
        <f>HYPERLINK("mailto:"&amp;RADataTable[[#This Row],[email]]&amp;"&amp;subject=Your NSF Proposal:  "&amp;RADataTable[[#This Row],[Div]]&amp;" "&amp;RADataTable[[#This Row],[prop_id0]], RADataTable[[#This Row],[email]])</f>
        <v>nodari@hawaii.edu</v>
      </c>
      <c r="Z748" s="15" t="str">
        <f>HYPERLINK("mailto:"&amp;RADataTable[[#This Row],[allPIemail]]&amp;"&amp;subject=NSF Proposal:  "&amp;RADataTable[[#This Row],[Div]]&amp;" "&amp;RADataTable[[#This Row],[prop_id0]], "PIs@")</f>
        <v>PIs@</v>
      </c>
      <c r="AA748" t="s">
        <v>245</v>
      </c>
      <c r="AB748" t="s">
        <v>683</v>
      </c>
      <c r="AC748" s="30" t="s">
        <v>848</v>
      </c>
      <c r="AD748" t="s">
        <v>849</v>
      </c>
      <c r="AE748" t="s">
        <v>850</v>
      </c>
      <c r="AF748" s="36">
        <v>549999</v>
      </c>
      <c r="AG748" s="36">
        <v>549999</v>
      </c>
      <c r="AH748" s="24"/>
      <c r="AJ748" s="34"/>
      <c r="AK748" t="s">
        <v>923</v>
      </c>
      <c r="AL748" t="s">
        <v>287</v>
      </c>
      <c r="AM748" s="34" t="s">
        <v>925</v>
      </c>
      <c r="AN748" s="34">
        <v>43032</v>
      </c>
      <c r="AO748" s="24">
        <v>13</v>
      </c>
      <c r="AP748" t="s">
        <v>971</v>
      </c>
      <c r="AR748" s="35"/>
      <c r="AS748"/>
      <c r="AT748" s="34"/>
      <c r="AV748" s="34"/>
      <c r="AX748" s="34"/>
      <c r="AY748"/>
      <c r="BA748" s="34"/>
      <c r="BB748"/>
      <c r="BC748" t="s">
        <v>854</v>
      </c>
      <c r="BD748" s="36">
        <v>549999</v>
      </c>
      <c r="BE748" s="36">
        <v>549999</v>
      </c>
      <c r="BF748">
        <v>0</v>
      </c>
      <c r="BG748" s="34">
        <v>43160</v>
      </c>
      <c r="BH748">
        <v>60</v>
      </c>
      <c r="BI748" t="s">
        <v>283</v>
      </c>
      <c r="BJ748" t="s">
        <v>928</v>
      </c>
      <c r="BK748" t="s">
        <v>934</v>
      </c>
      <c r="BL748" t="s">
        <v>194</v>
      </c>
      <c r="BM748" s="8" t="s">
        <v>192</v>
      </c>
      <c r="BN748" t="s">
        <v>189</v>
      </c>
      <c r="BO748" t="s">
        <v>190</v>
      </c>
      <c r="BP748" s="35" t="s">
        <v>852</v>
      </c>
      <c r="BQ748"/>
      <c r="BU748" s="35"/>
      <c r="BV748" s="35"/>
      <c r="BX748"/>
      <c r="CA748" s="35"/>
      <c r="CB748" s="35"/>
      <c r="CC748"/>
      <c r="CG748" s="35"/>
      <c r="CH748" s="35"/>
      <c r="CK748"/>
      <c r="CM748" s="35"/>
      <c r="CN748" s="35"/>
      <c r="CQ748"/>
      <c r="CS748" s="35"/>
      <c r="CT748" s="35"/>
      <c r="CX748"/>
      <c r="CZ748" s="35"/>
      <c r="DD748" s="34"/>
      <c r="DG748" t="s">
        <v>851</v>
      </c>
      <c r="DH748" t="s">
        <v>972</v>
      </c>
      <c r="DI748" t="s">
        <v>286</v>
      </c>
      <c r="DL748" t="s">
        <v>683</v>
      </c>
      <c r="DM748">
        <v>4</v>
      </c>
      <c r="DN748">
        <v>7</v>
      </c>
      <c r="DO748" t="s">
        <v>853</v>
      </c>
      <c r="DQ748" t="s">
        <v>927</v>
      </c>
      <c r="DR748">
        <v>14</v>
      </c>
      <c r="DS748">
        <v>1</v>
      </c>
      <c r="DU748">
        <v>14</v>
      </c>
      <c r="DV748">
        <v>1</v>
      </c>
      <c r="DX748">
        <v>14</v>
      </c>
      <c r="DY748">
        <v>1</v>
      </c>
      <c r="DZ748" t="s">
        <v>246</v>
      </c>
      <c r="EA748" t="s">
        <v>929</v>
      </c>
    </row>
    <row r="749" spans="1:131" x14ac:dyDescent="0.4">
      <c r="A749" s="34">
        <v>43067.305104166669</v>
      </c>
      <c r="B749" s="25">
        <v>42935.851388888892</v>
      </c>
      <c r="D749" s="34"/>
      <c r="E749" s="34" t="s">
        <v>193</v>
      </c>
      <c r="F749" s="34" t="s">
        <v>191</v>
      </c>
      <c r="G749" s="34" t="s">
        <v>100</v>
      </c>
      <c r="H749" t="s">
        <v>279</v>
      </c>
      <c r="I749" t="s">
        <v>243</v>
      </c>
      <c r="J749" t="s">
        <v>712</v>
      </c>
      <c r="K749" t="s">
        <v>729</v>
      </c>
      <c r="L749" t="s">
        <v>711</v>
      </c>
      <c r="M749" s="30">
        <v>3.13</v>
      </c>
      <c r="N749">
        <v>5.5</v>
      </c>
      <c r="P749" s="24" t="str">
        <f>IFERROR(MID(RADataTable[[#This Row],[RATemplate]],1,LEN(RADataTable[[#This Row],[RATemplate]])-8),"RA") &amp; " " &amp; RADataTable[[#This Row],[prop_id0]] &amp; " " &amp; RADataTable[[#This Row],[last0]]</f>
        <v>RA 1751416 Sitchinava</v>
      </c>
      <c r="T749">
        <v>4</v>
      </c>
      <c r="U749">
        <v>4</v>
      </c>
      <c r="V749" s="34">
        <v>43031.703472222223</v>
      </c>
      <c r="W749">
        <v>1</v>
      </c>
      <c r="X749" s="15" t="str">
        <f>HYPERLINK("https://www.ejacket.nsf.gov/ej/showProposal.do?Continue=Y&amp;ID="&amp;RADataTable[[#This Row],[prop_id0]],"eJ")</f>
        <v>eJ</v>
      </c>
      <c r="Y749" s="15" t="str">
        <f>HYPERLINK("mailto:"&amp;RADataTable[[#This Row],[email]]&amp;"&amp;subject=Your NSF Proposal:  "&amp;RADataTable[[#This Row],[Div]]&amp;" "&amp;RADataTable[[#This Row],[prop_id0]], RADataTable[[#This Row],[email]])</f>
        <v>nodari@hawaii.edu</v>
      </c>
      <c r="Z749" s="15" t="str">
        <f>HYPERLINK("mailto:"&amp;RADataTable[[#This Row],[allPIemail]]&amp;"&amp;subject=NSF Proposal:  "&amp;RADataTable[[#This Row],[Div]]&amp;" "&amp;RADataTable[[#This Row],[prop_id0]], "PIs@")</f>
        <v>PIs@</v>
      </c>
      <c r="AA749" t="s">
        <v>245</v>
      </c>
      <c r="AB749" t="s">
        <v>683</v>
      </c>
      <c r="AC749" s="30" t="s">
        <v>848</v>
      </c>
      <c r="AD749" t="s">
        <v>849</v>
      </c>
      <c r="AE749" t="s">
        <v>850</v>
      </c>
      <c r="AF749" s="36">
        <v>549999</v>
      </c>
      <c r="AG749" s="36">
        <v>549999</v>
      </c>
      <c r="AH749" s="24"/>
      <c r="AJ749" s="34"/>
      <c r="AK749" t="s">
        <v>923</v>
      </c>
      <c r="AL749" t="s">
        <v>287</v>
      </c>
      <c r="AM749" s="34" t="s">
        <v>925</v>
      </c>
      <c r="AN749" s="34">
        <v>43032</v>
      </c>
      <c r="AO749" s="24">
        <v>13</v>
      </c>
      <c r="AP749" t="s">
        <v>971</v>
      </c>
      <c r="AR749" s="35"/>
      <c r="AS749"/>
      <c r="AT749" s="34"/>
      <c r="AV749" s="34"/>
      <c r="AX749" s="34"/>
      <c r="AY749"/>
      <c r="BA749" s="34"/>
      <c r="BB749"/>
      <c r="BC749" t="s">
        <v>854</v>
      </c>
      <c r="BD749" s="36">
        <v>549999</v>
      </c>
      <c r="BE749" s="36">
        <v>549999</v>
      </c>
      <c r="BF749">
        <v>0</v>
      </c>
      <c r="BG749" s="34">
        <v>43160</v>
      </c>
      <c r="BH749">
        <v>60</v>
      </c>
      <c r="BI749" t="s">
        <v>283</v>
      </c>
      <c r="BJ749" t="s">
        <v>928</v>
      </c>
      <c r="BK749" t="s">
        <v>934</v>
      </c>
      <c r="BL749" t="s">
        <v>194</v>
      </c>
      <c r="BM749" s="8" t="s">
        <v>192</v>
      </c>
      <c r="BN749" t="s">
        <v>189</v>
      </c>
      <c r="BO749" t="s">
        <v>190</v>
      </c>
      <c r="BP749" s="35" t="s">
        <v>852</v>
      </c>
      <c r="BQ749"/>
      <c r="BU749" s="35"/>
      <c r="BV749" s="35"/>
      <c r="BX749"/>
      <c r="CA749" s="35"/>
      <c r="CB749" s="35"/>
      <c r="CC749"/>
      <c r="CG749" s="35"/>
      <c r="CH749" s="35"/>
      <c r="CK749"/>
      <c r="CM749" s="35"/>
      <c r="CN749" s="35"/>
      <c r="CQ749"/>
      <c r="CS749" s="35"/>
      <c r="CT749" s="35"/>
      <c r="CX749"/>
      <c r="CZ749" s="35"/>
      <c r="DD749" s="34"/>
      <c r="DG749" t="s">
        <v>851</v>
      </c>
      <c r="DH749" t="s">
        <v>972</v>
      </c>
      <c r="DI749" t="s">
        <v>286</v>
      </c>
      <c r="DL749" t="s">
        <v>683</v>
      </c>
      <c r="DM749">
        <v>4</v>
      </c>
      <c r="DN749">
        <v>7</v>
      </c>
      <c r="DO749" t="s">
        <v>853</v>
      </c>
      <c r="DQ749" t="s">
        <v>927</v>
      </c>
      <c r="DR749">
        <v>14</v>
      </c>
      <c r="DS749">
        <v>1</v>
      </c>
      <c r="DU749">
        <v>14</v>
      </c>
      <c r="DV749">
        <v>1</v>
      </c>
      <c r="DX749">
        <v>14</v>
      </c>
      <c r="DY749">
        <v>1</v>
      </c>
      <c r="DZ749" t="s">
        <v>246</v>
      </c>
      <c r="EA749" t="s">
        <v>929</v>
      </c>
    </row>
    <row r="750" spans="1:131" x14ac:dyDescent="0.4">
      <c r="A750" s="34">
        <v>43067.305104166669</v>
      </c>
      <c r="B750" s="25">
        <v>42935.851388888892</v>
      </c>
      <c r="D750" s="34"/>
      <c r="E750" s="34" t="s">
        <v>193</v>
      </c>
      <c r="F750" s="34" t="s">
        <v>191</v>
      </c>
      <c r="G750" s="34" t="s">
        <v>100</v>
      </c>
      <c r="H750" t="s">
        <v>279</v>
      </c>
      <c r="I750" t="s">
        <v>243</v>
      </c>
      <c r="J750" t="s">
        <v>712</v>
      </c>
      <c r="K750" t="s">
        <v>729</v>
      </c>
      <c r="L750" t="s">
        <v>711</v>
      </c>
      <c r="M750" s="30">
        <v>3.13</v>
      </c>
      <c r="N750">
        <v>5.5</v>
      </c>
      <c r="P750" s="24" t="str">
        <f>IFERROR(MID(RADataTable[[#This Row],[RATemplate]],1,LEN(RADataTable[[#This Row],[RATemplate]])-8),"RA") &amp; " " &amp; RADataTable[[#This Row],[prop_id0]] &amp; " " &amp; RADataTable[[#This Row],[last0]]</f>
        <v>RA 1751416 Sitchinava</v>
      </c>
      <c r="T750">
        <v>4</v>
      </c>
      <c r="U750">
        <v>4</v>
      </c>
      <c r="V750" s="34">
        <v>43031.703472222223</v>
      </c>
      <c r="W750">
        <v>1</v>
      </c>
      <c r="X750" s="15" t="str">
        <f>HYPERLINK("https://www.ejacket.nsf.gov/ej/showProposal.do?Continue=Y&amp;ID="&amp;RADataTable[[#This Row],[prop_id0]],"eJ")</f>
        <v>eJ</v>
      </c>
      <c r="Y750" s="15" t="str">
        <f>HYPERLINK("mailto:"&amp;RADataTable[[#This Row],[email]]&amp;"&amp;subject=Your NSF Proposal:  "&amp;RADataTable[[#This Row],[Div]]&amp;" "&amp;RADataTable[[#This Row],[prop_id0]], RADataTable[[#This Row],[email]])</f>
        <v>nodari@hawaii.edu</v>
      </c>
      <c r="Z750" s="15" t="str">
        <f>HYPERLINK("mailto:"&amp;RADataTable[[#This Row],[allPIemail]]&amp;"&amp;subject=NSF Proposal:  "&amp;RADataTable[[#This Row],[Div]]&amp;" "&amp;RADataTable[[#This Row],[prop_id0]], "PIs@")</f>
        <v>PIs@</v>
      </c>
      <c r="AA750" t="s">
        <v>245</v>
      </c>
      <c r="AB750" t="s">
        <v>683</v>
      </c>
      <c r="AC750" s="30" t="s">
        <v>848</v>
      </c>
      <c r="AD750" t="s">
        <v>849</v>
      </c>
      <c r="AE750" t="s">
        <v>850</v>
      </c>
      <c r="AF750" s="36">
        <v>549999</v>
      </c>
      <c r="AG750" s="36">
        <v>549999</v>
      </c>
      <c r="AH750" s="24"/>
      <c r="AJ750" s="34"/>
      <c r="AK750" t="s">
        <v>923</v>
      </c>
      <c r="AL750" t="s">
        <v>287</v>
      </c>
      <c r="AM750" s="34" t="s">
        <v>925</v>
      </c>
      <c r="AN750" s="34">
        <v>43032</v>
      </c>
      <c r="AO750" s="24">
        <v>13</v>
      </c>
      <c r="AP750" t="s">
        <v>971</v>
      </c>
      <c r="AR750" s="35"/>
      <c r="AS750"/>
      <c r="AT750" s="34"/>
      <c r="AV750" s="34"/>
      <c r="AX750" s="34"/>
      <c r="AY750"/>
      <c r="BA750" s="34"/>
      <c r="BB750"/>
      <c r="BC750" t="s">
        <v>854</v>
      </c>
      <c r="BD750" s="36">
        <v>549999</v>
      </c>
      <c r="BE750" s="36">
        <v>549999</v>
      </c>
      <c r="BF750">
        <v>0</v>
      </c>
      <c r="BG750" s="34">
        <v>43160</v>
      </c>
      <c r="BH750">
        <v>60</v>
      </c>
      <c r="BI750" t="s">
        <v>283</v>
      </c>
      <c r="BJ750" t="s">
        <v>928</v>
      </c>
      <c r="BK750" t="s">
        <v>934</v>
      </c>
      <c r="BL750" t="s">
        <v>194</v>
      </c>
      <c r="BM750" s="8" t="s">
        <v>192</v>
      </c>
      <c r="BN750" t="s">
        <v>189</v>
      </c>
      <c r="BO750" t="s">
        <v>190</v>
      </c>
      <c r="BP750" s="35" t="s">
        <v>852</v>
      </c>
      <c r="BQ750"/>
      <c r="BU750" s="35"/>
      <c r="BV750" s="35"/>
      <c r="BX750"/>
      <c r="CA750" s="35"/>
      <c r="CB750" s="35"/>
      <c r="CC750"/>
      <c r="CG750" s="35"/>
      <c r="CH750" s="35"/>
      <c r="CK750"/>
      <c r="CM750" s="35"/>
      <c r="CN750" s="35"/>
      <c r="CQ750"/>
      <c r="CS750" s="35"/>
      <c r="CT750" s="35"/>
      <c r="CX750"/>
      <c r="CZ750" s="35"/>
      <c r="DD750" s="34"/>
      <c r="DG750" t="s">
        <v>851</v>
      </c>
      <c r="DH750" t="s">
        <v>972</v>
      </c>
      <c r="DI750" t="s">
        <v>286</v>
      </c>
      <c r="DL750" t="s">
        <v>683</v>
      </c>
      <c r="DM750">
        <v>4</v>
      </c>
      <c r="DN750">
        <v>7</v>
      </c>
      <c r="DO750" t="s">
        <v>853</v>
      </c>
      <c r="DQ750" t="s">
        <v>927</v>
      </c>
      <c r="DR750">
        <v>14</v>
      </c>
      <c r="DS750">
        <v>1</v>
      </c>
      <c r="DU750">
        <v>14</v>
      </c>
      <c r="DV750">
        <v>1</v>
      </c>
      <c r="DX750">
        <v>14</v>
      </c>
      <c r="DY750">
        <v>1</v>
      </c>
      <c r="DZ750" t="s">
        <v>246</v>
      </c>
      <c r="EA750" t="s">
        <v>929</v>
      </c>
    </row>
    <row r="751" spans="1:131" x14ac:dyDescent="0.4">
      <c r="A751" s="34">
        <v>43067.305104166669</v>
      </c>
      <c r="B751" s="25">
        <v>42935.851388888892</v>
      </c>
      <c r="D751" s="34"/>
      <c r="E751" s="34" t="s">
        <v>193</v>
      </c>
      <c r="F751" s="34" t="s">
        <v>191</v>
      </c>
      <c r="G751" s="34" t="s">
        <v>100</v>
      </c>
      <c r="H751" t="s">
        <v>279</v>
      </c>
      <c r="I751" t="s">
        <v>243</v>
      </c>
      <c r="J751" t="s">
        <v>712</v>
      </c>
      <c r="K751" t="s">
        <v>729</v>
      </c>
      <c r="L751" t="s">
        <v>711</v>
      </c>
      <c r="M751" s="30">
        <v>3.13</v>
      </c>
      <c r="N751">
        <v>5.5</v>
      </c>
      <c r="P751" s="24" t="str">
        <f>IFERROR(MID(RADataTable[[#This Row],[RATemplate]],1,LEN(RADataTable[[#This Row],[RATemplate]])-8),"RA") &amp; " " &amp; RADataTable[[#This Row],[prop_id0]] &amp; " " &amp; RADataTable[[#This Row],[last0]]</f>
        <v>RA 1751416 Sitchinava</v>
      </c>
      <c r="T751">
        <v>4</v>
      </c>
      <c r="U751">
        <v>4</v>
      </c>
      <c r="V751" s="34">
        <v>43031.703472222223</v>
      </c>
      <c r="W751">
        <v>1</v>
      </c>
      <c r="X751" s="15" t="str">
        <f>HYPERLINK("https://www.ejacket.nsf.gov/ej/showProposal.do?Continue=Y&amp;ID="&amp;RADataTable[[#This Row],[prop_id0]],"eJ")</f>
        <v>eJ</v>
      </c>
      <c r="Y751" s="15" t="str">
        <f>HYPERLINK("mailto:"&amp;RADataTable[[#This Row],[email]]&amp;"&amp;subject=Your NSF Proposal:  "&amp;RADataTable[[#This Row],[Div]]&amp;" "&amp;RADataTable[[#This Row],[prop_id0]], RADataTable[[#This Row],[email]])</f>
        <v>nodari@hawaii.edu</v>
      </c>
      <c r="Z751" s="15" t="str">
        <f>HYPERLINK("mailto:"&amp;RADataTable[[#This Row],[allPIemail]]&amp;"&amp;subject=NSF Proposal:  "&amp;RADataTable[[#This Row],[Div]]&amp;" "&amp;RADataTable[[#This Row],[prop_id0]], "PIs@")</f>
        <v>PIs@</v>
      </c>
      <c r="AA751" t="s">
        <v>245</v>
      </c>
      <c r="AB751" t="s">
        <v>683</v>
      </c>
      <c r="AC751" s="30" t="s">
        <v>848</v>
      </c>
      <c r="AD751" t="s">
        <v>849</v>
      </c>
      <c r="AE751" t="s">
        <v>850</v>
      </c>
      <c r="AF751" s="36">
        <v>549999</v>
      </c>
      <c r="AG751" s="36">
        <v>549999</v>
      </c>
      <c r="AH751" s="24"/>
      <c r="AJ751" s="34"/>
      <c r="AK751" t="s">
        <v>923</v>
      </c>
      <c r="AL751" t="s">
        <v>287</v>
      </c>
      <c r="AM751" s="34" t="s">
        <v>925</v>
      </c>
      <c r="AN751" s="34">
        <v>43032</v>
      </c>
      <c r="AO751" s="24">
        <v>13</v>
      </c>
      <c r="AP751" t="s">
        <v>971</v>
      </c>
      <c r="AR751" s="35"/>
      <c r="AS751"/>
      <c r="AT751" s="34"/>
      <c r="AV751" s="34"/>
      <c r="AX751" s="34"/>
      <c r="AY751"/>
      <c r="BA751" s="34"/>
      <c r="BB751"/>
      <c r="BC751" t="s">
        <v>854</v>
      </c>
      <c r="BD751" s="36">
        <v>549999</v>
      </c>
      <c r="BE751" s="36">
        <v>549999</v>
      </c>
      <c r="BF751">
        <v>0</v>
      </c>
      <c r="BG751" s="34">
        <v>43160</v>
      </c>
      <c r="BH751">
        <v>60</v>
      </c>
      <c r="BI751" t="s">
        <v>283</v>
      </c>
      <c r="BJ751" t="s">
        <v>928</v>
      </c>
      <c r="BK751" t="s">
        <v>934</v>
      </c>
      <c r="BL751" t="s">
        <v>194</v>
      </c>
      <c r="BM751" s="8" t="s">
        <v>192</v>
      </c>
      <c r="BN751" t="s">
        <v>189</v>
      </c>
      <c r="BO751" t="s">
        <v>190</v>
      </c>
      <c r="BP751" s="35" t="s">
        <v>852</v>
      </c>
      <c r="BQ751"/>
      <c r="BU751" s="35"/>
      <c r="BV751" s="35"/>
      <c r="BX751"/>
      <c r="CA751" s="35"/>
      <c r="CB751" s="35"/>
      <c r="CC751"/>
      <c r="CG751" s="35"/>
      <c r="CH751" s="35"/>
      <c r="CK751"/>
      <c r="CM751" s="35"/>
      <c r="CN751" s="35"/>
      <c r="CQ751"/>
      <c r="CS751" s="35"/>
      <c r="CT751" s="35"/>
      <c r="CX751"/>
      <c r="CZ751" s="35"/>
      <c r="DD751" s="34"/>
      <c r="DG751" t="s">
        <v>851</v>
      </c>
      <c r="DH751" t="s">
        <v>972</v>
      </c>
      <c r="DI751" t="s">
        <v>286</v>
      </c>
      <c r="DL751" t="s">
        <v>683</v>
      </c>
      <c r="DM751">
        <v>4</v>
      </c>
      <c r="DN751">
        <v>7</v>
      </c>
      <c r="DO751" t="s">
        <v>853</v>
      </c>
      <c r="DQ751" t="s">
        <v>927</v>
      </c>
      <c r="DR751">
        <v>14</v>
      </c>
      <c r="DS751">
        <v>1</v>
      </c>
      <c r="DU751">
        <v>14</v>
      </c>
      <c r="DV751">
        <v>1</v>
      </c>
      <c r="DX751">
        <v>14</v>
      </c>
      <c r="DY751">
        <v>1</v>
      </c>
      <c r="DZ751" t="s">
        <v>246</v>
      </c>
      <c r="EA751" t="s">
        <v>929</v>
      </c>
    </row>
    <row r="752" spans="1:131" x14ac:dyDescent="0.4">
      <c r="A752" s="34">
        <v>43067.305104166669</v>
      </c>
      <c r="B752" s="25">
        <v>42935.851388888892</v>
      </c>
      <c r="D752" s="34"/>
      <c r="E752" s="34" t="s">
        <v>193</v>
      </c>
      <c r="F752" s="34" t="s">
        <v>191</v>
      </c>
      <c r="G752" s="34" t="s">
        <v>100</v>
      </c>
      <c r="H752" t="s">
        <v>279</v>
      </c>
      <c r="I752" t="s">
        <v>243</v>
      </c>
      <c r="J752" t="s">
        <v>712</v>
      </c>
      <c r="K752" t="s">
        <v>729</v>
      </c>
      <c r="L752" t="s">
        <v>711</v>
      </c>
      <c r="M752" s="30">
        <v>3.13</v>
      </c>
      <c r="N752">
        <v>5.5</v>
      </c>
      <c r="P752" s="24" t="str">
        <f>IFERROR(MID(RADataTable[[#This Row],[RATemplate]],1,LEN(RADataTable[[#This Row],[RATemplate]])-8),"RA") &amp; " " &amp; RADataTable[[#This Row],[prop_id0]] &amp; " " &amp; RADataTable[[#This Row],[last0]]</f>
        <v>RA 1751416 Sitchinava</v>
      </c>
      <c r="T752">
        <v>4</v>
      </c>
      <c r="U752">
        <v>4</v>
      </c>
      <c r="V752" s="34">
        <v>43031.703472222223</v>
      </c>
      <c r="W752">
        <v>1</v>
      </c>
      <c r="X752" s="15" t="str">
        <f>HYPERLINK("https://www.ejacket.nsf.gov/ej/showProposal.do?Continue=Y&amp;ID="&amp;RADataTable[[#This Row],[prop_id0]],"eJ")</f>
        <v>eJ</v>
      </c>
      <c r="Y752" s="15" t="str">
        <f>HYPERLINK("mailto:"&amp;RADataTable[[#This Row],[email]]&amp;"&amp;subject=Your NSF Proposal:  "&amp;RADataTable[[#This Row],[Div]]&amp;" "&amp;RADataTable[[#This Row],[prop_id0]], RADataTable[[#This Row],[email]])</f>
        <v>nodari@hawaii.edu</v>
      </c>
      <c r="Z752" s="15" t="str">
        <f>HYPERLINK("mailto:"&amp;RADataTable[[#This Row],[allPIemail]]&amp;"&amp;subject=NSF Proposal:  "&amp;RADataTable[[#This Row],[Div]]&amp;" "&amp;RADataTable[[#This Row],[prop_id0]], "PIs@")</f>
        <v>PIs@</v>
      </c>
      <c r="AA752" t="s">
        <v>245</v>
      </c>
      <c r="AB752" t="s">
        <v>683</v>
      </c>
      <c r="AC752" s="30" t="s">
        <v>848</v>
      </c>
      <c r="AD752" t="s">
        <v>849</v>
      </c>
      <c r="AE752" t="s">
        <v>850</v>
      </c>
      <c r="AF752" s="36">
        <v>549999</v>
      </c>
      <c r="AG752" s="36">
        <v>549999</v>
      </c>
      <c r="AH752" s="24"/>
      <c r="AJ752" s="34"/>
      <c r="AK752" t="s">
        <v>923</v>
      </c>
      <c r="AL752" t="s">
        <v>287</v>
      </c>
      <c r="AM752" s="34" t="s">
        <v>925</v>
      </c>
      <c r="AN752" s="34">
        <v>43032</v>
      </c>
      <c r="AO752" s="24">
        <v>13</v>
      </c>
      <c r="AP752" t="s">
        <v>971</v>
      </c>
      <c r="AR752" s="35"/>
      <c r="AS752"/>
      <c r="AT752" s="34"/>
      <c r="AV752" s="34"/>
      <c r="AX752" s="34"/>
      <c r="AY752"/>
      <c r="BA752" s="34"/>
      <c r="BB752"/>
      <c r="BC752" t="s">
        <v>854</v>
      </c>
      <c r="BD752" s="36">
        <v>549999</v>
      </c>
      <c r="BE752" s="36">
        <v>549999</v>
      </c>
      <c r="BF752">
        <v>0</v>
      </c>
      <c r="BG752" s="34">
        <v>43160</v>
      </c>
      <c r="BH752">
        <v>60</v>
      </c>
      <c r="BI752" t="s">
        <v>283</v>
      </c>
      <c r="BJ752" t="s">
        <v>928</v>
      </c>
      <c r="BK752" t="s">
        <v>934</v>
      </c>
      <c r="BL752" t="s">
        <v>194</v>
      </c>
      <c r="BM752" s="8" t="s">
        <v>192</v>
      </c>
      <c r="BN752" t="s">
        <v>189</v>
      </c>
      <c r="BO752" t="s">
        <v>190</v>
      </c>
      <c r="BP752" s="35" t="s">
        <v>852</v>
      </c>
      <c r="BQ752"/>
      <c r="BU752" s="35"/>
      <c r="BV752" s="35"/>
      <c r="BX752"/>
      <c r="CA752" s="35"/>
      <c r="CB752" s="35"/>
      <c r="CC752"/>
      <c r="CG752" s="35"/>
      <c r="CH752" s="35"/>
      <c r="CK752"/>
      <c r="CM752" s="35"/>
      <c r="CN752" s="35"/>
      <c r="CQ752"/>
      <c r="CS752" s="35"/>
      <c r="CT752" s="35"/>
      <c r="CX752"/>
      <c r="CZ752" s="35"/>
      <c r="DD752" s="34"/>
      <c r="DG752" t="s">
        <v>851</v>
      </c>
      <c r="DH752" t="s">
        <v>972</v>
      </c>
      <c r="DI752" t="s">
        <v>286</v>
      </c>
      <c r="DL752" t="s">
        <v>683</v>
      </c>
      <c r="DM752">
        <v>4</v>
      </c>
      <c r="DN752">
        <v>7</v>
      </c>
      <c r="DO752" t="s">
        <v>853</v>
      </c>
      <c r="DQ752" t="s">
        <v>927</v>
      </c>
      <c r="DR752">
        <v>14</v>
      </c>
      <c r="DS752">
        <v>1</v>
      </c>
      <c r="DU752">
        <v>14</v>
      </c>
      <c r="DV752">
        <v>1</v>
      </c>
      <c r="DX752">
        <v>14</v>
      </c>
      <c r="DY752">
        <v>1</v>
      </c>
      <c r="DZ752" t="s">
        <v>246</v>
      </c>
      <c r="EA752" t="s">
        <v>929</v>
      </c>
    </row>
    <row r="753" spans="1:131" x14ac:dyDescent="0.4">
      <c r="A753" s="34">
        <v>43067.305104166669</v>
      </c>
      <c r="B753" s="25">
        <v>42935.851388888892</v>
      </c>
      <c r="D753" s="34"/>
      <c r="E753" s="34" t="s">
        <v>193</v>
      </c>
      <c r="F753" s="34" t="s">
        <v>191</v>
      </c>
      <c r="G753" s="34" t="s">
        <v>100</v>
      </c>
      <c r="H753" t="s">
        <v>279</v>
      </c>
      <c r="I753" t="s">
        <v>243</v>
      </c>
      <c r="J753" t="s">
        <v>712</v>
      </c>
      <c r="K753" t="s">
        <v>729</v>
      </c>
      <c r="L753" t="s">
        <v>711</v>
      </c>
      <c r="M753" s="30">
        <v>3.13</v>
      </c>
      <c r="N753">
        <v>5.5</v>
      </c>
      <c r="P753" s="24" t="str">
        <f>IFERROR(MID(RADataTable[[#This Row],[RATemplate]],1,LEN(RADataTable[[#This Row],[RATemplate]])-8),"RA") &amp; " " &amp; RADataTable[[#This Row],[prop_id0]] &amp; " " &amp; RADataTable[[#This Row],[last0]]</f>
        <v>RA 1751416 Sitchinava</v>
      </c>
      <c r="T753">
        <v>4</v>
      </c>
      <c r="U753">
        <v>4</v>
      </c>
      <c r="V753" s="34">
        <v>43031.703472222223</v>
      </c>
      <c r="W753">
        <v>1</v>
      </c>
      <c r="X753" s="15" t="str">
        <f>HYPERLINK("https://www.ejacket.nsf.gov/ej/showProposal.do?Continue=Y&amp;ID="&amp;RADataTable[[#This Row],[prop_id0]],"eJ")</f>
        <v>eJ</v>
      </c>
      <c r="Y753" s="15" t="str">
        <f>HYPERLINK("mailto:"&amp;RADataTable[[#This Row],[email]]&amp;"&amp;subject=Your NSF Proposal:  "&amp;RADataTable[[#This Row],[Div]]&amp;" "&amp;RADataTable[[#This Row],[prop_id0]], RADataTable[[#This Row],[email]])</f>
        <v>nodari@hawaii.edu</v>
      </c>
      <c r="Z753" s="15" t="str">
        <f>HYPERLINK("mailto:"&amp;RADataTable[[#This Row],[allPIemail]]&amp;"&amp;subject=NSF Proposal:  "&amp;RADataTable[[#This Row],[Div]]&amp;" "&amp;RADataTable[[#This Row],[prop_id0]], "PIs@")</f>
        <v>PIs@</v>
      </c>
      <c r="AA753" t="s">
        <v>245</v>
      </c>
      <c r="AB753" t="s">
        <v>683</v>
      </c>
      <c r="AC753" s="30" t="s">
        <v>848</v>
      </c>
      <c r="AD753" t="s">
        <v>849</v>
      </c>
      <c r="AE753" t="s">
        <v>850</v>
      </c>
      <c r="AF753" s="36">
        <v>549999</v>
      </c>
      <c r="AG753" s="36">
        <v>549999</v>
      </c>
      <c r="AH753" s="24"/>
      <c r="AJ753" s="34"/>
      <c r="AK753" t="s">
        <v>923</v>
      </c>
      <c r="AL753" t="s">
        <v>287</v>
      </c>
      <c r="AM753" s="34" t="s">
        <v>925</v>
      </c>
      <c r="AN753" s="34">
        <v>43032</v>
      </c>
      <c r="AO753" s="24">
        <v>13</v>
      </c>
      <c r="AP753" t="s">
        <v>971</v>
      </c>
      <c r="AR753" s="35"/>
      <c r="AS753"/>
      <c r="AT753" s="34"/>
      <c r="AV753" s="34"/>
      <c r="AX753" s="34"/>
      <c r="AY753"/>
      <c r="BA753" s="34"/>
      <c r="BB753"/>
      <c r="BC753" t="s">
        <v>854</v>
      </c>
      <c r="BD753" s="36">
        <v>549999</v>
      </c>
      <c r="BE753" s="36">
        <v>549999</v>
      </c>
      <c r="BF753">
        <v>0</v>
      </c>
      <c r="BG753" s="34">
        <v>43160</v>
      </c>
      <c r="BH753">
        <v>60</v>
      </c>
      <c r="BI753" t="s">
        <v>283</v>
      </c>
      <c r="BJ753" t="s">
        <v>928</v>
      </c>
      <c r="BK753" t="s">
        <v>934</v>
      </c>
      <c r="BL753" t="s">
        <v>194</v>
      </c>
      <c r="BM753" s="8" t="s">
        <v>192</v>
      </c>
      <c r="BN753" t="s">
        <v>189</v>
      </c>
      <c r="BO753" t="s">
        <v>190</v>
      </c>
      <c r="BP753" s="35" t="s">
        <v>852</v>
      </c>
      <c r="BQ753"/>
      <c r="BU753" s="35"/>
      <c r="BV753" s="35"/>
      <c r="BX753"/>
      <c r="CA753" s="35"/>
      <c r="CB753" s="35"/>
      <c r="CC753"/>
      <c r="CG753" s="35"/>
      <c r="CH753" s="35"/>
      <c r="CK753"/>
      <c r="CM753" s="35"/>
      <c r="CN753" s="35"/>
      <c r="CQ753"/>
      <c r="CS753" s="35"/>
      <c r="CT753" s="35"/>
      <c r="CX753"/>
      <c r="CZ753" s="35"/>
      <c r="DD753" s="34"/>
      <c r="DG753" t="s">
        <v>851</v>
      </c>
      <c r="DH753" t="s">
        <v>972</v>
      </c>
      <c r="DI753" t="s">
        <v>286</v>
      </c>
      <c r="DL753" t="s">
        <v>683</v>
      </c>
      <c r="DM753">
        <v>4</v>
      </c>
      <c r="DN753">
        <v>7</v>
      </c>
      <c r="DO753" t="s">
        <v>853</v>
      </c>
      <c r="DQ753" t="s">
        <v>927</v>
      </c>
      <c r="DR753">
        <v>14</v>
      </c>
      <c r="DS753">
        <v>1</v>
      </c>
      <c r="DU753">
        <v>14</v>
      </c>
      <c r="DV753">
        <v>1</v>
      </c>
      <c r="DX753">
        <v>14</v>
      </c>
      <c r="DY753">
        <v>1</v>
      </c>
      <c r="DZ753" t="s">
        <v>246</v>
      </c>
      <c r="EA753" t="s">
        <v>929</v>
      </c>
    </row>
    <row r="754" spans="1:131" x14ac:dyDescent="0.4">
      <c r="A754" s="34">
        <v>43067.305104166669</v>
      </c>
      <c r="B754" s="25">
        <v>42935.851388888892</v>
      </c>
      <c r="D754" s="34"/>
      <c r="E754" s="34" t="s">
        <v>193</v>
      </c>
      <c r="F754" s="34" t="s">
        <v>191</v>
      </c>
      <c r="G754" s="34" t="s">
        <v>100</v>
      </c>
      <c r="H754" t="s">
        <v>279</v>
      </c>
      <c r="I754" t="s">
        <v>243</v>
      </c>
      <c r="J754" t="s">
        <v>712</v>
      </c>
      <c r="K754" t="s">
        <v>729</v>
      </c>
      <c r="L754" t="s">
        <v>711</v>
      </c>
      <c r="M754" s="30">
        <v>3.13</v>
      </c>
      <c r="N754">
        <v>5.5</v>
      </c>
      <c r="P754" s="24" t="str">
        <f>IFERROR(MID(RADataTable[[#This Row],[RATemplate]],1,LEN(RADataTable[[#This Row],[RATemplate]])-8),"RA") &amp; " " &amp; RADataTable[[#This Row],[prop_id0]] &amp; " " &amp; RADataTable[[#This Row],[last0]]</f>
        <v>RA 1751416 Sitchinava</v>
      </c>
      <c r="T754">
        <v>4</v>
      </c>
      <c r="U754">
        <v>4</v>
      </c>
      <c r="V754" s="34">
        <v>43031.703472222223</v>
      </c>
      <c r="W754">
        <v>1</v>
      </c>
      <c r="X754" s="15" t="str">
        <f>HYPERLINK("https://www.ejacket.nsf.gov/ej/showProposal.do?Continue=Y&amp;ID="&amp;RADataTable[[#This Row],[prop_id0]],"eJ")</f>
        <v>eJ</v>
      </c>
      <c r="Y754" s="15" t="str">
        <f>HYPERLINK("mailto:"&amp;RADataTable[[#This Row],[email]]&amp;"&amp;subject=Your NSF Proposal:  "&amp;RADataTable[[#This Row],[Div]]&amp;" "&amp;RADataTable[[#This Row],[prop_id0]], RADataTable[[#This Row],[email]])</f>
        <v>nodari@hawaii.edu</v>
      </c>
      <c r="Z754" s="15" t="str">
        <f>HYPERLINK("mailto:"&amp;RADataTable[[#This Row],[allPIemail]]&amp;"&amp;subject=NSF Proposal:  "&amp;RADataTable[[#This Row],[Div]]&amp;" "&amp;RADataTable[[#This Row],[prop_id0]], "PIs@")</f>
        <v>PIs@</v>
      </c>
      <c r="AA754" t="s">
        <v>245</v>
      </c>
      <c r="AB754" t="s">
        <v>683</v>
      </c>
      <c r="AC754" s="30" t="s">
        <v>848</v>
      </c>
      <c r="AD754" t="s">
        <v>849</v>
      </c>
      <c r="AE754" t="s">
        <v>850</v>
      </c>
      <c r="AF754" s="36">
        <v>549999</v>
      </c>
      <c r="AG754" s="36">
        <v>549999</v>
      </c>
      <c r="AH754" s="24"/>
      <c r="AJ754" s="34"/>
      <c r="AK754" t="s">
        <v>923</v>
      </c>
      <c r="AL754" t="s">
        <v>287</v>
      </c>
      <c r="AM754" s="34" t="s">
        <v>925</v>
      </c>
      <c r="AN754" s="34">
        <v>43032</v>
      </c>
      <c r="AO754" s="24">
        <v>13</v>
      </c>
      <c r="AP754" t="s">
        <v>971</v>
      </c>
      <c r="AR754" s="35"/>
      <c r="AS754"/>
      <c r="AT754" s="34"/>
      <c r="AV754" s="34"/>
      <c r="AX754" s="34"/>
      <c r="AY754"/>
      <c r="BA754" s="34"/>
      <c r="BB754"/>
      <c r="BC754" t="s">
        <v>854</v>
      </c>
      <c r="BD754" s="36">
        <v>549999</v>
      </c>
      <c r="BE754" s="36">
        <v>549999</v>
      </c>
      <c r="BF754">
        <v>0</v>
      </c>
      <c r="BG754" s="34">
        <v>43160</v>
      </c>
      <c r="BH754">
        <v>60</v>
      </c>
      <c r="BI754" t="s">
        <v>283</v>
      </c>
      <c r="BJ754" t="s">
        <v>928</v>
      </c>
      <c r="BK754" t="s">
        <v>934</v>
      </c>
      <c r="BL754" t="s">
        <v>194</v>
      </c>
      <c r="BM754" s="8" t="s">
        <v>192</v>
      </c>
      <c r="BN754" t="s">
        <v>189</v>
      </c>
      <c r="BO754" t="s">
        <v>190</v>
      </c>
      <c r="BP754" s="35" t="s">
        <v>852</v>
      </c>
      <c r="BQ754"/>
      <c r="BU754" s="35"/>
      <c r="BV754" s="35"/>
      <c r="BX754"/>
      <c r="CA754" s="35"/>
      <c r="CB754" s="35"/>
      <c r="CC754"/>
      <c r="CG754" s="35"/>
      <c r="CH754" s="35"/>
      <c r="CK754"/>
      <c r="CM754" s="35"/>
      <c r="CN754" s="35"/>
      <c r="CQ754"/>
      <c r="CS754" s="35"/>
      <c r="CT754" s="35"/>
      <c r="CX754"/>
      <c r="CZ754" s="35"/>
      <c r="DD754" s="34"/>
      <c r="DG754" t="s">
        <v>851</v>
      </c>
      <c r="DH754" t="s">
        <v>972</v>
      </c>
      <c r="DI754" t="s">
        <v>286</v>
      </c>
      <c r="DL754" t="s">
        <v>683</v>
      </c>
      <c r="DM754">
        <v>4</v>
      </c>
      <c r="DN754">
        <v>7</v>
      </c>
      <c r="DO754" t="s">
        <v>853</v>
      </c>
      <c r="DQ754" t="s">
        <v>927</v>
      </c>
      <c r="DR754">
        <v>14</v>
      </c>
      <c r="DS754">
        <v>1</v>
      </c>
      <c r="DU754">
        <v>14</v>
      </c>
      <c r="DV754">
        <v>1</v>
      </c>
      <c r="DX754">
        <v>14</v>
      </c>
      <c r="DY754">
        <v>1</v>
      </c>
      <c r="DZ754" t="s">
        <v>246</v>
      </c>
      <c r="EA754" t="s">
        <v>929</v>
      </c>
    </row>
    <row r="755" spans="1:131" x14ac:dyDescent="0.4">
      <c r="A755" s="34">
        <v>43067.305104166669</v>
      </c>
      <c r="B755" s="25">
        <v>42935.851388888892</v>
      </c>
      <c r="D755" s="34"/>
      <c r="E755" s="34" t="s">
        <v>193</v>
      </c>
      <c r="F755" s="34" t="s">
        <v>191</v>
      </c>
      <c r="G755" s="34" t="s">
        <v>100</v>
      </c>
      <c r="H755" t="s">
        <v>279</v>
      </c>
      <c r="I755" t="s">
        <v>243</v>
      </c>
      <c r="J755" t="s">
        <v>712</v>
      </c>
      <c r="K755" t="s">
        <v>729</v>
      </c>
      <c r="L755" t="s">
        <v>711</v>
      </c>
      <c r="M755" s="30">
        <v>3.13</v>
      </c>
      <c r="N755">
        <v>5.5</v>
      </c>
      <c r="P755" s="24" t="str">
        <f>IFERROR(MID(RADataTable[[#This Row],[RATemplate]],1,LEN(RADataTable[[#This Row],[RATemplate]])-8),"RA") &amp; " " &amp; RADataTable[[#This Row],[prop_id0]] &amp; " " &amp; RADataTable[[#This Row],[last0]]</f>
        <v>RA 1751416 Sitchinava</v>
      </c>
      <c r="T755">
        <v>4</v>
      </c>
      <c r="U755">
        <v>4</v>
      </c>
      <c r="V755" s="34">
        <v>43031.703472222223</v>
      </c>
      <c r="W755">
        <v>1</v>
      </c>
      <c r="X755" s="15" t="str">
        <f>HYPERLINK("https://www.ejacket.nsf.gov/ej/showProposal.do?Continue=Y&amp;ID="&amp;RADataTable[[#This Row],[prop_id0]],"eJ")</f>
        <v>eJ</v>
      </c>
      <c r="Y755" s="15" t="str">
        <f>HYPERLINK("mailto:"&amp;RADataTable[[#This Row],[email]]&amp;"&amp;subject=Your NSF Proposal:  "&amp;RADataTable[[#This Row],[Div]]&amp;" "&amp;RADataTable[[#This Row],[prop_id0]], RADataTable[[#This Row],[email]])</f>
        <v>nodari@hawaii.edu</v>
      </c>
      <c r="Z755" s="15" t="str">
        <f>HYPERLINK("mailto:"&amp;RADataTable[[#This Row],[allPIemail]]&amp;"&amp;subject=NSF Proposal:  "&amp;RADataTable[[#This Row],[Div]]&amp;" "&amp;RADataTable[[#This Row],[prop_id0]], "PIs@")</f>
        <v>PIs@</v>
      </c>
      <c r="AA755" t="s">
        <v>245</v>
      </c>
      <c r="AB755" t="s">
        <v>683</v>
      </c>
      <c r="AC755" s="30" t="s">
        <v>848</v>
      </c>
      <c r="AD755" t="s">
        <v>849</v>
      </c>
      <c r="AE755" t="s">
        <v>850</v>
      </c>
      <c r="AF755" s="36">
        <v>549999</v>
      </c>
      <c r="AG755" s="36">
        <v>549999</v>
      </c>
      <c r="AH755" s="24"/>
      <c r="AJ755" s="34"/>
      <c r="AK755" t="s">
        <v>923</v>
      </c>
      <c r="AL755" t="s">
        <v>287</v>
      </c>
      <c r="AM755" s="34" t="s">
        <v>925</v>
      </c>
      <c r="AN755" s="34">
        <v>43032</v>
      </c>
      <c r="AO755" s="24">
        <v>13</v>
      </c>
      <c r="AP755" t="s">
        <v>971</v>
      </c>
      <c r="AR755" s="35"/>
      <c r="AS755"/>
      <c r="AT755" s="34"/>
      <c r="AV755" s="34"/>
      <c r="AX755" s="34"/>
      <c r="AY755"/>
      <c r="BA755" s="34"/>
      <c r="BB755"/>
      <c r="BC755" t="s">
        <v>854</v>
      </c>
      <c r="BD755" s="36">
        <v>549999</v>
      </c>
      <c r="BE755" s="36">
        <v>549999</v>
      </c>
      <c r="BF755">
        <v>0</v>
      </c>
      <c r="BG755" s="34">
        <v>43160</v>
      </c>
      <c r="BH755">
        <v>60</v>
      </c>
      <c r="BI755" t="s">
        <v>283</v>
      </c>
      <c r="BJ755" t="s">
        <v>928</v>
      </c>
      <c r="BK755" t="s">
        <v>934</v>
      </c>
      <c r="BL755" t="s">
        <v>194</v>
      </c>
      <c r="BM755" s="8" t="s">
        <v>192</v>
      </c>
      <c r="BN755" t="s">
        <v>189</v>
      </c>
      <c r="BO755" t="s">
        <v>190</v>
      </c>
      <c r="BP755" s="35" t="s">
        <v>852</v>
      </c>
      <c r="BQ755"/>
      <c r="BU755" s="35"/>
      <c r="BV755" s="35"/>
      <c r="BX755"/>
      <c r="CA755" s="35"/>
      <c r="CB755" s="35"/>
      <c r="CC755"/>
      <c r="CG755" s="35"/>
      <c r="CH755" s="35"/>
      <c r="CK755"/>
      <c r="CM755" s="35"/>
      <c r="CN755" s="35"/>
      <c r="CQ755"/>
      <c r="CS755" s="35"/>
      <c r="CT755" s="35"/>
      <c r="CX755"/>
      <c r="CZ755" s="35"/>
      <c r="DD755" s="34"/>
      <c r="DG755" t="s">
        <v>851</v>
      </c>
      <c r="DH755" t="s">
        <v>972</v>
      </c>
      <c r="DI755" t="s">
        <v>286</v>
      </c>
      <c r="DL755" t="s">
        <v>683</v>
      </c>
      <c r="DM755">
        <v>4</v>
      </c>
      <c r="DN755">
        <v>7</v>
      </c>
      <c r="DO755" t="s">
        <v>853</v>
      </c>
      <c r="DQ755" t="s">
        <v>927</v>
      </c>
      <c r="DR755">
        <v>14</v>
      </c>
      <c r="DS755">
        <v>1</v>
      </c>
      <c r="DU755">
        <v>14</v>
      </c>
      <c r="DV755">
        <v>1</v>
      </c>
      <c r="DX755">
        <v>14</v>
      </c>
      <c r="DY755">
        <v>1</v>
      </c>
      <c r="DZ755" t="s">
        <v>246</v>
      </c>
      <c r="EA755" t="s">
        <v>929</v>
      </c>
    </row>
    <row r="756" spans="1:131" x14ac:dyDescent="0.4">
      <c r="A756" s="34">
        <v>43067.305104166669</v>
      </c>
      <c r="B756" s="25">
        <v>42935.851388888892</v>
      </c>
      <c r="D756" s="34"/>
      <c r="E756" s="34" t="s">
        <v>193</v>
      </c>
      <c r="F756" s="34" t="s">
        <v>191</v>
      </c>
      <c r="G756" s="34" t="s">
        <v>100</v>
      </c>
      <c r="H756" t="s">
        <v>279</v>
      </c>
      <c r="I756" t="s">
        <v>243</v>
      </c>
      <c r="J756" t="s">
        <v>712</v>
      </c>
      <c r="K756" t="s">
        <v>729</v>
      </c>
      <c r="L756" t="s">
        <v>711</v>
      </c>
      <c r="M756" s="30">
        <v>3.13</v>
      </c>
      <c r="N756">
        <v>5.5</v>
      </c>
      <c r="P756" s="24" t="str">
        <f>IFERROR(MID(RADataTable[[#This Row],[RATemplate]],1,LEN(RADataTable[[#This Row],[RATemplate]])-8),"RA") &amp; " " &amp; RADataTable[[#This Row],[prop_id0]] &amp; " " &amp; RADataTable[[#This Row],[last0]]</f>
        <v>RA 1751416 Sitchinava</v>
      </c>
      <c r="T756">
        <v>4</v>
      </c>
      <c r="U756">
        <v>4</v>
      </c>
      <c r="V756" s="34">
        <v>43031.703472222223</v>
      </c>
      <c r="W756">
        <v>1</v>
      </c>
      <c r="X756" s="15" t="str">
        <f>HYPERLINK("https://www.ejacket.nsf.gov/ej/showProposal.do?Continue=Y&amp;ID="&amp;RADataTable[[#This Row],[prop_id0]],"eJ")</f>
        <v>eJ</v>
      </c>
      <c r="Y756" s="15" t="str">
        <f>HYPERLINK("mailto:"&amp;RADataTable[[#This Row],[email]]&amp;"&amp;subject=Your NSF Proposal:  "&amp;RADataTable[[#This Row],[Div]]&amp;" "&amp;RADataTable[[#This Row],[prop_id0]], RADataTable[[#This Row],[email]])</f>
        <v>nodari@hawaii.edu</v>
      </c>
      <c r="Z756" s="15" t="str">
        <f>HYPERLINK("mailto:"&amp;RADataTable[[#This Row],[allPIemail]]&amp;"&amp;subject=NSF Proposal:  "&amp;RADataTable[[#This Row],[Div]]&amp;" "&amp;RADataTable[[#This Row],[prop_id0]], "PIs@")</f>
        <v>PIs@</v>
      </c>
      <c r="AA756" t="s">
        <v>245</v>
      </c>
      <c r="AB756" t="s">
        <v>683</v>
      </c>
      <c r="AC756" s="30" t="s">
        <v>848</v>
      </c>
      <c r="AD756" t="s">
        <v>849</v>
      </c>
      <c r="AE756" t="s">
        <v>850</v>
      </c>
      <c r="AF756" s="36">
        <v>549999</v>
      </c>
      <c r="AG756" s="36">
        <v>549999</v>
      </c>
      <c r="AH756" s="24"/>
      <c r="AJ756" s="34"/>
      <c r="AK756" t="s">
        <v>923</v>
      </c>
      <c r="AL756" t="s">
        <v>287</v>
      </c>
      <c r="AM756" s="34" t="s">
        <v>925</v>
      </c>
      <c r="AN756" s="34">
        <v>43032</v>
      </c>
      <c r="AO756" s="24">
        <v>13</v>
      </c>
      <c r="AP756" t="s">
        <v>971</v>
      </c>
      <c r="AR756" s="35"/>
      <c r="AS756"/>
      <c r="AT756" s="34"/>
      <c r="AV756" s="34"/>
      <c r="AX756" s="34"/>
      <c r="AY756"/>
      <c r="BA756" s="34"/>
      <c r="BB756"/>
      <c r="BC756" t="s">
        <v>854</v>
      </c>
      <c r="BD756" s="36">
        <v>549999</v>
      </c>
      <c r="BE756" s="36">
        <v>549999</v>
      </c>
      <c r="BF756">
        <v>0</v>
      </c>
      <c r="BG756" s="34">
        <v>43160</v>
      </c>
      <c r="BH756">
        <v>60</v>
      </c>
      <c r="BI756" t="s">
        <v>283</v>
      </c>
      <c r="BJ756" t="s">
        <v>928</v>
      </c>
      <c r="BK756" t="s">
        <v>934</v>
      </c>
      <c r="BL756" t="s">
        <v>194</v>
      </c>
      <c r="BM756" s="8" t="s">
        <v>192</v>
      </c>
      <c r="BN756" t="s">
        <v>189</v>
      </c>
      <c r="BO756" t="s">
        <v>190</v>
      </c>
      <c r="BP756" s="35" t="s">
        <v>852</v>
      </c>
      <c r="BQ756"/>
      <c r="BU756" s="35"/>
      <c r="BV756" s="35"/>
      <c r="BX756"/>
      <c r="CA756" s="35"/>
      <c r="CB756" s="35"/>
      <c r="CC756"/>
      <c r="CG756" s="35"/>
      <c r="CH756" s="35"/>
      <c r="CK756"/>
      <c r="CM756" s="35"/>
      <c r="CN756" s="35"/>
      <c r="CQ756"/>
      <c r="CS756" s="35"/>
      <c r="CT756" s="35"/>
      <c r="CX756"/>
      <c r="CZ756" s="35"/>
      <c r="DD756" s="34"/>
      <c r="DG756" t="s">
        <v>851</v>
      </c>
      <c r="DH756" t="s">
        <v>972</v>
      </c>
      <c r="DI756" t="s">
        <v>286</v>
      </c>
      <c r="DL756" t="s">
        <v>683</v>
      </c>
      <c r="DM756">
        <v>4</v>
      </c>
      <c r="DN756">
        <v>7</v>
      </c>
      <c r="DO756" t="s">
        <v>853</v>
      </c>
      <c r="DQ756" t="s">
        <v>927</v>
      </c>
      <c r="DR756">
        <v>14</v>
      </c>
      <c r="DS756">
        <v>1</v>
      </c>
      <c r="DU756">
        <v>14</v>
      </c>
      <c r="DV756">
        <v>1</v>
      </c>
      <c r="DX756">
        <v>14</v>
      </c>
      <c r="DY756">
        <v>1</v>
      </c>
      <c r="DZ756" t="s">
        <v>246</v>
      </c>
      <c r="EA756" t="s">
        <v>929</v>
      </c>
    </row>
    <row r="757" spans="1:131" x14ac:dyDescent="0.4">
      <c r="A757" s="34">
        <v>43067.305104166669</v>
      </c>
      <c r="B757" s="25">
        <v>42935.851388888892</v>
      </c>
      <c r="D757" s="34"/>
      <c r="E757" s="34" t="s">
        <v>193</v>
      </c>
      <c r="F757" s="34" t="s">
        <v>191</v>
      </c>
      <c r="G757" s="34" t="s">
        <v>100</v>
      </c>
      <c r="H757" t="s">
        <v>279</v>
      </c>
      <c r="I757" t="s">
        <v>243</v>
      </c>
      <c r="J757" t="s">
        <v>712</v>
      </c>
      <c r="K757" t="s">
        <v>729</v>
      </c>
      <c r="L757" t="s">
        <v>711</v>
      </c>
      <c r="M757" s="30">
        <v>3.13</v>
      </c>
      <c r="N757">
        <v>5.5</v>
      </c>
      <c r="P757" s="24" t="str">
        <f>IFERROR(MID(RADataTable[[#This Row],[RATemplate]],1,LEN(RADataTable[[#This Row],[RATemplate]])-8),"RA") &amp; " " &amp; RADataTable[[#This Row],[prop_id0]] &amp; " " &amp; RADataTable[[#This Row],[last0]]</f>
        <v>RA 1751416 Sitchinava</v>
      </c>
      <c r="T757">
        <v>4</v>
      </c>
      <c r="U757">
        <v>4</v>
      </c>
      <c r="V757" s="34">
        <v>43031.703472222223</v>
      </c>
      <c r="W757">
        <v>1</v>
      </c>
      <c r="X757" s="15" t="str">
        <f>HYPERLINK("https://www.ejacket.nsf.gov/ej/showProposal.do?Continue=Y&amp;ID="&amp;RADataTable[[#This Row],[prop_id0]],"eJ")</f>
        <v>eJ</v>
      </c>
      <c r="Y757" s="15" t="str">
        <f>HYPERLINK("mailto:"&amp;RADataTable[[#This Row],[email]]&amp;"&amp;subject=Your NSF Proposal:  "&amp;RADataTable[[#This Row],[Div]]&amp;" "&amp;RADataTable[[#This Row],[prop_id0]], RADataTable[[#This Row],[email]])</f>
        <v>nodari@hawaii.edu</v>
      </c>
      <c r="Z757" s="15" t="str">
        <f>HYPERLINK("mailto:"&amp;RADataTable[[#This Row],[allPIemail]]&amp;"&amp;subject=NSF Proposal:  "&amp;RADataTable[[#This Row],[Div]]&amp;" "&amp;RADataTable[[#This Row],[prop_id0]], "PIs@")</f>
        <v>PIs@</v>
      </c>
      <c r="AA757" t="s">
        <v>245</v>
      </c>
      <c r="AB757" t="s">
        <v>683</v>
      </c>
      <c r="AC757" s="30" t="s">
        <v>848</v>
      </c>
      <c r="AD757" t="s">
        <v>849</v>
      </c>
      <c r="AE757" t="s">
        <v>850</v>
      </c>
      <c r="AF757" s="36">
        <v>549999</v>
      </c>
      <c r="AG757" s="36">
        <v>549999</v>
      </c>
      <c r="AH757" s="24"/>
      <c r="AJ757" s="34"/>
      <c r="AK757" t="s">
        <v>923</v>
      </c>
      <c r="AL757" t="s">
        <v>287</v>
      </c>
      <c r="AM757" s="34" t="s">
        <v>925</v>
      </c>
      <c r="AN757" s="34">
        <v>43032</v>
      </c>
      <c r="AO757" s="24">
        <v>13</v>
      </c>
      <c r="AP757" t="s">
        <v>971</v>
      </c>
      <c r="AR757" s="35"/>
      <c r="AS757"/>
      <c r="AT757" s="34"/>
      <c r="AV757" s="34"/>
      <c r="AX757" s="34"/>
      <c r="AY757"/>
      <c r="BA757" s="34"/>
      <c r="BB757"/>
      <c r="BC757" t="s">
        <v>854</v>
      </c>
      <c r="BD757" s="36">
        <v>549999</v>
      </c>
      <c r="BE757" s="36">
        <v>549999</v>
      </c>
      <c r="BF757">
        <v>0</v>
      </c>
      <c r="BG757" s="34">
        <v>43160</v>
      </c>
      <c r="BH757">
        <v>60</v>
      </c>
      <c r="BI757" t="s">
        <v>283</v>
      </c>
      <c r="BJ757" t="s">
        <v>928</v>
      </c>
      <c r="BK757" t="s">
        <v>934</v>
      </c>
      <c r="BL757" t="s">
        <v>194</v>
      </c>
      <c r="BM757" s="8" t="s">
        <v>192</v>
      </c>
      <c r="BN757" t="s">
        <v>189</v>
      </c>
      <c r="BO757" t="s">
        <v>190</v>
      </c>
      <c r="BP757" s="35" t="s">
        <v>852</v>
      </c>
      <c r="BQ757"/>
      <c r="BU757" s="35"/>
      <c r="BV757" s="35"/>
      <c r="BX757"/>
      <c r="CA757" s="35"/>
      <c r="CB757" s="35"/>
      <c r="CC757"/>
      <c r="CG757" s="35"/>
      <c r="CH757" s="35"/>
      <c r="CK757"/>
      <c r="CM757" s="35"/>
      <c r="CN757" s="35"/>
      <c r="CQ757"/>
      <c r="CS757" s="35"/>
      <c r="CT757" s="35"/>
      <c r="CX757"/>
      <c r="CZ757" s="35"/>
      <c r="DD757" s="34"/>
      <c r="DG757" t="s">
        <v>851</v>
      </c>
      <c r="DH757" t="s">
        <v>972</v>
      </c>
      <c r="DI757" t="s">
        <v>286</v>
      </c>
      <c r="DL757" t="s">
        <v>683</v>
      </c>
      <c r="DM757">
        <v>4</v>
      </c>
      <c r="DN757">
        <v>7</v>
      </c>
      <c r="DO757" t="s">
        <v>853</v>
      </c>
      <c r="DQ757" t="s">
        <v>927</v>
      </c>
      <c r="DR757">
        <v>14</v>
      </c>
      <c r="DS757">
        <v>1</v>
      </c>
      <c r="DU757">
        <v>14</v>
      </c>
      <c r="DV757">
        <v>1</v>
      </c>
      <c r="DX757">
        <v>14</v>
      </c>
      <c r="DY757">
        <v>1</v>
      </c>
      <c r="DZ757" t="s">
        <v>246</v>
      </c>
      <c r="EA757" t="s">
        <v>929</v>
      </c>
    </row>
    <row r="758" spans="1:131" x14ac:dyDescent="0.4">
      <c r="A758" s="34">
        <v>43067.305104166669</v>
      </c>
      <c r="B758" s="25">
        <v>42935.851388888892</v>
      </c>
      <c r="D758" s="34"/>
      <c r="E758" s="34" t="s">
        <v>193</v>
      </c>
      <c r="F758" s="34" t="s">
        <v>191</v>
      </c>
      <c r="G758" s="34" t="s">
        <v>100</v>
      </c>
      <c r="H758" t="s">
        <v>279</v>
      </c>
      <c r="I758" t="s">
        <v>243</v>
      </c>
      <c r="J758" t="s">
        <v>712</v>
      </c>
      <c r="K758" t="s">
        <v>729</v>
      </c>
      <c r="L758" t="s">
        <v>711</v>
      </c>
      <c r="M758" s="30">
        <v>3.13</v>
      </c>
      <c r="N758">
        <v>5.5</v>
      </c>
      <c r="P758" s="24" t="str">
        <f>IFERROR(MID(RADataTable[[#This Row],[RATemplate]],1,LEN(RADataTable[[#This Row],[RATemplate]])-8),"RA") &amp; " " &amp; RADataTable[[#This Row],[prop_id0]] &amp; " " &amp; RADataTable[[#This Row],[last0]]</f>
        <v>RA 1751416 Sitchinava</v>
      </c>
      <c r="T758">
        <v>4</v>
      </c>
      <c r="U758">
        <v>4</v>
      </c>
      <c r="V758" s="34">
        <v>43031.703472222223</v>
      </c>
      <c r="W758">
        <v>1</v>
      </c>
      <c r="X758" s="15" t="str">
        <f>HYPERLINK("https://www.ejacket.nsf.gov/ej/showProposal.do?Continue=Y&amp;ID="&amp;RADataTable[[#This Row],[prop_id0]],"eJ")</f>
        <v>eJ</v>
      </c>
      <c r="Y758" s="15" t="str">
        <f>HYPERLINK("mailto:"&amp;RADataTable[[#This Row],[email]]&amp;"&amp;subject=Your NSF Proposal:  "&amp;RADataTable[[#This Row],[Div]]&amp;" "&amp;RADataTable[[#This Row],[prop_id0]], RADataTable[[#This Row],[email]])</f>
        <v>nodari@hawaii.edu</v>
      </c>
      <c r="Z758" s="15" t="str">
        <f>HYPERLINK("mailto:"&amp;RADataTable[[#This Row],[allPIemail]]&amp;"&amp;subject=NSF Proposal:  "&amp;RADataTable[[#This Row],[Div]]&amp;" "&amp;RADataTable[[#This Row],[prop_id0]], "PIs@")</f>
        <v>PIs@</v>
      </c>
      <c r="AA758" t="s">
        <v>245</v>
      </c>
      <c r="AB758" t="s">
        <v>683</v>
      </c>
      <c r="AC758" s="30" t="s">
        <v>848</v>
      </c>
      <c r="AD758" t="s">
        <v>849</v>
      </c>
      <c r="AE758" t="s">
        <v>850</v>
      </c>
      <c r="AF758" s="36">
        <v>549999</v>
      </c>
      <c r="AG758" s="36">
        <v>549999</v>
      </c>
      <c r="AH758" s="24"/>
      <c r="AJ758" s="34"/>
      <c r="AK758" t="s">
        <v>923</v>
      </c>
      <c r="AL758" t="s">
        <v>287</v>
      </c>
      <c r="AM758" s="34" t="s">
        <v>925</v>
      </c>
      <c r="AN758" s="34">
        <v>43032</v>
      </c>
      <c r="AO758" s="24">
        <v>13</v>
      </c>
      <c r="AP758" t="s">
        <v>971</v>
      </c>
      <c r="AR758" s="35"/>
      <c r="AS758"/>
      <c r="AT758" s="34"/>
      <c r="AV758" s="34"/>
      <c r="AX758" s="34"/>
      <c r="AY758"/>
      <c r="BA758" s="34"/>
      <c r="BB758"/>
      <c r="BC758" t="s">
        <v>854</v>
      </c>
      <c r="BD758" s="36">
        <v>549999</v>
      </c>
      <c r="BE758" s="36">
        <v>549999</v>
      </c>
      <c r="BF758">
        <v>0</v>
      </c>
      <c r="BG758" s="34">
        <v>43160</v>
      </c>
      <c r="BH758">
        <v>60</v>
      </c>
      <c r="BI758" t="s">
        <v>283</v>
      </c>
      <c r="BJ758" t="s">
        <v>928</v>
      </c>
      <c r="BK758" t="s">
        <v>934</v>
      </c>
      <c r="BL758" t="s">
        <v>194</v>
      </c>
      <c r="BM758" s="8" t="s">
        <v>192</v>
      </c>
      <c r="BN758" t="s">
        <v>189</v>
      </c>
      <c r="BO758" t="s">
        <v>190</v>
      </c>
      <c r="BP758" s="35" t="s">
        <v>852</v>
      </c>
      <c r="BQ758"/>
      <c r="BU758" s="35"/>
      <c r="BV758" s="35"/>
      <c r="BX758"/>
      <c r="CA758" s="35"/>
      <c r="CB758" s="35"/>
      <c r="CC758"/>
      <c r="CG758" s="35"/>
      <c r="CH758" s="35"/>
      <c r="CK758"/>
      <c r="CM758" s="35"/>
      <c r="CN758" s="35"/>
      <c r="CQ758"/>
      <c r="CS758" s="35"/>
      <c r="CT758" s="35"/>
      <c r="CX758"/>
      <c r="CZ758" s="35"/>
      <c r="DD758" s="34"/>
      <c r="DG758" t="s">
        <v>851</v>
      </c>
      <c r="DH758" t="s">
        <v>972</v>
      </c>
      <c r="DI758" t="s">
        <v>286</v>
      </c>
      <c r="DL758" t="s">
        <v>683</v>
      </c>
      <c r="DM758">
        <v>4</v>
      </c>
      <c r="DN758">
        <v>7</v>
      </c>
      <c r="DO758" t="s">
        <v>853</v>
      </c>
      <c r="DQ758" t="s">
        <v>927</v>
      </c>
      <c r="DR758">
        <v>14</v>
      </c>
      <c r="DS758">
        <v>1</v>
      </c>
      <c r="DU758">
        <v>14</v>
      </c>
      <c r="DV758">
        <v>1</v>
      </c>
      <c r="DX758">
        <v>14</v>
      </c>
      <c r="DY758">
        <v>1</v>
      </c>
      <c r="DZ758" t="s">
        <v>246</v>
      </c>
      <c r="EA758" t="s">
        <v>929</v>
      </c>
    </row>
    <row r="759" spans="1:131" x14ac:dyDescent="0.4">
      <c r="A759" s="34">
        <v>43067.305104166669</v>
      </c>
      <c r="B759" s="25">
        <v>42935.851388888892</v>
      </c>
      <c r="D759" s="34"/>
      <c r="E759" s="34" t="s">
        <v>193</v>
      </c>
      <c r="F759" s="34" t="s">
        <v>191</v>
      </c>
      <c r="G759" s="34" t="s">
        <v>100</v>
      </c>
      <c r="H759" t="s">
        <v>279</v>
      </c>
      <c r="I759" t="s">
        <v>243</v>
      </c>
      <c r="J759" t="s">
        <v>712</v>
      </c>
      <c r="K759" t="s">
        <v>729</v>
      </c>
      <c r="L759" t="s">
        <v>711</v>
      </c>
      <c r="M759" s="30">
        <v>3.13</v>
      </c>
      <c r="N759">
        <v>5.5</v>
      </c>
      <c r="P759" s="24" t="str">
        <f>IFERROR(MID(RADataTable[[#This Row],[RATemplate]],1,LEN(RADataTable[[#This Row],[RATemplate]])-8),"RA") &amp; " " &amp; RADataTable[[#This Row],[prop_id0]] &amp; " " &amp; RADataTable[[#This Row],[last0]]</f>
        <v>RA 1751416 Sitchinava</v>
      </c>
      <c r="T759">
        <v>4</v>
      </c>
      <c r="U759">
        <v>4</v>
      </c>
      <c r="V759" s="34">
        <v>43031.703472222223</v>
      </c>
      <c r="W759">
        <v>1</v>
      </c>
      <c r="X759" s="15" t="str">
        <f>HYPERLINK("https://www.ejacket.nsf.gov/ej/showProposal.do?Continue=Y&amp;ID="&amp;RADataTable[[#This Row],[prop_id0]],"eJ")</f>
        <v>eJ</v>
      </c>
      <c r="Y759" s="15" t="str">
        <f>HYPERLINK("mailto:"&amp;RADataTable[[#This Row],[email]]&amp;"&amp;subject=Your NSF Proposal:  "&amp;RADataTable[[#This Row],[Div]]&amp;" "&amp;RADataTable[[#This Row],[prop_id0]], RADataTable[[#This Row],[email]])</f>
        <v>nodari@hawaii.edu</v>
      </c>
      <c r="Z759" s="15" t="str">
        <f>HYPERLINK("mailto:"&amp;RADataTable[[#This Row],[allPIemail]]&amp;"&amp;subject=NSF Proposal:  "&amp;RADataTable[[#This Row],[Div]]&amp;" "&amp;RADataTable[[#This Row],[prop_id0]], "PIs@")</f>
        <v>PIs@</v>
      </c>
      <c r="AA759" t="s">
        <v>245</v>
      </c>
      <c r="AB759" t="s">
        <v>683</v>
      </c>
      <c r="AC759" s="30" t="s">
        <v>848</v>
      </c>
      <c r="AD759" t="s">
        <v>849</v>
      </c>
      <c r="AE759" t="s">
        <v>850</v>
      </c>
      <c r="AF759" s="36">
        <v>549999</v>
      </c>
      <c r="AG759" s="36">
        <v>549999</v>
      </c>
      <c r="AH759" s="24"/>
      <c r="AJ759" s="34"/>
      <c r="AK759" t="s">
        <v>923</v>
      </c>
      <c r="AL759" t="s">
        <v>287</v>
      </c>
      <c r="AM759" s="34" t="s">
        <v>925</v>
      </c>
      <c r="AN759" s="34">
        <v>43032</v>
      </c>
      <c r="AO759" s="24">
        <v>13</v>
      </c>
      <c r="AP759" t="s">
        <v>971</v>
      </c>
      <c r="AR759" s="35"/>
      <c r="AS759"/>
      <c r="AT759" s="34"/>
      <c r="AV759" s="34"/>
      <c r="AX759" s="34"/>
      <c r="AY759"/>
      <c r="BA759" s="34"/>
      <c r="BB759"/>
      <c r="BC759" t="s">
        <v>854</v>
      </c>
      <c r="BD759" s="36">
        <v>549999</v>
      </c>
      <c r="BE759" s="36">
        <v>549999</v>
      </c>
      <c r="BF759">
        <v>0</v>
      </c>
      <c r="BG759" s="34">
        <v>43160</v>
      </c>
      <c r="BH759">
        <v>60</v>
      </c>
      <c r="BI759" t="s">
        <v>283</v>
      </c>
      <c r="BJ759" t="s">
        <v>928</v>
      </c>
      <c r="BK759" t="s">
        <v>934</v>
      </c>
      <c r="BL759" t="s">
        <v>194</v>
      </c>
      <c r="BM759" s="8" t="s">
        <v>192</v>
      </c>
      <c r="BN759" t="s">
        <v>189</v>
      </c>
      <c r="BO759" t="s">
        <v>190</v>
      </c>
      <c r="BP759" s="35" t="s">
        <v>852</v>
      </c>
      <c r="BQ759"/>
      <c r="BU759" s="35"/>
      <c r="BV759" s="35"/>
      <c r="BX759"/>
      <c r="CA759" s="35"/>
      <c r="CB759" s="35"/>
      <c r="CC759"/>
      <c r="CG759" s="35"/>
      <c r="CH759" s="35"/>
      <c r="CK759"/>
      <c r="CM759" s="35"/>
      <c r="CN759" s="35"/>
      <c r="CQ759"/>
      <c r="CS759" s="35"/>
      <c r="CT759" s="35"/>
      <c r="CX759"/>
      <c r="CZ759" s="35"/>
      <c r="DD759" s="34"/>
      <c r="DG759" t="s">
        <v>851</v>
      </c>
      <c r="DH759" t="s">
        <v>972</v>
      </c>
      <c r="DI759" t="s">
        <v>286</v>
      </c>
      <c r="DL759" t="s">
        <v>683</v>
      </c>
      <c r="DM759">
        <v>4</v>
      </c>
      <c r="DN759">
        <v>7</v>
      </c>
      <c r="DO759" t="s">
        <v>853</v>
      </c>
      <c r="DQ759" t="s">
        <v>927</v>
      </c>
      <c r="DR759">
        <v>14</v>
      </c>
      <c r="DS759">
        <v>1</v>
      </c>
      <c r="DU759">
        <v>14</v>
      </c>
      <c r="DV759">
        <v>1</v>
      </c>
      <c r="DX759">
        <v>14</v>
      </c>
      <c r="DY759">
        <v>1</v>
      </c>
      <c r="DZ759" t="s">
        <v>246</v>
      </c>
      <c r="EA759" t="s">
        <v>929</v>
      </c>
    </row>
    <row r="760" spans="1:131" x14ac:dyDescent="0.4">
      <c r="A760" s="34">
        <v>43067.305104166669</v>
      </c>
      <c r="B760" s="25">
        <v>42935.851388888892</v>
      </c>
      <c r="D760" s="34"/>
      <c r="E760" s="34" t="s">
        <v>193</v>
      </c>
      <c r="F760" s="34" t="s">
        <v>191</v>
      </c>
      <c r="G760" s="34" t="s">
        <v>100</v>
      </c>
      <c r="H760" t="s">
        <v>279</v>
      </c>
      <c r="I760" t="s">
        <v>243</v>
      </c>
      <c r="J760" t="s">
        <v>712</v>
      </c>
      <c r="K760" t="s">
        <v>729</v>
      </c>
      <c r="L760" t="s">
        <v>711</v>
      </c>
      <c r="M760" s="30">
        <v>3.13</v>
      </c>
      <c r="N760">
        <v>5.5</v>
      </c>
      <c r="P760" s="24" t="str">
        <f>IFERROR(MID(RADataTable[[#This Row],[RATemplate]],1,LEN(RADataTable[[#This Row],[RATemplate]])-8),"RA") &amp; " " &amp; RADataTable[[#This Row],[prop_id0]] &amp; " " &amp; RADataTable[[#This Row],[last0]]</f>
        <v>RA 1751416 Sitchinava</v>
      </c>
      <c r="T760">
        <v>4</v>
      </c>
      <c r="U760">
        <v>4</v>
      </c>
      <c r="V760" s="34">
        <v>43031.703472222223</v>
      </c>
      <c r="W760">
        <v>1</v>
      </c>
      <c r="X760" s="15" t="str">
        <f>HYPERLINK("https://www.ejacket.nsf.gov/ej/showProposal.do?Continue=Y&amp;ID="&amp;RADataTable[[#This Row],[prop_id0]],"eJ")</f>
        <v>eJ</v>
      </c>
      <c r="Y760" s="15" t="str">
        <f>HYPERLINK("mailto:"&amp;RADataTable[[#This Row],[email]]&amp;"&amp;subject=Your NSF Proposal:  "&amp;RADataTable[[#This Row],[Div]]&amp;" "&amp;RADataTable[[#This Row],[prop_id0]], RADataTable[[#This Row],[email]])</f>
        <v>nodari@hawaii.edu</v>
      </c>
      <c r="Z760" s="15" t="str">
        <f>HYPERLINK("mailto:"&amp;RADataTable[[#This Row],[allPIemail]]&amp;"&amp;subject=NSF Proposal:  "&amp;RADataTable[[#This Row],[Div]]&amp;" "&amp;RADataTable[[#This Row],[prop_id0]], "PIs@")</f>
        <v>PIs@</v>
      </c>
      <c r="AA760" t="s">
        <v>245</v>
      </c>
      <c r="AB760" t="s">
        <v>683</v>
      </c>
      <c r="AC760" s="30" t="s">
        <v>848</v>
      </c>
      <c r="AD760" t="s">
        <v>849</v>
      </c>
      <c r="AE760" t="s">
        <v>850</v>
      </c>
      <c r="AF760" s="36">
        <v>549999</v>
      </c>
      <c r="AG760" s="36">
        <v>549999</v>
      </c>
      <c r="AH760" s="24"/>
      <c r="AJ760" s="34"/>
      <c r="AK760" t="s">
        <v>923</v>
      </c>
      <c r="AL760" t="s">
        <v>287</v>
      </c>
      <c r="AM760" s="34" t="s">
        <v>925</v>
      </c>
      <c r="AN760" s="34">
        <v>43032</v>
      </c>
      <c r="AO760" s="24">
        <v>13</v>
      </c>
      <c r="AP760" t="s">
        <v>971</v>
      </c>
      <c r="AR760" s="35"/>
      <c r="AS760"/>
      <c r="AT760" s="34"/>
      <c r="AV760" s="34"/>
      <c r="AX760" s="34"/>
      <c r="AY760"/>
      <c r="BA760" s="34"/>
      <c r="BB760"/>
      <c r="BC760" t="s">
        <v>854</v>
      </c>
      <c r="BD760" s="36">
        <v>549999</v>
      </c>
      <c r="BE760" s="36">
        <v>549999</v>
      </c>
      <c r="BF760">
        <v>0</v>
      </c>
      <c r="BG760" s="34">
        <v>43160</v>
      </c>
      <c r="BH760">
        <v>60</v>
      </c>
      <c r="BI760" t="s">
        <v>283</v>
      </c>
      <c r="BJ760" t="s">
        <v>928</v>
      </c>
      <c r="BK760" t="s">
        <v>934</v>
      </c>
      <c r="BL760" t="s">
        <v>194</v>
      </c>
      <c r="BM760" s="8" t="s">
        <v>192</v>
      </c>
      <c r="BN760" t="s">
        <v>189</v>
      </c>
      <c r="BO760" t="s">
        <v>190</v>
      </c>
      <c r="BP760" s="35" t="s">
        <v>852</v>
      </c>
      <c r="BQ760"/>
      <c r="BU760" s="35"/>
      <c r="BV760" s="35"/>
      <c r="BX760"/>
      <c r="CA760" s="35"/>
      <c r="CB760" s="35"/>
      <c r="CC760"/>
      <c r="CG760" s="35"/>
      <c r="CH760" s="35"/>
      <c r="CK760"/>
      <c r="CM760" s="35"/>
      <c r="CN760" s="35"/>
      <c r="CQ760"/>
      <c r="CS760" s="35"/>
      <c r="CT760" s="35"/>
      <c r="CX760"/>
      <c r="CZ760" s="35"/>
      <c r="DD760" s="34"/>
      <c r="DG760" t="s">
        <v>851</v>
      </c>
      <c r="DH760" t="s">
        <v>972</v>
      </c>
      <c r="DI760" t="s">
        <v>286</v>
      </c>
      <c r="DL760" t="s">
        <v>683</v>
      </c>
      <c r="DM760">
        <v>4</v>
      </c>
      <c r="DN760">
        <v>7</v>
      </c>
      <c r="DO760" t="s">
        <v>853</v>
      </c>
      <c r="DQ760" t="s">
        <v>927</v>
      </c>
      <c r="DR760">
        <v>14</v>
      </c>
      <c r="DS760">
        <v>1</v>
      </c>
      <c r="DU760">
        <v>14</v>
      </c>
      <c r="DV760">
        <v>1</v>
      </c>
      <c r="DX760">
        <v>14</v>
      </c>
      <c r="DY760">
        <v>1</v>
      </c>
      <c r="DZ760" t="s">
        <v>246</v>
      </c>
      <c r="EA760" t="s">
        <v>929</v>
      </c>
    </row>
    <row r="761" spans="1:131" x14ac:dyDescent="0.4">
      <c r="A761" s="34">
        <v>43067.305104166669</v>
      </c>
      <c r="B761" s="25">
        <v>42935.851388888892</v>
      </c>
      <c r="D761" s="34"/>
      <c r="E761" s="34" t="s">
        <v>193</v>
      </c>
      <c r="F761" s="34" t="s">
        <v>191</v>
      </c>
      <c r="G761" s="34" t="s">
        <v>100</v>
      </c>
      <c r="H761" t="s">
        <v>279</v>
      </c>
      <c r="I761" t="s">
        <v>243</v>
      </c>
      <c r="J761" t="s">
        <v>712</v>
      </c>
      <c r="K761" t="s">
        <v>729</v>
      </c>
      <c r="L761" t="s">
        <v>711</v>
      </c>
      <c r="M761" s="30">
        <v>3.13</v>
      </c>
      <c r="N761">
        <v>5.5</v>
      </c>
      <c r="P761" s="24" t="str">
        <f>IFERROR(MID(RADataTable[[#This Row],[RATemplate]],1,LEN(RADataTable[[#This Row],[RATemplate]])-8),"RA") &amp; " " &amp; RADataTable[[#This Row],[prop_id0]] &amp; " " &amp; RADataTable[[#This Row],[last0]]</f>
        <v>RA 1751416 Sitchinava</v>
      </c>
      <c r="T761">
        <v>4</v>
      </c>
      <c r="U761">
        <v>4</v>
      </c>
      <c r="V761" s="34">
        <v>43031.703472222223</v>
      </c>
      <c r="W761">
        <v>1</v>
      </c>
      <c r="X761" s="15" t="str">
        <f>HYPERLINK("https://www.ejacket.nsf.gov/ej/showProposal.do?Continue=Y&amp;ID="&amp;RADataTable[[#This Row],[prop_id0]],"eJ")</f>
        <v>eJ</v>
      </c>
      <c r="Y761" s="15" t="str">
        <f>HYPERLINK("mailto:"&amp;RADataTable[[#This Row],[email]]&amp;"&amp;subject=Your NSF Proposal:  "&amp;RADataTable[[#This Row],[Div]]&amp;" "&amp;RADataTable[[#This Row],[prop_id0]], RADataTable[[#This Row],[email]])</f>
        <v>nodari@hawaii.edu</v>
      </c>
      <c r="Z761" s="15" t="str">
        <f>HYPERLINK("mailto:"&amp;RADataTable[[#This Row],[allPIemail]]&amp;"&amp;subject=NSF Proposal:  "&amp;RADataTable[[#This Row],[Div]]&amp;" "&amp;RADataTable[[#This Row],[prop_id0]], "PIs@")</f>
        <v>PIs@</v>
      </c>
      <c r="AA761" t="s">
        <v>245</v>
      </c>
      <c r="AB761" t="s">
        <v>683</v>
      </c>
      <c r="AC761" s="30" t="s">
        <v>848</v>
      </c>
      <c r="AD761" t="s">
        <v>849</v>
      </c>
      <c r="AE761" t="s">
        <v>850</v>
      </c>
      <c r="AF761" s="36">
        <v>549999</v>
      </c>
      <c r="AG761" s="36">
        <v>549999</v>
      </c>
      <c r="AH761" s="24"/>
      <c r="AJ761" s="34"/>
      <c r="AK761" t="s">
        <v>923</v>
      </c>
      <c r="AL761" t="s">
        <v>287</v>
      </c>
      <c r="AM761" s="34" t="s">
        <v>925</v>
      </c>
      <c r="AN761" s="34">
        <v>43032</v>
      </c>
      <c r="AO761" s="24">
        <v>13</v>
      </c>
      <c r="AP761" t="s">
        <v>971</v>
      </c>
      <c r="AR761" s="35"/>
      <c r="AS761"/>
      <c r="AT761" s="34"/>
      <c r="AV761" s="34"/>
      <c r="AX761" s="34"/>
      <c r="AY761"/>
      <c r="BA761" s="34"/>
      <c r="BB761"/>
      <c r="BC761" t="s">
        <v>854</v>
      </c>
      <c r="BD761" s="36">
        <v>549999</v>
      </c>
      <c r="BE761" s="36">
        <v>549999</v>
      </c>
      <c r="BF761">
        <v>0</v>
      </c>
      <c r="BG761" s="34">
        <v>43160</v>
      </c>
      <c r="BH761">
        <v>60</v>
      </c>
      <c r="BI761" t="s">
        <v>283</v>
      </c>
      <c r="BJ761" t="s">
        <v>928</v>
      </c>
      <c r="BK761" t="s">
        <v>934</v>
      </c>
      <c r="BL761" t="s">
        <v>194</v>
      </c>
      <c r="BM761" s="8" t="s">
        <v>192</v>
      </c>
      <c r="BN761" t="s">
        <v>189</v>
      </c>
      <c r="BO761" t="s">
        <v>190</v>
      </c>
      <c r="BP761" s="35" t="s">
        <v>852</v>
      </c>
      <c r="BQ761"/>
      <c r="BU761" s="35"/>
      <c r="BV761" s="35"/>
      <c r="BX761"/>
      <c r="CA761" s="35"/>
      <c r="CB761" s="35"/>
      <c r="CC761"/>
      <c r="CG761" s="35"/>
      <c r="CH761" s="35"/>
      <c r="CK761"/>
      <c r="CM761" s="35"/>
      <c r="CN761" s="35"/>
      <c r="CQ761"/>
      <c r="CS761" s="35"/>
      <c r="CT761" s="35"/>
      <c r="CX761"/>
      <c r="CZ761" s="35"/>
      <c r="DD761" s="34"/>
      <c r="DG761" t="s">
        <v>851</v>
      </c>
      <c r="DH761" t="s">
        <v>972</v>
      </c>
      <c r="DI761" t="s">
        <v>286</v>
      </c>
      <c r="DL761" t="s">
        <v>683</v>
      </c>
      <c r="DM761">
        <v>4</v>
      </c>
      <c r="DN761">
        <v>7</v>
      </c>
      <c r="DO761" t="s">
        <v>853</v>
      </c>
      <c r="DQ761" t="s">
        <v>927</v>
      </c>
      <c r="DR761">
        <v>14</v>
      </c>
      <c r="DS761">
        <v>1</v>
      </c>
      <c r="DU761">
        <v>14</v>
      </c>
      <c r="DV761">
        <v>1</v>
      </c>
      <c r="DX761">
        <v>14</v>
      </c>
      <c r="DY761">
        <v>1</v>
      </c>
      <c r="DZ761" t="s">
        <v>246</v>
      </c>
      <c r="EA761" t="s">
        <v>929</v>
      </c>
    </row>
    <row r="762" spans="1:131" x14ac:dyDescent="0.4">
      <c r="A762" s="34">
        <v>43067.305104166669</v>
      </c>
      <c r="B762" s="25">
        <v>42935.851388888892</v>
      </c>
      <c r="D762" s="34"/>
      <c r="E762" s="34" t="s">
        <v>193</v>
      </c>
      <c r="F762" s="34" t="s">
        <v>191</v>
      </c>
      <c r="G762" s="34" t="s">
        <v>100</v>
      </c>
      <c r="H762" t="s">
        <v>279</v>
      </c>
      <c r="I762" t="s">
        <v>243</v>
      </c>
      <c r="J762" t="s">
        <v>712</v>
      </c>
      <c r="K762" t="s">
        <v>729</v>
      </c>
      <c r="L762" t="s">
        <v>711</v>
      </c>
      <c r="M762" s="30">
        <v>3.13</v>
      </c>
      <c r="N762">
        <v>5.5</v>
      </c>
      <c r="P762" s="24" t="str">
        <f>IFERROR(MID(RADataTable[[#This Row],[RATemplate]],1,LEN(RADataTable[[#This Row],[RATemplate]])-8),"RA") &amp; " " &amp; RADataTable[[#This Row],[prop_id0]] &amp; " " &amp; RADataTable[[#This Row],[last0]]</f>
        <v>RA 1751416 Sitchinava</v>
      </c>
      <c r="T762">
        <v>4</v>
      </c>
      <c r="U762">
        <v>4</v>
      </c>
      <c r="V762" s="34">
        <v>43031.703472222223</v>
      </c>
      <c r="W762">
        <v>1</v>
      </c>
      <c r="X762" s="15" t="str">
        <f>HYPERLINK("https://www.ejacket.nsf.gov/ej/showProposal.do?Continue=Y&amp;ID="&amp;RADataTable[[#This Row],[prop_id0]],"eJ")</f>
        <v>eJ</v>
      </c>
      <c r="Y762" s="15" t="str">
        <f>HYPERLINK("mailto:"&amp;RADataTable[[#This Row],[email]]&amp;"&amp;subject=Your NSF Proposal:  "&amp;RADataTable[[#This Row],[Div]]&amp;" "&amp;RADataTable[[#This Row],[prop_id0]], RADataTable[[#This Row],[email]])</f>
        <v>nodari@hawaii.edu</v>
      </c>
      <c r="Z762" s="15" t="str">
        <f>HYPERLINK("mailto:"&amp;RADataTable[[#This Row],[allPIemail]]&amp;"&amp;subject=NSF Proposal:  "&amp;RADataTable[[#This Row],[Div]]&amp;" "&amp;RADataTable[[#This Row],[prop_id0]], "PIs@")</f>
        <v>PIs@</v>
      </c>
      <c r="AA762" t="s">
        <v>245</v>
      </c>
      <c r="AB762" t="s">
        <v>683</v>
      </c>
      <c r="AC762" s="30" t="s">
        <v>848</v>
      </c>
      <c r="AD762" t="s">
        <v>849</v>
      </c>
      <c r="AE762" t="s">
        <v>850</v>
      </c>
      <c r="AF762" s="36">
        <v>549999</v>
      </c>
      <c r="AG762" s="36">
        <v>549999</v>
      </c>
      <c r="AH762" s="24"/>
      <c r="AJ762" s="34"/>
      <c r="AK762" t="s">
        <v>923</v>
      </c>
      <c r="AL762" t="s">
        <v>287</v>
      </c>
      <c r="AM762" s="34" t="s">
        <v>925</v>
      </c>
      <c r="AN762" s="34">
        <v>43032</v>
      </c>
      <c r="AO762" s="24">
        <v>13</v>
      </c>
      <c r="AP762" t="s">
        <v>971</v>
      </c>
      <c r="AR762" s="35"/>
      <c r="AS762"/>
      <c r="AT762" s="34"/>
      <c r="AV762" s="34"/>
      <c r="AX762" s="34"/>
      <c r="AY762"/>
      <c r="BA762" s="34"/>
      <c r="BB762"/>
      <c r="BC762" t="s">
        <v>854</v>
      </c>
      <c r="BD762" s="36">
        <v>549999</v>
      </c>
      <c r="BE762" s="36">
        <v>549999</v>
      </c>
      <c r="BF762">
        <v>0</v>
      </c>
      <c r="BG762" s="34">
        <v>43160</v>
      </c>
      <c r="BH762">
        <v>60</v>
      </c>
      <c r="BI762" t="s">
        <v>283</v>
      </c>
      <c r="BJ762" t="s">
        <v>928</v>
      </c>
      <c r="BK762" t="s">
        <v>934</v>
      </c>
      <c r="BL762" t="s">
        <v>194</v>
      </c>
      <c r="BM762" s="8" t="s">
        <v>192</v>
      </c>
      <c r="BN762" t="s">
        <v>189</v>
      </c>
      <c r="BO762" t="s">
        <v>190</v>
      </c>
      <c r="BP762" s="35" t="s">
        <v>852</v>
      </c>
      <c r="BQ762"/>
      <c r="BU762" s="35"/>
      <c r="BV762" s="35"/>
      <c r="BX762"/>
      <c r="CA762" s="35"/>
      <c r="CB762" s="35"/>
      <c r="CC762"/>
      <c r="CG762" s="35"/>
      <c r="CH762" s="35"/>
      <c r="CK762"/>
      <c r="CM762" s="35"/>
      <c r="CN762" s="35"/>
      <c r="CQ762"/>
      <c r="CS762" s="35"/>
      <c r="CT762" s="35"/>
      <c r="CX762"/>
      <c r="CZ762" s="35"/>
      <c r="DD762" s="34"/>
      <c r="DG762" t="s">
        <v>851</v>
      </c>
      <c r="DH762" t="s">
        <v>972</v>
      </c>
      <c r="DI762" t="s">
        <v>286</v>
      </c>
      <c r="DL762" t="s">
        <v>683</v>
      </c>
      <c r="DM762">
        <v>4</v>
      </c>
      <c r="DN762">
        <v>7</v>
      </c>
      <c r="DO762" t="s">
        <v>853</v>
      </c>
      <c r="DQ762" t="s">
        <v>927</v>
      </c>
      <c r="DR762">
        <v>14</v>
      </c>
      <c r="DS762">
        <v>1</v>
      </c>
      <c r="DU762">
        <v>14</v>
      </c>
      <c r="DV762">
        <v>1</v>
      </c>
      <c r="DX762">
        <v>14</v>
      </c>
      <c r="DY762">
        <v>1</v>
      </c>
      <c r="DZ762" t="s">
        <v>246</v>
      </c>
      <c r="EA762" t="s">
        <v>929</v>
      </c>
    </row>
    <row r="763" spans="1:131" x14ac:dyDescent="0.4">
      <c r="A763" s="34">
        <v>43067.305104166669</v>
      </c>
      <c r="B763" s="25">
        <v>42935.851388888892</v>
      </c>
      <c r="D763" s="34"/>
      <c r="E763" s="34" t="s">
        <v>193</v>
      </c>
      <c r="F763" s="34" t="s">
        <v>191</v>
      </c>
      <c r="G763" s="34" t="s">
        <v>100</v>
      </c>
      <c r="H763" t="s">
        <v>279</v>
      </c>
      <c r="I763" t="s">
        <v>243</v>
      </c>
      <c r="J763" t="s">
        <v>712</v>
      </c>
      <c r="K763" t="s">
        <v>729</v>
      </c>
      <c r="L763" t="s">
        <v>711</v>
      </c>
      <c r="M763" s="30">
        <v>3.13</v>
      </c>
      <c r="N763">
        <v>5.5</v>
      </c>
      <c r="P763" s="24" t="str">
        <f>IFERROR(MID(RADataTable[[#This Row],[RATemplate]],1,LEN(RADataTable[[#This Row],[RATemplate]])-8),"RA") &amp; " " &amp; RADataTable[[#This Row],[prop_id0]] &amp; " " &amp; RADataTable[[#This Row],[last0]]</f>
        <v>RA 1751416 Sitchinava</v>
      </c>
      <c r="T763">
        <v>4</v>
      </c>
      <c r="U763">
        <v>4</v>
      </c>
      <c r="V763" s="34">
        <v>43031.703472222223</v>
      </c>
      <c r="W763">
        <v>1</v>
      </c>
      <c r="X763" s="15" t="str">
        <f>HYPERLINK("https://www.ejacket.nsf.gov/ej/showProposal.do?Continue=Y&amp;ID="&amp;RADataTable[[#This Row],[prop_id0]],"eJ")</f>
        <v>eJ</v>
      </c>
      <c r="Y763" s="15" t="str">
        <f>HYPERLINK("mailto:"&amp;RADataTable[[#This Row],[email]]&amp;"&amp;subject=Your NSF Proposal:  "&amp;RADataTable[[#This Row],[Div]]&amp;" "&amp;RADataTable[[#This Row],[prop_id0]], RADataTable[[#This Row],[email]])</f>
        <v>nodari@hawaii.edu</v>
      </c>
      <c r="Z763" s="15" t="str">
        <f>HYPERLINK("mailto:"&amp;RADataTable[[#This Row],[allPIemail]]&amp;"&amp;subject=NSF Proposal:  "&amp;RADataTable[[#This Row],[Div]]&amp;" "&amp;RADataTable[[#This Row],[prop_id0]], "PIs@")</f>
        <v>PIs@</v>
      </c>
      <c r="AA763" t="s">
        <v>245</v>
      </c>
      <c r="AB763" t="s">
        <v>683</v>
      </c>
      <c r="AC763" s="30" t="s">
        <v>848</v>
      </c>
      <c r="AD763" t="s">
        <v>849</v>
      </c>
      <c r="AE763" t="s">
        <v>850</v>
      </c>
      <c r="AF763" s="36">
        <v>549999</v>
      </c>
      <c r="AG763" s="36">
        <v>549999</v>
      </c>
      <c r="AH763" s="24"/>
      <c r="AJ763" s="34"/>
      <c r="AK763" t="s">
        <v>923</v>
      </c>
      <c r="AL763" t="s">
        <v>287</v>
      </c>
      <c r="AM763" s="34" t="s">
        <v>925</v>
      </c>
      <c r="AN763" s="34">
        <v>43032</v>
      </c>
      <c r="AO763" s="24">
        <v>13</v>
      </c>
      <c r="AP763" t="s">
        <v>971</v>
      </c>
      <c r="AR763" s="35"/>
      <c r="AS763"/>
      <c r="AT763" s="34"/>
      <c r="AV763" s="34"/>
      <c r="AX763" s="34"/>
      <c r="AY763"/>
      <c r="BA763" s="34"/>
      <c r="BB763"/>
      <c r="BC763" t="s">
        <v>854</v>
      </c>
      <c r="BD763" s="36">
        <v>549999</v>
      </c>
      <c r="BE763" s="36">
        <v>549999</v>
      </c>
      <c r="BF763">
        <v>0</v>
      </c>
      <c r="BG763" s="34">
        <v>43160</v>
      </c>
      <c r="BH763">
        <v>60</v>
      </c>
      <c r="BI763" t="s">
        <v>283</v>
      </c>
      <c r="BJ763" t="s">
        <v>928</v>
      </c>
      <c r="BK763" t="s">
        <v>934</v>
      </c>
      <c r="BL763" t="s">
        <v>194</v>
      </c>
      <c r="BM763" s="8" t="s">
        <v>192</v>
      </c>
      <c r="BN763" t="s">
        <v>189</v>
      </c>
      <c r="BO763" t="s">
        <v>190</v>
      </c>
      <c r="BP763" s="35" t="s">
        <v>852</v>
      </c>
      <c r="BQ763"/>
      <c r="BU763" s="35"/>
      <c r="BV763" s="35"/>
      <c r="BX763"/>
      <c r="CA763" s="35"/>
      <c r="CB763" s="35"/>
      <c r="CC763"/>
      <c r="CG763" s="35"/>
      <c r="CH763" s="35"/>
      <c r="CK763"/>
      <c r="CM763" s="35"/>
      <c r="CN763" s="35"/>
      <c r="CQ763"/>
      <c r="CS763" s="35"/>
      <c r="CT763" s="35"/>
      <c r="CX763"/>
      <c r="CZ763" s="35"/>
      <c r="DD763" s="34"/>
      <c r="DG763" t="s">
        <v>851</v>
      </c>
      <c r="DH763" t="s">
        <v>972</v>
      </c>
      <c r="DI763" t="s">
        <v>286</v>
      </c>
      <c r="DL763" t="s">
        <v>683</v>
      </c>
      <c r="DM763">
        <v>4</v>
      </c>
      <c r="DN763">
        <v>7</v>
      </c>
      <c r="DO763" t="s">
        <v>853</v>
      </c>
      <c r="DQ763" t="s">
        <v>927</v>
      </c>
      <c r="DR763">
        <v>14</v>
      </c>
      <c r="DS763">
        <v>1</v>
      </c>
      <c r="DU763">
        <v>14</v>
      </c>
      <c r="DV763">
        <v>1</v>
      </c>
      <c r="DX763">
        <v>14</v>
      </c>
      <c r="DY763">
        <v>1</v>
      </c>
      <c r="DZ763" t="s">
        <v>246</v>
      </c>
      <c r="EA763" t="s">
        <v>929</v>
      </c>
    </row>
    <row r="764" spans="1:131" x14ac:dyDescent="0.4">
      <c r="A764" s="34">
        <v>43067.305104166669</v>
      </c>
      <c r="B764" s="25">
        <v>42935.851388888892</v>
      </c>
      <c r="D764" s="34"/>
      <c r="E764" s="34" t="s">
        <v>193</v>
      </c>
      <c r="F764" s="34" t="s">
        <v>191</v>
      </c>
      <c r="G764" s="34" t="s">
        <v>100</v>
      </c>
      <c r="H764" t="s">
        <v>279</v>
      </c>
      <c r="I764" t="s">
        <v>243</v>
      </c>
      <c r="J764" t="s">
        <v>712</v>
      </c>
      <c r="K764" t="s">
        <v>729</v>
      </c>
      <c r="L764" t="s">
        <v>711</v>
      </c>
      <c r="M764" s="30">
        <v>3.13</v>
      </c>
      <c r="N764">
        <v>5.5</v>
      </c>
      <c r="P764" s="24" t="str">
        <f>IFERROR(MID(RADataTable[[#This Row],[RATemplate]],1,LEN(RADataTable[[#This Row],[RATemplate]])-8),"RA") &amp; " " &amp; RADataTable[[#This Row],[prop_id0]] &amp; " " &amp; RADataTable[[#This Row],[last0]]</f>
        <v>RA 1751416 Sitchinava</v>
      </c>
      <c r="T764">
        <v>4</v>
      </c>
      <c r="U764">
        <v>4</v>
      </c>
      <c r="V764" s="34">
        <v>43031.703472222223</v>
      </c>
      <c r="W764">
        <v>1</v>
      </c>
      <c r="X764" s="15" t="str">
        <f>HYPERLINK("https://www.ejacket.nsf.gov/ej/showProposal.do?Continue=Y&amp;ID="&amp;RADataTable[[#This Row],[prop_id0]],"eJ")</f>
        <v>eJ</v>
      </c>
      <c r="Y764" s="15" t="str">
        <f>HYPERLINK("mailto:"&amp;RADataTable[[#This Row],[email]]&amp;"&amp;subject=Your NSF Proposal:  "&amp;RADataTable[[#This Row],[Div]]&amp;" "&amp;RADataTable[[#This Row],[prop_id0]], RADataTable[[#This Row],[email]])</f>
        <v>nodari@hawaii.edu</v>
      </c>
      <c r="Z764" s="15" t="str">
        <f>HYPERLINK("mailto:"&amp;RADataTable[[#This Row],[allPIemail]]&amp;"&amp;subject=NSF Proposal:  "&amp;RADataTable[[#This Row],[Div]]&amp;" "&amp;RADataTable[[#This Row],[prop_id0]], "PIs@")</f>
        <v>PIs@</v>
      </c>
      <c r="AA764" t="s">
        <v>245</v>
      </c>
      <c r="AB764" t="s">
        <v>683</v>
      </c>
      <c r="AC764" s="30" t="s">
        <v>848</v>
      </c>
      <c r="AD764" t="s">
        <v>849</v>
      </c>
      <c r="AE764" t="s">
        <v>850</v>
      </c>
      <c r="AF764" s="36">
        <v>549999</v>
      </c>
      <c r="AG764" s="36">
        <v>549999</v>
      </c>
      <c r="AH764" s="24"/>
      <c r="AJ764" s="34"/>
      <c r="AK764" t="s">
        <v>923</v>
      </c>
      <c r="AL764" t="s">
        <v>287</v>
      </c>
      <c r="AM764" s="34" t="s">
        <v>925</v>
      </c>
      <c r="AN764" s="34">
        <v>43032</v>
      </c>
      <c r="AO764" s="24">
        <v>13</v>
      </c>
      <c r="AP764" t="s">
        <v>971</v>
      </c>
      <c r="AR764" s="35"/>
      <c r="AS764"/>
      <c r="AT764" s="34"/>
      <c r="AV764" s="34"/>
      <c r="AX764" s="34"/>
      <c r="AY764"/>
      <c r="BA764" s="34"/>
      <c r="BB764"/>
      <c r="BC764" t="s">
        <v>854</v>
      </c>
      <c r="BD764" s="36">
        <v>549999</v>
      </c>
      <c r="BE764" s="36">
        <v>549999</v>
      </c>
      <c r="BF764">
        <v>0</v>
      </c>
      <c r="BG764" s="34">
        <v>43160</v>
      </c>
      <c r="BH764">
        <v>60</v>
      </c>
      <c r="BI764" t="s">
        <v>283</v>
      </c>
      <c r="BJ764" t="s">
        <v>928</v>
      </c>
      <c r="BK764" t="s">
        <v>934</v>
      </c>
      <c r="BL764" t="s">
        <v>194</v>
      </c>
      <c r="BM764" s="8" t="s">
        <v>192</v>
      </c>
      <c r="BN764" t="s">
        <v>189</v>
      </c>
      <c r="BO764" t="s">
        <v>190</v>
      </c>
      <c r="BP764" s="35" t="s">
        <v>852</v>
      </c>
      <c r="BQ764"/>
      <c r="BU764" s="35"/>
      <c r="BV764" s="35"/>
      <c r="BX764"/>
      <c r="CA764" s="35"/>
      <c r="CB764" s="35"/>
      <c r="CC764"/>
      <c r="CG764" s="35"/>
      <c r="CH764" s="35"/>
      <c r="CK764"/>
      <c r="CM764" s="35"/>
      <c r="CN764" s="35"/>
      <c r="CQ764"/>
      <c r="CS764" s="35"/>
      <c r="CT764" s="35"/>
      <c r="CX764"/>
      <c r="CZ764" s="35"/>
      <c r="DD764" s="34"/>
      <c r="DG764" t="s">
        <v>851</v>
      </c>
      <c r="DH764" t="s">
        <v>972</v>
      </c>
      <c r="DI764" t="s">
        <v>286</v>
      </c>
      <c r="DL764" t="s">
        <v>683</v>
      </c>
      <c r="DM764">
        <v>4</v>
      </c>
      <c r="DN764">
        <v>7</v>
      </c>
      <c r="DO764" t="s">
        <v>853</v>
      </c>
      <c r="DQ764" t="s">
        <v>927</v>
      </c>
      <c r="DR764">
        <v>14</v>
      </c>
      <c r="DS764">
        <v>1</v>
      </c>
      <c r="DU764">
        <v>14</v>
      </c>
      <c r="DV764">
        <v>1</v>
      </c>
      <c r="DX764">
        <v>14</v>
      </c>
      <c r="DY764">
        <v>1</v>
      </c>
      <c r="DZ764" t="s">
        <v>246</v>
      </c>
      <c r="EA764" t="s">
        <v>929</v>
      </c>
    </row>
    <row r="765" spans="1:131" x14ac:dyDescent="0.4">
      <c r="A765" s="34">
        <v>43067.305104166669</v>
      </c>
      <c r="B765" s="25">
        <v>42935.851388888892</v>
      </c>
      <c r="D765" s="34"/>
      <c r="E765" s="34" t="s">
        <v>193</v>
      </c>
      <c r="F765" s="34" t="s">
        <v>191</v>
      </c>
      <c r="G765" s="34" t="s">
        <v>100</v>
      </c>
      <c r="H765" t="s">
        <v>279</v>
      </c>
      <c r="I765" t="s">
        <v>243</v>
      </c>
      <c r="J765" t="s">
        <v>712</v>
      </c>
      <c r="K765" t="s">
        <v>729</v>
      </c>
      <c r="L765" t="s">
        <v>711</v>
      </c>
      <c r="M765" s="30">
        <v>3.13</v>
      </c>
      <c r="N765">
        <v>5.5</v>
      </c>
      <c r="P765" s="24" t="str">
        <f>IFERROR(MID(RADataTable[[#This Row],[RATemplate]],1,LEN(RADataTable[[#This Row],[RATemplate]])-8),"RA") &amp; " " &amp; RADataTable[[#This Row],[prop_id0]] &amp; " " &amp; RADataTable[[#This Row],[last0]]</f>
        <v>RA 1751416 Sitchinava</v>
      </c>
      <c r="T765">
        <v>4</v>
      </c>
      <c r="U765">
        <v>4</v>
      </c>
      <c r="V765" s="34">
        <v>43031.703472222223</v>
      </c>
      <c r="W765">
        <v>1</v>
      </c>
      <c r="X765" s="15" t="str">
        <f>HYPERLINK("https://www.ejacket.nsf.gov/ej/showProposal.do?Continue=Y&amp;ID="&amp;RADataTable[[#This Row],[prop_id0]],"eJ")</f>
        <v>eJ</v>
      </c>
      <c r="Y765" s="15" t="str">
        <f>HYPERLINK("mailto:"&amp;RADataTable[[#This Row],[email]]&amp;"&amp;subject=Your NSF Proposal:  "&amp;RADataTable[[#This Row],[Div]]&amp;" "&amp;RADataTable[[#This Row],[prop_id0]], RADataTable[[#This Row],[email]])</f>
        <v>nodari@hawaii.edu</v>
      </c>
      <c r="Z765" s="15" t="str">
        <f>HYPERLINK("mailto:"&amp;RADataTable[[#This Row],[allPIemail]]&amp;"&amp;subject=NSF Proposal:  "&amp;RADataTable[[#This Row],[Div]]&amp;" "&amp;RADataTable[[#This Row],[prop_id0]], "PIs@")</f>
        <v>PIs@</v>
      </c>
      <c r="AA765" t="s">
        <v>245</v>
      </c>
      <c r="AB765" t="s">
        <v>683</v>
      </c>
      <c r="AC765" s="30" t="s">
        <v>848</v>
      </c>
      <c r="AD765" t="s">
        <v>849</v>
      </c>
      <c r="AE765" t="s">
        <v>850</v>
      </c>
      <c r="AF765" s="36">
        <v>549999</v>
      </c>
      <c r="AG765" s="36">
        <v>549999</v>
      </c>
      <c r="AH765" s="24"/>
      <c r="AJ765" s="34"/>
      <c r="AK765" t="s">
        <v>923</v>
      </c>
      <c r="AL765" t="s">
        <v>287</v>
      </c>
      <c r="AM765" s="34" t="s">
        <v>925</v>
      </c>
      <c r="AN765" s="34">
        <v>43032</v>
      </c>
      <c r="AO765" s="24">
        <v>13</v>
      </c>
      <c r="AP765" t="s">
        <v>971</v>
      </c>
      <c r="AR765" s="35"/>
      <c r="AS765"/>
      <c r="AT765" s="34"/>
      <c r="AV765" s="34"/>
      <c r="AX765" s="34"/>
      <c r="AY765"/>
      <c r="BA765" s="34"/>
      <c r="BB765"/>
      <c r="BC765" t="s">
        <v>854</v>
      </c>
      <c r="BD765" s="36">
        <v>549999</v>
      </c>
      <c r="BE765" s="36">
        <v>549999</v>
      </c>
      <c r="BF765">
        <v>0</v>
      </c>
      <c r="BG765" s="34">
        <v>43160</v>
      </c>
      <c r="BH765">
        <v>60</v>
      </c>
      <c r="BI765" t="s">
        <v>283</v>
      </c>
      <c r="BJ765" t="s">
        <v>928</v>
      </c>
      <c r="BK765" t="s">
        <v>934</v>
      </c>
      <c r="BL765" t="s">
        <v>194</v>
      </c>
      <c r="BM765" s="8" t="s">
        <v>192</v>
      </c>
      <c r="BN765" t="s">
        <v>189</v>
      </c>
      <c r="BO765" t="s">
        <v>190</v>
      </c>
      <c r="BP765" s="35" t="s">
        <v>852</v>
      </c>
      <c r="BQ765"/>
      <c r="BU765" s="35"/>
      <c r="BV765" s="35"/>
      <c r="BX765"/>
      <c r="CA765" s="35"/>
      <c r="CB765" s="35"/>
      <c r="CC765"/>
      <c r="CG765" s="35"/>
      <c r="CH765" s="35"/>
      <c r="CK765"/>
      <c r="CM765" s="35"/>
      <c r="CN765" s="35"/>
      <c r="CQ765"/>
      <c r="CS765" s="35"/>
      <c r="CT765" s="35"/>
      <c r="CX765"/>
      <c r="CZ765" s="35"/>
      <c r="DD765" s="34"/>
      <c r="DG765" t="s">
        <v>851</v>
      </c>
      <c r="DH765" t="s">
        <v>972</v>
      </c>
      <c r="DI765" t="s">
        <v>286</v>
      </c>
      <c r="DL765" t="s">
        <v>683</v>
      </c>
      <c r="DM765">
        <v>4</v>
      </c>
      <c r="DN765">
        <v>7</v>
      </c>
      <c r="DO765" t="s">
        <v>853</v>
      </c>
      <c r="DQ765" t="s">
        <v>927</v>
      </c>
      <c r="DR765">
        <v>14</v>
      </c>
      <c r="DS765">
        <v>1</v>
      </c>
      <c r="DU765">
        <v>14</v>
      </c>
      <c r="DV765">
        <v>1</v>
      </c>
      <c r="DX765">
        <v>14</v>
      </c>
      <c r="DY765">
        <v>1</v>
      </c>
      <c r="DZ765" t="s">
        <v>246</v>
      </c>
      <c r="EA765" t="s">
        <v>929</v>
      </c>
    </row>
    <row r="766" spans="1:131" x14ac:dyDescent="0.4">
      <c r="A766" s="34">
        <v>43067.305104166669</v>
      </c>
      <c r="B766" s="25">
        <v>42935.851388888892</v>
      </c>
      <c r="D766" s="34"/>
      <c r="E766" s="34" t="s">
        <v>193</v>
      </c>
      <c r="F766" s="34" t="s">
        <v>191</v>
      </c>
      <c r="G766" s="34" t="s">
        <v>100</v>
      </c>
      <c r="H766" t="s">
        <v>279</v>
      </c>
      <c r="I766" t="s">
        <v>243</v>
      </c>
      <c r="J766" t="s">
        <v>712</v>
      </c>
      <c r="K766" t="s">
        <v>729</v>
      </c>
      <c r="L766" t="s">
        <v>711</v>
      </c>
      <c r="M766" s="30">
        <v>3.13</v>
      </c>
      <c r="N766">
        <v>5.5</v>
      </c>
      <c r="P766" s="24" t="str">
        <f>IFERROR(MID(RADataTable[[#This Row],[RATemplate]],1,LEN(RADataTable[[#This Row],[RATemplate]])-8),"RA") &amp; " " &amp; RADataTable[[#This Row],[prop_id0]] &amp; " " &amp; RADataTable[[#This Row],[last0]]</f>
        <v>RA 1751416 Sitchinava</v>
      </c>
      <c r="T766">
        <v>4</v>
      </c>
      <c r="U766">
        <v>4</v>
      </c>
      <c r="V766" s="34">
        <v>43031.703472222223</v>
      </c>
      <c r="W766">
        <v>1</v>
      </c>
      <c r="X766" s="15" t="str">
        <f>HYPERLINK("https://www.ejacket.nsf.gov/ej/showProposal.do?Continue=Y&amp;ID="&amp;RADataTable[[#This Row],[prop_id0]],"eJ")</f>
        <v>eJ</v>
      </c>
      <c r="Y766" s="15" t="str">
        <f>HYPERLINK("mailto:"&amp;RADataTable[[#This Row],[email]]&amp;"&amp;subject=Your NSF Proposal:  "&amp;RADataTable[[#This Row],[Div]]&amp;" "&amp;RADataTable[[#This Row],[prop_id0]], RADataTable[[#This Row],[email]])</f>
        <v>nodari@hawaii.edu</v>
      </c>
      <c r="Z766" s="15" t="str">
        <f>HYPERLINK("mailto:"&amp;RADataTable[[#This Row],[allPIemail]]&amp;"&amp;subject=NSF Proposal:  "&amp;RADataTable[[#This Row],[Div]]&amp;" "&amp;RADataTable[[#This Row],[prop_id0]], "PIs@")</f>
        <v>PIs@</v>
      </c>
      <c r="AA766" t="s">
        <v>245</v>
      </c>
      <c r="AB766" t="s">
        <v>683</v>
      </c>
      <c r="AC766" s="30" t="s">
        <v>848</v>
      </c>
      <c r="AD766" t="s">
        <v>849</v>
      </c>
      <c r="AE766" t="s">
        <v>850</v>
      </c>
      <c r="AF766" s="36">
        <v>549999</v>
      </c>
      <c r="AG766" s="36">
        <v>549999</v>
      </c>
      <c r="AH766" s="24"/>
      <c r="AJ766" s="34"/>
      <c r="AK766" t="s">
        <v>923</v>
      </c>
      <c r="AL766" t="s">
        <v>287</v>
      </c>
      <c r="AM766" s="34" t="s">
        <v>925</v>
      </c>
      <c r="AN766" s="34">
        <v>43032</v>
      </c>
      <c r="AO766" s="24">
        <v>13</v>
      </c>
      <c r="AP766" t="s">
        <v>971</v>
      </c>
      <c r="AR766" s="35"/>
      <c r="AS766"/>
      <c r="AT766" s="34"/>
      <c r="AV766" s="34"/>
      <c r="AX766" s="34"/>
      <c r="AY766"/>
      <c r="BA766" s="34"/>
      <c r="BB766"/>
      <c r="BC766" t="s">
        <v>854</v>
      </c>
      <c r="BD766" s="36">
        <v>549999</v>
      </c>
      <c r="BE766" s="36">
        <v>549999</v>
      </c>
      <c r="BF766">
        <v>0</v>
      </c>
      <c r="BG766" s="34">
        <v>43160</v>
      </c>
      <c r="BH766">
        <v>60</v>
      </c>
      <c r="BI766" t="s">
        <v>283</v>
      </c>
      <c r="BJ766" t="s">
        <v>928</v>
      </c>
      <c r="BK766" t="s">
        <v>934</v>
      </c>
      <c r="BL766" t="s">
        <v>194</v>
      </c>
      <c r="BM766" s="8" t="s">
        <v>192</v>
      </c>
      <c r="BN766" t="s">
        <v>189</v>
      </c>
      <c r="BO766" t="s">
        <v>190</v>
      </c>
      <c r="BP766" s="35" t="s">
        <v>852</v>
      </c>
      <c r="BQ766"/>
      <c r="BU766" s="35"/>
      <c r="BV766" s="35"/>
      <c r="BX766"/>
      <c r="CA766" s="35"/>
      <c r="CB766" s="35"/>
      <c r="CC766"/>
      <c r="CG766" s="35"/>
      <c r="CH766" s="35"/>
      <c r="CK766"/>
      <c r="CM766" s="35"/>
      <c r="CN766" s="35"/>
      <c r="CQ766"/>
      <c r="CS766" s="35"/>
      <c r="CT766" s="35"/>
      <c r="CX766"/>
      <c r="CZ766" s="35"/>
      <c r="DD766" s="34"/>
      <c r="DG766" t="s">
        <v>851</v>
      </c>
      <c r="DH766" t="s">
        <v>972</v>
      </c>
      <c r="DI766" t="s">
        <v>286</v>
      </c>
      <c r="DL766" t="s">
        <v>683</v>
      </c>
      <c r="DM766">
        <v>4</v>
      </c>
      <c r="DN766">
        <v>7</v>
      </c>
      <c r="DO766" t="s">
        <v>853</v>
      </c>
      <c r="DQ766" t="s">
        <v>927</v>
      </c>
      <c r="DR766">
        <v>14</v>
      </c>
      <c r="DS766">
        <v>1</v>
      </c>
      <c r="DU766">
        <v>14</v>
      </c>
      <c r="DV766">
        <v>1</v>
      </c>
      <c r="DX766">
        <v>14</v>
      </c>
      <c r="DY766">
        <v>1</v>
      </c>
      <c r="DZ766" t="s">
        <v>246</v>
      </c>
      <c r="EA766" t="s">
        <v>929</v>
      </c>
    </row>
    <row r="767" spans="1:131" x14ac:dyDescent="0.4">
      <c r="A767" s="34">
        <v>43067.305104166669</v>
      </c>
      <c r="B767" s="25">
        <v>42935.851388888892</v>
      </c>
      <c r="D767" s="34"/>
      <c r="E767" s="34" t="s">
        <v>193</v>
      </c>
      <c r="F767" s="34" t="s">
        <v>191</v>
      </c>
      <c r="G767" s="34" t="s">
        <v>100</v>
      </c>
      <c r="H767" t="s">
        <v>279</v>
      </c>
      <c r="I767" t="s">
        <v>243</v>
      </c>
      <c r="J767" t="s">
        <v>712</v>
      </c>
      <c r="K767" t="s">
        <v>729</v>
      </c>
      <c r="L767" t="s">
        <v>711</v>
      </c>
      <c r="M767" s="30">
        <v>3.13</v>
      </c>
      <c r="N767">
        <v>5.5</v>
      </c>
      <c r="P767" s="24" t="str">
        <f>IFERROR(MID(RADataTable[[#This Row],[RATemplate]],1,LEN(RADataTable[[#This Row],[RATemplate]])-8),"RA") &amp; " " &amp; RADataTable[[#This Row],[prop_id0]] &amp; " " &amp; RADataTable[[#This Row],[last0]]</f>
        <v>RA 1751416 Sitchinava</v>
      </c>
      <c r="T767">
        <v>4</v>
      </c>
      <c r="U767">
        <v>4</v>
      </c>
      <c r="V767" s="34">
        <v>43031.703472222223</v>
      </c>
      <c r="W767">
        <v>1</v>
      </c>
      <c r="X767" s="15" t="str">
        <f>HYPERLINK("https://www.ejacket.nsf.gov/ej/showProposal.do?Continue=Y&amp;ID="&amp;RADataTable[[#This Row],[prop_id0]],"eJ")</f>
        <v>eJ</v>
      </c>
      <c r="Y767" s="15" t="str">
        <f>HYPERLINK("mailto:"&amp;RADataTable[[#This Row],[email]]&amp;"&amp;subject=Your NSF Proposal:  "&amp;RADataTable[[#This Row],[Div]]&amp;" "&amp;RADataTable[[#This Row],[prop_id0]], RADataTable[[#This Row],[email]])</f>
        <v>nodari@hawaii.edu</v>
      </c>
      <c r="Z767" s="15" t="str">
        <f>HYPERLINK("mailto:"&amp;RADataTable[[#This Row],[allPIemail]]&amp;"&amp;subject=NSF Proposal:  "&amp;RADataTable[[#This Row],[Div]]&amp;" "&amp;RADataTable[[#This Row],[prop_id0]], "PIs@")</f>
        <v>PIs@</v>
      </c>
      <c r="AA767" t="s">
        <v>245</v>
      </c>
      <c r="AB767" t="s">
        <v>683</v>
      </c>
      <c r="AC767" s="30" t="s">
        <v>848</v>
      </c>
      <c r="AD767" t="s">
        <v>849</v>
      </c>
      <c r="AE767" t="s">
        <v>850</v>
      </c>
      <c r="AF767" s="36">
        <v>549999</v>
      </c>
      <c r="AG767" s="36">
        <v>549999</v>
      </c>
      <c r="AH767" s="24"/>
      <c r="AJ767" s="34"/>
      <c r="AK767" t="s">
        <v>923</v>
      </c>
      <c r="AL767" t="s">
        <v>287</v>
      </c>
      <c r="AM767" s="34" t="s">
        <v>925</v>
      </c>
      <c r="AN767" s="34">
        <v>43032</v>
      </c>
      <c r="AO767" s="24">
        <v>13</v>
      </c>
      <c r="AP767" t="s">
        <v>971</v>
      </c>
      <c r="AR767" s="35"/>
      <c r="AS767"/>
      <c r="AT767" s="34"/>
      <c r="AV767" s="34"/>
      <c r="AX767" s="34"/>
      <c r="AY767"/>
      <c r="BA767" s="34"/>
      <c r="BB767"/>
      <c r="BC767" t="s">
        <v>854</v>
      </c>
      <c r="BD767" s="36">
        <v>549999</v>
      </c>
      <c r="BE767" s="36">
        <v>549999</v>
      </c>
      <c r="BF767">
        <v>0</v>
      </c>
      <c r="BG767" s="34">
        <v>43160</v>
      </c>
      <c r="BH767">
        <v>60</v>
      </c>
      <c r="BI767" t="s">
        <v>283</v>
      </c>
      <c r="BJ767" t="s">
        <v>928</v>
      </c>
      <c r="BK767" t="s">
        <v>934</v>
      </c>
      <c r="BL767" t="s">
        <v>194</v>
      </c>
      <c r="BM767" s="8" t="s">
        <v>192</v>
      </c>
      <c r="BN767" t="s">
        <v>189</v>
      </c>
      <c r="BO767" t="s">
        <v>190</v>
      </c>
      <c r="BP767" s="35" t="s">
        <v>852</v>
      </c>
      <c r="BQ767"/>
      <c r="BU767" s="35"/>
      <c r="BV767" s="35"/>
      <c r="BX767"/>
      <c r="CA767" s="35"/>
      <c r="CB767" s="35"/>
      <c r="CC767"/>
      <c r="CG767" s="35"/>
      <c r="CH767" s="35"/>
      <c r="CK767"/>
      <c r="CM767" s="35"/>
      <c r="CN767" s="35"/>
      <c r="CQ767"/>
      <c r="CS767" s="35"/>
      <c r="CT767" s="35"/>
      <c r="CX767"/>
      <c r="CZ767" s="35"/>
      <c r="DD767" s="34"/>
      <c r="DG767" t="s">
        <v>851</v>
      </c>
      <c r="DH767" t="s">
        <v>972</v>
      </c>
      <c r="DI767" t="s">
        <v>286</v>
      </c>
      <c r="DL767" t="s">
        <v>683</v>
      </c>
      <c r="DM767">
        <v>4</v>
      </c>
      <c r="DN767">
        <v>7</v>
      </c>
      <c r="DO767" t="s">
        <v>853</v>
      </c>
      <c r="DQ767" t="s">
        <v>927</v>
      </c>
      <c r="DR767">
        <v>14</v>
      </c>
      <c r="DS767">
        <v>1</v>
      </c>
      <c r="DU767">
        <v>14</v>
      </c>
      <c r="DV767">
        <v>1</v>
      </c>
      <c r="DX767">
        <v>14</v>
      </c>
      <c r="DY767">
        <v>1</v>
      </c>
      <c r="DZ767" t="s">
        <v>246</v>
      </c>
      <c r="EA767" t="s">
        <v>929</v>
      </c>
    </row>
    <row r="768" spans="1:131" x14ac:dyDescent="0.4">
      <c r="A768" s="34">
        <v>43067.305104166669</v>
      </c>
      <c r="B768" s="25">
        <v>42935.851388888892</v>
      </c>
      <c r="D768" s="34"/>
      <c r="E768" s="34" t="s">
        <v>193</v>
      </c>
      <c r="F768" s="34" t="s">
        <v>191</v>
      </c>
      <c r="G768" s="34" t="s">
        <v>100</v>
      </c>
      <c r="H768" t="s">
        <v>279</v>
      </c>
      <c r="I768" t="s">
        <v>243</v>
      </c>
      <c r="J768" t="s">
        <v>712</v>
      </c>
      <c r="K768" t="s">
        <v>729</v>
      </c>
      <c r="L768" t="s">
        <v>711</v>
      </c>
      <c r="M768" s="30">
        <v>3.13</v>
      </c>
      <c r="N768">
        <v>5.5</v>
      </c>
      <c r="P768" s="24" t="str">
        <f>IFERROR(MID(RADataTable[[#This Row],[RATemplate]],1,LEN(RADataTable[[#This Row],[RATemplate]])-8),"RA") &amp; " " &amp; RADataTable[[#This Row],[prop_id0]] &amp; " " &amp; RADataTable[[#This Row],[last0]]</f>
        <v>RA 1751416 Sitchinava</v>
      </c>
      <c r="T768">
        <v>4</v>
      </c>
      <c r="U768">
        <v>4</v>
      </c>
      <c r="V768" s="34">
        <v>43031.703472222223</v>
      </c>
      <c r="W768">
        <v>1</v>
      </c>
      <c r="X768" s="15" t="str">
        <f>HYPERLINK("https://www.ejacket.nsf.gov/ej/showProposal.do?Continue=Y&amp;ID="&amp;RADataTable[[#This Row],[prop_id0]],"eJ")</f>
        <v>eJ</v>
      </c>
      <c r="Y768" s="15" t="str">
        <f>HYPERLINK("mailto:"&amp;RADataTable[[#This Row],[email]]&amp;"&amp;subject=Your NSF Proposal:  "&amp;RADataTable[[#This Row],[Div]]&amp;" "&amp;RADataTable[[#This Row],[prop_id0]], RADataTable[[#This Row],[email]])</f>
        <v>nodari@hawaii.edu</v>
      </c>
      <c r="Z768" s="15" t="str">
        <f>HYPERLINK("mailto:"&amp;RADataTable[[#This Row],[allPIemail]]&amp;"&amp;subject=NSF Proposal:  "&amp;RADataTable[[#This Row],[Div]]&amp;" "&amp;RADataTable[[#This Row],[prop_id0]], "PIs@")</f>
        <v>PIs@</v>
      </c>
      <c r="AA768" t="s">
        <v>245</v>
      </c>
      <c r="AB768" t="s">
        <v>683</v>
      </c>
      <c r="AC768" s="30" t="s">
        <v>848</v>
      </c>
      <c r="AD768" t="s">
        <v>849</v>
      </c>
      <c r="AE768" t="s">
        <v>850</v>
      </c>
      <c r="AF768" s="36">
        <v>549999</v>
      </c>
      <c r="AG768" s="36">
        <v>549999</v>
      </c>
      <c r="AH768" s="24"/>
      <c r="AJ768" s="34"/>
      <c r="AK768" t="s">
        <v>923</v>
      </c>
      <c r="AL768" t="s">
        <v>287</v>
      </c>
      <c r="AM768" s="34" t="s">
        <v>925</v>
      </c>
      <c r="AN768" s="34">
        <v>43032</v>
      </c>
      <c r="AO768" s="24">
        <v>13</v>
      </c>
      <c r="AP768" t="s">
        <v>971</v>
      </c>
      <c r="AR768" s="35"/>
      <c r="AS768"/>
      <c r="AT768" s="34"/>
      <c r="AV768" s="34"/>
      <c r="AX768" s="34"/>
      <c r="AY768"/>
      <c r="BA768" s="34"/>
      <c r="BB768"/>
      <c r="BC768" t="s">
        <v>854</v>
      </c>
      <c r="BD768" s="36">
        <v>549999</v>
      </c>
      <c r="BE768" s="36">
        <v>549999</v>
      </c>
      <c r="BF768">
        <v>0</v>
      </c>
      <c r="BG768" s="34">
        <v>43160</v>
      </c>
      <c r="BH768">
        <v>60</v>
      </c>
      <c r="BI768" t="s">
        <v>283</v>
      </c>
      <c r="BJ768" t="s">
        <v>928</v>
      </c>
      <c r="BK768" t="s">
        <v>934</v>
      </c>
      <c r="BL768" t="s">
        <v>194</v>
      </c>
      <c r="BM768" s="8" t="s">
        <v>192</v>
      </c>
      <c r="BN768" t="s">
        <v>189</v>
      </c>
      <c r="BO768" t="s">
        <v>190</v>
      </c>
      <c r="BP768" s="35" t="s">
        <v>852</v>
      </c>
      <c r="BQ768"/>
      <c r="BU768" s="35"/>
      <c r="BV768" s="35"/>
      <c r="BX768"/>
      <c r="CA768" s="35"/>
      <c r="CB768" s="35"/>
      <c r="CC768"/>
      <c r="CG768" s="35"/>
      <c r="CH768" s="35"/>
      <c r="CK768"/>
      <c r="CM768" s="35"/>
      <c r="CN768" s="35"/>
      <c r="CQ768"/>
      <c r="CS768" s="35"/>
      <c r="CT768" s="35"/>
      <c r="CX768"/>
      <c r="CZ768" s="35"/>
      <c r="DD768" s="34"/>
      <c r="DG768" t="s">
        <v>851</v>
      </c>
      <c r="DH768" t="s">
        <v>972</v>
      </c>
      <c r="DI768" t="s">
        <v>286</v>
      </c>
      <c r="DL768" t="s">
        <v>683</v>
      </c>
      <c r="DM768">
        <v>4</v>
      </c>
      <c r="DN768">
        <v>7</v>
      </c>
      <c r="DO768" t="s">
        <v>853</v>
      </c>
      <c r="DQ768" t="s">
        <v>927</v>
      </c>
      <c r="DR768">
        <v>14</v>
      </c>
      <c r="DS768">
        <v>1</v>
      </c>
      <c r="DU768">
        <v>14</v>
      </c>
      <c r="DV768">
        <v>1</v>
      </c>
      <c r="DX768">
        <v>14</v>
      </c>
      <c r="DY768">
        <v>1</v>
      </c>
      <c r="DZ768" t="s">
        <v>246</v>
      </c>
      <c r="EA768" t="s">
        <v>929</v>
      </c>
    </row>
    <row r="769" spans="1:131" x14ac:dyDescent="0.4">
      <c r="A769" s="34">
        <v>43067.305104166669</v>
      </c>
      <c r="B769" s="25">
        <v>42935.851388888892</v>
      </c>
      <c r="D769" s="34"/>
      <c r="E769" s="34" t="s">
        <v>193</v>
      </c>
      <c r="F769" s="34" t="s">
        <v>191</v>
      </c>
      <c r="G769" s="34" t="s">
        <v>100</v>
      </c>
      <c r="H769" t="s">
        <v>279</v>
      </c>
      <c r="I769" t="s">
        <v>243</v>
      </c>
      <c r="J769" t="s">
        <v>712</v>
      </c>
      <c r="K769" t="s">
        <v>729</v>
      </c>
      <c r="L769" t="s">
        <v>711</v>
      </c>
      <c r="M769" s="30">
        <v>3.13</v>
      </c>
      <c r="N769">
        <v>5.5</v>
      </c>
      <c r="P769" s="24" t="str">
        <f>IFERROR(MID(RADataTable[[#This Row],[RATemplate]],1,LEN(RADataTable[[#This Row],[RATemplate]])-8),"RA") &amp; " " &amp; RADataTable[[#This Row],[prop_id0]] &amp; " " &amp; RADataTable[[#This Row],[last0]]</f>
        <v>RA 1751416 Sitchinava</v>
      </c>
      <c r="T769">
        <v>4</v>
      </c>
      <c r="U769">
        <v>4</v>
      </c>
      <c r="V769" s="34">
        <v>43031.703472222223</v>
      </c>
      <c r="W769">
        <v>1</v>
      </c>
      <c r="X769" s="15" t="str">
        <f>HYPERLINK("https://www.ejacket.nsf.gov/ej/showProposal.do?Continue=Y&amp;ID="&amp;RADataTable[[#This Row],[prop_id0]],"eJ")</f>
        <v>eJ</v>
      </c>
      <c r="Y769" s="15" t="str">
        <f>HYPERLINK("mailto:"&amp;RADataTable[[#This Row],[email]]&amp;"&amp;subject=Your NSF Proposal:  "&amp;RADataTable[[#This Row],[Div]]&amp;" "&amp;RADataTable[[#This Row],[prop_id0]], RADataTable[[#This Row],[email]])</f>
        <v>nodari@hawaii.edu</v>
      </c>
      <c r="Z769" s="15" t="str">
        <f>HYPERLINK("mailto:"&amp;RADataTable[[#This Row],[allPIemail]]&amp;"&amp;subject=NSF Proposal:  "&amp;RADataTable[[#This Row],[Div]]&amp;" "&amp;RADataTable[[#This Row],[prop_id0]], "PIs@")</f>
        <v>PIs@</v>
      </c>
      <c r="AA769" t="s">
        <v>245</v>
      </c>
      <c r="AB769" t="s">
        <v>683</v>
      </c>
      <c r="AC769" s="30" t="s">
        <v>848</v>
      </c>
      <c r="AD769" t="s">
        <v>849</v>
      </c>
      <c r="AE769" t="s">
        <v>850</v>
      </c>
      <c r="AF769" s="36">
        <v>549999</v>
      </c>
      <c r="AG769" s="36">
        <v>549999</v>
      </c>
      <c r="AH769" s="24"/>
      <c r="AJ769" s="34"/>
      <c r="AK769" t="s">
        <v>923</v>
      </c>
      <c r="AL769" t="s">
        <v>287</v>
      </c>
      <c r="AM769" s="34" t="s">
        <v>925</v>
      </c>
      <c r="AN769" s="34">
        <v>43032</v>
      </c>
      <c r="AO769" s="24">
        <v>13</v>
      </c>
      <c r="AP769" t="s">
        <v>971</v>
      </c>
      <c r="AR769" s="35"/>
      <c r="AS769"/>
      <c r="AT769" s="34"/>
      <c r="AV769" s="34"/>
      <c r="AX769" s="34"/>
      <c r="AY769"/>
      <c r="BA769" s="34"/>
      <c r="BB769"/>
      <c r="BC769" t="s">
        <v>854</v>
      </c>
      <c r="BD769" s="36">
        <v>549999</v>
      </c>
      <c r="BE769" s="36">
        <v>549999</v>
      </c>
      <c r="BF769">
        <v>0</v>
      </c>
      <c r="BG769" s="34">
        <v>43160</v>
      </c>
      <c r="BH769">
        <v>60</v>
      </c>
      <c r="BI769" t="s">
        <v>283</v>
      </c>
      <c r="BJ769" t="s">
        <v>928</v>
      </c>
      <c r="BK769" t="s">
        <v>934</v>
      </c>
      <c r="BL769" t="s">
        <v>194</v>
      </c>
      <c r="BM769" s="8" t="s">
        <v>192</v>
      </c>
      <c r="BN769" t="s">
        <v>189</v>
      </c>
      <c r="BO769" t="s">
        <v>190</v>
      </c>
      <c r="BP769" s="35" t="s">
        <v>852</v>
      </c>
      <c r="BQ769"/>
      <c r="BU769" s="35"/>
      <c r="BV769" s="35"/>
      <c r="BX769"/>
      <c r="CA769" s="35"/>
      <c r="CB769" s="35"/>
      <c r="CC769"/>
      <c r="CG769" s="35"/>
      <c r="CH769" s="35"/>
      <c r="CK769"/>
      <c r="CM769" s="35"/>
      <c r="CN769" s="35"/>
      <c r="CQ769"/>
      <c r="CS769" s="35"/>
      <c r="CT769" s="35"/>
      <c r="CX769"/>
      <c r="CZ769" s="35"/>
      <c r="DD769" s="34"/>
      <c r="DG769" t="s">
        <v>851</v>
      </c>
      <c r="DH769" t="s">
        <v>972</v>
      </c>
      <c r="DI769" t="s">
        <v>286</v>
      </c>
      <c r="DL769" t="s">
        <v>683</v>
      </c>
      <c r="DM769">
        <v>4</v>
      </c>
      <c r="DN769">
        <v>7</v>
      </c>
      <c r="DO769" t="s">
        <v>853</v>
      </c>
      <c r="DQ769" t="s">
        <v>927</v>
      </c>
      <c r="DR769">
        <v>14</v>
      </c>
      <c r="DS769">
        <v>1</v>
      </c>
      <c r="DU769">
        <v>14</v>
      </c>
      <c r="DV769">
        <v>1</v>
      </c>
      <c r="DX769">
        <v>14</v>
      </c>
      <c r="DY769">
        <v>1</v>
      </c>
      <c r="DZ769" t="s">
        <v>246</v>
      </c>
      <c r="EA769" t="s">
        <v>929</v>
      </c>
    </row>
    <row r="770" spans="1:131" x14ac:dyDescent="0.4">
      <c r="A770" s="34">
        <v>43067.305104166669</v>
      </c>
      <c r="B770" s="25">
        <v>42935.851388888892</v>
      </c>
      <c r="D770" s="34"/>
      <c r="E770" s="34" t="s">
        <v>193</v>
      </c>
      <c r="F770" s="34" t="s">
        <v>191</v>
      </c>
      <c r="G770" s="34" t="s">
        <v>100</v>
      </c>
      <c r="H770" t="s">
        <v>279</v>
      </c>
      <c r="I770" t="s">
        <v>243</v>
      </c>
      <c r="J770" t="s">
        <v>712</v>
      </c>
      <c r="K770" t="s">
        <v>729</v>
      </c>
      <c r="L770" t="s">
        <v>711</v>
      </c>
      <c r="M770" s="30">
        <v>3.13</v>
      </c>
      <c r="N770">
        <v>5.5</v>
      </c>
      <c r="P770" s="24" t="str">
        <f>IFERROR(MID(RADataTable[[#This Row],[RATemplate]],1,LEN(RADataTable[[#This Row],[RATemplate]])-8),"RA") &amp; " " &amp; RADataTable[[#This Row],[prop_id0]] &amp; " " &amp; RADataTable[[#This Row],[last0]]</f>
        <v>RA 1751416 Sitchinava</v>
      </c>
      <c r="T770">
        <v>4</v>
      </c>
      <c r="U770">
        <v>4</v>
      </c>
      <c r="V770" s="34">
        <v>43031.703472222223</v>
      </c>
      <c r="W770">
        <v>1</v>
      </c>
      <c r="X770" s="15" t="str">
        <f>HYPERLINK("https://www.ejacket.nsf.gov/ej/showProposal.do?Continue=Y&amp;ID="&amp;RADataTable[[#This Row],[prop_id0]],"eJ")</f>
        <v>eJ</v>
      </c>
      <c r="Y770" s="15" t="str">
        <f>HYPERLINK("mailto:"&amp;RADataTable[[#This Row],[email]]&amp;"&amp;subject=Your NSF Proposal:  "&amp;RADataTable[[#This Row],[Div]]&amp;" "&amp;RADataTable[[#This Row],[prop_id0]], RADataTable[[#This Row],[email]])</f>
        <v>nodari@hawaii.edu</v>
      </c>
      <c r="Z770" s="15" t="str">
        <f>HYPERLINK("mailto:"&amp;RADataTable[[#This Row],[allPIemail]]&amp;"&amp;subject=NSF Proposal:  "&amp;RADataTable[[#This Row],[Div]]&amp;" "&amp;RADataTable[[#This Row],[prop_id0]], "PIs@")</f>
        <v>PIs@</v>
      </c>
      <c r="AA770" t="s">
        <v>245</v>
      </c>
      <c r="AB770" t="s">
        <v>683</v>
      </c>
      <c r="AC770" s="30" t="s">
        <v>848</v>
      </c>
      <c r="AD770" t="s">
        <v>849</v>
      </c>
      <c r="AE770" t="s">
        <v>850</v>
      </c>
      <c r="AF770" s="36">
        <v>549999</v>
      </c>
      <c r="AG770" s="36">
        <v>549999</v>
      </c>
      <c r="AH770" s="24"/>
      <c r="AJ770" s="34"/>
      <c r="AK770" t="s">
        <v>923</v>
      </c>
      <c r="AL770" t="s">
        <v>287</v>
      </c>
      <c r="AM770" s="34" t="s">
        <v>925</v>
      </c>
      <c r="AN770" s="34">
        <v>43032</v>
      </c>
      <c r="AO770" s="24">
        <v>13</v>
      </c>
      <c r="AP770" t="s">
        <v>971</v>
      </c>
      <c r="AR770" s="35"/>
      <c r="AS770"/>
      <c r="AT770" s="34"/>
      <c r="AV770" s="34"/>
      <c r="AX770" s="34"/>
      <c r="AY770"/>
      <c r="BA770" s="34"/>
      <c r="BB770"/>
      <c r="BC770" t="s">
        <v>854</v>
      </c>
      <c r="BD770" s="36">
        <v>549999</v>
      </c>
      <c r="BE770" s="36">
        <v>549999</v>
      </c>
      <c r="BF770">
        <v>0</v>
      </c>
      <c r="BG770" s="34">
        <v>43160</v>
      </c>
      <c r="BH770">
        <v>60</v>
      </c>
      <c r="BI770" t="s">
        <v>283</v>
      </c>
      <c r="BJ770" t="s">
        <v>928</v>
      </c>
      <c r="BK770" t="s">
        <v>934</v>
      </c>
      <c r="BL770" t="s">
        <v>194</v>
      </c>
      <c r="BM770" s="8" t="s">
        <v>192</v>
      </c>
      <c r="BN770" t="s">
        <v>189</v>
      </c>
      <c r="BO770" t="s">
        <v>190</v>
      </c>
      <c r="BP770" s="35" t="s">
        <v>852</v>
      </c>
      <c r="BQ770"/>
      <c r="BU770" s="35"/>
      <c r="BV770" s="35"/>
      <c r="BX770"/>
      <c r="CA770" s="35"/>
      <c r="CB770" s="35"/>
      <c r="CC770"/>
      <c r="CG770" s="35"/>
      <c r="CH770" s="35"/>
      <c r="CK770"/>
      <c r="CM770" s="35"/>
      <c r="CN770" s="35"/>
      <c r="CQ770"/>
      <c r="CS770" s="35"/>
      <c r="CT770" s="35"/>
      <c r="CX770"/>
      <c r="CZ770" s="35"/>
      <c r="DD770" s="34"/>
      <c r="DG770" t="s">
        <v>851</v>
      </c>
      <c r="DH770" t="s">
        <v>972</v>
      </c>
      <c r="DI770" t="s">
        <v>286</v>
      </c>
      <c r="DL770" t="s">
        <v>683</v>
      </c>
      <c r="DM770">
        <v>4</v>
      </c>
      <c r="DN770">
        <v>7</v>
      </c>
      <c r="DO770" t="s">
        <v>853</v>
      </c>
      <c r="DQ770" t="s">
        <v>927</v>
      </c>
      <c r="DR770">
        <v>14</v>
      </c>
      <c r="DS770">
        <v>1</v>
      </c>
      <c r="DU770">
        <v>14</v>
      </c>
      <c r="DV770">
        <v>1</v>
      </c>
      <c r="DX770">
        <v>14</v>
      </c>
      <c r="DY770">
        <v>1</v>
      </c>
      <c r="DZ770" t="s">
        <v>246</v>
      </c>
      <c r="EA770" t="s">
        <v>929</v>
      </c>
    </row>
    <row r="771" spans="1:131" x14ac:dyDescent="0.4">
      <c r="A771" s="34">
        <v>43067.305104166669</v>
      </c>
      <c r="B771" s="25">
        <v>42935.851388888892</v>
      </c>
      <c r="D771" s="34"/>
      <c r="E771" s="34" t="s">
        <v>193</v>
      </c>
      <c r="F771" s="34" t="s">
        <v>191</v>
      </c>
      <c r="G771" s="34" t="s">
        <v>100</v>
      </c>
      <c r="H771" t="s">
        <v>279</v>
      </c>
      <c r="I771" t="s">
        <v>243</v>
      </c>
      <c r="J771" t="s">
        <v>712</v>
      </c>
      <c r="K771" t="s">
        <v>729</v>
      </c>
      <c r="L771" t="s">
        <v>711</v>
      </c>
      <c r="M771" s="30">
        <v>3.13</v>
      </c>
      <c r="N771">
        <v>5.5</v>
      </c>
      <c r="P771" s="24" t="str">
        <f>IFERROR(MID(RADataTable[[#This Row],[RATemplate]],1,LEN(RADataTable[[#This Row],[RATemplate]])-8),"RA") &amp; " " &amp; RADataTable[[#This Row],[prop_id0]] &amp; " " &amp; RADataTable[[#This Row],[last0]]</f>
        <v>RA 1751416 Sitchinava</v>
      </c>
      <c r="T771">
        <v>4</v>
      </c>
      <c r="U771">
        <v>4</v>
      </c>
      <c r="V771" s="34">
        <v>43031.703472222223</v>
      </c>
      <c r="W771">
        <v>1</v>
      </c>
      <c r="X771" s="15" t="str">
        <f>HYPERLINK("https://www.ejacket.nsf.gov/ej/showProposal.do?Continue=Y&amp;ID="&amp;RADataTable[[#This Row],[prop_id0]],"eJ")</f>
        <v>eJ</v>
      </c>
      <c r="Y771" s="15" t="str">
        <f>HYPERLINK("mailto:"&amp;RADataTable[[#This Row],[email]]&amp;"&amp;subject=Your NSF Proposal:  "&amp;RADataTable[[#This Row],[Div]]&amp;" "&amp;RADataTable[[#This Row],[prop_id0]], RADataTable[[#This Row],[email]])</f>
        <v>nodari@hawaii.edu</v>
      </c>
      <c r="Z771" s="15" t="str">
        <f>HYPERLINK("mailto:"&amp;RADataTable[[#This Row],[allPIemail]]&amp;"&amp;subject=NSF Proposal:  "&amp;RADataTable[[#This Row],[Div]]&amp;" "&amp;RADataTable[[#This Row],[prop_id0]], "PIs@")</f>
        <v>PIs@</v>
      </c>
      <c r="AA771" t="s">
        <v>245</v>
      </c>
      <c r="AB771" t="s">
        <v>683</v>
      </c>
      <c r="AC771" s="30" t="s">
        <v>848</v>
      </c>
      <c r="AD771" t="s">
        <v>849</v>
      </c>
      <c r="AE771" t="s">
        <v>850</v>
      </c>
      <c r="AF771" s="36">
        <v>549999</v>
      </c>
      <c r="AG771" s="36">
        <v>549999</v>
      </c>
      <c r="AH771" s="24"/>
      <c r="AJ771" s="34"/>
      <c r="AK771" t="s">
        <v>923</v>
      </c>
      <c r="AL771" t="s">
        <v>287</v>
      </c>
      <c r="AM771" s="34" t="s">
        <v>925</v>
      </c>
      <c r="AN771" s="34">
        <v>43032</v>
      </c>
      <c r="AO771" s="24">
        <v>13</v>
      </c>
      <c r="AP771" t="s">
        <v>971</v>
      </c>
      <c r="AR771" s="35"/>
      <c r="AS771"/>
      <c r="AT771" s="34"/>
      <c r="AV771" s="34"/>
      <c r="AX771" s="34"/>
      <c r="AY771"/>
      <c r="BA771" s="34"/>
      <c r="BB771"/>
      <c r="BC771" t="s">
        <v>854</v>
      </c>
      <c r="BD771" s="36">
        <v>549999</v>
      </c>
      <c r="BE771" s="36">
        <v>549999</v>
      </c>
      <c r="BF771">
        <v>0</v>
      </c>
      <c r="BG771" s="34">
        <v>43160</v>
      </c>
      <c r="BH771">
        <v>60</v>
      </c>
      <c r="BI771" t="s">
        <v>283</v>
      </c>
      <c r="BJ771" t="s">
        <v>928</v>
      </c>
      <c r="BK771" t="s">
        <v>934</v>
      </c>
      <c r="BL771" t="s">
        <v>194</v>
      </c>
      <c r="BM771" s="8" t="s">
        <v>192</v>
      </c>
      <c r="BN771" t="s">
        <v>189</v>
      </c>
      <c r="BO771" t="s">
        <v>190</v>
      </c>
      <c r="BP771" s="35" t="s">
        <v>852</v>
      </c>
      <c r="BQ771"/>
      <c r="BU771" s="35"/>
      <c r="BV771" s="35"/>
      <c r="BX771"/>
      <c r="CA771" s="35"/>
      <c r="CB771" s="35"/>
      <c r="CC771"/>
      <c r="CG771" s="35"/>
      <c r="CH771" s="35"/>
      <c r="CK771"/>
      <c r="CM771" s="35"/>
      <c r="CN771" s="35"/>
      <c r="CQ771"/>
      <c r="CS771" s="35"/>
      <c r="CT771" s="35"/>
      <c r="CX771"/>
      <c r="CZ771" s="35"/>
      <c r="DD771" s="34"/>
      <c r="DG771" t="s">
        <v>851</v>
      </c>
      <c r="DH771" t="s">
        <v>972</v>
      </c>
      <c r="DI771" t="s">
        <v>286</v>
      </c>
      <c r="DL771" t="s">
        <v>683</v>
      </c>
      <c r="DM771">
        <v>4</v>
      </c>
      <c r="DN771">
        <v>7</v>
      </c>
      <c r="DO771" t="s">
        <v>853</v>
      </c>
      <c r="DQ771" t="s">
        <v>927</v>
      </c>
      <c r="DR771">
        <v>14</v>
      </c>
      <c r="DS771">
        <v>1</v>
      </c>
      <c r="DU771">
        <v>14</v>
      </c>
      <c r="DV771">
        <v>1</v>
      </c>
      <c r="DX771">
        <v>14</v>
      </c>
      <c r="DY771">
        <v>1</v>
      </c>
      <c r="DZ771" t="s">
        <v>246</v>
      </c>
      <c r="EA771" t="s">
        <v>929</v>
      </c>
    </row>
    <row r="772" spans="1:131" x14ac:dyDescent="0.4">
      <c r="A772" s="34">
        <v>43067.305104166669</v>
      </c>
      <c r="B772" s="25">
        <v>42935.851388888892</v>
      </c>
      <c r="D772" s="34"/>
      <c r="E772" s="34" t="s">
        <v>193</v>
      </c>
      <c r="F772" s="34" t="s">
        <v>191</v>
      </c>
      <c r="G772" s="34" t="s">
        <v>100</v>
      </c>
      <c r="H772" t="s">
        <v>279</v>
      </c>
      <c r="I772" t="s">
        <v>243</v>
      </c>
      <c r="J772" t="s">
        <v>712</v>
      </c>
      <c r="K772" t="s">
        <v>729</v>
      </c>
      <c r="L772" t="s">
        <v>711</v>
      </c>
      <c r="M772" s="30">
        <v>3.13</v>
      </c>
      <c r="N772">
        <v>5.5</v>
      </c>
      <c r="P772" s="24" t="str">
        <f>IFERROR(MID(RADataTable[[#This Row],[RATemplate]],1,LEN(RADataTable[[#This Row],[RATemplate]])-8),"RA") &amp; " " &amp; RADataTable[[#This Row],[prop_id0]] &amp; " " &amp; RADataTable[[#This Row],[last0]]</f>
        <v>RA 1751416 Sitchinava</v>
      </c>
      <c r="T772">
        <v>4</v>
      </c>
      <c r="U772">
        <v>4</v>
      </c>
      <c r="V772" s="34">
        <v>43031.703472222223</v>
      </c>
      <c r="W772">
        <v>1</v>
      </c>
      <c r="X772" s="15" t="str">
        <f>HYPERLINK("https://www.ejacket.nsf.gov/ej/showProposal.do?Continue=Y&amp;ID="&amp;RADataTable[[#This Row],[prop_id0]],"eJ")</f>
        <v>eJ</v>
      </c>
      <c r="Y772" s="15" t="str">
        <f>HYPERLINK("mailto:"&amp;RADataTable[[#This Row],[email]]&amp;"&amp;subject=Your NSF Proposal:  "&amp;RADataTable[[#This Row],[Div]]&amp;" "&amp;RADataTable[[#This Row],[prop_id0]], RADataTable[[#This Row],[email]])</f>
        <v>nodari@hawaii.edu</v>
      </c>
      <c r="Z772" s="15" t="str">
        <f>HYPERLINK("mailto:"&amp;RADataTable[[#This Row],[allPIemail]]&amp;"&amp;subject=NSF Proposal:  "&amp;RADataTable[[#This Row],[Div]]&amp;" "&amp;RADataTable[[#This Row],[prop_id0]], "PIs@")</f>
        <v>PIs@</v>
      </c>
      <c r="AA772" t="s">
        <v>245</v>
      </c>
      <c r="AB772" t="s">
        <v>683</v>
      </c>
      <c r="AC772" s="30" t="s">
        <v>848</v>
      </c>
      <c r="AD772" t="s">
        <v>849</v>
      </c>
      <c r="AE772" t="s">
        <v>850</v>
      </c>
      <c r="AF772" s="36">
        <v>549999</v>
      </c>
      <c r="AG772" s="36">
        <v>549999</v>
      </c>
      <c r="AH772" s="24"/>
      <c r="AJ772" s="34"/>
      <c r="AK772" t="s">
        <v>923</v>
      </c>
      <c r="AL772" t="s">
        <v>287</v>
      </c>
      <c r="AM772" s="34" t="s">
        <v>925</v>
      </c>
      <c r="AN772" s="34">
        <v>43032</v>
      </c>
      <c r="AO772" s="24">
        <v>13</v>
      </c>
      <c r="AP772" t="s">
        <v>971</v>
      </c>
      <c r="AR772" s="35"/>
      <c r="AS772"/>
      <c r="AT772" s="34"/>
      <c r="AV772" s="34"/>
      <c r="AX772" s="34"/>
      <c r="AY772"/>
      <c r="BA772" s="34"/>
      <c r="BB772"/>
      <c r="BC772" t="s">
        <v>854</v>
      </c>
      <c r="BD772" s="36">
        <v>549999</v>
      </c>
      <c r="BE772" s="36">
        <v>549999</v>
      </c>
      <c r="BF772">
        <v>0</v>
      </c>
      <c r="BG772" s="34">
        <v>43160</v>
      </c>
      <c r="BH772">
        <v>60</v>
      </c>
      <c r="BI772" t="s">
        <v>283</v>
      </c>
      <c r="BJ772" t="s">
        <v>928</v>
      </c>
      <c r="BK772" t="s">
        <v>934</v>
      </c>
      <c r="BL772" t="s">
        <v>194</v>
      </c>
      <c r="BM772" s="8" t="s">
        <v>192</v>
      </c>
      <c r="BN772" t="s">
        <v>189</v>
      </c>
      <c r="BO772" t="s">
        <v>190</v>
      </c>
      <c r="BP772" s="35" t="s">
        <v>852</v>
      </c>
      <c r="BQ772"/>
      <c r="BU772" s="35"/>
      <c r="BV772" s="35"/>
      <c r="BX772"/>
      <c r="CA772" s="35"/>
      <c r="CB772" s="35"/>
      <c r="CC772"/>
      <c r="CG772" s="35"/>
      <c r="CH772" s="35"/>
      <c r="CK772"/>
      <c r="CM772" s="35"/>
      <c r="CN772" s="35"/>
      <c r="CQ772"/>
      <c r="CS772" s="35"/>
      <c r="CT772" s="35"/>
      <c r="CX772"/>
      <c r="CZ772" s="35"/>
      <c r="DD772" s="34"/>
      <c r="DG772" t="s">
        <v>851</v>
      </c>
      <c r="DH772" t="s">
        <v>972</v>
      </c>
      <c r="DI772" t="s">
        <v>286</v>
      </c>
      <c r="DL772" t="s">
        <v>683</v>
      </c>
      <c r="DM772">
        <v>4</v>
      </c>
      <c r="DN772">
        <v>7</v>
      </c>
      <c r="DO772" t="s">
        <v>853</v>
      </c>
      <c r="DQ772" t="s">
        <v>927</v>
      </c>
      <c r="DR772">
        <v>14</v>
      </c>
      <c r="DS772">
        <v>1</v>
      </c>
      <c r="DU772">
        <v>14</v>
      </c>
      <c r="DV772">
        <v>1</v>
      </c>
      <c r="DX772">
        <v>14</v>
      </c>
      <c r="DY772">
        <v>1</v>
      </c>
      <c r="DZ772" t="s">
        <v>246</v>
      </c>
      <c r="EA772" t="s">
        <v>929</v>
      </c>
    </row>
    <row r="773" spans="1:131" x14ac:dyDescent="0.4">
      <c r="A773" s="34">
        <v>43067.305104166669</v>
      </c>
      <c r="B773" s="25">
        <v>42935.851388888892</v>
      </c>
      <c r="D773" s="34"/>
      <c r="E773" s="34" t="s">
        <v>193</v>
      </c>
      <c r="F773" s="34" t="s">
        <v>191</v>
      </c>
      <c r="G773" s="34" t="s">
        <v>100</v>
      </c>
      <c r="H773" t="s">
        <v>279</v>
      </c>
      <c r="I773" t="s">
        <v>243</v>
      </c>
      <c r="J773" t="s">
        <v>712</v>
      </c>
      <c r="K773" t="s">
        <v>729</v>
      </c>
      <c r="L773" t="s">
        <v>711</v>
      </c>
      <c r="M773" s="30">
        <v>3.13</v>
      </c>
      <c r="N773">
        <v>5.5</v>
      </c>
      <c r="P773" s="24" t="str">
        <f>IFERROR(MID(RADataTable[[#This Row],[RATemplate]],1,LEN(RADataTable[[#This Row],[RATemplate]])-8),"RA") &amp; " " &amp; RADataTable[[#This Row],[prop_id0]] &amp; " " &amp; RADataTable[[#This Row],[last0]]</f>
        <v>RA 1751416 Sitchinava</v>
      </c>
      <c r="T773">
        <v>4</v>
      </c>
      <c r="U773">
        <v>4</v>
      </c>
      <c r="V773" s="34">
        <v>43031.703472222223</v>
      </c>
      <c r="W773">
        <v>1</v>
      </c>
      <c r="X773" s="15" t="str">
        <f>HYPERLINK("https://www.ejacket.nsf.gov/ej/showProposal.do?Continue=Y&amp;ID="&amp;RADataTable[[#This Row],[prop_id0]],"eJ")</f>
        <v>eJ</v>
      </c>
      <c r="Y773" s="15" t="str">
        <f>HYPERLINK("mailto:"&amp;RADataTable[[#This Row],[email]]&amp;"&amp;subject=Your NSF Proposal:  "&amp;RADataTable[[#This Row],[Div]]&amp;" "&amp;RADataTable[[#This Row],[prop_id0]], RADataTable[[#This Row],[email]])</f>
        <v>nodari@hawaii.edu</v>
      </c>
      <c r="Z773" s="15" t="str">
        <f>HYPERLINK("mailto:"&amp;RADataTable[[#This Row],[allPIemail]]&amp;"&amp;subject=NSF Proposal:  "&amp;RADataTable[[#This Row],[Div]]&amp;" "&amp;RADataTable[[#This Row],[prop_id0]], "PIs@")</f>
        <v>PIs@</v>
      </c>
      <c r="AA773" t="s">
        <v>245</v>
      </c>
      <c r="AB773" t="s">
        <v>683</v>
      </c>
      <c r="AC773" s="30" t="s">
        <v>848</v>
      </c>
      <c r="AD773" t="s">
        <v>849</v>
      </c>
      <c r="AE773" t="s">
        <v>850</v>
      </c>
      <c r="AF773" s="36">
        <v>549999</v>
      </c>
      <c r="AG773" s="36">
        <v>549999</v>
      </c>
      <c r="AH773" s="24"/>
      <c r="AJ773" s="34"/>
      <c r="AK773" t="s">
        <v>923</v>
      </c>
      <c r="AL773" t="s">
        <v>287</v>
      </c>
      <c r="AM773" s="34" t="s">
        <v>925</v>
      </c>
      <c r="AN773" s="34">
        <v>43032</v>
      </c>
      <c r="AO773" s="24">
        <v>13</v>
      </c>
      <c r="AP773" t="s">
        <v>971</v>
      </c>
      <c r="AR773" s="35"/>
      <c r="AS773"/>
      <c r="AT773" s="34"/>
      <c r="AV773" s="34"/>
      <c r="AX773" s="34"/>
      <c r="AY773"/>
      <c r="BA773" s="34"/>
      <c r="BB773"/>
      <c r="BC773" t="s">
        <v>854</v>
      </c>
      <c r="BD773" s="36">
        <v>549999</v>
      </c>
      <c r="BE773" s="36">
        <v>549999</v>
      </c>
      <c r="BF773">
        <v>0</v>
      </c>
      <c r="BG773" s="34">
        <v>43160</v>
      </c>
      <c r="BH773">
        <v>60</v>
      </c>
      <c r="BI773" t="s">
        <v>283</v>
      </c>
      <c r="BJ773" t="s">
        <v>928</v>
      </c>
      <c r="BK773" t="s">
        <v>934</v>
      </c>
      <c r="BL773" t="s">
        <v>194</v>
      </c>
      <c r="BM773" s="8" t="s">
        <v>192</v>
      </c>
      <c r="BN773" t="s">
        <v>189</v>
      </c>
      <c r="BO773" t="s">
        <v>190</v>
      </c>
      <c r="BP773" s="35" t="s">
        <v>852</v>
      </c>
      <c r="BQ773"/>
      <c r="BU773" s="35"/>
      <c r="BV773" s="35"/>
      <c r="BX773"/>
      <c r="CA773" s="35"/>
      <c r="CB773" s="35"/>
      <c r="CC773"/>
      <c r="CG773" s="35"/>
      <c r="CH773" s="35"/>
      <c r="CK773"/>
      <c r="CM773" s="35"/>
      <c r="CN773" s="35"/>
      <c r="CQ773"/>
      <c r="CS773" s="35"/>
      <c r="CT773" s="35"/>
      <c r="CX773"/>
      <c r="CZ773" s="35"/>
      <c r="DD773" s="34"/>
      <c r="DG773" t="s">
        <v>851</v>
      </c>
      <c r="DH773" t="s">
        <v>972</v>
      </c>
      <c r="DI773" t="s">
        <v>286</v>
      </c>
      <c r="DL773" t="s">
        <v>683</v>
      </c>
      <c r="DM773">
        <v>4</v>
      </c>
      <c r="DN773">
        <v>7</v>
      </c>
      <c r="DO773" t="s">
        <v>853</v>
      </c>
      <c r="DQ773" t="s">
        <v>927</v>
      </c>
      <c r="DR773">
        <v>14</v>
      </c>
      <c r="DS773">
        <v>1</v>
      </c>
      <c r="DU773">
        <v>14</v>
      </c>
      <c r="DV773">
        <v>1</v>
      </c>
      <c r="DX773">
        <v>14</v>
      </c>
      <c r="DY773">
        <v>1</v>
      </c>
      <c r="DZ773" t="s">
        <v>246</v>
      </c>
      <c r="EA773" t="s">
        <v>929</v>
      </c>
    </row>
    <row r="774" spans="1:131" x14ac:dyDescent="0.4">
      <c r="A774" s="34">
        <v>43067.305104166669</v>
      </c>
      <c r="B774" s="25">
        <v>42935.851388888892</v>
      </c>
      <c r="D774" s="34"/>
      <c r="E774" s="34" t="s">
        <v>193</v>
      </c>
      <c r="F774" s="34" t="s">
        <v>191</v>
      </c>
      <c r="G774" s="34" t="s">
        <v>100</v>
      </c>
      <c r="H774" t="s">
        <v>279</v>
      </c>
      <c r="I774" t="s">
        <v>243</v>
      </c>
      <c r="J774" t="s">
        <v>712</v>
      </c>
      <c r="K774" t="s">
        <v>729</v>
      </c>
      <c r="L774" t="s">
        <v>711</v>
      </c>
      <c r="M774" s="30">
        <v>3.13</v>
      </c>
      <c r="N774">
        <v>5.5</v>
      </c>
      <c r="P774" s="24" t="str">
        <f>IFERROR(MID(RADataTable[[#This Row],[RATemplate]],1,LEN(RADataTable[[#This Row],[RATemplate]])-8),"RA") &amp; " " &amp; RADataTable[[#This Row],[prop_id0]] &amp; " " &amp; RADataTable[[#This Row],[last0]]</f>
        <v>RA 1751416 Sitchinava</v>
      </c>
      <c r="T774">
        <v>4</v>
      </c>
      <c r="U774">
        <v>4</v>
      </c>
      <c r="V774" s="34">
        <v>43031.703472222223</v>
      </c>
      <c r="W774">
        <v>1</v>
      </c>
      <c r="X774" s="15" t="str">
        <f>HYPERLINK("https://www.ejacket.nsf.gov/ej/showProposal.do?Continue=Y&amp;ID="&amp;RADataTable[[#This Row],[prop_id0]],"eJ")</f>
        <v>eJ</v>
      </c>
      <c r="Y774" s="15" t="str">
        <f>HYPERLINK("mailto:"&amp;RADataTable[[#This Row],[email]]&amp;"&amp;subject=Your NSF Proposal:  "&amp;RADataTable[[#This Row],[Div]]&amp;" "&amp;RADataTable[[#This Row],[prop_id0]], RADataTable[[#This Row],[email]])</f>
        <v>nodari@hawaii.edu</v>
      </c>
      <c r="Z774" s="15" t="str">
        <f>HYPERLINK("mailto:"&amp;RADataTable[[#This Row],[allPIemail]]&amp;"&amp;subject=NSF Proposal:  "&amp;RADataTable[[#This Row],[Div]]&amp;" "&amp;RADataTable[[#This Row],[prop_id0]], "PIs@")</f>
        <v>PIs@</v>
      </c>
      <c r="AA774" t="s">
        <v>245</v>
      </c>
      <c r="AB774" t="s">
        <v>683</v>
      </c>
      <c r="AC774" s="30" t="s">
        <v>848</v>
      </c>
      <c r="AD774" t="s">
        <v>849</v>
      </c>
      <c r="AE774" t="s">
        <v>850</v>
      </c>
      <c r="AF774" s="36">
        <v>549999</v>
      </c>
      <c r="AG774" s="36">
        <v>549999</v>
      </c>
      <c r="AH774" s="24"/>
      <c r="AJ774" s="34"/>
      <c r="AK774" t="s">
        <v>923</v>
      </c>
      <c r="AL774" t="s">
        <v>287</v>
      </c>
      <c r="AM774" s="34" t="s">
        <v>925</v>
      </c>
      <c r="AN774" s="34">
        <v>43032</v>
      </c>
      <c r="AO774" s="24">
        <v>13</v>
      </c>
      <c r="AP774" t="s">
        <v>971</v>
      </c>
      <c r="AR774" s="35"/>
      <c r="AS774"/>
      <c r="AT774" s="34"/>
      <c r="AV774" s="34"/>
      <c r="AX774" s="34"/>
      <c r="AY774"/>
      <c r="BA774" s="34"/>
      <c r="BB774"/>
      <c r="BC774" t="s">
        <v>854</v>
      </c>
      <c r="BD774" s="36">
        <v>549999</v>
      </c>
      <c r="BE774" s="36">
        <v>549999</v>
      </c>
      <c r="BF774">
        <v>0</v>
      </c>
      <c r="BG774" s="34">
        <v>43160</v>
      </c>
      <c r="BH774">
        <v>60</v>
      </c>
      <c r="BI774" t="s">
        <v>283</v>
      </c>
      <c r="BJ774" t="s">
        <v>928</v>
      </c>
      <c r="BK774" t="s">
        <v>934</v>
      </c>
      <c r="BL774" t="s">
        <v>194</v>
      </c>
      <c r="BM774" s="8" t="s">
        <v>192</v>
      </c>
      <c r="BN774" t="s">
        <v>189</v>
      </c>
      <c r="BO774" t="s">
        <v>190</v>
      </c>
      <c r="BP774" s="35" t="s">
        <v>852</v>
      </c>
      <c r="BQ774"/>
      <c r="BU774" s="35"/>
      <c r="BV774" s="35"/>
      <c r="BX774"/>
      <c r="CA774" s="35"/>
      <c r="CB774" s="35"/>
      <c r="CC774"/>
      <c r="CG774" s="35"/>
      <c r="CH774" s="35"/>
      <c r="CK774"/>
      <c r="CM774" s="35"/>
      <c r="CN774" s="35"/>
      <c r="CQ774"/>
      <c r="CS774" s="35"/>
      <c r="CT774" s="35"/>
      <c r="CX774"/>
      <c r="CZ774" s="35"/>
      <c r="DD774" s="34"/>
      <c r="DG774" t="s">
        <v>851</v>
      </c>
      <c r="DH774" t="s">
        <v>972</v>
      </c>
      <c r="DI774" t="s">
        <v>286</v>
      </c>
      <c r="DL774" t="s">
        <v>683</v>
      </c>
      <c r="DM774">
        <v>4</v>
      </c>
      <c r="DN774">
        <v>7</v>
      </c>
      <c r="DO774" t="s">
        <v>853</v>
      </c>
      <c r="DQ774" t="s">
        <v>927</v>
      </c>
      <c r="DR774">
        <v>14</v>
      </c>
      <c r="DS774">
        <v>1</v>
      </c>
      <c r="DU774">
        <v>14</v>
      </c>
      <c r="DV774">
        <v>1</v>
      </c>
      <c r="DX774">
        <v>14</v>
      </c>
      <c r="DY774">
        <v>1</v>
      </c>
      <c r="DZ774" t="s">
        <v>246</v>
      </c>
      <c r="EA774" t="s">
        <v>929</v>
      </c>
    </row>
    <row r="775" spans="1:131" x14ac:dyDescent="0.4">
      <c r="A775" s="34">
        <v>43067.305104166669</v>
      </c>
      <c r="B775" s="25">
        <v>42935.851388888892</v>
      </c>
      <c r="D775" s="34"/>
      <c r="E775" s="34" t="s">
        <v>193</v>
      </c>
      <c r="F775" s="34" t="s">
        <v>191</v>
      </c>
      <c r="G775" s="34" t="s">
        <v>100</v>
      </c>
      <c r="H775" t="s">
        <v>279</v>
      </c>
      <c r="I775" t="s">
        <v>243</v>
      </c>
      <c r="J775" t="s">
        <v>712</v>
      </c>
      <c r="K775" t="s">
        <v>729</v>
      </c>
      <c r="L775" t="s">
        <v>711</v>
      </c>
      <c r="M775" s="30">
        <v>3.13</v>
      </c>
      <c r="N775">
        <v>5.5</v>
      </c>
      <c r="P775" s="24" t="str">
        <f>IFERROR(MID(RADataTable[[#This Row],[RATemplate]],1,LEN(RADataTable[[#This Row],[RATemplate]])-8),"RA") &amp; " " &amp; RADataTable[[#This Row],[prop_id0]] &amp; " " &amp; RADataTable[[#This Row],[last0]]</f>
        <v>RA 1751416 Sitchinava</v>
      </c>
      <c r="T775">
        <v>4</v>
      </c>
      <c r="U775">
        <v>4</v>
      </c>
      <c r="V775" s="34">
        <v>43031.703472222223</v>
      </c>
      <c r="W775">
        <v>1</v>
      </c>
      <c r="X775" s="15" t="str">
        <f>HYPERLINK("https://www.ejacket.nsf.gov/ej/showProposal.do?Continue=Y&amp;ID="&amp;RADataTable[[#This Row],[prop_id0]],"eJ")</f>
        <v>eJ</v>
      </c>
      <c r="Y775" s="15" t="str">
        <f>HYPERLINK("mailto:"&amp;RADataTable[[#This Row],[email]]&amp;"&amp;subject=Your NSF Proposal:  "&amp;RADataTable[[#This Row],[Div]]&amp;" "&amp;RADataTable[[#This Row],[prop_id0]], RADataTable[[#This Row],[email]])</f>
        <v>nodari@hawaii.edu</v>
      </c>
      <c r="Z775" s="15" t="str">
        <f>HYPERLINK("mailto:"&amp;RADataTable[[#This Row],[allPIemail]]&amp;"&amp;subject=NSF Proposal:  "&amp;RADataTable[[#This Row],[Div]]&amp;" "&amp;RADataTable[[#This Row],[prop_id0]], "PIs@")</f>
        <v>PIs@</v>
      </c>
      <c r="AA775" t="s">
        <v>245</v>
      </c>
      <c r="AB775" t="s">
        <v>683</v>
      </c>
      <c r="AC775" s="30" t="s">
        <v>848</v>
      </c>
      <c r="AD775" t="s">
        <v>849</v>
      </c>
      <c r="AE775" t="s">
        <v>850</v>
      </c>
      <c r="AF775" s="36">
        <v>549999</v>
      </c>
      <c r="AG775" s="36">
        <v>549999</v>
      </c>
      <c r="AH775" s="24"/>
      <c r="AJ775" s="34"/>
      <c r="AK775" t="s">
        <v>923</v>
      </c>
      <c r="AL775" t="s">
        <v>287</v>
      </c>
      <c r="AM775" s="34" t="s">
        <v>925</v>
      </c>
      <c r="AN775" s="34">
        <v>43032</v>
      </c>
      <c r="AO775" s="24">
        <v>13</v>
      </c>
      <c r="AP775" t="s">
        <v>971</v>
      </c>
      <c r="AR775" s="35"/>
      <c r="AS775"/>
      <c r="AT775" s="34"/>
      <c r="AV775" s="34"/>
      <c r="AX775" s="34"/>
      <c r="AY775"/>
      <c r="BA775" s="34"/>
      <c r="BB775"/>
      <c r="BC775" t="s">
        <v>854</v>
      </c>
      <c r="BD775" s="36">
        <v>549999</v>
      </c>
      <c r="BE775" s="36">
        <v>549999</v>
      </c>
      <c r="BF775">
        <v>0</v>
      </c>
      <c r="BG775" s="34">
        <v>43160</v>
      </c>
      <c r="BH775">
        <v>60</v>
      </c>
      <c r="BI775" t="s">
        <v>283</v>
      </c>
      <c r="BJ775" t="s">
        <v>928</v>
      </c>
      <c r="BK775" t="s">
        <v>934</v>
      </c>
      <c r="BL775" t="s">
        <v>194</v>
      </c>
      <c r="BM775" s="8" t="s">
        <v>192</v>
      </c>
      <c r="BN775" t="s">
        <v>189</v>
      </c>
      <c r="BO775" t="s">
        <v>190</v>
      </c>
      <c r="BP775" s="35" t="s">
        <v>852</v>
      </c>
      <c r="BQ775"/>
      <c r="BU775" s="35"/>
      <c r="BV775" s="35"/>
      <c r="BX775"/>
      <c r="CA775" s="35"/>
      <c r="CB775" s="35"/>
      <c r="CC775"/>
      <c r="CG775" s="35"/>
      <c r="CH775" s="35"/>
      <c r="CK775"/>
      <c r="CM775" s="35"/>
      <c r="CN775" s="35"/>
      <c r="CQ775"/>
      <c r="CS775" s="35"/>
      <c r="CT775" s="35"/>
      <c r="CX775"/>
      <c r="CZ775" s="35"/>
      <c r="DD775" s="34"/>
      <c r="DG775" t="s">
        <v>851</v>
      </c>
      <c r="DH775" t="s">
        <v>972</v>
      </c>
      <c r="DI775" t="s">
        <v>286</v>
      </c>
      <c r="DL775" t="s">
        <v>683</v>
      </c>
      <c r="DM775">
        <v>4</v>
      </c>
      <c r="DN775">
        <v>7</v>
      </c>
      <c r="DO775" t="s">
        <v>853</v>
      </c>
      <c r="DQ775" t="s">
        <v>927</v>
      </c>
      <c r="DR775">
        <v>14</v>
      </c>
      <c r="DS775">
        <v>1</v>
      </c>
      <c r="DU775">
        <v>14</v>
      </c>
      <c r="DV775">
        <v>1</v>
      </c>
      <c r="DX775">
        <v>14</v>
      </c>
      <c r="DY775">
        <v>1</v>
      </c>
      <c r="DZ775" t="s">
        <v>246</v>
      </c>
      <c r="EA775" t="s">
        <v>929</v>
      </c>
    </row>
    <row r="776" spans="1:131" x14ac:dyDescent="0.4">
      <c r="A776" s="34">
        <v>43067.305104166669</v>
      </c>
      <c r="B776" s="25">
        <v>42935.851388888892</v>
      </c>
      <c r="D776" s="34"/>
      <c r="E776" s="34" t="s">
        <v>193</v>
      </c>
      <c r="F776" s="34" t="s">
        <v>191</v>
      </c>
      <c r="G776" s="34" t="s">
        <v>100</v>
      </c>
      <c r="H776" t="s">
        <v>279</v>
      </c>
      <c r="I776" t="s">
        <v>243</v>
      </c>
      <c r="J776" t="s">
        <v>712</v>
      </c>
      <c r="K776" t="s">
        <v>729</v>
      </c>
      <c r="L776" t="s">
        <v>711</v>
      </c>
      <c r="M776" s="30">
        <v>3.13</v>
      </c>
      <c r="N776">
        <v>5.5</v>
      </c>
      <c r="P776" s="24" t="str">
        <f>IFERROR(MID(RADataTable[[#This Row],[RATemplate]],1,LEN(RADataTable[[#This Row],[RATemplate]])-8),"RA") &amp; " " &amp; RADataTable[[#This Row],[prop_id0]] &amp; " " &amp; RADataTable[[#This Row],[last0]]</f>
        <v>RA 1751416 Sitchinava</v>
      </c>
      <c r="T776">
        <v>4</v>
      </c>
      <c r="U776">
        <v>4</v>
      </c>
      <c r="V776" s="34">
        <v>43031.703472222223</v>
      </c>
      <c r="W776">
        <v>1</v>
      </c>
      <c r="X776" s="15" t="str">
        <f>HYPERLINK("https://www.ejacket.nsf.gov/ej/showProposal.do?Continue=Y&amp;ID="&amp;RADataTable[[#This Row],[prop_id0]],"eJ")</f>
        <v>eJ</v>
      </c>
      <c r="Y776" s="15" t="str">
        <f>HYPERLINK("mailto:"&amp;RADataTable[[#This Row],[email]]&amp;"&amp;subject=Your NSF Proposal:  "&amp;RADataTable[[#This Row],[Div]]&amp;" "&amp;RADataTable[[#This Row],[prop_id0]], RADataTable[[#This Row],[email]])</f>
        <v>nodari@hawaii.edu</v>
      </c>
      <c r="Z776" s="15" t="str">
        <f>HYPERLINK("mailto:"&amp;RADataTable[[#This Row],[allPIemail]]&amp;"&amp;subject=NSF Proposal:  "&amp;RADataTable[[#This Row],[Div]]&amp;" "&amp;RADataTable[[#This Row],[prop_id0]], "PIs@")</f>
        <v>PIs@</v>
      </c>
      <c r="AA776" t="s">
        <v>245</v>
      </c>
      <c r="AB776" t="s">
        <v>683</v>
      </c>
      <c r="AC776" s="30" t="s">
        <v>848</v>
      </c>
      <c r="AD776" t="s">
        <v>849</v>
      </c>
      <c r="AE776" t="s">
        <v>850</v>
      </c>
      <c r="AF776" s="36">
        <v>549999</v>
      </c>
      <c r="AG776" s="36">
        <v>549999</v>
      </c>
      <c r="AH776" s="24"/>
      <c r="AJ776" s="34"/>
      <c r="AK776" t="s">
        <v>923</v>
      </c>
      <c r="AL776" t="s">
        <v>287</v>
      </c>
      <c r="AM776" s="34" t="s">
        <v>925</v>
      </c>
      <c r="AN776" s="34">
        <v>43032</v>
      </c>
      <c r="AO776" s="24">
        <v>13</v>
      </c>
      <c r="AP776" t="s">
        <v>971</v>
      </c>
      <c r="AR776" s="35"/>
      <c r="AS776"/>
      <c r="AT776" s="34"/>
      <c r="AV776" s="34"/>
      <c r="AX776" s="34"/>
      <c r="AY776"/>
      <c r="BA776" s="34"/>
      <c r="BB776"/>
      <c r="BC776" t="s">
        <v>854</v>
      </c>
      <c r="BD776" s="36">
        <v>549999</v>
      </c>
      <c r="BE776" s="36">
        <v>549999</v>
      </c>
      <c r="BF776">
        <v>0</v>
      </c>
      <c r="BG776" s="34">
        <v>43160</v>
      </c>
      <c r="BH776">
        <v>60</v>
      </c>
      <c r="BI776" t="s">
        <v>283</v>
      </c>
      <c r="BJ776" t="s">
        <v>928</v>
      </c>
      <c r="BK776" t="s">
        <v>934</v>
      </c>
      <c r="BL776" t="s">
        <v>194</v>
      </c>
      <c r="BM776" s="8" t="s">
        <v>192</v>
      </c>
      <c r="BN776" t="s">
        <v>189</v>
      </c>
      <c r="BO776" t="s">
        <v>190</v>
      </c>
      <c r="BP776" s="35" t="s">
        <v>852</v>
      </c>
      <c r="BQ776"/>
      <c r="BU776" s="35"/>
      <c r="BV776" s="35"/>
      <c r="BX776"/>
      <c r="CA776" s="35"/>
      <c r="CB776" s="35"/>
      <c r="CC776"/>
      <c r="CG776" s="35"/>
      <c r="CH776" s="35"/>
      <c r="CK776"/>
      <c r="CM776" s="35"/>
      <c r="CN776" s="35"/>
      <c r="CQ776"/>
      <c r="CS776" s="35"/>
      <c r="CT776" s="35"/>
      <c r="CX776"/>
      <c r="CZ776" s="35"/>
      <c r="DD776" s="34"/>
      <c r="DG776" t="s">
        <v>851</v>
      </c>
      <c r="DH776" t="s">
        <v>972</v>
      </c>
      <c r="DI776" t="s">
        <v>286</v>
      </c>
      <c r="DL776" t="s">
        <v>683</v>
      </c>
      <c r="DM776">
        <v>4</v>
      </c>
      <c r="DN776">
        <v>7</v>
      </c>
      <c r="DO776" t="s">
        <v>853</v>
      </c>
      <c r="DQ776" t="s">
        <v>927</v>
      </c>
      <c r="DR776">
        <v>14</v>
      </c>
      <c r="DS776">
        <v>1</v>
      </c>
      <c r="DU776">
        <v>14</v>
      </c>
      <c r="DV776">
        <v>1</v>
      </c>
      <c r="DX776">
        <v>14</v>
      </c>
      <c r="DY776">
        <v>1</v>
      </c>
      <c r="DZ776" t="s">
        <v>246</v>
      </c>
      <c r="EA776" t="s">
        <v>929</v>
      </c>
    </row>
    <row r="777" spans="1:131" x14ac:dyDescent="0.4">
      <c r="A777" s="34">
        <v>43067.305104166669</v>
      </c>
      <c r="B777" s="25">
        <v>42935.851388888892</v>
      </c>
      <c r="D777" s="34"/>
      <c r="E777" s="34" t="s">
        <v>193</v>
      </c>
      <c r="F777" s="34" t="s">
        <v>191</v>
      </c>
      <c r="G777" s="34" t="s">
        <v>100</v>
      </c>
      <c r="H777" t="s">
        <v>279</v>
      </c>
      <c r="I777" t="s">
        <v>243</v>
      </c>
      <c r="J777" t="s">
        <v>712</v>
      </c>
      <c r="K777" t="s">
        <v>729</v>
      </c>
      <c r="L777" t="s">
        <v>711</v>
      </c>
      <c r="M777" s="30">
        <v>3.13</v>
      </c>
      <c r="N777">
        <v>5.5</v>
      </c>
      <c r="P777" s="24" t="str">
        <f>IFERROR(MID(RADataTable[[#This Row],[RATemplate]],1,LEN(RADataTable[[#This Row],[RATemplate]])-8),"RA") &amp; " " &amp; RADataTable[[#This Row],[prop_id0]] &amp; " " &amp; RADataTable[[#This Row],[last0]]</f>
        <v>RA 1751416 Sitchinava</v>
      </c>
      <c r="T777">
        <v>4</v>
      </c>
      <c r="U777">
        <v>4</v>
      </c>
      <c r="V777" s="34">
        <v>43031.703472222223</v>
      </c>
      <c r="W777">
        <v>1</v>
      </c>
      <c r="X777" s="15" t="str">
        <f>HYPERLINK("https://www.ejacket.nsf.gov/ej/showProposal.do?Continue=Y&amp;ID="&amp;RADataTable[[#This Row],[prop_id0]],"eJ")</f>
        <v>eJ</v>
      </c>
      <c r="Y777" s="15" t="str">
        <f>HYPERLINK("mailto:"&amp;RADataTable[[#This Row],[email]]&amp;"&amp;subject=Your NSF Proposal:  "&amp;RADataTable[[#This Row],[Div]]&amp;" "&amp;RADataTable[[#This Row],[prop_id0]], RADataTable[[#This Row],[email]])</f>
        <v>nodari@hawaii.edu</v>
      </c>
      <c r="Z777" s="15" t="str">
        <f>HYPERLINK("mailto:"&amp;RADataTable[[#This Row],[allPIemail]]&amp;"&amp;subject=NSF Proposal:  "&amp;RADataTable[[#This Row],[Div]]&amp;" "&amp;RADataTable[[#This Row],[prop_id0]], "PIs@")</f>
        <v>PIs@</v>
      </c>
      <c r="AA777" t="s">
        <v>245</v>
      </c>
      <c r="AB777" t="s">
        <v>683</v>
      </c>
      <c r="AC777" s="30" t="s">
        <v>848</v>
      </c>
      <c r="AD777" t="s">
        <v>849</v>
      </c>
      <c r="AE777" t="s">
        <v>850</v>
      </c>
      <c r="AF777" s="36">
        <v>549999</v>
      </c>
      <c r="AG777" s="36">
        <v>549999</v>
      </c>
      <c r="AH777" s="24"/>
      <c r="AJ777" s="34"/>
      <c r="AK777" t="s">
        <v>923</v>
      </c>
      <c r="AL777" t="s">
        <v>287</v>
      </c>
      <c r="AM777" s="34" t="s">
        <v>925</v>
      </c>
      <c r="AN777" s="34">
        <v>43032</v>
      </c>
      <c r="AO777" s="24">
        <v>13</v>
      </c>
      <c r="AP777" t="s">
        <v>971</v>
      </c>
      <c r="AR777" s="35"/>
      <c r="AS777"/>
      <c r="AT777" s="34"/>
      <c r="AV777" s="34"/>
      <c r="AX777" s="34"/>
      <c r="AY777"/>
      <c r="BA777" s="34"/>
      <c r="BB777"/>
      <c r="BC777" t="s">
        <v>854</v>
      </c>
      <c r="BD777" s="36">
        <v>549999</v>
      </c>
      <c r="BE777" s="36">
        <v>549999</v>
      </c>
      <c r="BF777">
        <v>0</v>
      </c>
      <c r="BG777" s="34">
        <v>43160</v>
      </c>
      <c r="BH777">
        <v>60</v>
      </c>
      <c r="BI777" t="s">
        <v>283</v>
      </c>
      <c r="BJ777" t="s">
        <v>928</v>
      </c>
      <c r="BK777" t="s">
        <v>934</v>
      </c>
      <c r="BL777" t="s">
        <v>194</v>
      </c>
      <c r="BM777" s="8" t="s">
        <v>192</v>
      </c>
      <c r="BN777" t="s">
        <v>189</v>
      </c>
      <c r="BO777" t="s">
        <v>190</v>
      </c>
      <c r="BP777" s="35" t="s">
        <v>852</v>
      </c>
      <c r="BQ777"/>
      <c r="BU777" s="35"/>
      <c r="BV777" s="35"/>
      <c r="BX777"/>
      <c r="CA777" s="35"/>
      <c r="CB777" s="35"/>
      <c r="CC777"/>
      <c r="CG777" s="35"/>
      <c r="CH777" s="35"/>
      <c r="CK777"/>
      <c r="CM777" s="35"/>
      <c r="CN777" s="35"/>
      <c r="CQ777"/>
      <c r="CS777" s="35"/>
      <c r="CT777" s="35"/>
      <c r="CX777"/>
      <c r="CZ777" s="35"/>
      <c r="DD777" s="34"/>
      <c r="DG777" t="s">
        <v>851</v>
      </c>
      <c r="DH777" t="s">
        <v>972</v>
      </c>
      <c r="DI777" t="s">
        <v>286</v>
      </c>
      <c r="DL777" t="s">
        <v>683</v>
      </c>
      <c r="DM777">
        <v>4</v>
      </c>
      <c r="DN777">
        <v>7</v>
      </c>
      <c r="DO777" t="s">
        <v>853</v>
      </c>
      <c r="DQ777" t="s">
        <v>927</v>
      </c>
      <c r="DR777">
        <v>14</v>
      </c>
      <c r="DS777">
        <v>1</v>
      </c>
      <c r="DU777">
        <v>14</v>
      </c>
      <c r="DV777">
        <v>1</v>
      </c>
      <c r="DX777">
        <v>14</v>
      </c>
      <c r="DY777">
        <v>1</v>
      </c>
      <c r="DZ777" t="s">
        <v>246</v>
      </c>
      <c r="EA777" t="s">
        <v>929</v>
      </c>
    </row>
    <row r="778" spans="1:131" x14ac:dyDescent="0.4">
      <c r="A778" s="34">
        <v>43067.305104166669</v>
      </c>
      <c r="B778" s="25">
        <v>42954.500694444447</v>
      </c>
      <c r="D778" s="34"/>
      <c r="E778" s="34" t="s">
        <v>193</v>
      </c>
      <c r="F778" s="34" t="s">
        <v>191</v>
      </c>
      <c r="G778" s="34" t="s">
        <v>100</v>
      </c>
      <c r="H778" t="s">
        <v>856</v>
      </c>
      <c r="I778" t="s">
        <v>243</v>
      </c>
      <c r="J778" t="s">
        <v>857</v>
      </c>
      <c r="K778" t="s">
        <v>729</v>
      </c>
      <c r="L778" t="s">
        <v>855</v>
      </c>
      <c r="M778" s="30">
        <v>4.05</v>
      </c>
      <c r="N778">
        <v>3.25</v>
      </c>
      <c r="P778" s="24" t="str">
        <f>IFERROR(MID(RADataTable[[#This Row],[RATemplate]],1,LEN(RADataTable[[#This Row],[RATemplate]])-8),"RA") &amp; " " &amp; RADataTable[[#This Row],[prop_id0]] &amp; " " &amp; RADataTable[[#This Row],[last0]]</f>
        <v>RA 1755481 Wang</v>
      </c>
      <c r="T778">
        <v>4</v>
      </c>
      <c r="U778">
        <v>4</v>
      </c>
      <c r="V778" s="34">
        <v>43031.775694444441</v>
      </c>
      <c r="W778">
        <v>1</v>
      </c>
      <c r="X778" s="15" t="str">
        <f>HYPERLINK("https://www.ejacket.nsf.gov/ej/showProposal.do?Continue=Y&amp;ID="&amp;RADataTable[[#This Row],[prop_id0]],"eJ")</f>
        <v>eJ</v>
      </c>
      <c r="Y778" s="15" t="str">
        <f>HYPERLINK("mailto:"&amp;RADataTable[[#This Row],[email]]&amp;"&amp;subject=Your NSF Proposal:  "&amp;RADataTable[[#This Row],[Div]]&amp;" "&amp;RADataTable[[#This Row],[prop_id0]], RADataTable[[#This Row],[email]])</f>
        <v>kwang@georgiasouthern.edu</v>
      </c>
      <c r="Z778" s="15" t="str">
        <f>HYPERLINK("mailto:"&amp;RADataTable[[#This Row],[allPIemail]]&amp;"&amp;subject=NSF Proposal:  "&amp;RADataTable[[#This Row],[Div]]&amp;" "&amp;RADataTable[[#This Row],[prop_id0]], "PIs@")</f>
        <v>PIs@</v>
      </c>
      <c r="AA778" t="s">
        <v>245</v>
      </c>
      <c r="AB778" t="s">
        <v>684</v>
      </c>
      <c r="AC778" s="30" t="s">
        <v>721</v>
      </c>
      <c r="AD778" t="s">
        <v>858</v>
      </c>
      <c r="AE778" t="s">
        <v>859</v>
      </c>
      <c r="AF778" s="36">
        <v>168126</v>
      </c>
      <c r="AG778" s="36">
        <v>168126</v>
      </c>
      <c r="AH778" s="24"/>
      <c r="AJ778" s="34"/>
      <c r="AK778" t="s">
        <v>923</v>
      </c>
      <c r="AL778" t="s">
        <v>924</v>
      </c>
      <c r="AM778" s="34" t="s">
        <v>925</v>
      </c>
      <c r="AN778" s="34">
        <v>43032</v>
      </c>
      <c r="AO778" s="24">
        <v>5</v>
      </c>
      <c r="AP778" t="s">
        <v>973</v>
      </c>
      <c r="AR778" s="35"/>
      <c r="AS778"/>
      <c r="AT778" s="34"/>
      <c r="AV778" s="34"/>
      <c r="AX778" s="34"/>
      <c r="AY778"/>
      <c r="BA778" s="34"/>
      <c r="BB778"/>
      <c r="BC778" t="s">
        <v>863</v>
      </c>
      <c r="BD778" s="36">
        <v>168126</v>
      </c>
      <c r="BE778" s="36">
        <v>168126</v>
      </c>
      <c r="BF778">
        <v>0</v>
      </c>
      <c r="BG778" s="34">
        <v>43101</v>
      </c>
      <c r="BH778">
        <v>24</v>
      </c>
      <c r="BI778" t="s">
        <v>974</v>
      </c>
      <c r="BJ778" t="s">
        <v>975</v>
      </c>
      <c r="BK778" t="s">
        <v>934</v>
      </c>
      <c r="BL778" t="s">
        <v>194</v>
      </c>
      <c r="BM778" s="8" t="s">
        <v>192</v>
      </c>
      <c r="BN778" t="s">
        <v>189</v>
      </c>
      <c r="BO778" t="s">
        <v>190</v>
      </c>
      <c r="BP778" s="35" t="s">
        <v>861</v>
      </c>
      <c r="BQ778"/>
      <c r="BU778" s="35"/>
      <c r="BV778" s="35"/>
      <c r="BX778"/>
      <c r="CA778" s="35"/>
      <c r="CB778" s="35"/>
      <c r="CC778"/>
      <c r="CG778" s="35"/>
      <c r="CH778" s="35"/>
      <c r="CK778"/>
      <c r="CM778" s="35"/>
      <c r="CN778" s="35"/>
      <c r="CQ778"/>
      <c r="CS778" s="35"/>
      <c r="CT778" s="35"/>
      <c r="CX778"/>
      <c r="CZ778" s="35"/>
      <c r="DD778" s="34"/>
      <c r="DG778" t="s">
        <v>860</v>
      </c>
      <c r="DH778" t="s">
        <v>976</v>
      </c>
      <c r="DI778" t="s">
        <v>798</v>
      </c>
      <c r="DL778" t="s">
        <v>684</v>
      </c>
      <c r="DM778">
        <v>3</v>
      </c>
      <c r="DN778">
        <v>4</v>
      </c>
      <c r="DO778" t="s">
        <v>862</v>
      </c>
      <c r="DQ778" t="s">
        <v>927</v>
      </c>
      <c r="DR778">
        <v>14</v>
      </c>
      <c r="DS778">
        <v>0</v>
      </c>
      <c r="DU778">
        <v>14</v>
      </c>
      <c r="DV778">
        <v>0</v>
      </c>
      <c r="DX778">
        <v>14</v>
      </c>
      <c r="DY778">
        <v>0</v>
      </c>
      <c r="DZ778" t="s">
        <v>246</v>
      </c>
      <c r="EA778" t="s">
        <v>929</v>
      </c>
    </row>
    <row r="779" spans="1:131" x14ac:dyDescent="0.4">
      <c r="A779" s="34">
        <v>43067.305104166669</v>
      </c>
      <c r="B779" s="25">
        <v>42954.500694444447</v>
      </c>
      <c r="D779" s="34"/>
      <c r="E779" s="34" t="s">
        <v>193</v>
      </c>
      <c r="F779" s="34" t="s">
        <v>191</v>
      </c>
      <c r="G779" s="34" t="s">
        <v>100</v>
      </c>
      <c r="H779" t="s">
        <v>856</v>
      </c>
      <c r="I779" t="s">
        <v>243</v>
      </c>
      <c r="J779" t="s">
        <v>857</v>
      </c>
      <c r="K779" t="s">
        <v>729</v>
      </c>
      <c r="L779" t="s">
        <v>855</v>
      </c>
      <c r="M779" s="30">
        <v>4.05</v>
      </c>
      <c r="N779">
        <v>3.25</v>
      </c>
      <c r="P779" s="24" t="str">
        <f>IFERROR(MID(RADataTable[[#This Row],[RATemplate]],1,LEN(RADataTable[[#This Row],[RATemplate]])-8),"RA") &amp; " " &amp; RADataTable[[#This Row],[prop_id0]] &amp; " " &amp; RADataTable[[#This Row],[last0]]</f>
        <v>RA 1755481 Wang</v>
      </c>
      <c r="T779">
        <v>4</v>
      </c>
      <c r="U779">
        <v>4</v>
      </c>
      <c r="V779" s="34">
        <v>43031.775694444441</v>
      </c>
      <c r="W779">
        <v>1</v>
      </c>
      <c r="X779" s="15" t="str">
        <f>HYPERLINK("https://www.ejacket.nsf.gov/ej/showProposal.do?Continue=Y&amp;ID="&amp;RADataTable[[#This Row],[prop_id0]],"eJ")</f>
        <v>eJ</v>
      </c>
      <c r="Y779" s="15" t="str">
        <f>HYPERLINK("mailto:"&amp;RADataTable[[#This Row],[email]]&amp;"&amp;subject=Your NSF Proposal:  "&amp;RADataTable[[#This Row],[Div]]&amp;" "&amp;RADataTable[[#This Row],[prop_id0]], RADataTable[[#This Row],[email]])</f>
        <v>kwang@georgiasouthern.edu</v>
      </c>
      <c r="Z779" s="15" t="str">
        <f>HYPERLINK("mailto:"&amp;RADataTable[[#This Row],[allPIemail]]&amp;"&amp;subject=NSF Proposal:  "&amp;RADataTable[[#This Row],[Div]]&amp;" "&amp;RADataTable[[#This Row],[prop_id0]], "PIs@")</f>
        <v>PIs@</v>
      </c>
      <c r="AA779" t="s">
        <v>245</v>
      </c>
      <c r="AB779" t="s">
        <v>684</v>
      </c>
      <c r="AC779" s="30" t="s">
        <v>721</v>
      </c>
      <c r="AD779" t="s">
        <v>858</v>
      </c>
      <c r="AE779" t="s">
        <v>859</v>
      </c>
      <c r="AF779" s="36">
        <v>168126</v>
      </c>
      <c r="AG779" s="36">
        <v>168126</v>
      </c>
      <c r="AH779" s="24"/>
      <c r="AJ779" s="34"/>
      <c r="AK779" t="s">
        <v>923</v>
      </c>
      <c r="AL779" t="s">
        <v>924</v>
      </c>
      <c r="AM779" s="34" t="s">
        <v>925</v>
      </c>
      <c r="AN779" s="34">
        <v>43032</v>
      </c>
      <c r="AO779" s="24">
        <v>5</v>
      </c>
      <c r="AP779" t="s">
        <v>973</v>
      </c>
      <c r="AR779" s="35"/>
      <c r="AS779"/>
      <c r="AT779" s="34"/>
      <c r="AV779" s="34"/>
      <c r="AX779" s="34"/>
      <c r="AY779"/>
      <c r="BA779" s="34"/>
      <c r="BB779"/>
      <c r="BC779" t="s">
        <v>863</v>
      </c>
      <c r="BD779" s="36">
        <v>168126</v>
      </c>
      <c r="BE779" s="36">
        <v>168126</v>
      </c>
      <c r="BF779">
        <v>0</v>
      </c>
      <c r="BG779" s="34">
        <v>43101</v>
      </c>
      <c r="BH779">
        <v>24</v>
      </c>
      <c r="BI779" t="s">
        <v>974</v>
      </c>
      <c r="BJ779" t="s">
        <v>975</v>
      </c>
      <c r="BK779" t="s">
        <v>934</v>
      </c>
      <c r="BL779" t="s">
        <v>194</v>
      </c>
      <c r="BM779" s="8" t="s">
        <v>192</v>
      </c>
      <c r="BN779" t="s">
        <v>189</v>
      </c>
      <c r="BO779" t="s">
        <v>190</v>
      </c>
      <c r="BP779" s="35" t="s">
        <v>861</v>
      </c>
      <c r="BQ779"/>
      <c r="BU779" s="35"/>
      <c r="BV779" s="35"/>
      <c r="BX779"/>
      <c r="CA779" s="35"/>
      <c r="CB779" s="35"/>
      <c r="CC779"/>
      <c r="CG779" s="35"/>
      <c r="CH779" s="35"/>
      <c r="CK779"/>
      <c r="CM779" s="35"/>
      <c r="CN779" s="35"/>
      <c r="CQ779"/>
      <c r="CS779" s="35"/>
      <c r="CT779" s="35"/>
      <c r="CX779"/>
      <c r="CZ779" s="35"/>
      <c r="DD779" s="34"/>
      <c r="DG779" t="s">
        <v>860</v>
      </c>
      <c r="DH779" t="s">
        <v>976</v>
      </c>
      <c r="DI779" t="s">
        <v>798</v>
      </c>
      <c r="DL779" t="s">
        <v>684</v>
      </c>
      <c r="DM779">
        <v>3</v>
      </c>
      <c r="DN779">
        <v>4</v>
      </c>
      <c r="DO779" t="s">
        <v>862</v>
      </c>
      <c r="DQ779" t="s">
        <v>927</v>
      </c>
      <c r="DR779">
        <v>14</v>
      </c>
      <c r="DS779">
        <v>0</v>
      </c>
      <c r="DU779">
        <v>14</v>
      </c>
      <c r="DV779">
        <v>0</v>
      </c>
      <c r="DX779">
        <v>14</v>
      </c>
      <c r="DY779">
        <v>0</v>
      </c>
      <c r="DZ779" t="s">
        <v>246</v>
      </c>
      <c r="EA779" t="s">
        <v>929</v>
      </c>
    </row>
    <row r="780" spans="1:131" x14ac:dyDescent="0.4">
      <c r="A780" s="34">
        <v>43067.305104166669</v>
      </c>
      <c r="B780" s="25">
        <v>42954.500694444447</v>
      </c>
      <c r="D780" s="34"/>
      <c r="E780" s="34" t="s">
        <v>193</v>
      </c>
      <c r="F780" s="34" t="s">
        <v>191</v>
      </c>
      <c r="G780" s="34" t="s">
        <v>100</v>
      </c>
      <c r="H780" t="s">
        <v>856</v>
      </c>
      <c r="I780" t="s">
        <v>243</v>
      </c>
      <c r="J780" t="s">
        <v>857</v>
      </c>
      <c r="K780" t="s">
        <v>729</v>
      </c>
      <c r="L780" t="s">
        <v>855</v>
      </c>
      <c r="M780" s="30">
        <v>4.05</v>
      </c>
      <c r="N780">
        <v>3.25</v>
      </c>
      <c r="P780" s="24" t="str">
        <f>IFERROR(MID(RADataTable[[#This Row],[RATemplate]],1,LEN(RADataTable[[#This Row],[RATemplate]])-8),"RA") &amp; " " &amp; RADataTable[[#This Row],[prop_id0]] &amp; " " &amp; RADataTable[[#This Row],[last0]]</f>
        <v>RA 1755481 Wang</v>
      </c>
      <c r="T780">
        <v>4</v>
      </c>
      <c r="U780">
        <v>4</v>
      </c>
      <c r="V780" s="34">
        <v>43031.775694444441</v>
      </c>
      <c r="W780">
        <v>1</v>
      </c>
      <c r="X780" s="15" t="str">
        <f>HYPERLINK("https://www.ejacket.nsf.gov/ej/showProposal.do?Continue=Y&amp;ID="&amp;RADataTable[[#This Row],[prop_id0]],"eJ")</f>
        <v>eJ</v>
      </c>
      <c r="Y780" s="15" t="str">
        <f>HYPERLINK("mailto:"&amp;RADataTable[[#This Row],[email]]&amp;"&amp;subject=Your NSF Proposal:  "&amp;RADataTable[[#This Row],[Div]]&amp;" "&amp;RADataTable[[#This Row],[prop_id0]], RADataTable[[#This Row],[email]])</f>
        <v>kwang@georgiasouthern.edu</v>
      </c>
      <c r="Z780" s="15" t="str">
        <f>HYPERLINK("mailto:"&amp;RADataTable[[#This Row],[allPIemail]]&amp;"&amp;subject=NSF Proposal:  "&amp;RADataTable[[#This Row],[Div]]&amp;" "&amp;RADataTable[[#This Row],[prop_id0]], "PIs@")</f>
        <v>PIs@</v>
      </c>
      <c r="AA780" t="s">
        <v>245</v>
      </c>
      <c r="AB780" t="s">
        <v>684</v>
      </c>
      <c r="AC780" s="30" t="s">
        <v>721</v>
      </c>
      <c r="AD780" t="s">
        <v>858</v>
      </c>
      <c r="AE780" t="s">
        <v>859</v>
      </c>
      <c r="AF780" s="36">
        <v>168126</v>
      </c>
      <c r="AG780" s="36">
        <v>168126</v>
      </c>
      <c r="AH780" s="24"/>
      <c r="AJ780" s="34"/>
      <c r="AK780" t="s">
        <v>923</v>
      </c>
      <c r="AL780" t="s">
        <v>924</v>
      </c>
      <c r="AM780" s="34" t="s">
        <v>925</v>
      </c>
      <c r="AN780" s="34">
        <v>43032</v>
      </c>
      <c r="AO780" s="24">
        <v>5</v>
      </c>
      <c r="AP780" t="s">
        <v>973</v>
      </c>
      <c r="AR780" s="35"/>
      <c r="AS780"/>
      <c r="AT780" s="34"/>
      <c r="AV780" s="34"/>
      <c r="AX780" s="34"/>
      <c r="AY780"/>
      <c r="BA780" s="34"/>
      <c r="BB780"/>
      <c r="BC780" t="s">
        <v>863</v>
      </c>
      <c r="BD780" s="36">
        <v>168126</v>
      </c>
      <c r="BE780" s="36">
        <v>168126</v>
      </c>
      <c r="BF780">
        <v>0</v>
      </c>
      <c r="BG780" s="34">
        <v>43101</v>
      </c>
      <c r="BH780">
        <v>24</v>
      </c>
      <c r="BI780" t="s">
        <v>974</v>
      </c>
      <c r="BJ780" t="s">
        <v>975</v>
      </c>
      <c r="BK780" t="s">
        <v>934</v>
      </c>
      <c r="BL780" t="s">
        <v>194</v>
      </c>
      <c r="BM780" s="8" t="s">
        <v>192</v>
      </c>
      <c r="BN780" t="s">
        <v>189</v>
      </c>
      <c r="BO780" t="s">
        <v>190</v>
      </c>
      <c r="BP780" s="35" t="s">
        <v>861</v>
      </c>
      <c r="BQ780"/>
      <c r="BU780" s="35"/>
      <c r="BV780" s="35"/>
      <c r="BX780"/>
      <c r="CA780" s="35"/>
      <c r="CB780" s="35"/>
      <c r="CC780"/>
      <c r="CG780" s="35"/>
      <c r="CH780" s="35"/>
      <c r="CK780"/>
      <c r="CM780" s="35"/>
      <c r="CN780" s="35"/>
      <c r="CQ780"/>
      <c r="CS780" s="35"/>
      <c r="CT780" s="35"/>
      <c r="CX780"/>
      <c r="CZ780" s="35"/>
      <c r="DD780" s="34"/>
      <c r="DG780" t="s">
        <v>860</v>
      </c>
      <c r="DH780" t="s">
        <v>976</v>
      </c>
      <c r="DI780" t="s">
        <v>798</v>
      </c>
      <c r="DL780" t="s">
        <v>684</v>
      </c>
      <c r="DM780">
        <v>3</v>
      </c>
      <c r="DN780">
        <v>4</v>
      </c>
      <c r="DO780" t="s">
        <v>862</v>
      </c>
      <c r="DQ780" t="s">
        <v>927</v>
      </c>
      <c r="DR780">
        <v>14</v>
      </c>
      <c r="DS780">
        <v>0</v>
      </c>
      <c r="DU780">
        <v>14</v>
      </c>
      <c r="DV780">
        <v>0</v>
      </c>
      <c r="DX780">
        <v>14</v>
      </c>
      <c r="DY780">
        <v>0</v>
      </c>
      <c r="DZ780" t="s">
        <v>246</v>
      </c>
      <c r="EA780" t="s">
        <v>929</v>
      </c>
    </row>
    <row r="781" spans="1:131" x14ac:dyDescent="0.4">
      <c r="A781" s="34">
        <v>43067.305104166669</v>
      </c>
      <c r="B781" s="25">
        <v>42954.500694444447</v>
      </c>
      <c r="D781" s="34"/>
      <c r="E781" s="34" t="s">
        <v>193</v>
      </c>
      <c r="F781" s="34" t="s">
        <v>191</v>
      </c>
      <c r="G781" s="34" t="s">
        <v>100</v>
      </c>
      <c r="H781" t="s">
        <v>856</v>
      </c>
      <c r="I781" t="s">
        <v>243</v>
      </c>
      <c r="J781" t="s">
        <v>857</v>
      </c>
      <c r="K781" t="s">
        <v>729</v>
      </c>
      <c r="L781" t="s">
        <v>855</v>
      </c>
      <c r="M781" s="30">
        <v>4.05</v>
      </c>
      <c r="N781">
        <v>3.25</v>
      </c>
      <c r="P781" s="24" t="str">
        <f>IFERROR(MID(RADataTable[[#This Row],[RATemplate]],1,LEN(RADataTable[[#This Row],[RATemplate]])-8),"RA") &amp; " " &amp; RADataTable[[#This Row],[prop_id0]] &amp; " " &amp; RADataTable[[#This Row],[last0]]</f>
        <v>RA 1755481 Wang</v>
      </c>
      <c r="T781">
        <v>4</v>
      </c>
      <c r="U781">
        <v>4</v>
      </c>
      <c r="V781" s="34">
        <v>43031.775694444441</v>
      </c>
      <c r="W781">
        <v>1</v>
      </c>
      <c r="X781" s="15" t="str">
        <f>HYPERLINK("https://www.ejacket.nsf.gov/ej/showProposal.do?Continue=Y&amp;ID="&amp;RADataTable[[#This Row],[prop_id0]],"eJ")</f>
        <v>eJ</v>
      </c>
      <c r="Y781" s="15" t="str">
        <f>HYPERLINK("mailto:"&amp;RADataTable[[#This Row],[email]]&amp;"&amp;subject=Your NSF Proposal:  "&amp;RADataTable[[#This Row],[Div]]&amp;" "&amp;RADataTable[[#This Row],[prop_id0]], RADataTable[[#This Row],[email]])</f>
        <v>kwang@georgiasouthern.edu</v>
      </c>
      <c r="Z781" s="15" t="str">
        <f>HYPERLINK("mailto:"&amp;RADataTable[[#This Row],[allPIemail]]&amp;"&amp;subject=NSF Proposal:  "&amp;RADataTable[[#This Row],[Div]]&amp;" "&amp;RADataTable[[#This Row],[prop_id0]], "PIs@")</f>
        <v>PIs@</v>
      </c>
      <c r="AA781" t="s">
        <v>245</v>
      </c>
      <c r="AB781" t="s">
        <v>684</v>
      </c>
      <c r="AC781" s="30" t="s">
        <v>721</v>
      </c>
      <c r="AD781" t="s">
        <v>858</v>
      </c>
      <c r="AE781" t="s">
        <v>859</v>
      </c>
      <c r="AF781" s="36">
        <v>168126</v>
      </c>
      <c r="AG781" s="36">
        <v>168126</v>
      </c>
      <c r="AH781" s="24"/>
      <c r="AJ781" s="34"/>
      <c r="AK781" t="s">
        <v>923</v>
      </c>
      <c r="AL781" t="s">
        <v>924</v>
      </c>
      <c r="AM781" s="34" t="s">
        <v>925</v>
      </c>
      <c r="AN781" s="34">
        <v>43032</v>
      </c>
      <c r="AO781" s="24">
        <v>5</v>
      </c>
      <c r="AP781" t="s">
        <v>973</v>
      </c>
      <c r="AR781" s="35"/>
      <c r="AS781"/>
      <c r="AT781" s="34"/>
      <c r="AV781" s="34"/>
      <c r="AX781" s="34"/>
      <c r="AY781"/>
      <c r="BA781" s="34"/>
      <c r="BB781"/>
      <c r="BC781" t="s">
        <v>863</v>
      </c>
      <c r="BD781" s="36">
        <v>168126</v>
      </c>
      <c r="BE781" s="36">
        <v>168126</v>
      </c>
      <c r="BF781">
        <v>0</v>
      </c>
      <c r="BG781" s="34">
        <v>43101</v>
      </c>
      <c r="BH781">
        <v>24</v>
      </c>
      <c r="BI781" t="s">
        <v>974</v>
      </c>
      <c r="BJ781" t="s">
        <v>975</v>
      </c>
      <c r="BK781" t="s">
        <v>934</v>
      </c>
      <c r="BL781" t="s">
        <v>194</v>
      </c>
      <c r="BM781" s="8" t="s">
        <v>192</v>
      </c>
      <c r="BN781" t="s">
        <v>189</v>
      </c>
      <c r="BO781" t="s">
        <v>190</v>
      </c>
      <c r="BP781" s="35" t="s">
        <v>861</v>
      </c>
      <c r="BQ781"/>
      <c r="BU781" s="35"/>
      <c r="BV781" s="35"/>
      <c r="BX781"/>
      <c r="CA781" s="35"/>
      <c r="CB781" s="35"/>
      <c r="CC781"/>
      <c r="CG781" s="35"/>
      <c r="CH781" s="35"/>
      <c r="CK781"/>
      <c r="CM781" s="35"/>
      <c r="CN781" s="35"/>
      <c r="CQ781"/>
      <c r="CS781" s="35"/>
      <c r="CT781" s="35"/>
      <c r="CX781"/>
      <c r="CZ781" s="35"/>
      <c r="DD781" s="34"/>
      <c r="DG781" t="s">
        <v>860</v>
      </c>
      <c r="DH781" t="s">
        <v>976</v>
      </c>
      <c r="DI781" t="s">
        <v>798</v>
      </c>
      <c r="DL781" t="s">
        <v>684</v>
      </c>
      <c r="DM781">
        <v>3</v>
      </c>
      <c r="DN781">
        <v>4</v>
      </c>
      <c r="DO781" t="s">
        <v>862</v>
      </c>
      <c r="DQ781" t="s">
        <v>927</v>
      </c>
      <c r="DR781">
        <v>14</v>
      </c>
      <c r="DS781">
        <v>0</v>
      </c>
      <c r="DU781">
        <v>14</v>
      </c>
      <c r="DV781">
        <v>0</v>
      </c>
      <c r="DX781">
        <v>14</v>
      </c>
      <c r="DY781">
        <v>0</v>
      </c>
      <c r="DZ781" t="s">
        <v>246</v>
      </c>
      <c r="EA781" t="s">
        <v>929</v>
      </c>
    </row>
    <row r="782" spans="1:131" x14ac:dyDescent="0.4">
      <c r="A782" s="34">
        <v>43067.305104166669</v>
      </c>
      <c r="B782" s="25">
        <v>42954.500694444447</v>
      </c>
      <c r="D782" s="34"/>
      <c r="E782" s="34" t="s">
        <v>193</v>
      </c>
      <c r="F782" s="34" t="s">
        <v>191</v>
      </c>
      <c r="G782" s="34" t="s">
        <v>100</v>
      </c>
      <c r="H782" t="s">
        <v>856</v>
      </c>
      <c r="I782" t="s">
        <v>243</v>
      </c>
      <c r="J782" t="s">
        <v>857</v>
      </c>
      <c r="K782" t="s">
        <v>729</v>
      </c>
      <c r="L782" t="s">
        <v>855</v>
      </c>
      <c r="M782" s="30">
        <v>4.05</v>
      </c>
      <c r="N782">
        <v>3.25</v>
      </c>
      <c r="P782" s="24" t="str">
        <f>IFERROR(MID(RADataTable[[#This Row],[RATemplate]],1,LEN(RADataTable[[#This Row],[RATemplate]])-8),"RA") &amp; " " &amp; RADataTable[[#This Row],[prop_id0]] &amp; " " &amp; RADataTable[[#This Row],[last0]]</f>
        <v>RA 1755481 Wang</v>
      </c>
      <c r="T782">
        <v>4</v>
      </c>
      <c r="U782">
        <v>4</v>
      </c>
      <c r="V782" s="34">
        <v>43031.775694444441</v>
      </c>
      <c r="W782">
        <v>1</v>
      </c>
      <c r="X782" s="15" t="str">
        <f>HYPERLINK("https://www.ejacket.nsf.gov/ej/showProposal.do?Continue=Y&amp;ID="&amp;RADataTable[[#This Row],[prop_id0]],"eJ")</f>
        <v>eJ</v>
      </c>
      <c r="Y782" s="15" t="str">
        <f>HYPERLINK("mailto:"&amp;RADataTable[[#This Row],[email]]&amp;"&amp;subject=Your NSF Proposal:  "&amp;RADataTable[[#This Row],[Div]]&amp;" "&amp;RADataTable[[#This Row],[prop_id0]], RADataTable[[#This Row],[email]])</f>
        <v>kwang@georgiasouthern.edu</v>
      </c>
      <c r="Z782" s="15" t="str">
        <f>HYPERLINK("mailto:"&amp;RADataTable[[#This Row],[allPIemail]]&amp;"&amp;subject=NSF Proposal:  "&amp;RADataTable[[#This Row],[Div]]&amp;" "&amp;RADataTable[[#This Row],[prop_id0]], "PIs@")</f>
        <v>PIs@</v>
      </c>
      <c r="AA782" t="s">
        <v>245</v>
      </c>
      <c r="AB782" t="s">
        <v>684</v>
      </c>
      <c r="AC782" s="30" t="s">
        <v>721</v>
      </c>
      <c r="AD782" t="s">
        <v>858</v>
      </c>
      <c r="AE782" t="s">
        <v>859</v>
      </c>
      <c r="AF782" s="36">
        <v>168126</v>
      </c>
      <c r="AG782" s="36">
        <v>168126</v>
      </c>
      <c r="AH782" s="24"/>
      <c r="AJ782" s="34"/>
      <c r="AK782" t="s">
        <v>923</v>
      </c>
      <c r="AL782" t="s">
        <v>924</v>
      </c>
      <c r="AM782" s="34" t="s">
        <v>925</v>
      </c>
      <c r="AN782" s="34">
        <v>43032</v>
      </c>
      <c r="AO782" s="24">
        <v>5</v>
      </c>
      <c r="AP782" t="s">
        <v>973</v>
      </c>
      <c r="AR782" s="35"/>
      <c r="AS782"/>
      <c r="AT782" s="34"/>
      <c r="AV782" s="34"/>
      <c r="AX782" s="34"/>
      <c r="AY782"/>
      <c r="BA782" s="34"/>
      <c r="BB782"/>
      <c r="BC782" t="s">
        <v>863</v>
      </c>
      <c r="BD782" s="36">
        <v>168126</v>
      </c>
      <c r="BE782" s="36">
        <v>168126</v>
      </c>
      <c r="BF782">
        <v>0</v>
      </c>
      <c r="BG782" s="34">
        <v>43101</v>
      </c>
      <c r="BH782">
        <v>24</v>
      </c>
      <c r="BI782" t="s">
        <v>974</v>
      </c>
      <c r="BJ782" t="s">
        <v>975</v>
      </c>
      <c r="BK782" t="s">
        <v>934</v>
      </c>
      <c r="BL782" t="s">
        <v>194</v>
      </c>
      <c r="BM782" s="8" t="s">
        <v>192</v>
      </c>
      <c r="BN782" t="s">
        <v>189</v>
      </c>
      <c r="BO782" t="s">
        <v>190</v>
      </c>
      <c r="BP782" s="35" t="s">
        <v>861</v>
      </c>
      <c r="BQ782"/>
      <c r="BU782" s="35"/>
      <c r="BV782" s="35"/>
      <c r="BX782"/>
      <c r="CA782" s="35"/>
      <c r="CB782" s="35"/>
      <c r="CC782"/>
      <c r="CG782" s="35"/>
      <c r="CH782" s="35"/>
      <c r="CK782"/>
      <c r="CM782" s="35"/>
      <c r="CN782" s="35"/>
      <c r="CQ782"/>
      <c r="CS782" s="35"/>
      <c r="CT782" s="35"/>
      <c r="CX782"/>
      <c r="CZ782" s="35"/>
      <c r="DD782" s="34"/>
      <c r="DG782" t="s">
        <v>860</v>
      </c>
      <c r="DH782" t="s">
        <v>976</v>
      </c>
      <c r="DI782" t="s">
        <v>798</v>
      </c>
      <c r="DL782" t="s">
        <v>684</v>
      </c>
      <c r="DM782">
        <v>3</v>
      </c>
      <c r="DN782">
        <v>4</v>
      </c>
      <c r="DO782" t="s">
        <v>862</v>
      </c>
      <c r="DQ782" t="s">
        <v>927</v>
      </c>
      <c r="DR782">
        <v>14</v>
      </c>
      <c r="DS782">
        <v>0</v>
      </c>
      <c r="DU782">
        <v>14</v>
      </c>
      <c r="DV782">
        <v>0</v>
      </c>
      <c r="DX782">
        <v>14</v>
      </c>
      <c r="DY782">
        <v>0</v>
      </c>
      <c r="DZ782" t="s">
        <v>246</v>
      </c>
      <c r="EA782" t="s">
        <v>929</v>
      </c>
    </row>
    <row r="783" spans="1:131" x14ac:dyDescent="0.4">
      <c r="A783" s="34">
        <v>43067.305104166669</v>
      </c>
      <c r="B783" s="25">
        <v>42954.500694444447</v>
      </c>
      <c r="D783" s="34"/>
      <c r="E783" s="34" t="s">
        <v>193</v>
      </c>
      <c r="F783" s="34" t="s">
        <v>191</v>
      </c>
      <c r="G783" s="34" t="s">
        <v>100</v>
      </c>
      <c r="H783" t="s">
        <v>856</v>
      </c>
      <c r="I783" t="s">
        <v>243</v>
      </c>
      <c r="J783" t="s">
        <v>857</v>
      </c>
      <c r="K783" t="s">
        <v>729</v>
      </c>
      <c r="L783" t="s">
        <v>855</v>
      </c>
      <c r="M783" s="30">
        <v>4.05</v>
      </c>
      <c r="N783">
        <v>3.25</v>
      </c>
      <c r="P783" s="24" t="str">
        <f>IFERROR(MID(RADataTable[[#This Row],[RATemplate]],1,LEN(RADataTable[[#This Row],[RATemplate]])-8),"RA") &amp; " " &amp; RADataTable[[#This Row],[prop_id0]] &amp; " " &amp; RADataTable[[#This Row],[last0]]</f>
        <v>RA 1755481 Wang</v>
      </c>
      <c r="T783">
        <v>4</v>
      </c>
      <c r="U783">
        <v>4</v>
      </c>
      <c r="V783" s="34">
        <v>43031.775694444441</v>
      </c>
      <c r="W783">
        <v>1</v>
      </c>
      <c r="X783" s="15" t="str">
        <f>HYPERLINK("https://www.ejacket.nsf.gov/ej/showProposal.do?Continue=Y&amp;ID="&amp;RADataTable[[#This Row],[prop_id0]],"eJ")</f>
        <v>eJ</v>
      </c>
      <c r="Y783" s="15" t="str">
        <f>HYPERLINK("mailto:"&amp;RADataTable[[#This Row],[email]]&amp;"&amp;subject=Your NSF Proposal:  "&amp;RADataTable[[#This Row],[Div]]&amp;" "&amp;RADataTable[[#This Row],[prop_id0]], RADataTable[[#This Row],[email]])</f>
        <v>kwang@georgiasouthern.edu</v>
      </c>
      <c r="Z783" s="15" t="str">
        <f>HYPERLINK("mailto:"&amp;RADataTable[[#This Row],[allPIemail]]&amp;"&amp;subject=NSF Proposal:  "&amp;RADataTable[[#This Row],[Div]]&amp;" "&amp;RADataTable[[#This Row],[prop_id0]], "PIs@")</f>
        <v>PIs@</v>
      </c>
      <c r="AA783" t="s">
        <v>245</v>
      </c>
      <c r="AB783" t="s">
        <v>684</v>
      </c>
      <c r="AC783" s="30" t="s">
        <v>721</v>
      </c>
      <c r="AD783" t="s">
        <v>858</v>
      </c>
      <c r="AE783" t="s">
        <v>859</v>
      </c>
      <c r="AF783" s="36">
        <v>168126</v>
      </c>
      <c r="AG783" s="36">
        <v>168126</v>
      </c>
      <c r="AH783" s="24"/>
      <c r="AJ783" s="34"/>
      <c r="AK783" t="s">
        <v>923</v>
      </c>
      <c r="AL783" t="s">
        <v>924</v>
      </c>
      <c r="AM783" s="34" t="s">
        <v>925</v>
      </c>
      <c r="AN783" s="34">
        <v>43032</v>
      </c>
      <c r="AO783" s="24">
        <v>5</v>
      </c>
      <c r="AP783" t="s">
        <v>973</v>
      </c>
      <c r="AR783" s="35"/>
      <c r="AS783"/>
      <c r="AT783" s="34"/>
      <c r="AV783" s="34"/>
      <c r="AX783" s="34"/>
      <c r="AY783"/>
      <c r="BA783" s="34"/>
      <c r="BB783"/>
      <c r="BC783" t="s">
        <v>863</v>
      </c>
      <c r="BD783" s="36">
        <v>168126</v>
      </c>
      <c r="BE783" s="36">
        <v>168126</v>
      </c>
      <c r="BF783">
        <v>0</v>
      </c>
      <c r="BG783" s="34">
        <v>43101</v>
      </c>
      <c r="BH783">
        <v>24</v>
      </c>
      <c r="BI783" t="s">
        <v>974</v>
      </c>
      <c r="BJ783" t="s">
        <v>975</v>
      </c>
      <c r="BK783" t="s">
        <v>934</v>
      </c>
      <c r="BL783" t="s">
        <v>194</v>
      </c>
      <c r="BM783" s="8" t="s">
        <v>192</v>
      </c>
      <c r="BN783" t="s">
        <v>189</v>
      </c>
      <c r="BO783" t="s">
        <v>190</v>
      </c>
      <c r="BP783" s="35" t="s">
        <v>861</v>
      </c>
      <c r="BQ783"/>
      <c r="BU783" s="35"/>
      <c r="BV783" s="35"/>
      <c r="BX783"/>
      <c r="CA783" s="35"/>
      <c r="CB783" s="35"/>
      <c r="CC783"/>
      <c r="CG783" s="35"/>
      <c r="CH783" s="35"/>
      <c r="CK783"/>
      <c r="CM783" s="35"/>
      <c r="CN783" s="35"/>
      <c r="CQ783"/>
      <c r="CS783" s="35"/>
      <c r="CT783" s="35"/>
      <c r="CX783"/>
      <c r="CZ783" s="35"/>
      <c r="DD783" s="34"/>
      <c r="DG783" t="s">
        <v>860</v>
      </c>
      <c r="DH783" t="s">
        <v>976</v>
      </c>
      <c r="DI783" t="s">
        <v>798</v>
      </c>
      <c r="DL783" t="s">
        <v>684</v>
      </c>
      <c r="DM783">
        <v>3</v>
      </c>
      <c r="DN783">
        <v>4</v>
      </c>
      <c r="DO783" t="s">
        <v>862</v>
      </c>
      <c r="DQ783" t="s">
        <v>927</v>
      </c>
      <c r="DR783">
        <v>14</v>
      </c>
      <c r="DS783">
        <v>0</v>
      </c>
      <c r="DU783">
        <v>14</v>
      </c>
      <c r="DV783">
        <v>0</v>
      </c>
      <c r="DX783">
        <v>14</v>
      </c>
      <c r="DY783">
        <v>0</v>
      </c>
      <c r="DZ783" t="s">
        <v>246</v>
      </c>
      <c r="EA783" t="s">
        <v>929</v>
      </c>
    </row>
    <row r="784" spans="1:131" x14ac:dyDescent="0.4">
      <c r="A784" s="34">
        <v>43067.305104166669</v>
      </c>
      <c r="B784" s="25">
        <v>42954.500694444447</v>
      </c>
      <c r="D784" s="34"/>
      <c r="E784" s="34" t="s">
        <v>193</v>
      </c>
      <c r="F784" s="34" t="s">
        <v>191</v>
      </c>
      <c r="G784" s="34" t="s">
        <v>100</v>
      </c>
      <c r="H784" t="s">
        <v>856</v>
      </c>
      <c r="I784" t="s">
        <v>243</v>
      </c>
      <c r="J784" t="s">
        <v>857</v>
      </c>
      <c r="K784" t="s">
        <v>729</v>
      </c>
      <c r="L784" t="s">
        <v>855</v>
      </c>
      <c r="M784" s="30">
        <v>4.05</v>
      </c>
      <c r="N784">
        <v>3.25</v>
      </c>
      <c r="P784" s="24" t="str">
        <f>IFERROR(MID(RADataTable[[#This Row],[RATemplate]],1,LEN(RADataTable[[#This Row],[RATemplate]])-8),"RA") &amp; " " &amp; RADataTable[[#This Row],[prop_id0]] &amp; " " &amp; RADataTable[[#This Row],[last0]]</f>
        <v>RA 1755481 Wang</v>
      </c>
      <c r="T784">
        <v>4</v>
      </c>
      <c r="U784">
        <v>4</v>
      </c>
      <c r="V784" s="34">
        <v>43031.775694444441</v>
      </c>
      <c r="W784">
        <v>1</v>
      </c>
      <c r="X784" s="15" t="str">
        <f>HYPERLINK("https://www.ejacket.nsf.gov/ej/showProposal.do?Continue=Y&amp;ID="&amp;RADataTable[[#This Row],[prop_id0]],"eJ")</f>
        <v>eJ</v>
      </c>
      <c r="Y784" s="15" t="str">
        <f>HYPERLINK("mailto:"&amp;RADataTable[[#This Row],[email]]&amp;"&amp;subject=Your NSF Proposal:  "&amp;RADataTable[[#This Row],[Div]]&amp;" "&amp;RADataTable[[#This Row],[prop_id0]], RADataTable[[#This Row],[email]])</f>
        <v>kwang@georgiasouthern.edu</v>
      </c>
      <c r="Z784" s="15" t="str">
        <f>HYPERLINK("mailto:"&amp;RADataTable[[#This Row],[allPIemail]]&amp;"&amp;subject=NSF Proposal:  "&amp;RADataTable[[#This Row],[Div]]&amp;" "&amp;RADataTable[[#This Row],[prop_id0]], "PIs@")</f>
        <v>PIs@</v>
      </c>
      <c r="AA784" t="s">
        <v>245</v>
      </c>
      <c r="AB784" t="s">
        <v>684</v>
      </c>
      <c r="AC784" s="30" t="s">
        <v>721</v>
      </c>
      <c r="AD784" t="s">
        <v>858</v>
      </c>
      <c r="AE784" t="s">
        <v>859</v>
      </c>
      <c r="AF784" s="36">
        <v>168126</v>
      </c>
      <c r="AG784" s="36">
        <v>168126</v>
      </c>
      <c r="AH784" s="24"/>
      <c r="AJ784" s="34"/>
      <c r="AK784" t="s">
        <v>923</v>
      </c>
      <c r="AL784" t="s">
        <v>924</v>
      </c>
      <c r="AM784" s="34" t="s">
        <v>925</v>
      </c>
      <c r="AN784" s="34">
        <v>43032</v>
      </c>
      <c r="AO784" s="24">
        <v>5</v>
      </c>
      <c r="AP784" t="s">
        <v>973</v>
      </c>
      <c r="AR784" s="35"/>
      <c r="AS784"/>
      <c r="AT784" s="34"/>
      <c r="AV784" s="34"/>
      <c r="AX784" s="34"/>
      <c r="AY784"/>
      <c r="BA784" s="34"/>
      <c r="BB784"/>
      <c r="BC784" t="s">
        <v>863</v>
      </c>
      <c r="BD784" s="36">
        <v>168126</v>
      </c>
      <c r="BE784" s="36">
        <v>168126</v>
      </c>
      <c r="BF784">
        <v>0</v>
      </c>
      <c r="BG784" s="34">
        <v>43101</v>
      </c>
      <c r="BH784">
        <v>24</v>
      </c>
      <c r="BI784" t="s">
        <v>974</v>
      </c>
      <c r="BJ784" t="s">
        <v>975</v>
      </c>
      <c r="BK784" t="s">
        <v>934</v>
      </c>
      <c r="BL784" t="s">
        <v>194</v>
      </c>
      <c r="BM784" s="8" t="s">
        <v>192</v>
      </c>
      <c r="BN784" t="s">
        <v>189</v>
      </c>
      <c r="BO784" t="s">
        <v>190</v>
      </c>
      <c r="BP784" s="35" t="s">
        <v>861</v>
      </c>
      <c r="BQ784"/>
      <c r="BU784" s="35"/>
      <c r="BV784" s="35"/>
      <c r="BX784"/>
      <c r="CA784" s="35"/>
      <c r="CB784" s="35"/>
      <c r="CC784"/>
      <c r="CG784" s="35"/>
      <c r="CH784" s="35"/>
      <c r="CK784"/>
      <c r="CM784" s="35"/>
      <c r="CN784" s="35"/>
      <c r="CQ784"/>
      <c r="CS784" s="35"/>
      <c r="CT784" s="35"/>
      <c r="CX784"/>
      <c r="CZ784" s="35"/>
      <c r="DD784" s="34"/>
      <c r="DG784" t="s">
        <v>860</v>
      </c>
      <c r="DH784" t="s">
        <v>976</v>
      </c>
      <c r="DI784" t="s">
        <v>798</v>
      </c>
      <c r="DL784" t="s">
        <v>684</v>
      </c>
      <c r="DM784">
        <v>3</v>
      </c>
      <c r="DN784">
        <v>4</v>
      </c>
      <c r="DO784" t="s">
        <v>862</v>
      </c>
      <c r="DQ784" t="s">
        <v>927</v>
      </c>
      <c r="DR784">
        <v>14</v>
      </c>
      <c r="DS784">
        <v>0</v>
      </c>
      <c r="DU784">
        <v>14</v>
      </c>
      <c r="DV784">
        <v>0</v>
      </c>
      <c r="DX784">
        <v>14</v>
      </c>
      <c r="DY784">
        <v>0</v>
      </c>
      <c r="DZ784" t="s">
        <v>246</v>
      </c>
      <c r="EA784" t="s">
        <v>929</v>
      </c>
    </row>
    <row r="785" spans="1:131" x14ac:dyDescent="0.4">
      <c r="A785" s="34">
        <v>43067.305104166669</v>
      </c>
      <c r="B785" s="25">
        <v>42954.500694444447</v>
      </c>
      <c r="D785" s="34"/>
      <c r="E785" s="34" t="s">
        <v>193</v>
      </c>
      <c r="F785" s="34" t="s">
        <v>191</v>
      </c>
      <c r="G785" s="34" t="s">
        <v>100</v>
      </c>
      <c r="H785" t="s">
        <v>856</v>
      </c>
      <c r="I785" t="s">
        <v>243</v>
      </c>
      <c r="J785" t="s">
        <v>857</v>
      </c>
      <c r="K785" t="s">
        <v>729</v>
      </c>
      <c r="L785" t="s">
        <v>855</v>
      </c>
      <c r="M785" s="30">
        <v>4.05</v>
      </c>
      <c r="N785">
        <v>3.25</v>
      </c>
      <c r="P785" s="24" t="str">
        <f>IFERROR(MID(RADataTable[[#This Row],[RATemplate]],1,LEN(RADataTable[[#This Row],[RATemplate]])-8),"RA") &amp; " " &amp; RADataTable[[#This Row],[prop_id0]] &amp; " " &amp; RADataTable[[#This Row],[last0]]</f>
        <v>RA 1755481 Wang</v>
      </c>
      <c r="T785">
        <v>4</v>
      </c>
      <c r="U785">
        <v>4</v>
      </c>
      <c r="V785" s="34">
        <v>43031.775694444441</v>
      </c>
      <c r="W785">
        <v>1</v>
      </c>
      <c r="X785" s="15" t="str">
        <f>HYPERLINK("https://www.ejacket.nsf.gov/ej/showProposal.do?Continue=Y&amp;ID="&amp;RADataTable[[#This Row],[prop_id0]],"eJ")</f>
        <v>eJ</v>
      </c>
      <c r="Y785" s="15" t="str">
        <f>HYPERLINK("mailto:"&amp;RADataTable[[#This Row],[email]]&amp;"&amp;subject=Your NSF Proposal:  "&amp;RADataTable[[#This Row],[Div]]&amp;" "&amp;RADataTable[[#This Row],[prop_id0]], RADataTable[[#This Row],[email]])</f>
        <v>kwang@georgiasouthern.edu</v>
      </c>
      <c r="Z785" s="15" t="str">
        <f>HYPERLINK("mailto:"&amp;RADataTable[[#This Row],[allPIemail]]&amp;"&amp;subject=NSF Proposal:  "&amp;RADataTable[[#This Row],[Div]]&amp;" "&amp;RADataTable[[#This Row],[prop_id0]], "PIs@")</f>
        <v>PIs@</v>
      </c>
      <c r="AA785" t="s">
        <v>245</v>
      </c>
      <c r="AB785" t="s">
        <v>684</v>
      </c>
      <c r="AC785" s="30" t="s">
        <v>721</v>
      </c>
      <c r="AD785" t="s">
        <v>858</v>
      </c>
      <c r="AE785" t="s">
        <v>859</v>
      </c>
      <c r="AF785" s="36">
        <v>168126</v>
      </c>
      <c r="AG785" s="36">
        <v>168126</v>
      </c>
      <c r="AH785" s="24"/>
      <c r="AJ785" s="34"/>
      <c r="AK785" t="s">
        <v>923</v>
      </c>
      <c r="AL785" t="s">
        <v>924</v>
      </c>
      <c r="AM785" s="34" t="s">
        <v>925</v>
      </c>
      <c r="AN785" s="34">
        <v>43032</v>
      </c>
      <c r="AO785" s="24">
        <v>5</v>
      </c>
      <c r="AP785" t="s">
        <v>973</v>
      </c>
      <c r="AR785" s="35"/>
      <c r="AS785"/>
      <c r="AT785" s="34"/>
      <c r="AV785" s="34"/>
      <c r="AX785" s="34"/>
      <c r="AY785"/>
      <c r="BA785" s="34"/>
      <c r="BB785"/>
      <c r="BC785" t="s">
        <v>863</v>
      </c>
      <c r="BD785" s="36">
        <v>168126</v>
      </c>
      <c r="BE785" s="36">
        <v>168126</v>
      </c>
      <c r="BF785">
        <v>0</v>
      </c>
      <c r="BG785" s="34">
        <v>43101</v>
      </c>
      <c r="BH785">
        <v>24</v>
      </c>
      <c r="BI785" t="s">
        <v>974</v>
      </c>
      <c r="BJ785" t="s">
        <v>975</v>
      </c>
      <c r="BK785" t="s">
        <v>934</v>
      </c>
      <c r="BL785" t="s">
        <v>194</v>
      </c>
      <c r="BM785" s="8" t="s">
        <v>192</v>
      </c>
      <c r="BN785" t="s">
        <v>189</v>
      </c>
      <c r="BO785" t="s">
        <v>190</v>
      </c>
      <c r="BP785" s="35" t="s">
        <v>861</v>
      </c>
      <c r="BQ785"/>
      <c r="BU785" s="35"/>
      <c r="BV785" s="35"/>
      <c r="BX785"/>
      <c r="CA785" s="35"/>
      <c r="CB785" s="35"/>
      <c r="CC785"/>
      <c r="CG785" s="35"/>
      <c r="CH785" s="35"/>
      <c r="CK785"/>
      <c r="CM785" s="35"/>
      <c r="CN785" s="35"/>
      <c r="CQ785"/>
      <c r="CS785" s="35"/>
      <c r="CT785" s="35"/>
      <c r="CX785"/>
      <c r="CZ785" s="35"/>
      <c r="DD785" s="34"/>
      <c r="DG785" t="s">
        <v>860</v>
      </c>
      <c r="DH785" t="s">
        <v>976</v>
      </c>
      <c r="DI785" t="s">
        <v>798</v>
      </c>
      <c r="DL785" t="s">
        <v>684</v>
      </c>
      <c r="DM785">
        <v>3</v>
      </c>
      <c r="DN785">
        <v>4</v>
      </c>
      <c r="DO785" t="s">
        <v>862</v>
      </c>
      <c r="DQ785" t="s">
        <v>927</v>
      </c>
      <c r="DR785">
        <v>14</v>
      </c>
      <c r="DS785">
        <v>0</v>
      </c>
      <c r="DU785">
        <v>14</v>
      </c>
      <c r="DV785">
        <v>0</v>
      </c>
      <c r="DX785">
        <v>14</v>
      </c>
      <c r="DY785">
        <v>0</v>
      </c>
      <c r="DZ785" t="s">
        <v>246</v>
      </c>
      <c r="EA785" t="s">
        <v>929</v>
      </c>
    </row>
    <row r="786" spans="1:131" x14ac:dyDescent="0.4">
      <c r="A786" s="34">
        <v>43067.305104166669</v>
      </c>
      <c r="B786" s="25">
        <v>42954.500694444447</v>
      </c>
      <c r="D786" s="34"/>
      <c r="E786" s="34" t="s">
        <v>193</v>
      </c>
      <c r="F786" s="34" t="s">
        <v>191</v>
      </c>
      <c r="G786" s="34" t="s">
        <v>100</v>
      </c>
      <c r="H786" t="s">
        <v>856</v>
      </c>
      <c r="I786" t="s">
        <v>243</v>
      </c>
      <c r="J786" t="s">
        <v>857</v>
      </c>
      <c r="K786" t="s">
        <v>729</v>
      </c>
      <c r="L786" t="s">
        <v>855</v>
      </c>
      <c r="M786" s="30">
        <v>4.05</v>
      </c>
      <c r="N786">
        <v>3.25</v>
      </c>
      <c r="P786" s="24" t="str">
        <f>IFERROR(MID(RADataTable[[#This Row],[RATemplate]],1,LEN(RADataTable[[#This Row],[RATemplate]])-8),"RA") &amp; " " &amp; RADataTable[[#This Row],[prop_id0]] &amp; " " &amp; RADataTable[[#This Row],[last0]]</f>
        <v>RA 1755481 Wang</v>
      </c>
      <c r="T786">
        <v>4</v>
      </c>
      <c r="U786">
        <v>4</v>
      </c>
      <c r="V786" s="34">
        <v>43031.775694444441</v>
      </c>
      <c r="W786">
        <v>1</v>
      </c>
      <c r="X786" s="15" t="str">
        <f>HYPERLINK("https://www.ejacket.nsf.gov/ej/showProposal.do?Continue=Y&amp;ID="&amp;RADataTable[[#This Row],[prop_id0]],"eJ")</f>
        <v>eJ</v>
      </c>
      <c r="Y786" s="15" t="str">
        <f>HYPERLINK("mailto:"&amp;RADataTable[[#This Row],[email]]&amp;"&amp;subject=Your NSF Proposal:  "&amp;RADataTable[[#This Row],[Div]]&amp;" "&amp;RADataTable[[#This Row],[prop_id0]], RADataTable[[#This Row],[email]])</f>
        <v>kwang@georgiasouthern.edu</v>
      </c>
      <c r="Z786" s="15" t="str">
        <f>HYPERLINK("mailto:"&amp;RADataTable[[#This Row],[allPIemail]]&amp;"&amp;subject=NSF Proposal:  "&amp;RADataTable[[#This Row],[Div]]&amp;" "&amp;RADataTable[[#This Row],[prop_id0]], "PIs@")</f>
        <v>PIs@</v>
      </c>
      <c r="AA786" t="s">
        <v>245</v>
      </c>
      <c r="AB786" t="s">
        <v>684</v>
      </c>
      <c r="AC786" s="30" t="s">
        <v>721</v>
      </c>
      <c r="AD786" t="s">
        <v>858</v>
      </c>
      <c r="AE786" t="s">
        <v>859</v>
      </c>
      <c r="AF786" s="36">
        <v>168126</v>
      </c>
      <c r="AG786" s="36">
        <v>168126</v>
      </c>
      <c r="AH786" s="24"/>
      <c r="AJ786" s="34"/>
      <c r="AK786" t="s">
        <v>923</v>
      </c>
      <c r="AL786" t="s">
        <v>924</v>
      </c>
      <c r="AM786" s="34" t="s">
        <v>925</v>
      </c>
      <c r="AN786" s="34">
        <v>43032</v>
      </c>
      <c r="AO786" s="24">
        <v>5</v>
      </c>
      <c r="AP786" t="s">
        <v>973</v>
      </c>
      <c r="AR786" s="35"/>
      <c r="AS786"/>
      <c r="AT786" s="34"/>
      <c r="AV786" s="34"/>
      <c r="AX786" s="34"/>
      <c r="AY786"/>
      <c r="BA786" s="34"/>
      <c r="BB786"/>
      <c r="BC786" t="s">
        <v>863</v>
      </c>
      <c r="BD786" s="36">
        <v>168126</v>
      </c>
      <c r="BE786" s="36">
        <v>168126</v>
      </c>
      <c r="BF786">
        <v>0</v>
      </c>
      <c r="BG786" s="34">
        <v>43101</v>
      </c>
      <c r="BH786">
        <v>24</v>
      </c>
      <c r="BI786" t="s">
        <v>974</v>
      </c>
      <c r="BJ786" t="s">
        <v>975</v>
      </c>
      <c r="BK786" t="s">
        <v>934</v>
      </c>
      <c r="BL786" t="s">
        <v>194</v>
      </c>
      <c r="BM786" s="8" t="s">
        <v>192</v>
      </c>
      <c r="BN786" t="s">
        <v>189</v>
      </c>
      <c r="BO786" t="s">
        <v>190</v>
      </c>
      <c r="BP786" s="35" t="s">
        <v>861</v>
      </c>
      <c r="BQ786"/>
      <c r="BU786" s="35"/>
      <c r="BV786" s="35"/>
      <c r="BX786"/>
      <c r="CA786" s="35"/>
      <c r="CB786" s="35"/>
      <c r="CC786"/>
      <c r="CG786" s="35"/>
      <c r="CH786" s="35"/>
      <c r="CK786"/>
      <c r="CM786" s="35"/>
      <c r="CN786" s="35"/>
      <c r="CQ786"/>
      <c r="CS786" s="35"/>
      <c r="CT786" s="35"/>
      <c r="CX786"/>
      <c r="CZ786" s="35"/>
      <c r="DD786" s="34"/>
      <c r="DG786" t="s">
        <v>860</v>
      </c>
      <c r="DH786" t="s">
        <v>976</v>
      </c>
      <c r="DI786" t="s">
        <v>798</v>
      </c>
      <c r="DL786" t="s">
        <v>684</v>
      </c>
      <c r="DM786">
        <v>3</v>
      </c>
      <c r="DN786">
        <v>4</v>
      </c>
      <c r="DO786" t="s">
        <v>862</v>
      </c>
      <c r="DQ786" t="s">
        <v>927</v>
      </c>
      <c r="DR786">
        <v>14</v>
      </c>
      <c r="DS786">
        <v>0</v>
      </c>
      <c r="DU786">
        <v>14</v>
      </c>
      <c r="DV786">
        <v>0</v>
      </c>
      <c r="DX786">
        <v>14</v>
      </c>
      <c r="DY786">
        <v>0</v>
      </c>
      <c r="DZ786" t="s">
        <v>246</v>
      </c>
      <c r="EA786" t="s">
        <v>929</v>
      </c>
    </row>
    <row r="787" spans="1:131" x14ac:dyDescent="0.4">
      <c r="A787" s="34">
        <v>43067.305104166669</v>
      </c>
      <c r="B787" s="25">
        <v>42954.500694444447</v>
      </c>
      <c r="D787" s="34"/>
      <c r="E787" s="34" t="s">
        <v>193</v>
      </c>
      <c r="F787" s="34" t="s">
        <v>191</v>
      </c>
      <c r="G787" s="34" t="s">
        <v>100</v>
      </c>
      <c r="H787" t="s">
        <v>856</v>
      </c>
      <c r="I787" t="s">
        <v>243</v>
      </c>
      <c r="J787" t="s">
        <v>857</v>
      </c>
      <c r="K787" t="s">
        <v>729</v>
      </c>
      <c r="L787" t="s">
        <v>855</v>
      </c>
      <c r="M787" s="30">
        <v>4.05</v>
      </c>
      <c r="N787">
        <v>3.25</v>
      </c>
      <c r="P787" s="24" t="str">
        <f>IFERROR(MID(RADataTable[[#This Row],[RATemplate]],1,LEN(RADataTable[[#This Row],[RATemplate]])-8),"RA") &amp; " " &amp; RADataTable[[#This Row],[prop_id0]] &amp; " " &amp; RADataTable[[#This Row],[last0]]</f>
        <v>RA 1755481 Wang</v>
      </c>
      <c r="T787">
        <v>4</v>
      </c>
      <c r="U787">
        <v>4</v>
      </c>
      <c r="V787" s="34">
        <v>43031.775694444441</v>
      </c>
      <c r="W787">
        <v>1</v>
      </c>
      <c r="X787" s="15" t="str">
        <f>HYPERLINK("https://www.ejacket.nsf.gov/ej/showProposal.do?Continue=Y&amp;ID="&amp;RADataTable[[#This Row],[prop_id0]],"eJ")</f>
        <v>eJ</v>
      </c>
      <c r="Y787" s="15" t="str">
        <f>HYPERLINK("mailto:"&amp;RADataTable[[#This Row],[email]]&amp;"&amp;subject=Your NSF Proposal:  "&amp;RADataTable[[#This Row],[Div]]&amp;" "&amp;RADataTable[[#This Row],[prop_id0]], RADataTable[[#This Row],[email]])</f>
        <v>kwang@georgiasouthern.edu</v>
      </c>
      <c r="Z787" s="15" t="str">
        <f>HYPERLINK("mailto:"&amp;RADataTable[[#This Row],[allPIemail]]&amp;"&amp;subject=NSF Proposal:  "&amp;RADataTable[[#This Row],[Div]]&amp;" "&amp;RADataTable[[#This Row],[prop_id0]], "PIs@")</f>
        <v>PIs@</v>
      </c>
      <c r="AA787" t="s">
        <v>245</v>
      </c>
      <c r="AB787" t="s">
        <v>684</v>
      </c>
      <c r="AC787" s="30" t="s">
        <v>721</v>
      </c>
      <c r="AD787" t="s">
        <v>858</v>
      </c>
      <c r="AE787" t="s">
        <v>859</v>
      </c>
      <c r="AF787" s="36">
        <v>168126</v>
      </c>
      <c r="AG787" s="36">
        <v>168126</v>
      </c>
      <c r="AH787" s="24"/>
      <c r="AJ787" s="34"/>
      <c r="AK787" t="s">
        <v>923</v>
      </c>
      <c r="AL787" t="s">
        <v>924</v>
      </c>
      <c r="AM787" s="34" t="s">
        <v>925</v>
      </c>
      <c r="AN787" s="34">
        <v>43032</v>
      </c>
      <c r="AO787" s="24">
        <v>5</v>
      </c>
      <c r="AP787" t="s">
        <v>973</v>
      </c>
      <c r="AR787" s="35"/>
      <c r="AS787"/>
      <c r="AT787" s="34"/>
      <c r="AV787" s="34"/>
      <c r="AX787" s="34"/>
      <c r="AY787"/>
      <c r="BA787" s="34"/>
      <c r="BB787"/>
      <c r="BC787" t="s">
        <v>863</v>
      </c>
      <c r="BD787" s="36">
        <v>168126</v>
      </c>
      <c r="BE787" s="36">
        <v>168126</v>
      </c>
      <c r="BF787">
        <v>0</v>
      </c>
      <c r="BG787" s="34">
        <v>43101</v>
      </c>
      <c r="BH787">
        <v>24</v>
      </c>
      <c r="BI787" t="s">
        <v>974</v>
      </c>
      <c r="BJ787" t="s">
        <v>975</v>
      </c>
      <c r="BK787" t="s">
        <v>934</v>
      </c>
      <c r="BL787" t="s">
        <v>194</v>
      </c>
      <c r="BM787" s="8" t="s">
        <v>192</v>
      </c>
      <c r="BN787" t="s">
        <v>189</v>
      </c>
      <c r="BO787" t="s">
        <v>190</v>
      </c>
      <c r="BP787" s="35" t="s">
        <v>861</v>
      </c>
      <c r="BQ787"/>
      <c r="BU787" s="35"/>
      <c r="BV787" s="35"/>
      <c r="BX787"/>
      <c r="CA787" s="35"/>
      <c r="CB787" s="35"/>
      <c r="CC787"/>
      <c r="CG787" s="35"/>
      <c r="CH787" s="35"/>
      <c r="CK787"/>
      <c r="CM787" s="35"/>
      <c r="CN787" s="35"/>
      <c r="CQ787"/>
      <c r="CS787" s="35"/>
      <c r="CT787" s="35"/>
      <c r="CX787"/>
      <c r="CZ787" s="35"/>
      <c r="DD787" s="34"/>
      <c r="DG787" t="s">
        <v>860</v>
      </c>
      <c r="DH787" t="s">
        <v>976</v>
      </c>
      <c r="DI787" t="s">
        <v>798</v>
      </c>
      <c r="DL787" t="s">
        <v>684</v>
      </c>
      <c r="DM787">
        <v>3</v>
      </c>
      <c r="DN787">
        <v>4</v>
      </c>
      <c r="DO787" t="s">
        <v>862</v>
      </c>
      <c r="DQ787" t="s">
        <v>927</v>
      </c>
      <c r="DR787">
        <v>14</v>
      </c>
      <c r="DS787">
        <v>0</v>
      </c>
      <c r="DU787">
        <v>14</v>
      </c>
      <c r="DV787">
        <v>0</v>
      </c>
      <c r="DX787">
        <v>14</v>
      </c>
      <c r="DY787">
        <v>0</v>
      </c>
      <c r="DZ787" t="s">
        <v>246</v>
      </c>
      <c r="EA787" t="s">
        <v>929</v>
      </c>
    </row>
    <row r="788" spans="1:131" x14ac:dyDescent="0.4">
      <c r="A788" s="34">
        <v>43067.305104166669</v>
      </c>
      <c r="B788" s="25">
        <v>42954.500694444447</v>
      </c>
      <c r="D788" s="34"/>
      <c r="E788" s="34" t="s">
        <v>193</v>
      </c>
      <c r="F788" s="34" t="s">
        <v>191</v>
      </c>
      <c r="G788" s="34" t="s">
        <v>100</v>
      </c>
      <c r="H788" t="s">
        <v>856</v>
      </c>
      <c r="I788" t="s">
        <v>243</v>
      </c>
      <c r="J788" t="s">
        <v>857</v>
      </c>
      <c r="K788" t="s">
        <v>729</v>
      </c>
      <c r="L788" t="s">
        <v>855</v>
      </c>
      <c r="M788" s="30">
        <v>4.05</v>
      </c>
      <c r="N788">
        <v>3.25</v>
      </c>
      <c r="P788" s="24" t="str">
        <f>IFERROR(MID(RADataTable[[#This Row],[RATemplate]],1,LEN(RADataTable[[#This Row],[RATemplate]])-8),"RA") &amp; " " &amp; RADataTable[[#This Row],[prop_id0]] &amp; " " &amp; RADataTable[[#This Row],[last0]]</f>
        <v>RA 1755481 Wang</v>
      </c>
      <c r="T788">
        <v>4</v>
      </c>
      <c r="U788">
        <v>4</v>
      </c>
      <c r="V788" s="34">
        <v>43031.775694444441</v>
      </c>
      <c r="W788">
        <v>1</v>
      </c>
      <c r="X788" s="15" t="str">
        <f>HYPERLINK("https://www.ejacket.nsf.gov/ej/showProposal.do?Continue=Y&amp;ID="&amp;RADataTable[[#This Row],[prop_id0]],"eJ")</f>
        <v>eJ</v>
      </c>
      <c r="Y788" s="15" t="str">
        <f>HYPERLINK("mailto:"&amp;RADataTable[[#This Row],[email]]&amp;"&amp;subject=Your NSF Proposal:  "&amp;RADataTable[[#This Row],[Div]]&amp;" "&amp;RADataTable[[#This Row],[prop_id0]], RADataTable[[#This Row],[email]])</f>
        <v>kwang@georgiasouthern.edu</v>
      </c>
      <c r="Z788" s="15" t="str">
        <f>HYPERLINK("mailto:"&amp;RADataTable[[#This Row],[allPIemail]]&amp;"&amp;subject=NSF Proposal:  "&amp;RADataTable[[#This Row],[Div]]&amp;" "&amp;RADataTable[[#This Row],[prop_id0]], "PIs@")</f>
        <v>PIs@</v>
      </c>
      <c r="AA788" t="s">
        <v>245</v>
      </c>
      <c r="AB788" t="s">
        <v>684</v>
      </c>
      <c r="AC788" s="30" t="s">
        <v>721</v>
      </c>
      <c r="AD788" t="s">
        <v>858</v>
      </c>
      <c r="AE788" t="s">
        <v>859</v>
      </c>
      <c r="AF788" s="36">
        <v>168126</v>
      </c>
      <c r="AG788" s="36">
        <v>168126</v>
      </c>
      <c r="AH788" s="24"/>
      <c r="AJ788" s="34"/>
      <c r="AK788" t="s">
        <v>923</v>
      </c>
      <c r="AL788" t="s">
        <v>924</v>
      </c>
      <c r="AM788" s="34" t="s">
        <v>925</v>
      </c>
      <c r="AN788" s="34">
        <v>43032</v>
      </c>
      <c r="AO788" s="24">
        <v>5</v>
      </c>
      <c r="AP788" t="s">
        <v>973</v>
      </c>
      <c r="AR788" s="35"/>
      <c r="AS788"/>
      <c r="AT788" s="34"/>
      <c r="AV788" s="34"/>
      <c r="AX788" s="34"/>
      <c r="AY788"/>
      <c r="BA788" s="34"/>
      <c r="BB788"/>
      <c r="BC788" t="s">
        <v>863</v>
      </c>
      <c r="BD788" s="36">
        <v>168126</v>
      </c>
      <c r="BE788" s="36">
        <v>168126</v>
      </c>
      <c r="BF788">
        <v>0</v>
      </c>
      <c r="BG788" s="34">
        <v>43101</v>
      </c>
      <c r="BH788">
        <v>24</v>
      </c>
      <c r="BI788" t="s">
        <v>974</v>
      </c>
      <c r="BJ788" t="s">
        <v>975</v>
      </c>
      <c r="BK788" t="s">
        <v>934</v>
      </c>
      <c r="BL788" t="s">
        <v>194</v>
      </c>
      <c r="BM788" s="8" t="s">
        <v>192</v>
      </c>
      <c r="BN788" t="s">
        <v>189</v>
      </c>
      <c r="BO788" t="s">
        <v>190</v>
      </c>
      <c r="BP788" s="35" t="s">
        <v>861</v>
      </c>
      <c r="BQ788"/>
      <c r="BU788" s="35"/>
      <c r="BV788" s="35"/>
      <c r="BX788"/>
      <c r="CA788" s="35"/>
      <c r="CB788" s="35"/>
      <c r="CC788"/>
      <c r="CG788" s="35"/>
      <c r="CH788" s="35"/>
      <c r="CK788"/>
      <c r="CM788" s="35"/>
      <c r="CN788" s="35"/>
      <c r="CQ788"/>
      <c r="CS788" s="35"/>
      <c r="CT788" s="35"/>
      <c r="CX788"/>
      <c r="CZ788" s="35"/>
      <c r="DD788" s="34"/>
      <c r="DG788" t="s">
        <v>860</v>
      </c>
      <c r="DH788" t="s">
        <v>976</v>
      </c>
      <c r="DI788" t="s">
        <v>798</v>
      </c>
      <c r="DL788" t="s">
        <v>684</v>
      </c>
      <c r="DM788">
        <v>3</v>
      </c>
      <c r="DN788">
        <v>4</v>
      </c>
      <c r="DO788" t="s">
        <v>862</v>
      </c>
      <c r="DQ788" t="s">
        <v>927</v>
      </c>
      <c r="DR788">
        <v>14</v>
      </c>
      <c r="DS788">
        <v>0</v>
      </c>
      <c r="DU788">
        <v>14</v>
      </c>
      <c r="DV788">
        <v>0</v>
      </c>
      <c r="DX788">
        <v>14</v>
      </c>
      <c r="DY788">
        <v>0</v>
      </c>
      <c r="DZ788" t="s">
        <v>246</v>
      </c>
      <c r="EA788" t="s">
        <v>929</v>
      </c>
    </row>
    <row r="789" spans="1:131" x14ac:dyDescent="0.4">
      <c r="A789" s="34">
        <v>43067.305104166669</v>
      </c>
      <c r="B789" s="25">
        <v>42954.500694444447</v>
      </c>
      <c r="D789" s="34"/>
      <c r="E789" s="34" t="s">
        <v>193</v>
      </c>
      <c r="F789" s="34" t="s">
        <v>191</v>
      </c>
      <c r="G789" s="34" t="s">
        <v>100</v>
      </c>
      <c r="H789" t="s">
        <v>856</v>
      </c>
      <c r="I789" t="s">
        <v>243</v>
      </c>
      <c r="J789" t="s">
        <v>857</v>
      </c>
      <c r="K789" t="s">
        <v>729</v>
      </c>
      <c r="L789" t="s">
        <v>855</v>
      </c>
      <c r="M789" s="30">
        <v>4.05</v>
      </c>
      <c r="N789">
        <v>3.25</v>
      </c>
      <c r="P789" s="24" t="str">
        <f>IFERROR(MID(RADataTable[[#This Row],[RATemplate]],1,LEN(RADataTable[[#This Row],[RATemplate]])-8),"RA") &amp; " " &amp; RADataTable[[#This Row],[prop_id0]] &amp; " " &amp; RADataTable[[#This Row],[last0]]</f>
        <v>RA 1755481 Wang</v>
      </c>
      <c r="T789">
        <v>4</v>
      </c>
      <c r="U789">
        <v>4</v>
      </c>
      <c r="V789" s="34">
        <v>43031.775694444441</v>
      </c>
      <c r="W789">
        <v>1</v>
      </c>
      <c r="X789" s="15" t="str">
        <f>HYPERLINK("https://www.ejacket.nsf.gov/ej/showProposal.do?Continue=Y&amp;ID="&amp;RADataTable[[#This Row],[prop_id0]],"eJ")</f>
        <v>eJ</v>
      </c>
      <c r="Y789" s="15" t="str">
        <f>HYPERLINK("mailto:"&amp;RADataTable[[#This Row],[email]]&amp;"&amp;subject=Your NSF Proposal:  "&amp;RADataTable[[#This Row],[Div]]&amp;" "&amp;RADataTable[[#This Row],[prop_id0]], RADataTable[[#This Row],[email]])</f>
        <v>kwang@georgiasouthern.edu</v>
      </c>
      <c r="Z789" s="15" t="str">
        <f>HYPERLINK("mailto:"&amp;RADataTable[[#This Row],[allPIemail]]&amp;"&amp;subject=NSF Proposal:  "&amp;RADataTable[[#This Row],[Div]]&amp;" "&amp;RADataTable[[#This Row],[prop_id0]], "PIs@")</f>
        <v>PIs@</v>
      </c>
      <c r="AA789" t="s">
        <v>245</v>
      </c>
      <c r="AB789" t="s">
        <v>684</v>
      </c>
      <c r="AC789" s="30" t="s">
        <v>721</v>
      </c>
      <c r="AD789" t="s">
        <v>858</v>
      </c>
      <c r="AE789" t="s">
        <v>859</v>
      </c>
      <c r="AF789" s="36">
        <v>168126</v>
      </c>
      <c r="AG789" s="36">
        <v>168126</v>
      </c>
      <c r="AH789" s="24"/>
      <c r="AJ789" s="34"/>
      <c r="AK789" t="s">
        <v>923</v>
      </c>
      <c r="AL789" t="s">
        <v>924</v>
      </c>
      <c r="AM789" s="34" t="s">
        <v>925</v>
      </c>
      <c r="AN789" s="34">
        <v>43032</v>
      </c>
      <c r="AO789" s="24">
        <v>5</v>
      </c>
      <c r="AP789" t="s">
        <v>973</v>
      </c>
      <c r="AR789" s="35"/>
      <c r="AS789"/>
      <c r="AT789" s="34"/>
      <c r="AV789" s="34"/>
      <c r="AX789" s="34"/>
      <c r="AY789"/>
      <c r="BA789" s="34"/>
      <c r="BB789"/>
      <c r="BC789" t="s">
        <v>863</v>
      </c>
      <c r="BD789" s="36">
        <v>168126</v>
      </c>
      <c r="BE789" s="36">
        <v>168126</v>
      </c>
      <c r="BF789">
        <v>0</v>
      </c>
      <c r="BG789" s="34">
        <v>43101</v>
      </c>
      <c r="BH789">
        <v>24</v>
      </c>
      <c r="BI789" t="s">
        <v>974</v>
      </c>
      <c r="BJ789" t="s">
        <v>975</v>
      </c>
      <c r="BK789" t="s">
        <v>934</v>
      </c>
      <c r="BL789" t="s">
        <v>194</v>
      </c>
      <c r="BM789" s="8" t="s">
        <v>192</v>
      </c>
      <c r="BN789" t="s">
        <v>189</v>
      </c>
      <c r="BO789" t="s">
        <v>190</v>
      </c>
      <c r="BP789" s="35" t="s">
        <v>861</v>
      </c>
      <c r="BQ789"/>
      <c r="BU789" s="35"/>
      <c r="BV789" s="35"/>
      <c r="BX789"/>
      <c r="CA789" s="35"/>
      <c r="CB789" s="35"/>
      <c r="CC789"/>
      <c r="CG789" s="35"/>
      <c r="CH789" s="35"/>
      <c r="CK789"/>
      <c r="CM789" s="35"/>
      <c r="CN789" s="35"/>
      <c r="CQ789"/>
      <c r="CS789" s="35"/>
      <c r="CT789" s="35"/>
      <c r="CX789"/>
      <c r="CZ789" s="35"/>
      <c r="DD789" s="34"/>
      <c r="DG789" t="s">
        <v>860</v>
      </c>
      <c r="DH789" t="s">
        <v>976</v>
      </c>
      <c r="DI789" t="s">
        <v>798</v>
      </c>
      <c r="DL789" t="s">
        <v>684</v>
      </c>
      <c r="DM789">
        <v>3</v>
      </c>
      <c r="DN789">
        <v>4</v>
      </c>
      <c r="DO789" t="s">
        <v>862</v>
      </c>
      <c r="DQ789" t="s">
        <v>927</v>
      </c>
      <c r="DR789">
        <v>14</v>
      </c>
      <c r="DS789">
        <v>0</v>
      </c>
      <c r="DU789">
        <v>14</v>
      </c>
      <c r="DV789">
        <v>0</v>
      </c>
      <c r="DX789">
        <v>14</v>
      </c>
      <c r="DY789">
        <v>0</v>
      </c>
      <c r="DZ789" t="s">
        <v>246</v>
      </c>
      <c r="EA789" t="s">
        <v>929</v>
      </c>
    </row>
    <row r="790" spans="1:131" x14ac:dyDescent="0.4">
      <c r="A790" s="34">
        <v>43067.305104166669</v>
      </c>
      <c r="B790" s="25">
        <v>42954.500694444447</v>
      </c>
      <c r="D790" s="34"/>
      <c r="E790" s="34" t="s">
        <v>193</v>
      </c>
      <c r="F790" s="34" t="s">
        <v>191</v>
      </c>
      <c r="G790" s="34" t="s">
        <v>100</v>
      </c>
      <c r="H790" t="s">
        <v>856</v>
      </c>
      <c r="I790" t="s">
        <v>243</v>
      </c>
      <c r="J790" t="s">
        <v>857</v>
      </c>
      <c r="K790" t="s">
        <v>729</v>
      </c>
      <c r="L790" t="s">
        <v>855</v>
      </c>
      <c r="M790" s="30">
        <v>4.05</v>
      </c>
      <c r="N790">
        <v>3.25</v>
      </c>
      <c r="P790" s="24" t="str">
        <f>IFERROR(MID(RADataTable[[#This Row],[RATemplate]],1,LEN(RADataTable[[#This Row],[RATemplate]])-8),"RA") &amp; " " &amp; RADataTable[[#This Row],[prop_id0]] &amp; " " &amp; RADataTable[[#This Row],[last0]]</f>
        <v>RA 1755481 Wang</v>
      </c>
      <c r="T790">
        <v>4</v>
      </c>
      <c r="U790">
        <v>4</v>
      </c>
      <c r="V790" s="34">
        <v>43031.775694444441</v>
      </c>
      <c r="W790">
        <v>1</v>
      </c>
      <c r="X790" s="15" t="str">
        <f>HYPERLINK("https://www.ejacket.nsf.gov/ej/showProposal.do?Continue=Y&amp;ID="&amp;RADataTable[[#This Row],[prop_id0]],"eJ")</f>
        <v>eJ</v>
      </c>
      <c r="Y790" s="15" t="str">
        <f>HYPERLINK("mailto:"&amp;RADataTable[[#This Row],[email]]&amp;"&amp;subject=Your NSF Proposal:  "&amp;RADataTable[[#This Row],[Div]]&amp;" "&amp;RADataTable[[#This Row],[prop_id0]], RADataTable[[#This Row],[email]])</f>
        <v>kwang@georgiasouthern.edu</v>
      </c>
      <c r="Z790" s="15" t="str">
        <f>HYPERLINK("mailto:"&amp;RADataTable[[#This Row],[allPIemail]]&amp;"&amp;subject=NSF Proposal:  "&amp;RADataTable[[#This Row],[Div]]&amp;" "&amp;RADataTable[[#This Row],[prop_id0]], "PIs@")</f>
        <v>PIs@</v>
      </c>
      <c r="AA790" t="s">
        <v>245</v>
      </c>
      <c r="AB790" t="s">
        <v>684</v>
      </c>
      <c r="AC790" s="30" t="s">
        <v>721</v>
      </c>
      <c r="AD790" t="s">
        <v>858</v>
      </c>
      <c r="AE790" t="s">
        <v>859</v>
      </c>
      <c r="AF790" s="36">
        <v>168126</v>
      </c>
      <c r="AG790" s="36">
        <v>168126</v>
      </c>
      <c r="AH790" s="24"/>
      <c r="AJ790" s="34"/>
      <c r="AK790" t="s">
        <v>923</v>
      </c>
      <c r="AL790" t="s">
        <v>924</v>
      </c>
      <c r="AM790" s="34" t="s">
        <v>925</v>
      </c>
      <c r="AN790" s="34">
        <v>43032</v>
      </c>
      <c r="AO790" s="24">
        <v>5</v>
      </c>
      <c r="AP790" t="s">
        <v>973</v>
      </c>
      <c r="AR790" s="35"/>
      <c r="AS790"/>
      <c r="AT790" s="34"/>
      <c r="AV790" s="34"/>
      <c r="AX790" s="34"/>
      <c r="AY790"/>
      <c r="BA790" s="34"/>
      <c r="BB790"/>
      <c r="BC790" t="s">
        <v>863</v>
      </c>
      <c r="BD790" s="36">
        <v>168126</v>
      </c>
      <c r="BE790" s="36">
        <v>168126</v>
      </c>
      <c r="BF790">
        <v>0</v>
      </c>
      <c r="BG790" s="34">
        <v>43101</v>
      </c>
      <c r="BH790">
        <v>24</v>
      </c>
      <c r="BI790" t="s">
        <v>974</v>
      </c>
      <c r="BJ790" t="s">
        <v>975</v>
      </c>
      <c r="BK790" t="s">
        <v>934</v>
      </c>
      <c r="BL790" t="s">
        <v>194</v>
      </c>
      <c r="BM790" s="8" t="s">
        <v>192</v>
      </c>
      <c r="BN790" t="s">
        <v>189</v>
      </c>
      <c r="BO790" t="s">
        <v>190</v>
      </c>
      <c r="BP790" s="35" t="s">
        <v>861</v>
      </c>
      <c r="BQ790"/>
      <c r="BU790" s="35"/>
      <c r="BV790" s="35"/>
      <c r="BX790"/>
      <c r="CA790" s="35"/>
      <c r="CB790" s="35"/>
      <c r="CC790"/>
      <c r="CG790" s="35"/>
      <c r="CH790" s="35"/>
      <c r="CK790"/>
      <c r="CM790" s="35"/>
      <c r="CN790" s="35"/>
      <c r="CQ790"/>
      <c r="CS790" s="35"/>
      <c r="CT790" s="35"/>
      <c r="CX790"/>
      <c r="CZ790" s="35"/>
      <c r="DD790" s="34"/>
      <c r="DG790" t="s">
        <v>860</v>
      </c>
      <c r="DH790" t="s">
        <v>976</v>
      </c>
      <c r="DI790" t="s">
        <v>798</v>
      </c>
      <c r="DL790" t="s">
        <v>684</v>
      </c>
      <c r="DM790">
        <v>3</v>
      </c>
      <c r="DN790">
        <v>4</v>
      </c>
      <c r="DO790" t="s">
        <v>862</v>
      </c>
      <c r="DQ790" t="s">
        <v>927</v>
      </c>
      <c r="DR790">
        <v>14</v>
      </c>
      <c r="DS790">
        <v>0</v>
      </c>
      <c r="DU790">
        <v>14</v>
      </c>
      <c r="DV790">
        <v>0</v>
      </c>
      <c r="DX790">
        <v>14</v>
      </c>
      <c r="DY790">
        <v>0</v>
      </c>
      <c r="DZ790" t="s">
        <v>246</v>
      </c>
      <c r="EA790" t="s">
        <v>929</v>
      </c>
    </row>
    <row r="791" spans="1:131" x14ac:dyDescent="0.4">
      <c r="A791" s="34">
        <v>43067.305104166669</v>
      </c>
      <c r="B791" s="25">
        <v>42954.500694444447</v>
      </c>
      <c r="D791" s="34"/>
      <c r="E791" s="34" t="s">
        <v>193</v>
      </c>
      <c r="F791" s="34" t="s">
        <v>191</v>
      </c>
      <c r="G791" s="34" t="s">
        <v>100</v>
      </c>
      <c r="H791" t="s">
        <v>856</v>
      </c>
      <c r="I791" t="s">
        <v>243</v>
      </c>
      <c r="J791" t="s">
        <v>857</v>
      </c>
      <c r="K791" t="s">
        <v>729</v>
      </c>
      <c r="L791" t="s">
        <v>855</v>
      </c>
      <c r="M791" s="30">
        <v>4.05</v>
      </c>
      <c r="N791">
        <v>3.25</v>
      </c>
      <c r="P791" s="24" t="str">
        <f>IFERROR(MID(RADataTable[[#This Row],[RATemplate]],1,LEN(RADataTable[[#This Row],[RATemplate]])-8),"RA") &amp; " " &amp; RADataTable[[#This Row],[prop_id0]] &amp; " " &amp; RADataTable[[#This Row],[last0]]</f>
        <v>RA 1755481 Wang</v>
      </c>
      <c r="T791">
        <v>4</v>
      </c>
      <c r="U791">
        <v>4</v>
      </c>
      <c r="V791" s="34">
        <v>43031.775694444441</v>
      </c>
      <c r="W791">
        <v>1</v>
      </c>
      <c r="X791" s="15" t="str">
        <f>HYPERLINK("https://www.ejacket.nsf.gov/ej/showProposal.do?Continue=Y&amp;ID="&amp;RADataTable[[#This Row],[prop_id0]],"eJ")</f>
        <v>eJ</v>
      </c>
      <c r="Y791" s="15" t="str">
        <f>HYPERLINK("mailto:"&amp;RADataTable[[#This Row],[email]]&amp;"&amp;subject=Your NSF Proposal:  "&amp;RADataTable[[#This Row],[Div]]&amp;" "&amp;RADataTable[[#This Row],[prop_id0]], RADataTable[[#This Row],[email]])</f>
        <v>kwang@georgiasouthern.edu</v>
      </c>
      <c r="Z791" s="15" t="str">
        <f>HYPERLINK("mailto:"&amp;RADataTable[[#This Row],[allPIemail]]&amp;"&amp;subject=NSF Proposal:  "&amp;RADataTable[[#This Row],[Div]]&amp;" "&amp;RADataTable[[#This Row],[prop_id0]], "PIs@")</f>
        <v>PIs@</v>
      </c>
      <c r="AA791" t="s">
        <v>245</v>
      </c>
      <c r="AB791" t="s">
        <v>684</v>
      </c>
      <c r="AC791" s="30" t="s">
        <v>721</v>
      </c>
      <c r="AD791" t="s">
        <v>858</v>
      </c>
      <c r="AE791" t="s">
        <v>859</v>
      </c>
      <c r="AF791" s="36">
        <v>168126</v>
      </c>
      <c r="AG791" s="36">
        <v>168126</v>
      </c>
      <c r="AH791" s="24"/>
      <c r="AJ791" s="34"/>
      <c r="AK791" t="s">
        <v>923</v>
      </c>
      <c r="AL791" t="s">
        <v>924</v>
      </c>
      <c r="AM791" s="34" t="s">
        <v>925</v>
      </c>
      <c r="AN791" s="34">
        <v>43032</v>
      </c>
      <c r="AO791" s="24">
        <v>5</v>
      </c>
      <c r="AP791" t="s">
        <v>973</v>
      </c>
      <c r="AR791" s="35"/>
      <c r="AS791"/>
      <c r="AT791" s="34"/>
      <c r="AV791" s="34"/>
      <c r="AX791" s="34"/>
      <c r="AY791"/>
      <c r="BA791" s="34"/>
      <c r="BB791"/>
      <c r="BC791" t="s">
        <v>863</v>
      </c>
      <c r="BD791" s="36">
        <v>168126</v>
      </c>
      <c r="BE791" s="36">
        <v>168126</v>
      </c>
      <c r="BF791">
        <v>0</v>
      </c>
      <c r="BG791" s="34">
        <v>43101</v>
      </c>
      <c r="BH791">
        <v>24</v>
      </c>
      <c r="BI791" t="s">
        <v>974</v>
      </c>
      <c r="BJ791" t="s">
        <v>975</v>
      </c>
      <c r="BK791" t="s">
        <v>934</v>
      </c>
      <c r="BL791" t="s">
        <v>194</v>
      </c>
      <c r="BM791" s="8" t="s">
        <v>192</v>
      </c>
      <c r="BN791" t="s">
        <v>189</v>
      </c>
      <c r="BO791" t="s">
        <v>190</v>
      </c>
      <c r="BP791" s="35" t="s">
        <v>861</v>
      </c>
      <c r="BQ791"/>
      <c r="BU791" s="35"/>
      <c r="BV791" s="35"/>
      <c r="BX791"/>
      <c r="CA791" s="35"/>
      <c r="CB791" s="35"/>
      <c r="CC791"/>
      <c r="CG791" s="35"/>
      <c r="CH791" s="35"/>
      <c r="CK791"/>
      <c r="CM791" s="35"/>
      <c r="CN791" s="35"/>
      <c r="CQ791"/>
      <c r="CS791" s="35"/>
      <c r="CT791" s="35"/>
      <c r="CX791"/>
      <c r="CZ791" s="35"/>
      <c r="DD791" s="34"/>
      <c r="DG791" t="s">
        <v>860</v>
      </c>
      <c r="DH791" t="s">
        <v>976</v>
      </c>
      <c r="DI791" t="s">
        <v>798</v>
      </c>
      <c r="DL791" t="s">
        <v>684</v>
      </c>
      <c r="DM791">
        <v>3</v>
      </c>
      <c r="DN791">
        <v>4</v>
      </c>
      <c r="DO791" t="s">
        <v>862</v>
      </c>
      <c r="DQ791" t="s">
        <v>927</v>
      </c>
      <c r="DR791">
        <v>14</v>
      </c>
      <c r="DS791">
        <v>0</v>
      </c>
      <c r="DU791">
        <v>14</v>
      </c>
      <c r="DV791">
        <v>0</v>
      </c>
      <c r="DX791">
        <v>14</v>
      </c>
      <c r="DY791">
        <v>0</v>
      </c>
      <c r="DZ791" t="s">
        <v>246</v>
      </c>
      <c r="EA791" t="s">
        <v>929</v>
      </c>
    </row>
    <row r="792" spans="1:131" x14ac:dyDescent="0.4">
      <c r="A792" s="34">
        <v>43067.305104166669</v>
      </c>
      <c r="B792" s="25">
        <v>42954.500694444447</v>
      </c>
      <c r="D792" s="34"/>
      <c r="E792" s="34" t="s">
        <v>193</v>
      </c>
      <c r="F792" s="34" t="s">
        <v>191</v>
      </c>
      <c r="G792" s="34" t="s">
        <v>100</v>
      </c>
      <c r="H792" t="s">
        <v>856</v>
      </c>
      <c r="I792" t="s">
        <v>243</v>
      </c>
      <c r="J792" t="s">
        <v>857</v>
      </c>
      <c r="K792" t="s">
        <v>729</v>
      </c>
      <c r="L792" t="s">
        <v>855</v>
      </c>
      <c r="M792" s="30">
        <v>4.05</v>
      </c>
      <c r="N792">
        <v>3.25</v>
      </c>
      <c r="P792" s="24" t="str">
        <f>IFERROR(MID(RADataTable[[#This Row],[RATemplate]],1,LEN(RADataTable[[#This Row],[RATemplate]])-8),"RA") &amp; " " &amp; RADataTable[[#This Row],[prop_id0]] &amp; " " &amp; RADataTable[[#This Row],[last0]]</f>
        <v>RA 1755481 Wang</v>
      </c>
      <c r="T792">
        <v>4</v>
      </c>
      <c r="U792">
        <v>4</v>
      </c>
      <c r="V792" s="34">
        <v>43031.775694444441</v>
      </c>
      <c r="W792">
        <v>1</v>
      </c>
      <c r="X792" s="15" t="str">
        <f>HYPERLINK("https://www.ejacket.nsf.gov/ej/showProposal.do?Continue=Y&amp;ID="&amp;RADataTable[[#This Row],[prop_id0]],"eJ")</f>
        <v>eJ</v>
      </c>
      <c r="Y792" s="15" t="str">
        <f>HYPERLINK("mailto:"&amp;RADataTable[[#This Row],[email]]&amp;"&amp;subject=Your NSF Proposal:  "&amp;RADataTable[[#This Row],[Div]]&amp;" "&amp;RADataTable[[#This Row],[prop_id0]], RADataTable[[#This Row],[email]])</f>
        <v>kwang@georgiasouthern.edu</v>
      </c>
      <c r="Z792" s="15" t="str">
        <f>HYPERLINK("mailto:"&amp;RADataTable[[#This Row],[allPIemail]]&amp;"&amp;subject=NSF Proposal:  "&amp;RADataTable[[#This Row],[Div]]&amp;" "&amp;RADataTable[[#This Row],[prop_id0]], "PIs@")</f>
        <v>PIs@</v>
      </c>
      <c r="AA792" t="s">
        <v>245</v>
      </c>
      <c r="AB792" t="s">
        <v>684</v>
      </c>
      <c r="AC792" s="30" t="s">
        <v>721</v>
      </c>
      <c r="AD792" t="s">
        <v>858</v>
      </c>
      <c r="AE792" t="s">
        <v>859</v>
      </c>
      <c r="AF792" s="36">
        <v>168126</v>
      </c>
      <c r="AG792" s="36">
        <v>168126</v>
      </c>
      <c r="AH792" s="24"/>
      <c r="AJ792" s="34"/>
      <c r="AK792" t="s">
        <v>923</v>
      </c>
      <c r="AL792" t="s">
        <v>924</v>
      </c>
      <c r="AM792" s="34" t="s">
        <v>925</v>
      </c>
      <c r="AN792" s="34">
        <v>43032</v>
      </c>
      <c r="AO792" s="24">
        <v>5</v>
      </c>
      <c r="AP792" t="s">
        <v>973</v>
      </c>
      <c r="AR792" s="35"/>
      <c r="AS792"/>
      <c r="AT792" s="34"/>
      <c r="AV792" s="34"/>
      <c r="AX792" s="34"/>
      <c r="AY792"/>
      <c r="BA792" s="34"/>
      <c r="BB792"/>
      <c r="BC792" t="s">
        <v>863</v>
      </c>
      <c r="BD792" s="36">
        <v>168126</v>
      </c>
      <c r="BE792" s="36">
        <v>168126</v>
      </c>
      <c r="BF792">
        <v>0</v>
      </c>
      <c r="BG792" s="34">
        <v>43101</v>
      </c>
      <c r="BH792">
        <v>24</v>
      </c>
      <c r="BI792" t="s">
        <v>974</v>
      </c>
      <c r="BJ792" t="s">
        <v>975</v>
      </c>
      <c r="BK792" t="s">
        <v>934</v>
      </c>
      <c r="BL792" t="s">
        <v>194</v>
      </c>
      <c r="BM792" s="8" t="s">
        <v>192</v>
      </c>
      <c r="BN792" t="s">
        <v>189</v>
      </c>
      <c r="BO792" t="s">
        <v>190</v>
      </c>
      <c r="BP792" s="35" t="s">
        <v>861</v>
      </c>
      <c r="BQ792"/>
      <c r="BU792" s="35"/>
      <c r="BV792" s="35"/>
      <c r="BX792"/>
      <c r="CA792" s="35"/>
      <c r="CB792" s="35"/>
      <c r="CC792"/>
      <c r="CG792" s="35"/>
      <c r="CH792" s="35"/>
      <c r="CK792"/>
      <c r="CM792" s="35"/>
      <c r="CN792" s="35"/>
      <c r="CQ792"/>
      <c r="CS792" s="35"/>
      <c r="CT792" s="35"/>
      <c r="CX792"/>
      <c r="CZ792" s="35"/>
      <c r="DD792" s="34"/>
      <c r="DG792" t="s">
        <v>860</v>
      </c>
      <c r="DH792" t="s">
        <v>976</v>
      </c>
      <c r="DI792" t="s">
        <v>798</v>
      </c>
      <c r="DL792" t="s">
        <v>684</v>
      </c>
      <c r="DM792">
        <v>3</v>
      </c>
      <c r="DN792">
        <v>4</v>
      </c>
      <c r="DO792" t="s">
        <v>862</v>
      </c>
      <c r="DQ792" t="s">
        <v>927</v>
      </c>
      <c r="DR792">
        <v>14</v>
      </c>
      <c r="DS792">
        <v>0</v>
      </c>
      <c r="DU792">
        <v>14</v>
      </c>
      <c r="DV792">
        <v>0</v>
      </c>
      <c r="DX792">
        <v>14</v>
      </c>
      <c r="DY792">
        <v>0</v>
      </c>
      <c r="DZ792" t="s">
        <v>246</v>
      </c>
      <c r="EA792" t="s">
        <v>929</v>
      </c>
    </row>
    <row r="793" spans="1:131" x14ac:dyDescent="0.4">
      <c r="A793" s="34">
        <v>43067.305104166669</v>
      </c>
      <c r="B793" s="25">
        <v>42954.500694444447</v>
      </c>
      <c r="D793" s="34"/>
      <c r="E793" s="34" t="s">
        <v>193</v>
      </c>
      <c r="F793" s="34" t="s">
        <v>191</v>
      </c>
      <c r="G793" s="34" t="s">
        <v>100</v>
      </c>
      <c r="H793" t="s">
        <v>856</v>
      </c>
      <c r="I793" t="s">
        <v>243</v>
      </c>
      <c r="J793" t="s">
        <v>857</v>
      </c>
      <c r="K793" t="s">
        <v>729</v>
      </c>
      <c r="L793" t="s">
        <v>855</v>
      </c>
      <c r="M793" s="30">
        <v>4.05</v>
      </c>
      <c r="N793">
        <v>3.25</v>
      </c>
      <c r="P793" s="24" t="str">
        <f>IFERROR(MID(RADataTable[[#This Row],[RATemplate]],1,LEN(RADataTable[[#This Row],[RATemplate]])-8),"RA") &amp; " " &amp; RADataTable[[#This Row],[prop_id0]] &amp; " " &amp; RADataTable[[#This Row],[last0]]</f>
        <v>RA 1755481 Wang</v>
      </c>
      <c r="T793">
        <v>4</v>
      </c>
      <c r="U793">
        <v>4</v>
      </c>
      <c r="V793" s="34">
        <v>43031.775694444441</v>
      </c>
      <c r="W793">
        <v>1</v>
      </c>
      <c r="X793" s="15" t="str">
        <f>HYPERLINK("https://www.ejacket.nsf.gov/ej/showProposal.do?Continue=Y&amp;ID="&amp;RADataTable[[#This Row],[prop_id0]],"eJ")</f>
        <v>eJ</v>
      </c>
      <c r="Y793" s="15" t="str">
        <f>HYPERLINK("mailto:"&amp;RADataTable[[#This Row],[email]]&amp;"&amp;subject=Your NSF Proposal:  "&amp;RADataTable[[#This Row],[Div]]&amp;" "&amp;RADataTable[[#This Row],[prop_id0]], RADataTable[[#This Row],[email]])</f>
        <v>kwang@georgiasouthern.edu</v>
      </c>
      <c r="Z793" s="15" t="str">
        <f>HYPERLINK("mailto:"&amp;RADataTable[[#This Row],[allPIemail]]&amp;"&amp;subject=NSF Proposal:  "&amp;RADataTable[[#This Row],[Div]]&amp;" "&amp;RADataTable[[#This Row],[prop_id0]], "PIs@")</f>
        <v>PIs@</v>
      </c>
      <c r="AA793" t="s">
        <v>245</v>
      </c>
      <c r="AB793" t="s">
        <v>684</v>
      </c>
      <c r="AC793" s="30" t="s">
        <v>721</v>
      </c>
      <c r="AD793" t="s">
        <v>858</v>
      </c>
      <c r="AE793" t="s">
        <v>859</v>
      </c>
      <c r="AF793" s="36">
        <v>168126</v>
      </c>
      <c r="AG793" s="36">
        <v>168126</v>
      </c>
      <c r="AH793" s="24"/>
      <c r="AJ793" s="34"/>
      <c r="AK793" t="s">
        <v>923</v>
      </c>
      <c r="AL793" t="s">
        <v>924</v>
      </c>
      <c r="AM793" s="34" t="s">
        <v>925</v>
      </c>
      <c r="AN793" s="34">
        <v>43032</v>
      </c>
      <c r="AO793" s="24">
        <v>5</v>
      </c>
      <c r="AP793" t="s">
        <v>973</v>
      </c>
      <c r="AR793" s="35"/>
      <c r="AS793"/>
      <c r="AT793" s="34"/>
      <c r="AV793" s="34"/>
      <c r="AX793" s="34"/>
      <c r="AY793"/>
      <c r="BA793" s="34"/>
      <c r="BB793"/>
      <c r="BC793" t="s">
        <v>863</v>
      </c>
      <c r="BD793" s="36">
        <v>168126</v>
      </c>
      <c r="BE793" s="36">
        <v>168126</v>
      </c>
      <c r="BF793">
        <v>0</v>
      </c>
      <c r="BG793" s="34">
        <v>43101</v>
      </c>
      <c r="BH793">
        <v>24</v>
      </c>
      <c r="BI793" t="s">
        <v>974</v>
      </c>
      <c r="BJ793" t="s">
        <v>975</v>
      </c>
      <c r="BK793" t="s">
        <v>934</v>
      </c>
      <c r="BL793" t="s">
        <v>194</v>
      </c>
      <c r="BM793" s="8" t="s">
        <v>192</v>
      </c>
      <c r="BN793" t="s">
        <v>189</v>
      </c>
      <c r="BO793" t="s">
        <v>190</v>
      </c>
      <c r="BP793" s="35" t="s">
        <v>861</v>
      </c>
      <c r="BQ793"/>
      <c r="BU793" s="35"/>
      <c r="BV793" s="35"/>
      <c r="BX793"/>
      <c r="CA793" s="35"/>
      <c r="CB793" s="35"/>
      <c r="CC793"/>
      <c r="CG793" s="35"/>
      <c r="CH793" s="35"/>
      <c r="CK793"/>
      <c r="CM793" s="35"/>
      <c r="CN793" s="35"/>
      <c r="CQ793"/>
      <c r="CS793" s="35"/>
      <c r="CT793" s="35"/>
      <c r="CX793"/>
      <c r="CZ793" s="35"/>
      <c r="DD793" s="34"/>
      <c r="DG793" t="s">
        <v>860</v>
      </c>
      <c r="DH793" t="s">
        <v>976</v>
      </c>
      <c r="DI793" t="s">
        <v>798</v>
      </c>
      <c r="DL793" t="s">
        <v>684</v>
      </c>
      <c r="DM793">
        <v>3</v>
      </c>
      <c r="DN793">
        <v>4</v>
      </c>
      <c r="DO793" t="s">
        <v>862</v>
      </c>
      <c r="DQ793" t="s">
        <v>927</v>
      </c>
      <c r="DR793">
        <v>14</v>
      </c>
      <c r="DS793">
        <v>0</v>
      </c>
      <c r="DU793">
        <v>14</v>
      </c>
      <c r="DV793">
        <v>0</v>
      </c>
      <c r="DX793">
        <v>14</v>
      </c>
      <c r="DY793">
        <v>0</v>
      </c>
      <c r="DZ793" t="s">
        <v>246</v>
      </c>
      <c r="EA793" t="s">
        <v>929</v>
      </c>
    </row>
    <row r="794" spans="1:131" x14ac:dyDescent="0.4">
      <c r="A794" s="34">
        <v>43067.305104166669</v>
      </c>
      <c r="B794" s="25">
        <v>42954.500694444447</v>
      </c>
      <c r="D794" s="34"/>
      <c r="E794" s="34" t="s">
        <v>193</v>
      </c>
      <c r="F794" s="34" t="s">
        <v>191</v>
      </c>
      <c r="G794" s="34" t="s">
        <v>100</v>
      </c>
      <c r="H794" t="s">
        <v>856</v>
      </c>
      <c r="I794" t="s">
        <v>243</v>
      </c>
      <c r="J794" t="s">
        <v>857</v>
      </c>
      <c r="K794" t="s">
        <v>729</v>
      </c>
      <c r="L794" t="s">
        <v>855</v>
      </c>
      <c r="M794" s="30">
        <v>4.05</v>
      </c>
      <c r="N794">
        <v>3.25</v>
      </c>
      <c r="P794" s="24" t="str">
        <f>IFERROR(MID(RADataTable[[#This Row],[RATemplate]],1,LEN(RADataTable[[#This Row],[RATemplate]])-8),"RA") &amp; " " &amp; RADataTable[[#This Row],[prop_id0]] &amp; " " &amp; RADataTable[[#This Row],[last0]]</f>
        <v>RA 1755481 Wang</v>
      </c>
      <c r="T794">
        <v>4</v>
      </c>
      <c r="U794">
        <v>4</v>
      </c>
      <c r="V794" s="34">
        <v>43031.775694444441</v>
      </c>
      <c r="W794">
        <v>1</v>
      </c>
      <c r="X794" s="15" t="str">
        <f>HYPERLINK("https://www.ejacket.nsf.gov/ej/showProposal.do?Continue=Y&amp;ID="&amp;RADataTable[[#This Row],[prop_id0]],"eJ")</f>
        <v>eJ</v>
      </c>
      <c r="Y794" s="15" t="str">
        <f>HYPERLINK("mailto:"&amp;RADataTable[[#This Row],[email]]&amp;"&amp;subject=Your NSF Proposal:  "&amp;RADataTable[[#This Row],[Div]]&amp;" "&amp;RADataTable[[#This Row],[prop_id0]], RADataTable[[#This Row],[email]])</f>
        <v>kwang@georgiasouthern.edu</v>
      </c>
      <c r="Z794" s="15" t="str">
        <f>HYPERLINK("mailto:"&amp;RADataTable[[#This Row],[allPIemail]]&amp;"&amp;subject=NSF Proposal:  "&amp;RADataTable[[#This Row],[Div]]&amp;" "&amp;RADataTable[[#This Row],[prop_id0]], "PIs@")</f>
        <v>PIs@</v>
      </c>
      <c r="AA794" t="s">
        <v>245</v>
      </c>
      <c r="AB794" t="s">
        <v>684</v>
      </c>
      <c r="AC794" s="30" t="s">
        <v>721</v>
      </c>
      <c r="AD794" t="s">
        <v>858</v>
      </c>
      <c r="AE794" t="s">
        <v>859</v>
      </c>
      <c r="AF794" s="36">
        <v>168126</v>
      </c>
      <c r="AG794" s="36">
        <v>168126</v>
      </c>
      <c r="AH794" s="24"/>
      <c r="AJ794" s="34"/>
      <c r="AK794" t="s">
        <v>923</v>
      </c>
      <c r="AL794" t="s">
        <v>924</v>
      </c>
      <c r="AM794" s="34" t="s">
        <v>925</v>
      </c>
      <c r="AN794" s="34">
        <v>43032</v>
      </c>
      <c r="AO794" s="24">
        <v>5</v>
      </c>
      <c r="AP794" t="s">
        <v>973</v>
      </c>
      <c r="AR794" s="35"/>
      <c r="AS794"/>
      <c r="AT794" s="34"/>
      <c r="AV794" s="34"/>
      <c r="AX794" s="34"/>
      <c r="AY794"/>
      <c r="BA794" s="34"/>
      <c r="BB794"/>
      <c r="BC794" t="s">
        <v>863</v>
      </c>
      <c r="BD794" s="36">
        <v>168126</v>
      </c>
      <c r="BE794" s="36">
        <v>168126</v>
      </c>
      <c r="BF794">
        <v>0</v>
      </c>
      <c r="BG794" s="34">
        <v>43101</v>
      </c>
      <c r="BH794">
        <v>24</v>
      </c>
      <c r="BI794" t="s">
        <v>974</v>
      </c>
      <c r="BJ794" t="s">
        <v>975</v>
      </c>
      <c r="BK794" t="s">
        <v>934</v>
      </c>
      <c r="BL794" t="s">
        <v>194</v>
      </c>
      <c r="BM794" s="8" t="s">
        <v>192</v>
      </c>
      <c r="BN794" t="s">
        <v>189</v>
      </c>
      <c r="BO794" t="s">
        <v>190</v>
      </c>
      <c r="BP794" s="35" t="s">
        <v>861</v>
      </c>
      <c r="BQ794"/>
      <c r="BU794" s="35"/>
      <c r="BV794" s="35"/>
      <c r="BX794"/>
      <c r="CA794" s="35"/>
      <c r="CB794" s="35"/>
      <c r="CC794"/>
      <c r="CG794" s="35"/>
      <c r="CH794" s="35"/>
      <c r="CK794"/>
      <c r="CM794" s="35"/>
      <c r="CN794" s="35"/>
      <c r="CQ794"/>
      <c r="CS794" s="35"/>
      <c r="CT794" s="35"/>
      <c r="CX794"/>
      <c r="CZ794" s="35"/>
      <c r="DD794" s="34"/>
      <c r="DG794" t="s">
        <v>860</v>
      </c>
      <c r="DH794" t="s">
        <v>976</v>
      </c>
      <c r="DI794" t="s">
        <v>798</v>
      </c>
      <c r="DL794" t="s">
        <v>684</v>
      </c>
      <c r="DM794">
        <v>3</v>
      </c>
      <c r="DN794">
        <v>4</v>
      </c>
      <c r="DO794" t="s">
        <v>862</v>
      </c>
      <c r="DQ794" t="s">
        <v>927</v>
      </c>
      <c r="DR794">
        <v>14</v>
      </c>
      <c r="DS794">
        <v>0</v>
      </c>
      <c r="DU794">
        <v>14</v>
      </c>
      <c r="DV794">
        <v>0</v>
      </c>
      <c r="DX794">
        <v>14</v>
      </c>
      <c r="DY794">
        <v>0</v>
      </c>
      <c r="DZ794" t="s">
        <v>246</v>
      </c>
      <c r="EA794" t="s">
        <v>929</v>
      </c>
    </row>
    <row r="795" spans="1:131" x14ac:dyDescent="0.4">
      <c r="A795" s="34">
        <v>43067.305104166669</v>
      </c>
      <c r="B795" s="25">
        <v>42954.500694444447</v>
      </c>
      <c r="D795" s="34"/>
      <c r="E795" s="34" t="s">
        <v>193</v>
      </c>
      <c r="F795" s="34" t="s">
        <v>191</v>
      </c>
      <c r="G795" s="34" t="s">
        <v>100</v>
      </c>
      <c r="H795" t="s">
        <v>856</v>
      </c>
      <c r="I795" t="s">
        <v>243</v>
      </c>
      <c r="J795" t="s">
        <v>857</v>
      </c>
      <c r="K795" t="s">
        <v>729</v>
      </c>
      <c r="L795" t="s">
        <v>855</v>
      </c>
      <c r="M795" s="30">
        <v>4.05</v>
      </c>
      <c r="N795">
        <v>3.25</v>
      </c>
      <c r="P795" s="24" t="str">
        <f>IFERROR(MID(RADataTable[[#This Row],[RATemplate]],1,LEN(RADataTable[[#This Row],[RATemplate]])-8),"RA") &amp; " " &amp; RADataTable[[#This Row],[prop_id0]] &amp; " " &amp; RADataTable[[#This Row],[last0]]</f>
        <v>RA 1755481 Wang</v>
      </c>
      <c r="T795">
        <v>4</v>
      </c>
      <c r="U795">
        <v>4</v>
      </c>
      <c r="V795" s="34">
        <v>43031.775694444441</v>
      </c>
      <c r="W795">
        <v>1</v>
      </c>
      <c r="X795" s="15" t="str">
        <f>HYPERLINK("https://www.ejacket.nsf.gov/ej/showProposal.do?Continue=Y&amp;ID="&amp;RADataTable[[#This Row],[prop_id0]],"eJ")</f>
        <v>eJ</v>
      </c>
      <c r="Y795" s="15" t="str">
        <f>HYPERLINK("mailto:"&amp;RADataTable[[#This Row],[email]]&amp;"&amp;subject=Your NSF Proposal:  "&amp;RADataTable[[#This Row],[Div]]&amp;" "&amp;RADataTable[[#This Row],[prop_id0]], RADataTable[[#This Row],[email]])</f>
        <v>kwang@georgiasouthern.edu</v>
      </c>
      <c r="Z795" s="15" t="str">
        <f>HYPERLINK("mailto:"&amp;RADataTable[[#This Row],[allPIemail]]&amp;"&amp;subject=NSF Proposal:  "&amp;RADataTable[[#This Row],[Div]]&amp;" "&amp;RADataTable[[#This Row],[prop_id0]], "PIs@")</f>
        <v>PIs@</v>
      </c>
      <c r="AA795" t="s">
        <v>245</v>
      </c>
      <c r="AB795" t="s">
        <v>684</v>
      </c>
      <c r="AC795" s="30" t="s">
        <v>721</v>
      </c>
      <c r="AD795" t="s">
        <v>858</v>
      </c>
      <c r="AE795" t="s">
        <v>859</v>
      </c>
      <c r="AF795" s="36">
        <v>168126</v>
      </c>
      <c r="AG795" s="36">
        <v>168126</v>
      </c>
      <c r="AH795" s="24"/>
      <c r="AJ795" s="34"/>
      <c r="AK795" t="s">
        <v>923</v>
      </c>
      <c r="AL795" t="s">
        <v>924</v>
      </c>
      <c r="AM795" s="34" t="s">
        <v>925</v>
      </c>
      <c r="AN795" s="34">
        <v>43032</v>
      </c>
      <c r="AO795" s="24">
        <v>5</v>
      </c>
      <c r="AP795" t="s">
        <v>973</v>
      </c>
      <c r="AR795" s="35"/>
      <c r="AS795"/>
      <c r="AT795" s="34"/>
      <c r="AV795" s="34"/>
      <c r="AX795" s="34"/>
      <c r="AY795"/>
      <c r="BA795" s="34"/>
      <c r="BB795"/>
      <c r="BC795" t="s">
        <v>863</v>
      </c>
      <c r="BD795" s="36">
        <v>168126</v>
      </c>
      <c r="BE795" s="36">
        <v>168126</v>
      </c>
      <c r="BF795">
        <v>0</v>
      </c>
      <c r="BG795" s="34">
        <v>43101</v>
      </c>
      <c r="BH795">
        <v>24</v>
      </c>
      <c r="BI795" t="s">
        <v>974</v>
      </c>
      <c r="BJ795" t="s">
        <v>975</v>
      </c>
      <c r="BK795" t="s">
        <v>934</v>
      </c>
      <c r="BL795" t="s">
        <v>194</v>
      </c>
      <c r="BM795" s="8" t="s">
        <v>192</v>
      </c>
      <c r="BN795" t="s">
        <v>189</v>
      </c>
      <c r="BO795" t="s">
        <v>190</v>
      </c>
      <c r="BP795" s="35" t="s">
        <v>861</v>
      </c>
      <c r="BQ795"/>
      <c r="BU795" s="35"/>
      <c r="BV795" s="35"/>
      <c r="BX795"/>
      <c r="CA795" s="35"/>
      <c r="CB795" s="35"/>
      <c r="CC795"/>
      <c r="CG795" s="35"/>
      <c r="CH795" s="35"/>
      <c r="CK795"/>
      <c r="CM795" s="35"/>
      <c r="CN795" s="35"/>
      <c r="CQ795"/>
      <c r="CS795" s="35"/>
      <c r="CT795" s="35"/>
      <c r="CX795"/>
      <c r="CZ795" s="35"/>
      <c r="DD795" s="34"/>
      <c r="DG795" t="s">
        <v>860</v>
      </c>
      <c r="DH795" t="s">
        <v>976</v>
      </c>
      <c r="DI795" t="s">
        <v>798</v>
      </c>
      <c r="DL795" t="s">
        <v>684</v>
      </c>
      <c r="DM795">
        <v>3</v>
      </c>
      <c r="DN795">
        <v>4</v>
      </c>
      <c r="DO795" t="s">
        <v>862</v>
      </c>
      <c r="DQ795" t="s">
        <v>927</v>
      </c>
      <c r="DR795">
        <v>14</v>
      </c>
      <c r="DS795">
        <v>0</v>
      </c>
      <c r="DU795">
        <v>14</v>
      </c>
      <c r="DV795">
        <v>0</v>
      </c>
      <c r="DX795">
        <v>14</v>
      </c>
      <c r="DY795">
        <v>0</v>
      </c>
      <c r="DZ795" t="s">
        <v>246</v>
      </c>
      <c r="EA795" t="s">
        <v>929</v>
      </c>
    </row>
    <row r="796" spans="1:131" x14ac:dyDescent="0.4">
      <c r="A796" s="34">
        <v>43067.305104166669</v>
      </c>
      <c r="B796" s="25">
        <v>42954.500694444447</v>
      </c>
      <c r="D796" s="34"/>
      <c r="E796" s="34" t="s">
        <v>193</v>
      </c>
      <c r="F796" s="34" t="s">
        <v>191</v>
      </c>
      <c r="G796" s="34" t="s">
        <v>100</v>
      </c>
      <c r="H796" t="s">
        <v>856</v>
      </c>
      <c r="I796" t="s">
        <v>243</v>
      </c>
      <c r="J796" t="s">
        <v>857</v>
      </c>
      <c r="K796" t="s">
        <v>729</v>
      </c>
      <c r="L796" t="s">
        <v>855</v>
      </c>
      <c r="M796" s="30">
        <v>4.05</v>
      </c>
      <c r="N796">
        <v>3.25</v>
      </c>
      <c r="P796" s="24" t="str">
        <f>IFERROR(MID(RADataTable[[#This Row],[RATemplate]],1,LEN(RADataTable[[#This Row],[RATemplate]])-8),"RA") &amp; " " &amp; RADataTable[[#This Row],[prop_id0]] &amp; " " &amp; RADataTable[[#This Row],[last0]]</f>
        <v>RA 1755481 Wang</v>
      </c>
      <c r="T796">
        <v>4</v>
      </c>
      <c r="U796">
        <v>4</v>
      </c>
      <c r="V796" s="34">
        <v>43031.775694444441</v>
      </c>
      <c r="W796">
        <v>1</v>
      </c>
      <c r="X796" s="15" t="str">
        <f>HYPERLINK("https://www.ejacket.nsf.gov/ej/showProposal.do?Continue=Y&amp;ID="&amp;RADataTable[[#This Row],[prop_id0]],"eJ")</f>
        <v>eJ</v>
      </c>
      <c r="Y796" s="15" t="str">
        <f>HYPERLINK("mailto:"&amp;RADataTable[[#This Row],[email]]&amp;"&amp;subject=Your NSF Proposal:  "&amp;RADataTable[[#This Row],[Div]]&amp;" "&amp;RADataTable[[#This Row],[prop_id0]], RADataTable[[#This Row],[email]])</f>
        <v>kwang@georgiasouthern.edu</v>
      </c>
      <c r="Z796" s="15" t="str">
        <f>HYPERLINK("mailto:"&amp;RADataTable[[#This Row],[allPIemail]]&amp;"&amp;subject=NSF Proposal:  "&amp;RADataTable[[#This Row],[Div]]&amp;" "&amp;RADataTable[[#This Row],[prop_id0]], "PIs@")</f>
        <v>PIs@</v>
      </c>
      <c r="AA796" t="s">
        <v>245</v>
      </c>
      <c r="AB796" t="s">
        <v>684</v>
      </c>
      <c r="AC796" s="30" t="s">
        <v>721</v>
      </c>
      <c r="AD796" t="s">
        <v>858</v>
      </c>
      <c r="AE796" t="s">
        <v>859</v>
      </c>
      <c r="AF796" s="36">
        <v>168126</v>
      </c>
      <c r="AG796" s="36">
        <v>168126</v>
      </c>
      <c r="AH796" s="24"/>
      <c r="AJ796" s="34"/>
      <c r="AK796" t="s">
        <v>923</v>
      </c>
      <c r="AL796" t="s">
        <v>924</v>
      </c>
      <c r="AM796" s="34" t="s">
        <v>925</v>
      </c>
      <c r="AN796" s="34">
        <v>43032</v>
      </c>
      <c r="AO796" s="24">
        <v>5</v>
      </c>
      <c r="AP796" t="s">
        <v>973</v>
      </c>
      <c r="AR796" s="35"/>
      <c r="AS796"/>
      <c r="AT796" s="34"/>
      <c r="AV796" s="34"/>
      <c r="AX796" s="34"/>
      <c r="AY796"/>
      <c r="BA796" s="34"/>
      <c r="BB796"/>
      <c r="BC796" t="s">
        <v>863</v>
      </c>
      <c r="BD796" s="36">
        <v>168126</v>
      </c>
      <c r="BE796" s="36">
        <v>168126</v>
      </c>
      <c r="BF796">
        <v>0</v>
      </c>
      <c r="BG796" s="34">
        <v>43101</v>
      </c>
      <c r="BH796">
        <v>24</v>
      </c>
      <c r="BI796" t="s">
        <v>974</v>
      </c>
      <c r="BJ796" t="s">
        <v>975</v>
      </c>
      <c r="BK796" t="s">
        <v>934</v>
      </c>
      <c r="BL796" t="s">
        <v>194</v>
      </c>
      <c r="BM796" s="8" t="s">
        <v>192</v>
      </c>
      <c r="BN796" t="s">
        <v>189</v>
      </c>
      <c r="BO796" t="s">
        <v>190</v>
      </c>
      <c r="BP796" s="35" t="s">
        <v>861</v>
      </c>
      <c r="BQ796"/>
      <c r="BU796" s="35"/>
      <c r="BV796" s="35"/>
      <c r="BX796"/>
      <c r="CA796" s="35"/>
      <c r="CB796" s="35"/>
      <c r="CC796"/>
      <c r="CG796" s="35"/>
      <c r="CH796" s="35"/>
      <c r="CK796"/>
      <c r="CM796" s="35"/>
      <c r="CN796" s="35"/>
      <c r="CQ796"/>
      <c r="CS796" s="35"/>
      <c r="CT796" s="35"/>
      <c r="CX796"/>
      <c r="CZ796" s="35"/>
      <c r="DD796" s="34"/>
      <c r="DG796" t="s">
        <v>860</v>
      </c>
      <c r="DH796" t="s">
        <v>976</v>
      </c>
      <c r="DI796" t="s">
        <v>798</v>
      </c>
      <c r="DL796" t="s">
        <v>684</v>
      </c>
      <c r="DM796">
        <v>3</v>
      </c>
      <c r="DN796">
        <v>4</v>
      </c>
      <c r="DO796" t="s">
        <v>862</v>
      </c>
      <c r="DQ796" t="s">
        <v>927</v>
      </c>
      <c r="DR796">
        <v>14</v>
      </c>
      <c r="DS796">
        <v>0</v>
      </c>
      <c r="DU796">
        <v>14</v>
      </c>
      <c r="DV796">
        <v>0</v>
      </c>
      <c r="DX796">
        <v>14</v>
      </c>
      <c r="DY796">
        <v>0</v>
      </c>
      <c r="DZ796" t="s">
        <v>246</v>
      </c>
      <c r="EA796" t="s">
        <v>929</v>
      </c>
    </row>
    <row r="797" spans="1:131" x14ac:dyDescent="0.4">
      <c r="A797" s="34">
        <v>43067.305104166669</v>
      </c>
      <c r="B797" s="25">
        <v>42954.500694444447</v>
      </c>
      <c r="D797" s="34"/>
      <c r="E797" s="34" t="s">
        <v>193</v>
      </c>
      <c r="F797" s="34" t="s">
        <v>191</v>
      </c>
      <c r="G797" s="34" t="s">
        <v>100</v>
      </c>
      <c r="H797" t="s">
        <v>856</v>
      </c>
      <c r="I797" t="s">
        <v>243</v>
      </c>
      <c r="J797" t="s">
        <v>857</v>
      </c>
      <c r="K797" t="s">
        <v>729</v>
      </c>
      <c r="L797" t="s">
        <v>855</v>
      </c>
      <c r="M797" s="30">
        <v>4.05</v>
      </c>
      <c r="N797">
        <v>3.25</v>
      </c>
      <c r="P797" s="24" t="str">
        <f>IFERROR(MID(RADataTable[[#This Row],[RATemplate]],1,LEN(RADataTable[[#This Row],[RATemplate]])-8),"RA") &amp; " " &amp; RADataTable[[#This Row],[prop_id0]] &amp; " " &amp; RADataTable[[#This Row],[last0]]</f>
        <v>RA 1755481 Wang</v>
      </c>
      <c r="T797">
        <v>4</v>
      </c>
      <c r="U797">
        <v>4</v>
      </c>
      <c r="V797" s="34">
        <v>43031.775694444441</v>
      </c>
      <c r="W797">
        <v>1</v>
      </c>
      <c r="X797" s="15" t="str">
        <f>HYPERLINK("https://www.ejacket.nsf.gov/ej/showProposal.do?Continue=Y&amp;ID="&amp;RADataTable[[#This Row],[prop_id0]],"eJ")</f>
        <v>eJ</v>
      </c>
      <c r="Y797" s="15" t="str">
        <f>HYPERLINK("mailto:"&amp;RADataTable[[#This Row],[email]]&amp;"&amp;subject=Your NSF Proposal:  "&amp;RADataTable[[#This Row],[Div]]&amp;" "&amp;RADataTable[[#This Row],[prop_id0]], RADataTable[[#This Row],[email]])</f>
        <v>kwang@georgiasouthern.edu</v>
      </c>
      <c r="Z797" s="15" t="str">
        <f>HYPERLINK("mailto:"&amp;RADataTable[[#This Row],[allPIemail]]&amp;"&amp;subject=NSF Proposal:  "&amp;RADataTable[[#This Row],[Div]]&amp;" "&amp;RADataTable[[#This Row],[prop_id0]], "PIs@")</f>
        <v>PIs@</v>
      </c>
      <c r="AA797" t="s">
        <v>245</v>
      </c>
      <c r="AB797" t="s">
        <v>684</v>
      </c>
      <c r="AC797" s="30" t="s">
        <v>721</v>
      </c>
      <c r="AD797" t="s">
        <v>858</v>
      </c>
      <c r="AE797" t="s">
        <v>859</v>
      </c>
      <c r="AF797" s="36">
        <v>168126</v>
      </c>
      <c r="AG797" s="36">
        <v>168126</v>
      </c>
      <c r="AH797" s="24"/>
      <c r="AJ797" s="34"/>
      <c r="AK797" t="s">
        <v>923</v>
      </c>
      <c r="AL797" t="s">
        <v>924</v>
      </c>
      <c r="AM797" s="34" t="s">
        <v>925</v>
      </c>
      <c r="AN797" s="34">
        <v>43032</v>
      </c>
      <c r="AO797" s="24">
        <v>5</v>
      </c>
      <c r="AP797" t="s">
        <v>973</v>
      </c>
      <c r="AR797" s="35"/>
      <c r="AS797"/>
      <c r="AT797" s="34"/>
      <c r="AV797" s="34"/>
      <c r="AX797" s="34"/>
      <c r="AY797"/>
      <c r="BA797" s="34"/>
      <c r="BB797"/>
      <c r="BC797" t="s">
        <v>863</v>
      </c>
      <c r="BD797" s="36">
        <v>168126</v>
      </c>
      <c r="BE797" s="36">
        <v>168126</v>
      </c>
      <c r="BF797">
        <v>0</v>
      </c>
      <c r="BG797" s="34">
        <v>43101</v>
      </c>
      <c r="BH797">
        <v>24</v>
      </c>
      <c r="BI797" t="s">
        <v>974</v>
      </c>
      <c r="BJ797" t="s">
        <v>975</v>
      </c>
      <c r="BK797" t="s">
        <v>934</v>
      </c>
      <c r="BL797" t="s">
        <v>194</v>
      </c>
      <c r="BM797" s="8" t="s">
        <v>192</v>
      </c>
      <c r="BN797" t="s">
        <v>189</v>
      </c>
      <c r="BO797" t="s">
        <v>190</v>
      </c>
      <c r="BP797" s="35" t="s">
        <v>861</v>
      </c>
      <c r="BQ797"/>
      <c r="BU797" s="35"/>
      <c r="BV797" s="35"/>
      <c r="BX797"/>
      <c r="CA797" s="35"/>
      <c r="CB797" s="35"/>
      <c r="CC797"/>
      <c r="CG797" s="35"/>
      <c r="CH797" s="35"/>
      <c r="CK797"/>
      <c r="CM797" s="35"/>
      <c r="CN797" s="35"/>
      <c r="CQ797"/>
      <c r="CS797" s="35"/>
      <c r="CT797" s="35"/>
      <c r="CX797"/>
      <c r="CZ797" s="35"/>
      <c r="DD797" s="34"/>
      <c r="DG797" t="s">
        <v>860</v>
      </c>
      <c r="DH797" t="s">
        <v>976</v>
      </c>
      <c r="DI797" t="s">
        <v>798</v>
      </c>
      <c r="DL797" t="s">
        <v>684</v>
      </c>
      <c r="DM797">
        <v>3</v>
      </c>
      <c r="DN797">
        <v>4</v>
      </c>
      <c r="DO797" t="s">
        <v>862</v>
      </c>
      <c r="DQ797" t="s">
        <v>927</v>
      </c>
      <c r="DR797">
        <v>14</v>
      </c>
      <c r="DS797">
        <v>0</v>
      </c>
      <c r="DU797">
        <v>14</v>
      </c>
      <c r="DV797">
        <v>0</v>
      </c>
      <c r="DX797">
        <v>14</v>
      </c>
      <c r="DY797">
        <v>0</v>
      </c>
      <c r="DZ797" t="s">
        <v>246</v>
      </c>
      <c r="EA797" t="s">
        <v>929</v>
      </c>
    </row>
    <row r="798" spans="1:131" x14ac:dyDescent="0.4">
      <c r="A798" s="34">
        <v>43067.305104166669</v>
      </c>
      <c r="B798" s="25">
        <v>42954.500694444447</v>
      </c>
      <c r="D798" s="34"/>
      <c r="E798" s="34" t="s">
        <v>193</v>
      </c>
      <c r="F798" s="34" t="s">
        <v>191</v>
      </c>
      <c r="G798" s="34" t="s">
        <v>100</v>
      </c>
      <c r="H798" t="s">
        <v>856</v>
      </c>
      <c r="I798" t="s">
        <v>243</v>
      </c>
      <c r="J798" t="s">
        <v>857</v>
      </c>
      <c r="K798" t="s">
        <v>729</v>
      </c>
      <c r="L798" t="s">
        <v>855</v>
      </c>
      <c r="M798" s="30">
        <v>4.05</v>
      </c>
      <c r="N798">
        <v>3.25</v>
      </c>
      <c r="P798" s="24" t="str">
        <f>IFERROR(MID(RADataTable[[#This Row],[RATemplate]],1,LEN(RADataTable[[#This Row],[RATemplate]])-8),"RA") &amp; " " &amp; RADataTable[[#This Row],[prop_id0]] &amp; " " &amp; RADataTable[[#This Row],[last0]]</f>
        <v>RA 1755481 Wang</v>
      </c>
      <c r="T798">
        <v>4</v>
      </c>
      <c r="U798">
        <v>4</v>
      </c>
      <c r="V798" s="34">
        <v>43031.775694444441</v>
      </c>
      <c r="W798">
        <v>1</v>
      </c>
      <c r="X798" s="15" t="str">
        <f>HYPERLINK("https://www.ejacket.nsf.gov/ej/showProposal.do?Continue=Y&amp;ID="&amp;RADataTable[[#This Row],[prop_id0]],"eJ")</f>
        <v>eJ</v>
      </c>
      <c r="Y798" s="15" t="str">
        <f>HYPERLINK("mailto:"&amp;RADataTable[[#This Row],[email]]&amp;"&amp;subject=Your NSF Proposal:  "&amp;RADataTable[[#This Row],[Div]]&amp;" "&amp;RADataTable[[#This Row],[prop_id0]], RADataTable[[#This Row],[email]])</f>
        <v>kwang@georgiasouthern.edu</v>
      </c>
      <c r="Z798" s="15" t="str">
        <f>HYPERLINK("mailto:"&amp;RADataTable[[#This Row],[allPIemail]]&amp;"&amp;subject=NSF Proposal:  "&amp;RADataTable[[#This Row],[Div]]&amp;" "&amp;RADataTable[[#This Row],[prop_id0]], "PIs@")</f>
        <v>PIs@</v>
      </c>
      <c r="AA798" t="s">
        <v>245</v>
      </c>
      <c r="AB798" t="s">
        <v>684</v>
      </c>
      <c r="AC798" s="30" t="s">
        <v>721</v>
      </c>
      <c r="AD798" t="s">
        <v>858</v>
      </c>
      <c r="AE798" t="s">
        <v>859</v>
      </c>
      <c r="AF798" s="36">
        <v>168126</v>
      </c>
      <c r="AG798" s="36">
        <v>168126</v>
      </c>
      <c r="AH798" s="24"/>
      <c r="AJ798" s="34"/>
      <c r="AK798" t="s">
        <v>923</v>
      </c>
      <c r="AL798" t="s">
        <v>924</v>
      </c>
      <c r="AM798" s="34" t="s">
        <v>925</v>
      </c>
      <c r="AN798" s="34">
        <v>43032</v>
      </c>
      <c r="AO798" s="24">
        <v>5</v>
      </c>
      <c r="AP798" t="s">
        <v>973</v>
      </c>
      <c r="AR798" s="35"/>
      <c r="AS798"/>
      <c r="AT798" s="34"/>
      <c r="AV798" s="34"/>
      <c r="AX798" s="34"/>
      <c r="AY798"/>
      <c r="BA798" s="34"/>
      <c r="BB798"/>
      <c r="BC798" t="s">
        <v>863</v>
      </c>
      <c r="BD798" s="36">
        <v>168126</v>
      </c>
      <c r="BE798" s="36">
        <v>168126</v>
      </c>
      <c r="BF798">
        <v>0</v>
      </c>
      <c r="BG798" s="34">
        <v>43101</v>
      </c>
      <c r="BH798">
        <v>24</v>
      </c>
      <c r="BI798" t="s">
        <v>974</v>
      </c>
      <c r="BJ798" t="s">
        <v>975</v>
      </c>
      <c r="BK798" t="s">
        <v>934</v>
      </c>
      <c r="BL798" t="s">
        <v>194</v>
      </c>
      <c r="BM798" s="8" t="s">
        <v>192</v>
      </c>
      <c r="BN798" t="s">
        <v>189</v>
      </c>
      <c r="BO798" t="s">
        <v>190</v>
      </c>
      <c r="BP798" s="35" t="s">
        <v>861</v>
      </c>
      <c r="BQ798"/>
      <c r="BU798" s="35"/>
      <c r="BV798" s="35"/>
      <c r="BX798"/>
      <c r="CA798" s="35"/>
      <c r="CB798" s="35"/>
      <c r="CC798"/>
      <c r="CG798" s="35"/>
      <c r="CH798" s="35"/>
      <c r="CK798"/>
      <c r="CM798" s="35"/>
      <c r="CN798" s="35"/>
      <c r="CQ798"/>
      <c r="CS798" s="35"/>
      <c r="CT798" s="35"/>
      <c r="CX798"/>
      <c r="CZ798" s="35"/>
      <c r="DD798" s="34"/>
      <c r="DG798" t="s">
        <v>860</v>
      </c>
      <c r="DH798" t="s">
        <v>976</v>
      </c>
      <c r="DI798" t="s">
        <v>798</v>
      </c>
      <c r="DL798" t="s">
        <v>684</v>
      </c>
      <c r="DM798">
        <v>3</v>
      </c>
      <c r="DN798">
        <v>4</v>
      </c>
      <c r="DO798" t="s">
        <v>862</v>
      </c>
      <c r="DQ798" t="s">
        <v>927</v>
      </c>
      <c r="DR798">
        <v>14</v>
      </c>
      <c r="DS798">
        <v>0</v>
      </c>
      <c r="DU798">
        <v>14</v>
      </c>
      <c r="DV798">
        <v>0</v>
      </c>
      <c r="DX798">
        <v>14</v>
      </c>
      <c r="DY798">
        <v>0</v>
      </c>
      <c r="DZ798" t="s">
        <v>246</v>
      </c>
      <c r="EA798" t="s">
        <v>929</v>
      </c>
    </row>
    <row r="799" spans="1:131" x14ac:dyDescent="0.4">
      <c r="A799" s="34">
        <v>43067.305104166669</v>
      </c>
      <c r="B799" s="25">
        <v>42954.500694444447</v>
      </c>
      <c r="D799" s="34"/>
      <c r="E799" s="34" t="s">
        <v>193</v>
      </c>
      <c r="F799" s="34" t="s">
        <v>191</v>
      </c>
      <c r="G799" s="34" t="s">
        <v>100</v>
      </c>
      <c r="H799" t="s">
        <v>856</v>
      </c>
      <c r="I799" t="s">
        <v>243</v>
      </c>
      <c r="J799" t="s">
        <v>857</v>
      </c>
      <c r="K799" t="s">
        <v>729</v>
      </c>
      <c r="L799" t="s">
        <v>855</v>
      </c>
      <c r="M799" s="30">
        <v>4.05</v>
      </c>
      <c r="N799">
        <v>3.25</v>
      </c>
      <c r="P799" s="24" t="str">
        <f>IFERROR(MID(RADataTable[[#This Row],[RATemplate]],1,LEN(RADataTable[[#This Row],[RATemplate]])-8),"RA") &amp; " " &amp; RADataTable[[#This Row],[prop_id0]] &amp; " " &amp; RADataTable[[#This Row],[last0]]</f>
        <v>RA 1755481 Wang</v>
      </c>
      <c r="T799">
        <v>4</v>
      </c>
      <c r="U799">
        <v>4</v>
      </c>
      <c r="V799" s="34">
        <v>43031.775694444441</v>
      </c>
      <c r="W799">
        <v>1</v>
      </c>
      <c r="X799" s="15" t="str">
        <f>HYPERLINK("https://www.ejacket.nsf.gov/ej/showProposal.do?Continue=Y&amp;ID="&amp;RADataTable[[#This Row],[prop_id0]],"eJ")</f>
        <v>eJ</v>
      </c>
      <c r="Y799" s="15" t="str">
        <f>HYPERLINK("mailto:"&amp;RADataTable[[#This Row],[email]]&amp;"&amp;subject=Your NSF Proposal:  "&amp;RADataTable[[#This Row],[Div]]&amp;" "&amp;RADataTable[[#This Row],[prop_id0]], RADataTable[[#This Row],[email]])</f>
        <v>kwang@georgiasouthern.edu</v>
      </c>
      <c r="Z799" s="15" t="str">
        <f>HYPERLINK("mailto:"&amp;RADataTable[[#This Row],[allPIemail]]&amp;"&amp;subject=NSF Proposal:  "&amp;RADataTable[[#This Row],[Div]]&amp;" "&amp;RADataTable[[#This Row],[prop_id0]], "PIs@")</f>
        <v>PIs@</v>
      </c>
      <c r="AA799" t="s">
        <v>245</v>
      </c>
      <c r="AB799" t="s">
        <v>684</v>
      </c>
      <c r="AC799" s="30" t="s">
        <v>721</v>
      </c>
      <c r="AD799" t="s">
        <v>858</v>
      </c>
      <c r="AE799" t="s">
        <v>859</v>
      </c>
      <c r="AF799" s="36">
        <v>168126</v>
      </c>
      <c r="AG799" s="36">
        <v>168126</v>
      </c>
      <c r="AH799" s="24"/>
      <c r="AJ799" s="34"/>
      <c r="AK799" t="s">
        <v>923</v>
      </c>
      <c r="AL799" t="s">
        <v>924</v>
      </c>
      <c r="AM799" s="34" t="s">
        <v>925</v>
      </c>
      <c r="AN799" s="34">
        <v>43032</v>
      </c>
      <c r="AO799" s="24">
        <v>5</v>
      </c>
      <c r="AP799" t="s">
        <v>973</v>
      </c>
      <c r="AR799" s="35"/>
      <c r="AS799"/>
      <c r="AT799" s="34"/>
      <c r="AV799" s="34"/>
      <c r="AX799" s="34"/>
      <c r="AY799"/>
      <c r="BA799" s="34"/>
      <c r="BB799"/>
      <c r="BC799" t="s">
        <v>863</v>
      </c>
      <c r="BD799" s="36">
        <v>168126</v>
      </c>
      <c r="BE799" s="36">
        <v>168126</v>
      </c>
      <c r="BF799">
        <v>0</v>
      </c>
      <c r="BG799" s="34">
        <v>43101</v>
      </c>
      <c r="BH799">
        <v>24</v>
      </c>
      <c r="BI799" t="s">
        <v>974</v>
      </c>
      <c r="BJ799" t="s">
        <v>975</v>
      </c>
      <c r="BK799" t="s">
        <v>934</v>
      </c>
      <c r="BL799" t="s">
        <v>194</v>
      </c>
      <c r="BM799" s="8" t="s">
        <v>192</v>
      </c>
      <c r="BN799" t="s">
        <v>189</v>
      </c>
      <c r="BO799" t="s">
        <v>190</v>
      </c>
      <c r="BP799" s="35" t="s">
        <v>861</v>
      </c>
      <c r="BQ799"/>
      <c r="BU799" s="35"/>
      <c r="BV799" s="35"/>
      <c r="BX799"/>
      <c r="CA799" s="35"/>
      <c r="CB799" s="35"/>
      <c r="CC799"/>
      <c r="CG799" s="35"/>
      <c r="CH799" s="35"/>
      <c r="CK799"/>
      <c r="CM799" s="35"/>
      <c r="CN799" s="35"/>
      <c r="CQ799"/>
      <c r="CS799" s="35"/>
      <c r="CT799" s="35"/>
      <c r="CX799"/>
      <c r="CZ799" s="35"/>
      <c r="DD799" s="34"/>
      <c r="DG799" t="s">
        <v>860</v>
      </c>
      <c r="DH799" t="s">
        <v>976</v>
      </c>
      <c r="DI799" t="s">
        <v>798</v>
      </c>
      <c r="DL799" t="s">
        <v>684</v>
      </c>
      <c r="DM799">
        <v>3</v>
      </c>
      <c r="DN799">
        <v>4</v>
      </c>
      <c r="DO799" t="s">
        <v>862</v>
      </c>
      <c r="DQ799" t="s">
        <v>927</v>
      </c>
      <c r="DR799">
        <v>14</v>
      </c>
      <c r="DS799">
        <v>0</v>
      </c>
      <c r="DU799">
        <v>14</v>
      </c>
      <c r="DV799">
        <v>0</v>
      </c>
      <c r="DX799">
        <v>14</v>
      </c>
      <c r="DY799">
        <v>0</v>
      </c>
      <c r="DZ799" t="s">
        <v>246</v>
      </c>
      <c r="EA799" t="s">
        <v>929</v>
      </c>
    </row>
    <row r="800" spans="1:131" x14ac:dyDescent="0.4">
      <c r="A800" s="34">
        <v>43067.305104166669</v>
      </c>
      <c r="B800" s="25">
        <v>42954.500694444447</v>
      </c>
      <c r="D800" s="34"/>
      <c r="E800" s="34" t="s">
        <v>193</v>
      </c>
      <c r="F800" s="34" t="s">
        <v>191</v>
      </c>
      <c r="G800" s="34" t="s">
        <v>100</v>
      </c>
      <c r="H800" t="s">
        <v>856</v>
      </c>
      <c r="I800" t="s">
        <v>243</v>
      </c>
      <c r="J800" t="s">
        <v>857</v>
      </c>
      <c r="K800" t="s">
        <v>729</v>
      </c>
      <c r="L800" t="s">
        <v>855</v>
      </c>
      <c r="M800" s="30">
        <v>4.05</v>
      </c>
      <c r="N800">
        <v>3.25</v>
      </c>
      <c r="P800" s="24" t="str">
        <f>IFERROR(MID(RADataTable[[#This Row],[RATemplate]],1,LEN(RADataTable[[#This Row],[RATemplate]])-8),"RA") &amp; " " &amp; RADataTable[[#This Row],[prop_id0]] &amp; " " &amp; RADataTable[[#This Row],[last0]]</f>
        <v>RA 1755481 Wang</v>
      </c>
      <c r="T800">
        <v>4</v>
      </c>
      <c r="U800">
        <v>4</v>
      </c>
      <c r="V800" s="34">
        <v>43031.775694444441</v>
      </c>
      <c r="W800">
        <v>1</v>
      </c>
      <c r="X800" s="15" t="str">
        <f>HYPERLINK("https://www.ejacket.nsf.gov/ej/showProposal.do?Continue=Y&amp;ID="&amp;RADataTable[[#This Row],[prop_id0]],"eJ")</f>
        <v>eJ</v>
      </c>
      <c r="Y800" s="15" t="str">
        <f>HYPERLINK("mailto:"&amp;RADataTable[[#This Row],[email]]&amp;"&amp;subject=Your NSF Proposal:  "&amp;RADataTable[[#This Row],[Div]]&amp;" "&amp;RADataTable[[#This Row],[prop_id0]], RADataTable[[#This Row],[email]])</f>
        <v>kwang@georgiasouthern.edu</v>
      </c>
      <c r="Z800" s="15" t="str">
        <f>HYPERLINK("mailto:"&amp;RADataTable[[#This Row],[allPIemail]]&amp;"&amp;subject=NSF Proposal:  "&amp;RADataTable[[#This Row],[Div]]&amp;" "&amp;RADataTable[[#This Row],[prop_id0]], "PIs@")</f>
        <v>PIs@</v>
      </c>
      <c r="AA800" t="s">
        <v>245</v>
      </c>
      <c r="AB800" t="s">
        <v>684</v>
      </c>
      <c r="AC800" s="30" t="s">
        <v>721</v>
      </c>
      <c r="AD800" t="s">
        <v>858</v>
      </c>
      <c r="AE800" t="s">
        <v>859</v>
      </c>
      <c r="AF800" s="36">
        <v>168126</v>
      </c>
      <c r="AG800" s="36">
        <v>168126</v>
      </c>
      <c r="AH800" s="24"/>
      <c r="AJ800" s="34"/>
      <c r="AK800" t="s">
        <v>923</v>
      </c>
      <c r="AL800" t="s">
        <v>924</v>
      </c>
      <c r="AM800" s="34" t="s">
        <v>925</v>
      </c>
      <c r="AN800" s="34">
        <v>43032</v>
      </c>
      <c r="AO800" s="24">
        <v>5</v>
      </c>
      <c r="AP800" t="s">
        <v>973</v>
      </c>
      <c r="AR800" s="35"/>
      <c r="AS800"/>
      <c r="AT800" s="34"/>
      <c r="AV800" s="34"/>
      <c r="AX800" s="34"/>
      <c r="AY800"/>
      <c r="BA800" s="34"/>
      <c r="BB800"/>
      <c r="BC800" t="s">
        <v>863</v>
      </c>
      <c r="BD800" s="36">
        <v>168126</v>
      </c>
      <c r="BE800" s="36">
        <v>168126</v>
      </c>
      <c r="BF800">
        <v>0</v>
      </c>
      <c r="BG800" s="34">
        <v>43101</v>
      </c>
      <c r="BH800">
        <v>24</v>
      </c>
      <c r="BI800" t="s">
        <v>974</v>
      </c>
      <c r="BJ800" t="s">
        <v>975</v>
      </c>
      <c r="BK800" t="s">
        <v>934</v>
      </c>
      <c r="BL800" t="s">
        <v>194</v>
      </c>
      <c r="BM800" s="8" t="s">
        <v>192</v>
      </c>
      <c r="BN800" t="s">
        <v>189</v>
      </c>
      <c r="BO800" t="s">
        <v>190</v>
      </c>
      <c r="BP800" s="35" t="s">
        <v>861</v>
      </c>
      <c r="BQ800"/>
      <c r="BU800" s="35"/>
      <c r="BV800" s="35"/>
      <c r="BX800"/>
      <c r="CA800" s="35"/>
      <c r="CB800" s="35"/>
      <c r="CC800"/>
      <c r="CG800" s="35"/>
      <c r="CH800" s="35"/>
      <c r="CK800"/>
      <c r="CM800" s="35"/>
      <c r="CN800" s="35"/>
      <c r="CQ800"/>
      <c r="CS800" s="35"/>
      <c r="CT800" s="35"/>
      <c r="CX800"/>
      <c r="CZ800" s="35"/>
      <c r="DD800" s="34"/>
      <c r="DG800" t="s">
        <v>860</v>
      </c>
      <c r="DH800" t="s">
        <v>976</v>
      </c>
      <c r="DI800" t="s">
        <v>798</v>
      </c>
      <c r="DL800" t="s">
        <v>684</v>
      </c>
      <c r="DM800">
        <v>3</v>
      </c>
      <c r="DN800">
        <v>4</v>
      </c>
      <c r="DO800" t="s">
        <v>862</v>
      </c>
      <c r="DQ800" t="s">
        <v>927</v>
      </c>
      <c r="DR800">
        <v>14</v>
      </c>
      <c r="DS800">
        <v>0</v>
      </c>
      <c r="DU800">
        <v>14</v>
      </c>
      <c r="DV800">
        <v>0</v>
      </c>
      <c r="DX800">
        <v>14</v>
      </c>
      <c r="DY800">
        <v>0</v>
      </c>
      <c r="DZ800" t="s">
        <v>246</v>
      </c>
      <c r="EA800" t="s">
        <v>929</v>
      </c>
    </row>
    <row r="801" spans="1:131" x14ac:dyDescent="0.4">
      <c r="A801" s="34">
        <v>43067.305104166669</v>
      </c>
      <c r="B801" s="25">
        <v>42954.500694444447</v>
      </c>
      <c r="D801" s="34"/>
      <c r="E801" s="34" t="s">
        <v>193</v>
      </c>
      <c r="F801" s="34" t="s">
        <v>191</v>
      </c>
      <c r="G801" s="34" t="s">
        <v>100</v>
      </c>
      <c r="H801" t="s">
        <v>856</v>
      </c>
      <c r="I801" t="s">
        <v>243</v>
      </c>
      <c r="J801" t="s">
        <v>857</v>
      </c>
      <c r="K801" t="s">
        <v>729</v>
      </c>
      <c r="L801" t="s">
        <v>855</v>
      </c>
      <c r="M801" s="30">
        <v>4.05</v>
      </c>
      <c r="N801">
        <v>3.25</v>
      </c>
      <c r="P801" s="24" t="str">
        <f>IFERROR(MID(RADataTable[[#This Row],[RATemplate]],1,LEN(RADataTable[[#This Row],[RATemplate]])-8),"RA") &amp; " " &amp; RADataTable[[#This Row],[prop_id0]] &amp; " " &amp; RADataTable[[#This Row],[last0]]</f>
        <v>RA 1755481 Wang</v>
      </c>
      <c r="T801">
        <v>4</v>
      </c>
      <c r="U801">
        <v>4</v>
      </c>
      <c r="V801" s="34">
        <v>43031.775694444441</v>
      </c>
      <c r="W801">
        <v>1</v>
      </c>
      <c r="X801" s="15" t="str">
        <f>HYPERLINK("https://www.ejacket.nsf.gov/ej/showProposal.do?Continue=Y&amp;ID="&amp;RADataTable[[#This Row],[prop_id0]],"eJ")</f>
        <v>eJ</v>
      </c>
      <c r="Y801" s="15" t="str">
        <f>HYPERLINK("mailto:"&amp;RADataTable[[#This Row],[email]]&amp;"&amp;subject=Your NSF Proposal:  "&amp;RADataTable[[#This Row],[Div]]&amp;" "&amp;RADataTable[[#This Row],[prop_id0]], RADataTable[[#This Row],[email]])</f>
        <v>kwang@georgiasouthern.edu</v>
      </c>
      <c r="Z801" s="15" t="str">
        <f>HYPERLINK("mailto:"&amp;RADataTable[[#This Row],[allPIemail]]&amp;"&amp;subject=NSF Proposal:  "&amp;RADataTable[[#This Row],[Div]]&amp;" "&amp;RADataTable[[#This Row],[prop_id0]], "PIs@")</f>
        <v>PIs@</v>
      </c>
      <c r="AA801" t="s">
        <v>245</v>
      </c>
      <c r="AB801" t="s">
        <v>684</v>
      </c>
      <c r="AC801" s="30" t="s">
        <v>721</v>
      </c>
      <c r="AD801" t="s">
        <v>858</v>
      </c>
      <c r="AE801" t="s">
        <v>859</v>
      </c>
      <c r="AF801" s="36">
        <v>168126</v>
      </c>
      <c r="AG801" s="36">
        <v>168126</v>
      </c>
      <c r="AH801" s="24"/>
      <c r="AJ801" s="34"/>
      <c r="AK801" t="s">
        <v>923</v>
      </c>
      <c r="AL801" t="s">
        <v>924</v>
      </c>
      <c r="AM801" s="34" t="s">
        <v>925</v>
      </c>
      <c r="AN801" s="34">
        <v>43032</v>
      </c>
      <c r="AO801" s="24">
        <v>5</v>
      </c>
      <c r="AP801" t="s">
        <v>973</v>
      </c>
      <c r="AR801" s="35"/>
      <c r="AS801"/>
      <c r="AT801" s="34"/>
      <c r="AV801" s="34"/>
      <c r="AX801" s="34"/>
      <c r="AY801"/>
      <c r="BA801" s="34"/>
      <c r="BB801"/>
      <c r="BC801" t="s">
        <v>863</v>
      </c>
      <c r="BD801" s="36">
        <v>168126</v>
      </c>
      <c r="BE801" s="36">
        <v>168126</v>
      </c>
      <c r="BF801">
        <v>0</v>
      </c>
      <c r="BG801" s="34">
        <v>43101</v>
      </c>
      <c r="BH801">
        <v>24</v>
      </c>
      <c r="BI801" t="s">
        <v>974</v>
      </c>
      <c r="BJ801" t="s">
        <v>975</v>
      </c>
      <c r="BK801" t="s">
        <v>934</v>
      </c>
      <c r="BL801" t="s">
        <v>194</v>
      </c>
      <c r="BM801" s="8" t="s">
        <v>192</v>
      </c>
      <c r="BN801" t="s">
        <v>189</v>
      </c>
      <c r="BO801" t="s">
        <v>190</v>
      </c>
      <c r="BP801" s="35" t="s">
        <v>861</v>
      </c>
      <c r="BQ801"/>
      <c r="BU801" s="35"/>
      <c r="BV801" s="35"/>
      <c r="BX801"/>
      <c r="CA801" s="35"/>
      <c r="CB801" s="35"/>
      <c r="CC801"/>
      <c r="CG801" s="35"/>
      <c r="CH801" s="35"/>
      <c r="CK801"/>
      <c r="CM801" s="35"/>
      <c r="CN801" s="35"/>
      <c r="CQ801"/>
      <c r="CS801" s="35"/>
      <c r="CT801" s="35"/>
      <c r="CX801"/>
      <c r="CZ801" s="35"/>
      <c r="DD801" s="34"/>
      <c r="DG801" t="s">
        <v>860</v>
      </c>
      <c r="DH801" t="s">
        <v>976</v>
      </c>
      <c r="DI801" t="s">
        <v>798</v>
      </c>
      <c r="DL801" t="s">
        <v>684</v>
      </c>
      <c r="DM801">
        <v>3</v>
      </c>
      <c r="DN801">
        <v>4</v>
      </c>
      <c r="DO801" t="s">
        <v>862</v>
      </c>
      <c r="DQ801" t="s">
        <v>927</v>
      </c>
      <c r="DR801">
        <v>14</v>
      </c>
      <c r="DS801">
        <v>0</v>
      </c>
      <c r="DU801">
        <v>14</v>
      </c>
      <c r="DV801">
        <v>0</v>
      </c>
      <c r="DX801">
        <v>14</v>
      </c>
      <c r="DY801">
        <v>0</v>
      </c>
      <c r="DZ801" t="s">
        <v>246</v>
      </c>
      <c r="EA801" t="s">
        <v>929</v>
      </c>
    </row>
    <row r="802" spans="1:131" x14ac:dyDescent="0.4">
      <c r="A802" s="34">
        <v>43067.305104166669</v>
      </c>
      <c r="B802" s="25">
        <v>42954.500694444447</v>
      </c>
      <c r="D802" s="34"/>
      <c r="E802" s="34" t="s">
        <v>193</v>
      </c>
      <c r="F802" s="34" t="s">
        <v>191</v>
      </c>
      <c r="G802" s="34" t="s">
        <v>100</v>
      </c>
      <c r="H802" t="s">
        <v>856</v>
      </c>
      <c r="I802" t="s">
        <v>243</v>
      </c>
      <c r="J802" t="s">
        <v>857</v>
      </c>
      <c r="K802" t="s">
        <v>729</v>
      </c>
      <c r="L802" t="s">
        <v>855</v>
      </c>
      <c r="M802" s="30">
        <v>4.05</v>
      </c>
      <c r="N802">
        <v>3.25</v>
      </c>
      <c r="P802" s="24" t="str">
        <f>IFERROR(MID(RADataTable[[#This Row],[RATemplate]],1,LEN(RADataTable[[#This Row],[RATemplate]])-8),"RA") &amp; " " &amp; RADataTable[[#This Row],[prop_id0]] &amp; " " &amp; RADataTable[[#This Row],[last0]]</f>
        <v>RA 1755481 Wang</v>
      </c>
      <c r="T802">
        <v>4</v>
      </c>
      <c r="U802">
        <v>4</v>
      </c>
      <c r="V802" s="34">
        <v>43031.775694444441</v>
      </c>
      <c r="W802">
        <v>1</v>
      </c>
      <c r="X802" s="15" t="str">
        <f>HYPERLINK("https://www.ejacket.nsf.gov/ej/showProposal.do?Continue=Y&amp;ID="&amp;RADataTable[[#This Row],[prop_id0]],"eJ")</f>
        <v>eJ</v>
      </c>
      <c r="Y802" s="15" t="str">
        <f>HYPERLINK("mailto:"&amp;RADataTable[[#This Row],[email]]&amp;"&amp;subject=Your NSF Proposal:  "&amp;RADataTable[[#This Row],[Div]]&amp;" "&amp;RADataTable[[#This Row],[prop_id0]], RADataTable[[#This Row],[email]])</f>
        <v>kwang@georgiasouthern.edu</v>
      </c>
      <c r="Z802" s="15" t="str">
        <f>HYPERLINK("mailto:"&amp;RADataTable[[#This Row],[allPIemail]]&amp;"&amp;subject=NSF Proposal:  "&amp;RADataTable[[#This Row],[Div]]&amp;" "&amp;RADataTable[[#This Row],[prop_id0]], "PIs@")</f>
        <v>PIs@</v>
      </c>
      <c r="AA802" t="s">
        <v>245</v>
      </c>
      <c r="AB802" t="s">
        <v>684</v>
      </c>
      <c r="AC802" s="30" t="s">
        <v>721</v>
      </c>
      <c r="AD802" t="s">
        <v>858</v>
      </c>
      <c r="AE802" t="s">
        <v>859</v>
      </c>
      <c r="AF802" s="36">
        <v>168126</v>
      </c>
      <c r="AG802" s="36">
        <v>168126</v>
      </c>
      <c r="AH802" s="24"/>
      <c r="AJ802" s="34"/>
      <c r="AK802" t="s">
        <v>923</v>
      </c>
      <c r="AL802" t="s">
        <v>924</v>
      </c>
      <c r="AM802" s="34" t="s">
        <v>925</v>
      </c>
      <c r="AN802" s="34">
        <v>43032</v>
      </c>
      <c r="AO802" s="24">
        <v>5</v>
      </c>
      <c r="AP802" t="s">
        <v>973</v>
      </c>
      <c r="AR802" s="35"/>
      <c r="AS802"/>
      <c r="AT802" s="34"/>
      <c r="AV802" s="34"/>
      <c r="AX802" s="34"/>
      <c r="AY802"/>
      <c r="BA802" s="34"/>
      <c r="BB802"/>
      <c r="BC802" t="s">
        <v>863</v>
      </c>
      <c r="BD802" s="36">
        <v>168126</v>
      </c>
      <c r="BE802" s="36">
        <v>168126</v>
      </c>
      <c r="BF802">
        <v>0</v>
      </c>
      <c r="BG802" s="34">
        <v>43101</v>
      </c>
      <c r="BH802">
        <v>24</v>
      </c>
      <c r="BI802" t="s">
        <v>974</v>
      </c>
      <c r="BJ802" t="s">
        <v>975</v>
      </c>
      <c r="BK802" t="s">
        <v>934</v>
      </c>
      <c r="BL802" t="s">
        <v>194</v>
      </c>
      <c r="BM802" s="8" t="s">
        <v>192</v>
      </c>
      <c r="BN802" t="s">
        <v>189</v>
      </c>
      <c r="BO802" t="s">
        <v>190</v>
      </c>
      <c r="BP802" s="35" t="s">
        <v>861</v>
      </c>
      <c r="BQ802"/>
      <c r="BU802" s="35"/>
      <c r="BV802" s="35"/>
      <c r="BX802"/>
      <c r="CA802" s="35"/>
      <c r="CB802" s="35"/>
      <c r="CC802"/>
      <c r="CG802" s="35"/>
      <c r="CH802" s="35"/>
      <c r="CK802"/>
      <c r="CM802" s="35"/>
      <c r="CN802" s="35"/>
      <c r="CQ802"/>
      <c r="CS802" s="35"/>
      <c r="CT802" s="35"/>
      <c r="CX802"/>
      <c r="CZ802" s="35"/>
      <c r="DD802" s="34"/>
      <c r="DG802" t="s">
        <v>860</v>
      </c>
      <c r="DH802" t="s">
        <v>976</v>
      </c>
      <c r="DI802" t="s">
        <v>798</v>
      </c>
      <c r="DL802" t="s">
        <v>684</v>
      </c>
      <c r="DM802">
        <v>3</v>
      </c>
      <c r="DN802">
        <v>4</v>
      </c>
      <c r="DO802" t="s">
        <v>862</v>
      </c>
      <c r="DQ802" t="s">
        <v>927</v>
      </c>
      <c r="DR802">
        <v>14</v>
      </c>
      <c r="DS802">
        <v>0</v>
      </c>
      <c r="DU802">
        <v>14</v>
      </c>
      <c r="DV802">
        <v>0</v>
      </c>
      <c r="DX802">
        <v>14</v>
      </c>
      <c r="DY802">
        <v>0</v>
      </c>
      <c r="DZ802" t="s">
        <v>246</v>
      </c>
      <c r="EA802" t="s">
        <v>929</v>
      </c>
    </row>
    <row r="803" spans="1:131" x14ac:dyDescent="0.4">
      <c r="A803" s="34">
        <v>43067.305104166669</v>
      </c>
      <c r="B803" s="25">
        <v>42954.500694444447</v>
      </c>
      <c r="D803" s="34"/>
      <c r="E803" s="34" t="s">
        <v>193</v>
      </c>
      <c r="F803" s="34" t="s">
        <v>191</v>
      </c>
      <c r="G803" s="34" t="s">
        <v>100</v>
      </c>
      <c r="H803" t="s">
        <v>856</v>
      </c>
      <c r="I803" t="s">
        <v>243</v>
      </c>
      <c r="J803" t="s">
        <v>857</v>
      </c>
      <c r="K803" t="s">
        <v>729</v>
      </c>
      <c r="L803" t="s">
        <v>855</v>
      </c>
      <c r="M803" s="30">
        <v>4.05</v>
      </c>
      <c r="N803">
        <v>3.25</v>
      </c>
      <c r="P803" s="24" t="str">
        <f>IFERROR(MID(RADataTable[[#This Row],[RATemplate]],1,LEN(RADataTable[[#This Row],[RATemplate]])-8),"RA") &amp; " " &amp; RADataTable[[#This Row],[prop_id0]] &amp; " " &amp; RADataTable[[#This Row],[last0]]</f>
        <v>RA 1755481 Wang</v>
      </c>
      <c r="T803">
        <v>4</v>
      </c>
      <c r="U803">
        <v>4</v>
      </c>
      <c r="V803" s="34">
        <v>43031.775694444441</v>
      </c>
      <c r="W803">
        <v>1</v>
      </c>
      <c r="X803" s="15" t="str">
        <f>HYPERLINK("https://www.ejacket.nsf.gov/ej/showProposal.do?Continue=Y&amp;ID="&amp;RADataTable[[#This Row],[prop_id0]],"eJ")</f>
        <v>eJ</v>
      </c>
      <c r="Y803" s="15" t="str">
        <f>HYPERLINK("mailto:"&amp;RADataTable[[#This Row],[email]]&amp;"&amp;subject=Your NSF Proposal:  "&amp;RADataTable[[#This Row],[Div]]&amp;" "&amp;RADataTable[[#This Row],[prop_id0]], RADataTable[[#This Row],[email]])</f>
        <v>kwang@georgiasouthern.edu</v>
      </c>
      <c r="Z803" s="15" t="str">
        <f>HYPERLINK("mailto:"&amp;RADataTable[[#This Row],[allPIemail]]&amp;"&amp;subject=NSF Proposal:  "&amp;RADataTable[[#This Row],[Div]]&amp;" "&amp;RADataTable[[#This Row],[prop_id0]], "PIs@")</f>
        <v>PIs@</v>
      </c>
      <c r="AA803" t="s">
        <v>245</v>
      </c>
      <c r="AB803" t="s">
        <v>684</v>
      </c>
      <c r="AC803" s="30" t="s">
        <v>721</v>
      </c>
      <c r="AD803" t="s">
        <v>858</v>
      </c>
      <c r="AE803" t="s">
        <v>859</v>
      </c>
      <c r="AF803" s="36">
        <v>168126</v>
      </c>
      <c r="AG803" s="36">
        <v>168126</v>
      </c>
      <c r="AH803" s="24"/>
      <c r="AJ803" s="34"/>
      <c r="AK803" t="s">
        <v>923</v>
      </c>
      <c r="AL803" t="s">
        <v>924</v>
      </c>
      <c r="AM803" s="34" t="s">
        <v>925</v>
      </c>
      <c r="AN803" s="34">
        <v>43032</v>
      </c>
      <c r="AO803" s="24">
        <v>5</v>
      </c>
      <c r="AP803" t="s">
        <v>973</v>
      </c>
      <c r="AR803" s="35"/>
      <c r="AS803"/>
      <c r="AT803" s="34"/>
      <c r="AV803" s="34"/>
      <c r="AX803" s="34"/>
      <c r="AY803"/>
      <c r="BA803" s="34"/>
      <c r="BB803"/>
      <c r="BC803" t="s">
        <v>863</v>
      </c>
      <c r="BD803" s="36">
        <v>168126</v>
      </c>
      <c r="BE803" s="36">
        <v>168126</v>
      </c>
      <c r="BF803">
        <v>0</v>
      </c>
      <c r="BG803" s="34">
        <v>43101</v>
      </c>
      <c r="BH803">
        <v>24</v>
      </c>
      <c r="BI803" t="s">
        <v>974</v>
      </c>
      <c r="BJ803" t="s">
        <v>975</v>
      </c>
      <c r="BK803" t="s">
        <v>934</v>
      </c>
      <c r="BL803" t="s">
        <v>194</v>
      </c>
      <c r="BM803" s="8" t="s">
        <v>192</v>
      </c>
      <c r="BN803" t="s">
        <v>189</v>
      </c>
      <c r="BO803" t="s">
        <v>190</v>
      </c>
      <c r="BP803" s="35" t="s">
        <v>861</v>
      </c>
      <c r="BQ803"/>
      <c r="BU803" s="35"/>
      <c r="BV803" s="35"/>
      <c r="BX803"/>
      <c r="CA803" s="35"/>
      <c r="CB803" s="35"/>
      <c r="CC803"/>
      <c r="CG803" s="35"/>
      <c r="CH803" s="35"/>
      <c r="CK803"/>
      <c r="CM803" s="35"/>
      <c r="CN803" s="35"/>
      <c r="CQ803"/>
      <c r="CS803" s="35"/>
      <c r="CT803" s="35"/>
      <c r="CX803"/>
      <c r="CZ803" s="35"/>
      <c r="DD803" s="34"/>
      <c r="DG803" t="s">
        <v>860</v>
      </c>
      <c r="DH803" t="s">
        <v>976</v>
      </c>
      <c r="DI803" t="s">
        <v>798</v>
      </c>
      <c r="DL803" t="s">
        <v>684</v>
      </c>
      <c r="DM803">
        <v>3</v>
      </c>
      <c r="DN803">
        <v>4</v>
      </c>
      <c r="DO803" t="s">
        <v>862</v>
      </c>
      <c r="DQ803" t="s">
        <v>927</v>
      </c>
      <c r="DR803">
        <v>14</v>
      </c>
      <c r="DS803">
        <v>0</v>
      </c>
      <c r="DU803">
        <v>14</v>
      </c>
      <c r="DV803">
        <v>0</v>
      </c>
      <c r="DX803">
        <v>14</v>
      </c>
      <c r="DY803">
        <v>0</v>
      </c>
      <c r="DZ803" t="s">
        <v>246</v>
      </c>
      <c r="EA803" t="s">
        <v>929</v>
      </c>
    </row>
    <row r="804" spans="1:131" x14ac:dyDescent="0.4">
      <c r="A804" s="34">
        <v>43067.305104166669</v>
      </c>
      <c r="B804" s="25">
        <v>42954.500694444447</v>
      </c>
      <c r="D804" s="34"/>
      <c r="E804" s="34" t="s">
        <v>193</v>
      </c>
      <c r="F804" s="34" t="s">
        <v>191</v>
      </c>
      <c r="G804" s="34" t="s">
        <v>100</v>
      </c>
      <c r="H804" t="s">
        <v>856</v>
      </c>
      <c r="I804" t="s">
        <v>243</v>
      </c>
      <c r="J804" t="s">
        <v>857</v>
      </c>
      <c r="K804" t="s">
        <v>729</v>
      </c>
      <c r="L804" t="s">
        <v>855</v>
      </c>
      <c r="M804" s="30">
        <v>4.05</v>
      </c>
      <c r="N804">
        <v>3.25</v>
      </c>
      <c r="P804" s="24" t="str">
        <f>IFERROR(MID(RADataTable[[#This Row],[RATemplate]],1,LEN(RADataTable[[#This Row],[RATemplate]])-8),"RA") &amp; " " &amp; RADataTable[[#This Row],[prop_id0]] &amp; " " &amp; RADataTable[[#This Row],[last0]]</f>
        <v>RA 1755481 Wang</v>
      </c>
      <c r="T804">
        <v>4</v>
      </c>
      <c r="U804">
        <v>4</v>
      </c>
      <c r="V804" s="34">
        <v>43031.775694444441</v>
      </c>
      <c r="W804">
        <v>1</v>
      </c>
      <c r="X804" s="15" t="str">
        <f>HYPERLINK("https://www.ejacket.nsf.gov/ej/showProposal.do?Continue=Y&amp;ID="&amp;RADataTable[[#This Row],[prop_id0]],"eJ")</f>
        <v>eJ</v>
      </c>
      <c r="Y804" s="15" t="str">
        <f>HYPERLINK("mailto:"&amp;RADataTable[[#This Row],[email]]&amp;"&amp;subject=Your NSF Proposal:  "&amp;RADataTable[[#This Row],[Div]]&amp;" "&amp;RADataTable[[#This Row],[prop_id0]], RADataTable[[#This Row],[email]])</f>
        <v>kwang@georgiasouthern.edu</v>
      </c>
      <c r="Z804" s="15" t="str">
        <f>HYPERLINK("mailto:"&amp;RADataTable[[#This Row],[allPIemail]]&amp;"&amp;subject=NSF Proposal:  "&amp;RADataTable[[#This Row],[Div]]&amp;" "&amp;RADataTable[[#This Row],[prop_id0]], "PIs@")</f>
        <v>PIs@</v>
      </c>
      <c r="AA804" t="s">
        <v>245</v>
      </c>
      <c r="AB804" t="s">
        <v>684</v>
      </c>
      <c r="AC804" s="30" t="s">
        <v>721</v>
      </c>
      <c r="AD804" t="s">
        <v>858</v>
      </c>
      <c r="AE804" t="s">
        <v>859</v>
      </c>
      <c r="AF804" s="36">
        <v>168126</v>
      </c>
      <c r="AG804" s="36">
        <v>168126</v>
      </c>
      <c r="AH804" s="24"/>
      <c r="AJ804" s="34"/>
      <c r="AK804" t="s">
        <v>923</v>
      </c>
      <c r="AL804" t="s">
        <v>924</v>
      </c>
      <c r="AM804" s="34" t="s">
        <v>925</v>
      </c>
      <c r="AN804" s="34">
        <v>43032</v>
      </c>
      <c r="AO804" s="24">
        <v>5</v>
      </c>
      <c r="AP804" t="s">
        <v>973</v>
      </c>
      <c r="AR804" s="35"/>
      <c r="AS804"/>
      <c r="AT804" s="34"/>
      <c r="AV804" s="34"/>
      <c r="AX804" s="34"/>
      <c r="AY804"/>
      <c r="BA804" s="34"/>
      <c r="BB804"/>
      <c r="BC804" t="s">
        <v>863</v>
      </c>
      <c r="BD804" s="36">
        <v>168126</v>
      </c>
      <c r="BE804" s="36">
        <v>168126</v>
      </c>
      <c r="BF804">
        <v>0</v>
      </c>
      <c r="BG804" s="34">
        <v>43101</v>
      </c>
      <c r="BH804">
        <v>24</v>
      </c>
      <c r="BI804" t="s">
        <v>974</v>
      </c>
      <c r="BJ804" t="s">
        <v>975</v>
      </c>
      <c r="BK804" t="s">
        <v>934</v>
      </c>
      <c r="BL804" t="s">
        <v>194</v>
      </c>
      <c r="BM804" s="8" t="s">
        <v>192</v>
      </c>
      <c r="BN804" t="s">
        <v>189</v>
      </c>
      <c r="BO804" t="s">
        <v>190</v>
      </c>
      <c r="BP804" s="35" t="s">
        <v>861</v>
      </c>
      <c r="BQ804"/>
      <c r="BU804" s="35"/>
      <c r="BV804" s="35"/>
      <c r="BX804"/>
      <c r="CA804" s="35"/>
      <c r="CB804" s="35"/>
      <c r="CC804"/>
      <c r="CG804" s="35"/>
      <c r="CH804" s="35"/>
      <c r="CK804"/>
      <c r="CM804" s="35"/>
      <c r="CN804" s="35"/>
      <c r="CQ804"/>
      <c r="CS804" s="35"/>
      <c r="CT804" s="35"/>
      <c r="CX804"/>
      <c r="CZ804" s="35"/>
      <c r="DD804" s="34"/>
      <c r="DG804" t="s">
        <v>860</v>
      </c>
      <c r="DH804" t="s">
        <v>976</v>
      </c>
      <c r="DI804" t="s">
        <v>798</v>
      </c>
      <c r="DL804" t="s">
        <v>684</v>
      </c>
      <c r="DM804">
        <v>3</v>
      </c>
      <c r="DN804">
        <v>4</v>
      </c>
      <c r="DO804" t="s">
        <v>862</v>
      </c>
      <c r="DQ804" t="s">
        <v>927</v>
      </c>
      <c r="DR804">
        <v>14</v>
      </c>
      <c r="DS804">
        <v>0</v>
      </c>
      <c r="DU804">
        <v>14</v>
      </c>
      <c r="DV804">
        <v>0</v>
      </c>
      <c r="DX804">
        <v>14</v>
      </c>
      <c r="DY804">
        <v>0</v>
      </c>
      <c r="DZ804" t="s">
        <v>246</v>
      </c>
      <c r="EA804" t="s">
        <v>929</v>
      </c>
    </row>
    <row r="805" spans="1:131" x14ac:dyDescent="0.4">
      <c r="A805" s="34">
        <v>43067.305104166669</v>
      </c>
      <c r="B805" s="25">
        <v>42954.500694444447</v>
      </c>
      <c r="D805" s="34"/>
      <c r="E805" s="34" t="s">
        <v>193</v>
      </c>
      <c r="F805" s="34" t="s">
        <v>191</v>
      </c>
      <c r="G805" s="34" t="s">
        <v>100</v>
      </c>
      <c r="H805" t="s">
        <v>856</v>
      </c>
      <c r="I805" t="s">
        <v>243</v>
      </c>
      <c r="J805" t="s">
        <v>857</v>
      </c>
      <c r="K805" t="s">
        <v>729</v>
      </c>
      <c r="L805" t="s">
        <v>855</v>
      </c>
      <c r="M805" s="30">
        <v>4.05</v>
      </c>
      <c r="N805">
        <v>3.25</v>
      </c>
      <c r="P805" s="24" t="str">
        <f>IFERROR(MID(RADataTable[[#This Row],[RATemplate]],1,LEN(RADataTable[[#This Row],[RATemplate]])-8),"RA") &amp; " " &amp; RADataTable[[#This Row],[prop_id0]] &amp; " " &amp; RADataTable[[#This Row],[last0]]</f>
        <v>RA 1755481 Wang</v>
      </c>
      <c r="T805">
        <v>4</v>
      </c>
      <c r="U805">
        <v>4</v>
      </c>
      <c r="V805" s="34">
        <v>43031.775694444441</v>
      </c>
      <c r="W805">
        <v>1</v>
      </c>
      <c r="X805" s="15" t="str">
        <f>HYPERLINK("https://www.ejacket.nsf.gov/ej/showProposal.do?Continue=Y&amp;ID="&amp;RADataTable[[#This Row],[prop_id0]],"eJ")</f>
        <v>eJ</v>
      </c>
      <c r="Y805" s="15" t="str">
        <f>HYPERLINK("mailto:"&amp;RADataTable[[#This Row],[email]]&amp;"&amp;subject=Your NSF Proposal:  "&amp;RADataTable[[#This Row],[Div]]&amp;" "&amp;RADataTable[[#This Row],[prop_id0]], RADataTable[[#This Row],[email]])</f>
        <v>kwang@georgiasouthern.edu</v>
      </c>
      <c r="Z805" s="15" t="str">
        <f>HYPERLINK("mailto:"&amp;RADataTable[[#This Row],[allPIemail]]&amp;"&amp;subject=NSF Proposal:  "&amp;RADataTable[[#This Row],[Div]]&amp;" "&amp;RADataTable[[#This Row],[prop_id0]], "PIs@")</f>
        <v>PIs@</v>
      </c>
      <c r="AA805" t="s">
        <v>245</v>
      </c>
      <c r="AB805" t="s">
        <v>684</v>
      </c>
      <c r="AC805" s="30" t="s">
        <v>721</v>
      </c>
      <c r="AD805" t="s">
        <v>858</v>
      </c>
      <c r="AE805" t="s">
        <v>859</v>
      </c>
      <c r="AF805" s="36">
        <v>168126</v>
      </c>
      <c r="AG805" s="36">
        <v>168126</v>
      </c>
      <c r="AH805" s="24"/>
      <c r="AJ805" s="34"/>
      <c r="AK805" t="s">
        <v>923</v>
      </c>
      <c r="AL805" t="s">
        <v>924</v>
      </c>
      <c r="AM805" s="34" t="s">
        <v>925</v>
      </c>
      <c r="AN805" s="34">
        <v>43032</v>
      </c>
      <c r="AO805" s="24">
        <v>5</v>
      </c>
      <c r="AP805" t="s">
        <v>973</v>
      </c>
      <c r="AR805" s="35"/>
      <c r="AS805"/>
      <c r="AT805" s="34"/>
      <c r="AV805" s="34"/>
      <c r="AX805" s="34"/>
      <c r="AY805"/>
      <c r="BA805" s="34"/>
      <c r="BB805"/>
      <c r="BC805" t="s">
        <v>863</v>
      </c>
      <c r="BD805" s="36">
        <v>168126</v>
      </c>
      <c r="BE805" s="36">
        <v>168126</v>
      </c>
      <c r="BF805">
        <v>0</v>
      </c>
      <c r="BG805" s="34">
        <v>43101</v>
      </c>
      <c r="BH805">
        <v>24</v>
      </c>
      <c r="BI805" t="s">
        <v>974</v>
      </c>
      <c r="BJ805" t="s">
        <v>975</v>
      </c>
      <c r="BK805" t="s">
        <v>934</v>
      </c>
      <c r="BL805" t="s">
        <v>194</v>
      </c>
      <c r="BM805" s="8" t="s">
        <v>192</v>
      </c>
      <c r="BN805" t="s">
        <v>189</v>
      </c>
      <c r="BO805" t="s">
        <v>190</v>
      </c>
      <c r="BP805" s="35" t="s">
        <v>861</v>
      </c>
      <c r="BQ805"/>
      <c r="BU805" s="35"/>
      <c r="BV805" s="35"/>
      <c r="BX805"/>
      <c r="CA805" s="35"/>
      <c r="CB805" s="35"/>
      <c r="CC805"/>
      <c r="CG805" s="35"/>
      <c r="CH805" s="35"/>
      <c r="CK805"/>
      <c r="CM805" s="35"/>
      <c r="CN805" s="35"/>
      <c r="CQ805"/>
      <c r="CS805" s="35"/>
      <c r="CT805" s="35"/>
      <c r="CX805"/>
      <c r="CZ805" s="35"/>
      <c r="DD805" s="34"/>
      <c r="DG805" t="s">
        <v>860</v>
      </c>
      <c r="DH805" t="s">
        <v>976</v>
      </c>
      <c r="DI805" t="s">
        <v>798</v>
      </c>
      <c r="DL805" t="s">
        <v>684</v>
      </c>
      <c r="DM805">
        <v>3</v>
      </c>
      <c r="DN805">
        <v>4</v>
      </c>
      <c r="DO805" t="s">
        <v>862</v>
      </c>
      <c r="DQ805" t="s">
        <v>927</v>
      </c>
      <c r="DR805">
        <v>14</v>
      </c>
      <c r="DS805">
        <v>0</v>
      </c>
      <c r="DU805">
        <v>14</v>
      </c>
      <c r="DV805">
        <v>0</v>
      </c>
      <c r="DX805">
        <v>14</v>
      </c>
      <c r="DY805">
        <v>0</v>
      </c>
      <c r="DZ805" t="s">
        <v>246</v>
      </c>
      <c r="EA805" t="s">
        <v>929</v>
      </c>
    </row>
    <row r="806" spans="1:131" x14ac:dyDescent="0.4">
      <c r="A806" s="34">
        <v>43067.305104166669</v>
      </c>
      <c r="B806" s="25">
        <v>42954.500694444447</v>
      </c>
      <c r="D806" s="34"/>
      <c r="E806" s="34" t="s">
        <v>193</v>
      </c>
      <c r="F806" s="34" t="s">
        <v>191</v>
      </c>
      <c r="G806" s="34" t="s">
        <v>100</v>
      </c>
      <c r="H806" t="s">
        <v>856</v>
      </c>
      <c r="I806" t="s">
        <v>243</v>
      </c>
      <c r="J806" t="s">
        <v>857</v>
      </c>
      <c r="K806" t="s">
        <v>729</v>
      </c>
      <c r="L806" t="s">
        <v>855</v>
      </c>
      <c r="M806" s="30">
        <v>4.05</v>
      </c>
      <c r="N806">
        <v>3.25</v>
      </c>
      <c r="P806" s="24" t="str">
        <f>IFERROR(MID(RADataTable[[#This Row],[RATemplate]],1,LEN(RADataTable[[#This Row],[RATemplate]])-8),"RA") &amp; " " &amp; RADataTable[[#This Row],[prop_id0]] &amp; " " &amp; RADataTable[[#This Row],[last0]]</f>
        <v>RA 1755481 Wang</v>
      </c>
      <c r="T806">
        <v>4</v>
      </c>
      <c r="U806">
        <v>4</v>
      </c>
      <c r="V806" s="34">
        <v>43031.775694444441</v>
      </c>
      <c r="W806">
        <v>1</v>
      </c>
      <c r="X806" s="15" t="str">
        <f>HYPERLINK("https://www.ejacket.nsf.gov/ej/showProposal.do?Continue=Y&amp;ID="&amp;RADataTable[[#This Row],[prop_id0]],"eJ")</f>
        <v>eJ</v>
      </c>
      <c r="Y806" s="15" t="str">
        <f>HYPERLINK("mailto:"&amp;RADataTable[[#This Row],[email]]&amp;"&amp;subject=Your NSF Proposal:  "&amp;RADataTable[[#This Row],[Div]]&amp;" "&amp;RADataTable[[#This Row],[prop_id0]], RADataTable[[#This Row],[email]])</f>
        <v>kwang@georgiasouthern.edu</v>
      </c>
      <c r="Z806" s="15" t="str">
        <f>HYPERLINK("mailto:"&amp;RADataTable[[#This Row],[allPIemail]]&amp;"&amp;subject=NSF Proposal:  "&amp;RADataTable[[#This Row],[Div]]&amp;" "&amp;RADataTable[[#This Row],[prop_id0]], "PIs@")</f>
        <v>PIs@</v>
      </c>
      <c r="AA806" t="s">
        <v>245</v>
      </c>
      <c r="AB806" t="s">
        <v>684</v>
      </c>
      <c r="AC806" s="30" t="s">
        <v>721</v>
      </c>
      <c r="AD806" t="s">
        <v>858</v>
      </c>
      <c r="AE806" t="s">
        <v>859</v>
      </c>
      <c r="AF806" s="36">
        <v>168126</v>
      </c>
      <c r="AG806" s="36">
        <v>168126</v>
      </c>
      <c r="AH806" s="24"/>
      <c r="AJ806" s="34"/>
      <c r="AK806" t="s">
        <v>923</v>
      </c>
      <c r="AL806" t="s">
        <v>924</v>
      </c>
      <c r="AM806" s="34" t="s">
        <v>925</v>
      </c>
      <c r="AN806" s="34">
        <v>43032</v>
      </c>
      <c r="AO806" s="24">
        <v>5</v>
      </c>
      <c r="AP806" t="s">
        <v>973</v>
      </c>
      <c r="AR806" s="35"/>
      <c r="AS806"/>
      <c r="AT806" s="34"/>
      <c r="AV806" s="34"/>
      <c r="AX806" s="34"/>
      <c r="AY806"/>
      <c r="BA806" s="34"/>
      <c r="BB806"/>
      <c r="BC806" t="s">
        <v>863</v>
      </c>
      <c r="BD806" s="36">
        <v>168126</v>
      </c>
      <c r="BE806" s="36">
        <v>168126</v>
      </c>
      <c r="BF806">
        <v>0</v>
      </c>
      <c r="BG806" s="34">
        <v>43101</v>
      </c>
      <c r="BH806">
        <v>24</v>
      </c>
      <c r="BI806" t="s">
        <v>974</v>
      </c>
      <c r="BJ806" t="s">
        <v>975</v>
      </c>
      <c r="BK806" t="s">
        <v>934</v>
      </c>
      <c r="BL806" t="s">
        <v>194</v>
      </c>
      <c r="BM806" s="8" t="s">
        <v>192</v>
      </c>
      <c r="BN806" t="s">
        <v>189</v>
      </c>
      <c r="BO806" t="s">
        <v>190</v>
      </c>
      <c r="BP806" s="35" t="s">
        <v>861</v>
      </c>
      <c r="BQ806"/>
      <c r="BU806" s="35"/>
      <c r="BV806" s="35"/>
      <c r="BX806"/>
      <c r="CA806" s="35"/>
      <c r="CB806" s="35"/>
      <c r="CC806"/>
      <c r="CG806" s="35"/>
      <c r="CH806" s="35"/>
      <c r="CK806"/>
      <c r="CM806" s="35"/>
      <c r="CN806" s="35"/>
      <c r="CQ806"/>
      <c r="CS806" s="35"/>
      <c r="CT806" s="35"/>
      <c r="CX806"/>
      <c r="CZ806" s="35"/>
      <c r="DD806" s="34"/>
      <c r="DG806" t="s">
        <v>860</v>
      </c>
      <c r="DH806" t="s">
        <v>976</v>
      </c>
      <c r="DI806" t="s">
        <v>798</v>
      </c>
      <c r="DL806" t="s">
        <v>684</v>
      </c>
      <c r="DM806">
        <v>3</v>
      </c>
      <c r="DN806">
        <v>4</v>
      </c>
      <c r="DO806" t="s">
        <v>862</v>
      </c>
      <c r="DQ806" t="s">
        <v>927</v>
      </c>
      <c r="DR806">
        <v>14</v>
      </c>
      <c r="DS806">
        <v>0</v>
      </c>
      <c r="DU806">
        <v>14</v>
      </c>
      <c r="DV806">
        <v>0</v>
      </c>
      <c r="DX806">
        <v>14</v>
      </c>
      <c r="DY806">
        <v>0</v>
      </c>
      <c r="DZ806" t="s">
        <v>246</v>
      </c>
      <c r="EA806" t="s">
        <v>929</v>
      </c>
    </row>
    <row r="807" spans="1:131" x14ac:dyDescent="0.4">
      <c r="A807" s="34">
        <v>43067.305104166669</v>
      </c>
      <c r="B807" s="25">
        <v>42954.500694444447</v>
      </c>
      <c r="D807" s="34"/>
      <c r="E807" s="34" t="s">
        <v>193</v>
      </c>
      <c r="F807" s="34" t="s">
        <v>191</v>
      </c>
      <c r="G807" s="34" t="s">
        <v>100</v>
      </c>
      <c r="H807" t="s">
        <v>856</v>
      </c>
      <c r="I807" t="s">
        <v>243</v>
      </c>
      <c r="J807" t="s">
        <v>857</v>
      </c>
      <c r="K807" t="s">
        <v>729</v>
      </c>
      <c r="L807" t="s">
        <v>855</v>
      </c>
      <c r="M807" s="30">
        <v>4.05</v>
      </c>
      <c r="N807">
        <v>3.25</v>
      </c>
      <c r="P807" s="24" t="str">
        <f>IFERROR(MID(RADataTable[[#This Row],[RATemplate]],1,LEN(RADataTable[[#This Row],[RATemplate]])-8),"RA") &amp; " " &amp; RADataTable[[#This Row],[prop_id0]] &amp; " " &amp; RADataTable[[#This Row],[last0]]</f>
        <v>RA 1755481 Wang</v>
      </c>
      <c r="T807">
        <v>4</v>
      </c>
      <c r="U807">
        <v>4</v>
      </c>
      <c r="V807" s="34">
        <v>43031.775694444441</v>
      </c>
      <c r="W807">
        <v>1</v>
      </c>
      <c r="X807" s="15" t="str">
        <f>HYPERLINK("https://www.ejacket.nsf.gov/ej/showProposal.do?Continue=Y&amp;ID="&amp;RADataTable[[#This Row],[prop_id0]],"eJ")</f>
        <v>eJ</v>
      </c>
      <c r="Y807" s="15" t="str">
        <f>HYPERLINK("mailto:"&amp;RADataTable[[#This Row],[email]]&amp;"&amp;subject=Your NSF Proposal:  "&amp;RADataTable[[#This Row],[Div]]&amp;" "&amp;RADataTable[[#This Row],[prop_id0]], RADataTable[[#This Row],[email]])</f>
        <v>kwang@georgiasouthern.edu</v>
      </c>
      <c r="Z807" s="15" t="str">
        <f>HYPERLINK("mailto:"&amp;RADataTable[[#This Row],[allPIemail]]&amp;"&amp;subject=NSF Proposal:  "&amp;RADataTable[[#This Row],[Div]]&amp;" "&amp;RADataTable[[#This Row],[prop_id0]], "PIs@")</f>
        <v>PIs@</v>
      </c>
      <c r="AA807" t="s">
        <v>245</v>
      </c>
      <c r="AB807" t="s">
        <v>684</v>
      </c>
      <c r="AC807" s="30" t="s">
        <v>721</v>
      </c>
      <c r="AD807" t="s">
        <v>858</v>
      </c>
      <c r="AE807" t="s">
        <v>859</v>
      </c>
      <c r="AF807" s="36">
        <v>168126</v>
      </c>
      <c r="AG807" s="36">
        <v>168126</v>
      </c>
      <c r="AH807" s="24"/>
      <c r="AJ807" s="34"/>
      <c r="AK807" t="s">
        <v>923</v>
      </c>
      <c r="AL807" t="s">
        <v>924</v>
      </c>
      <c r="AM807" s="34" t="s">
        <v>925</v>
      </c>
      <c r="AN807" s="34">
        <v>43032</v>
      </c>
      <c r="AO807" s="24">
        <v>5</v>
      </c>
      <c r="AP807" t="s">
        <v>973</v>
      </c>
      <c r="AR807" s="35"/>
      <c r="AS807"/>
      <c r="AT807" s="34"/>
      <c r="AV807" s="34"/>
      <c r="AX807" s="34"/>
      <c r="AY807"/>
      <c r="BA807" s="34"/>
      <c r="BB807"/>
      <c r="BC807" t="s">
        <v>863</v>
      </c>
      <c r="BD807" s="36">
        <v>168126</v>
      </c>
      <c r="BE807" s="36">
        <v>168126</v>
      </c>
      <c r="BF807">
        <v>0</v>
      </c>
      <c r="BG807" s="34">
        <v>43101</v>
      </c>
      <c r="BH807">
        <v>24</v>
      </c>
      <c r="BI807" t="s">
        <v>974</v>
      </c>
      <c r="BJ807" t="s">
        <v>975</v>
      </c>
      <c r="BK807" t="s">
        <v>934</v>
      </c>
      <c r="BL807" t="s">
        <v>194</v>
      </c>
      <c r="BM807" s="8" t="s">
        <v>192</v>
      </c>
      <c r="BN807" t="s">
        <v>189</v>
      </c>
      <c r="BO807" t="s">
        <v>190</v>
      </c>
      <c r="BP807" s="35" t="s">
        <v>861</v>
      </c>
      <c r="BQ807"/>
      <c r="BU807" s="35"/>
      <c r="BV807" s="35"/>
      <c r="BX807"/>
      <c r="CA807" s="35"/>
      <c r="CB807" s="35"/>
      <c r="CC807"/>
      <c r="CG807" s="35"/>
      <c r="CH807" s="35"/>
      <c r="CK807"/>
      <c r="CM807" s="35"/>
      <c r="CN807" s="35"/>
      <c r="CQ807"/>
      <c r="CS807" s="35"/>
      <c r="CT807" s="35"/>
      <c r="CX807"/>
      <c r="CZ807" s="35"/>
      <c r="DD807" s="34"/>
      <c r="DG807" t="s">
        <v>860</v>
      </c>
      <c r="DH807" t="s">
        <v>976</v>
      </c>
      <c r="DI807" t="s">
        <v>798</v>
      </c>
      <c r="DL807" t="s">
        <v>684</v>
      </c>
      <c r="DM807">
        <v>3</v>
      </c>
      <c r="DN807">
        <v>4</v>
      </c>
      <c r="DO807" t="s">
        <v>862</v>
      </c>
      <c r="DQ807" t="s">
        <v>927</v>
      </c>
      <c r="DR807">
        <v>14</v>
      </c>
      <c r="DS807">
        <v>0</v>
      </c>
      <c r="DU807">
        <v>14</v>
      </c>
      <c r="DV807">
        <v>0</v>
      </c>
      <c r="DX807">
        <v>14</v>
      </c>
      <c r="DY807">
        <v>0</v>
      </c>
      <c r="DZ807" t="s">
        <v>246</v>
      </c>
      <c r="EA807" t="s">
        <v>929</v>
      </c>
    </row>
    <row r="808" spans="1:131" x14ac:dyDescent="0.4">
      <c r="A808" s="34">
        <v>43067.305104166669</v>
      </c>
      <c r="B808" s="25">
        <v>42954.500694444447</v>
      </c>
      <c r="D808" s="34"/>
      <c r="E808" s="34" t="s">
        <v>193</v>
      </c>
      <c r="F808" s="34" t="s">
        <v>191</v>
      </c>
      <c r="G808" s="34" t="s">
        <v>100</v>
      </c>
      <c r="H808" t="s">
        <v>856</v>
      </c>
      <c r="I808" t="s">
        <v>243</v>
      </c>
      <c r="J808" t="s">
        <v>857</v>
      </c>
      <c r="K808" t="s">
        <v>729</v>
      </c>
      <c r="L808" t="s">
        <v>855</v>
      </c>
      <c r="M808" s="30">
        <v>4.05</v>
      </c>
      <c r="N808">
        <v>3.25</v>
      </c>
      <c r="P808" s="24" t="str">
        <f>IFERROR(MID(RADataTable[[#This Row],[RATemplate]],1,LEN(RADataTable[[#This Row],[RATemplate]])-8),"RA") &amp; " " &amp; RADataTable[[#This Row],[prop_id0]] &amp; " " &amp; RADataTable[[#This Row],[last0]]</f>
        <v>RA 1755481 Wang</v>
      </c>
      <c r="T808">
        <v>4</v>
      </c>
      <c r="U808">
        <v>4</v>
      </c>
      <c r="V808" s="34">
        <v>43031.775694444441</v>
      </c>
      <c r="W808">
        <v>1</v>
      </c>
      <c r="X808" s="15" t="str">
        <f>HYPERLINK("https://www.ejacket.nsf.gov/ej/showProposal.do?Continue=Y&amp;ID="&amp;RADataTable[[#This Row],[prop_id0]],"eJ")</f>
        <v>eJ</v>
      </c>
      <c r="Y808" s="15" t="str">
        <f>HYPERLINK("mailto:"&amp;RADataTable[[#This Row],[email]]&amp;"&amp;subject=Your NSF Proposal:  "&amp;RADataTable[[#This Row],[Div]]&amp;" "&amp;RADataTable[[#This Row],[prop_id0]], RADataTable[[#This Row],[email]])</f>
        <v>kwang@georgiasouthern.edu</v>
      </c>
      <c r="Z808" s="15" t="str">
        <f>HYPERLINK("mailto:"&amp;RADataTable[[#This Row],[allPIemail]]&amp;"&amp;subject=NSF Proposal:  "&amp;RADataTable[[#This Row],[Div]]&amp;" "&amp;RADataTable[[#This Row],[prop_id0]], "PIs@")</f>
        <v>PIs@</v>
      </c>
      <c r="AA808" t="s">
        <v>245</v>
      </c>
      <c r="AB808" t="s">
        <v>684</v>
      </c>
      <c r="AC808" s="30" t="s">
        <v>721</v>
      </c>
      <c r="AD808" t="s">
        <v>858</v>
      </c>
      <c r="AE808" t="s">
        <v>859</v>
      </c>
      <c r="AF808" s="36">
        <v>168126</v>
      </c>
      <c r="AG808" s="36">
        <v>168126</v>
      </c>
      <c r="AH808" s="24"/>
      <c r="AJ808" s="34"/>
      <c r="AK808" t="s">
        <v>923</v>
      </c>
      <c r="AL808" t="s">
        <v>924</v>
      </c>
      <c r="AM808" s="34" t="s">
        <v>925</v>
      </c>
      <c r="AN808" s="34">
        <v>43032</v>
      </c>
      <c r="AO808" s="24">
        <v>5</v>
      </c>
      <c r="AP808" t="s">
        <v>973</v>
      </c>
      <c r="AR808" s="35"/>
      <c r="AS808"/>
      <c r="AT808" s="34"/>
      <c r="AV808" s="34"/>
      <c r="AX808" s="34"/>
      <c r="AY808"/>
      <c r="BA808" s="34"/>
      <c r="BB808"/>
      <c r="BC808" t="s">
        <v>863</v>
      </c>
      <c r="BD808" s="36">
        <v>168126</v>
      </c>
      <c r="BE808" s="36">
        <v>168126</v>
      </c>
      <c r="BF808">
        <v>0</v>
      </c>
      <c r="BG808" s="34">
        <v>43101</v>
      </c>
      <c r="BH808">
        <v>24</v>
      </c>
      <c r="BI808" t="s">
        <v>974</v>
      </c>
      <c r="BJ808" t="s">
        <v>975</v>
      </c>
      <c r="BK808" t="s">
        <v>934</v>
      </c>
      <c r="BL808" t="s">
        <v>194</v>
      </c>
      <c r="BM808" s="8" t="s">
        <v>192</v>
      </c>
      <c r="BN808" t="s">
        <v>189</v>
      </c>
      <c r="BO808" t="s">
        <v>190</v>
      </c>
      <c r="BP808" s="35" t="s">
        <v>861</v>
      </c>
      <c r="BQ808"/>
      <c r="BU808" s="35"/>
      <c r="BV808" s="35"/>
      <c r="BX808"/>
      <c r="CA808" s="35"/>
      <c r="CB808" s="35"/>
      <c r="CC808"/>
      <c r="CG808" s="35"/>
      <c r="CH808" s="35"/>
      <c r="CK808"/>
      <c r="CM808" s="35"/>
      <c r="CN808" s="35"/>
      <c r="CQ808"/>
      <c r="CS808" s="35"/>
      <c r="CT808" s="35"/>
      <c r="CX808"/>
      <c r="CZ808" s="35"/>
      <c r="DD808" s="34"/>
      <c r="DG808" t="s">
        <v>860</v>
      </c>
      <c r="DH808" t="s">
        <v>976</v>
      </c>
      <c r="DI808" t="s">
        <v>798</v>
      </c>
      <c r="DL808" t="s">
        <v>684</v>
      </c>
      <c r="DM808">
        <v>3</v>
      </c>
      <c r="DN808">
        <v>4</v>
      </c>
      <c r="DO808" t="s">
        <v>862</v>
      </c>
      <c r="DQ808" t="s">
        <v>927</v>
      </c>
      <c r="DR808">
        <v>14</v>
      </c>
      <c r="DS808">
        <v>0</v>
      </c>
      <c r="DU808">
        <v>14</v>
      </c>
      <c r="DV808">
        <v>0</v>
      </c>
      <c r="DX808">
        <v>14</v>
      </c>
      <c r="DY808">
        <v>0</v>
      </c>
      <c r="DZ808" t="s">
        <v>246</v>
      </c>
      <c r="EA808" t="s">
        <v>929</v>
      </c>
    </row>
    <row r="809" spans="1:131" x14ac:dyDescent="0.4">
      <c r="A809" s="34">
        <v>43067.305104166669</v>
      </c>
      <c r="B809" s="25">
        <v>42956.647916666669</v>
      </c>
      <c r="D809" s="34"/>
      <c r="E809" s="34" t="s">
        <v>193</v>
      </c>
      <c r="F809" s="34" t="s">
        <v>191</v>
      </c>
      <c r="G809" s="34" t="s">
        <v>100</v>
      </c>
      <c r="H809" t="s">
        <v>856</v>
      </c>
      <c r="I809" t="s">
        <v>243</v>
      </c>
      <c r="J809" t="s">
        <v>857</v>
      </c>
      <c r="K809" t="s">
        <v>713</v>
      </c>
      <c r="L809" t="s">
        <v>855</v>
      </c>
      <c r="M809" s="30">
        <v>4.05</v>
      </c>
      <c r="N809">
        <v>5.333333333333333</v>
      </c>
      <c r="P809" s="24" t="str">
        <f>IFERROR(MID(RADataTable[[#This Row],[RATemplate]],1,LEN(RADataTable[[#This Row],[RATemplate]])-8),"RA") &amp; " " &amp; RADataTable[[#This Row],[prop_id0]] &amp; " " &amp; RADataTable[[#This Row],[last0]]</f>
        <v>RA 1755881 San</v>
      </c>
      <c r="T809">
        <v>3</v>
      </c>
      <c r="U809">
        <v>3</v>
      </c>
      <c r="V809" s="34">
        <v>43031.741666666669</v>
      </c>
      <c r="W809">
        <v>1</v>
      </c>
      <c r="X809" s="15" t="str">
        <f>HYPERLINK("https://www.ejacket.nsf.gov/ej/showProposal.do?Continue=Y&amp;ID="&amp;RADataTable[[#This Row],[prop_id0]],"eJ")</f>
        <v>eJ</v>
      </c>
      <c r="Y809" s="15" t="str">
        <f>HYPERLINK("mailto:"&amp;RADataTable[[#This Row],[email]]&amp;"&amp;subject=Your NSF Proposal:  "&amp;RADataTable[[#This Row],[Div]]&amp;" "&amp;RADataTable[[#This Row],[prop_id0]], RADataTable[[#This Row],[email]])</f>
        <v>osan@okstate.edu</v>
      </c>
      <c r="Z809" s="15" t="str">
        <f>HYPERLINK("mailto:"&amp;RADataTable[[#This Row],[allPIemail]]&amp;"&amp;subject=NSF Proposal:  "&amp;RADataTable[[#This Row],[Div]]&amp;" "&amp;RADataTable[[#This Row],[prop_id0]], "PIs@")</f>
        <v>PIs@</v>
      </c>
      <c r="AA809" t="s">
        <v>245</v>
      </c>
      <c r="AB809" t="s">
        <v>688</v>
      </c>
      <c r="AC809" s="30" t="s">
        <v>883</v>
      </c>
      <c r="AD809" t="s">
        <v>884</v>
      </c>
      <c r="AE809" t="s">
        <v>885</v>
      </c>
      <c r="AF809" s="36">
        <v>170144</v>
      </c>
      <c r="AG809" s="36">
        <v>170144</v>
      </c>
      <c r="AH809" s="24"/>
      <c r="AJ809" s="34"/>
      <c r="AK809" t="s">
        <v>923</v>
      </c>
      <c r="AL809" t="s">
        <v>924</v>
      </c>
      <c r="AM809" s="34" t="s">
        <v>925</v>
      </c>
      <c r="AN809" s="34">
        <v>43032</v>
      </c>
      <c r="AO809" s="24">
        <v>5</v>
      </c>
      <c r="AP809" t="s">
        <v>983</v>
      </c>
      <c r="AR809" s="35"/>
      <c r="AS809"/>
      <c r="AT809" s="34"/>
      <c r="AV809" s="34"/>
      <c r="AX809" s="34"/>
      <c r="AY809"/>
      <c r="BA809" s="34"/>
      <c r="BB809"/>
      <c r="BC809" t="s">
        <v>889</v>
      </c>
      <c r="BD809" s="36">
        <v>170144</v>
      </c>
      <c r="BE809" s="36">
        <v>170144</v>
      </c>
      <c r="BF809">
        <v>0</v>
      </c>
      <c r="BG809" s="34">
        <v>43252</v>
      </c>
      <c r="BH809">
        <v>24</v>
      </c>
      <c r="BI809" t="s">
        <v>974</v>
      </c>
      <c r="BJ809" t="s">
        <v>975</v>
      </c>
      <c r="BK809" t="s">
        <v>234</v>
      </c>
      <c r="BL809" t="s">
        <v>194</v>
      </c>
      <c r="BM809" s="8" t="s">
        <v>192</v>
      </c>
      <c r="BN809" t="s">
        <v>189</v>
      </c>
      <c r="BO809" t="s">
        <v>190</v>
      </c>
      <c r="BP809" s="35" t="s">
        <v>887</v>
      </c>
      <c r="BQ809"/>
      <c r="BU809" s="35"/>
      <c r="BV809" s="35"/>
      <c r="BX809"/>
      <c r="CA809" s="35"/>
      <c r="CB809" s="35"/>
      <c r="CC809"/>
      <c r="CG809" s="35"/>
      <c r="CH809" s="35"/>
      <c r="CK809"/>
      <c r="CM809" s="35"/>
      <c r="CN809" s="35"/>
      <c r="CQ809"/>
      <c r="CS809" s="35"/>
      <c r="CT809" s="35"/>
      <c r="CX809"/>
      <c r="CZ809" s="35"/>
      <c r="DD809" s="34"/>
      <c r="DG809" t="s">
        <v>886</v>
      </c>
      <c r="DH809" t="s">
        <v>984</v>
      </c>
      <c r="DI809" t="s">
        <v>798</v>
      </c>
      <c r="DL809" t="s">
        <v>688</v>
      </c>
      <c r="DM809">
        <v>3</v>
      </c>
      <c r="DN809">
        <v>8</v>
      </c>
      <c r="DO809" t="s">
        <v>888</v>
      </c>
      <c r="DQ809" t="s">
        <v>927</v>
      </c>
      <c r="DR809">
        <v>14</v>
      </c>
      <c r="DS809">
        <v>0</v>
      </c>
      <c r="DU809">
        <v>14</v>
      </c>
      <c r="DV809">
        <v>0</v>
      </c>
      <c r="DX809">
        <v>14</v>
      </c>
      <c r="DY809">
        <v>0</v>
      </c>
      <c r="DZ809" t="s">
        <v>246</v>
      </c>
      <c r="EA809" t="s">
        <v>929</v>
      </c>
    </row>
    <row r="810" spans="1:131" x14ac:dyDescent="0.4">
      <c r="A810" s="34">
        <v>43067.305104166669</v>
      </c>
      <c r="B810" s="25">
        <v>42956.647916666669</v>
      </c>
      <c r="D810" s="34"/>
      <c r="E810" s="34" t="s">
        <v>193</v>
      </c>
      <c r="F810" s="34" t="s">
        <v>191</v>
      </c>
      <c r="G810" s="34" t="s">
        <v>100</v>
      </c>
      <c r="H810" t="s">
        <v>856</v>
      </c>
      <c r="I810" t="s">
        <v>243</v>
      </c>
      <c r="J810" t="s">
        <v>857</v>
      </c>
      <c r="K810" t="s">
        <v>713</v>
      </c>
      <c r="L810" t="s">
        <v>855</v>
      </c>
      <c r="M810" s="30">
        <v>4.05</v>
      </c>
      <c r="N810">
        <v>5.333333333333333</v>
      </c>
      <c r="P810" s="24" t="str">
        <f>IFERROR(MID(RADataTable[[#This Row],[RATemplate]],1,LEN(RADataTable[[#This Row],[RATemplate]])-8),"RA") &amp; " " &amp; RADataTable[[#This Row],[prop_id0]] &amp; " " &amp; RADataTable[[#This Row],[last0]]</f>
        <v>RA 1755881 San</v>
      </c>
      <c r="T810">
        <v>3</v>
      </c>
      <c r="U810">
        <v>3</v>
      </c>
      <c r="V810" s="34">
        <v>43031.741666666669</v>
      </c>
      <c r="W810">
        <v>1</v>
      </c>
      <c r="X810" s="15" t="str">
        <f>HYPERLINK("https://www.ejacket.nsf.gov/ej/showProposal.do?Continue=Y&amp;ID="&amp;RADataTable[[#This Row],[prop_id0]],"eJ")</f>
        <v>eJ</v>
      </c>
      <c r="Y810" s="15" t="str">
        <f>HYPERLINK("mailto:"&amp;RADataTable[[#This Row],[email]]&amp;"&amp;subject=Your NSF Proposal:  "&amp;RADataTable[[#This Row],[Div]]&amp;" "&amp;RADataTable[[#This Row],[prop_id0]], RADataTable[[#This Row],[email]])</f>
        <v>osan@okstate.edu</v>
      </c>
      <c r="Z810" s="15" t="str">
        <f>HYPERLINK("mailto:"&amp;RADataTable[[#This Row],[allPIemail]]&amp;"&amp;subject=NSF Proposal:  "&amp;RADataTable[[#This Row],[Div]]&amp;" "&amp;RADataTable[[#This Row],[prop_id0]], "PIs@")</f>
        <v>PIs@</v>
      </c>
      <c r="AA810" t="s">
        <v>245</v>
      </c>
      <c r="AB810" t="s">
        <v>688</v>
      </c>
      <c r="AC810" s="30" t="s">
        <v>883</v>
      </c>
      <c r="AD810" t="s">
        <v>884</v>
      </c>
      <c r="AE810" t="s">
        <v>885</v>
      </c>
      <c r="AF810" s="36">
        <v>170144</v>
      </c>
      <c r="AG810" s="36">
        <v>170144</v>
      </c>
      <c r="AH810" s="24"/>
      <c r="AJ810" s="34"/>
      <c r="AK810" t="s">
        <v>923</v>
      </c>
      <c r="AL810" t="s">
        <v>924</v>
      </c>
      <c r="AM810" s="34" t="s">
        <v>925</v>
      </c>
      <c r="AN810" s="34">
        <v>43032</v>
      </c>
      <c r="AO810" s="24">
        <v>5</v>
      </c>
      <c r="AP810" t="s">
        <v>983</v>
      </c>
      <c r="AR810" s="35"/>
      <c r="AS810"/>
      <c r="AT810" s="34"/>
      <c r="AV810" s="34"/>
      <c r="AX810" s="34"/>
      <c r="AY810"/>
      <c r="BA810" s="34"/>
      <c r="BB810"/>
      <c r="BC810" t="s">
        <v>889</v>
      </c>
      <c r="BD810" s="36">
        <v>170144</v>
      </c>
      <c r="BE810" s="36">
        <v>170144</v>
      </c>
      <c r="BF810">
        <v>0</v>
      </c>
      <c r="BG810" s="34">
        <v>43252</v>
      </c>
      <c r="BH810">
        <v>24</v>
      </c>
      <c r="BI810" t="s">
        <v>974</v>
      </c>
      <c r="BJ810" t="s">
        <v>975</v>
      </c>
      <c r="BK810" t="s">
        <v>234</v>
      </c>
      <c r="BL810" t="s">
        <v>194</v>
      </c>
      <c r="BM810" s="8" t="s">
        <v>192</v>
      </c>
      <c r="BN810" t="s">
        <v>189</v>
      </c>
      <c r="BO810" t="s">
        <v>190</v>
      </c>
      <c r="BP810" s="35" t="s">
        <v>887</v>
      </c>
      <c r="BQ810"/>
      <c r="BU810" s="35"/>
      <c r="BV810" s="35"/>
      <c r="BX810"/>
      <c r="CA810" s="35"/>
      <c r="CB810" s="35"/>
      <c r="CC810"/>
      <c r="CG810" s="35"/>
      <c r="CH810" s="35"/>
      <c r="CK810"/>
      <c r="CM810" s="35"/>
      <c r="CN810" s="35"/>
      <c r="CQ810"/>
      <c r="CS810" s="35"/>
      <c r="CT810" s="35"/>
      <c r="CX810"/>
      <c r="CZ810" s="35"/>
      <c r="DD810" s="34"/>
      <c r="DG810" t="s">
        <v>886</v>
      </c>
      <c r="DH810" t="s">
        <v>984</v>
      </c>
      <c r="DI810" t="s">
        <v>798</v>
      </c>
      <c r="DL810" t="s">
        <v>688</v>
      </c>
      <c r="DM810">
        <v>3</v>
      </c>
      <c r="DN810">
        <v>8</v>
      </c>
      <c r="DO810" t="s">
        <v>888</v>
      </c>
      <c r="DQ810" t="s">
        <v>927</v>
      </c>
      <c r="DR810">
        <v>14</v>
      </c>
      <c r="DS810">
        <v>0</v>
      </c>
      <c r="DU810">
        <v>14</v>
      </c>
      <c r="DV810">
        <v>0</v>
      </c>
      <c r="DX810">
        <v>14</v>
      </c>
      <c r="DY810">
        <v>0</v>
      </c>
      <c r="DZ810" t="s">
        <v>246</v>
      </c>
      <c r="EA810" t="s">
        <v>929</v>
      </c>
    </row>
    <row r="811" spans="1:131" x14ac:dyDescent="0.4">
      <c r="A811" s="34">
        <v>43067.305104166669</v>
      </c>
      <c r="B811" s="25">
        <v>42956.647916666669</v>
      </c>
      <c r="D811" s="34"/>
      <c r="E811" s="34" t="s">
        <v>193</v>
      </c>
      <c r="F811" s="34" t="s">
        <v>191</v>
      </c>
      <c r="G811" s="34" t="s">
        <v>100</v>
      </c>
      <c r="H811" t="s">
        <v>856</v>
      </c>
      <c r="I811" t="s">
        <v>243</v>
      </c>
      <c r="J811" t="s">
        <v>857</v>
      </c>
      <c r="K811" t="s">
        <v>713</v>
      </c>
      <c r="L811" t="s">
        <v>855</v>
      </c>
      <c r="M811" s="30">
        <v>4.05</v>
      </c>
      <c r="N811">
        <v>5.333333333333333</v>
      </c>
      <c r="P811" s="24" t="str">
        <f>IFERROR(MID(RADataTable[[#This Row],[RATemplate]],1,LEN(RADataTable[[#This Row],[RATemplate]])-8),"RA") &amp; " " &amp; RADataTable[[#This Row],[prop_id0]] &amp; " " &amp; RADataTable[[#This Row],[last0]]</f>
        <v>RA 1755881 San</v>
      </c>
      <c r="T811">
        <v>3</v>
      </c>
      <c r="U811">
        <v>3</v>
      </c>
      <c r="V811" s="34">
        <v>43031.741666666669</v>
      </c>
      <c r="W811">
        <v>1</v>
      </c>
      <c r="X811" s="15" t="str">
        <f>HYPERLINK("https://www.ejacket.nsf.gov/ej/showProposal.do?Continue=Y&amp;ID="&amp;RADataTable[[#This Row],[prop_id0]],"eJ")</f>
        <v>eJ</v>
      </c>
      <c r="Y811" s="15" t="str">
        <f>HYPERLINK("mailto:"&amp;RADataTable[[#This Row],[email]]&amp;"&amp;subject=Your NSF Proposal:  "&amp;RADataTable[[#This Row],[Div]]&amp;" "&amp;RADataTable[[#This Row],[prop_id0]], RADataTable[[#This Row],[email]])</f>
        <v>osan@okstate.edu</v>
      </c>
      <c r="Z811" s="15" t="str">
        <f>HYPERLINK("mailto:"&amp;RADataTable[[#This Row],[allPIemail]]&amp;"&amp;subject=NSF Proposal:  "&amp;RADataTable[[#This Row],[Div]]&amp;" "&amp;RADataTable[[#This Row],[prop_id0]], "PIs@")</f>
        <v>PIs@</v>
      </c>
      <c r="AA811" t="s">
        <v>245</v>
      </c>
      <c r="AB811" t="s">
        <v>688</v>
      </c>
      <c r="AC811" s="30" t="s">
        <v>883</v>
      </c>
      <c r="AD811" t="s">
        <v>884</v>
      </c>
      <c r="AE811" t="s">
        <v>885</v>
      </c>
      <c r="AF811" s="36">
        <v>170144</v>
      </c>
      <c r="AG811" s="36">
        <v>170144</v>
      </c>
      <c r="AH811" s="24"/>
      <c r="AJ811" s="34"/>
      <c r="AK811" t="s">
        <v>923</v>
      </c>
      <c r="AL811" t="s">
        <v>924</v>
      </c>
      <c r="AM811" s="34" t="s">
        <v>925</v>
      </c>
      <c r="AN811" s="34">
        <v>43032</v>
      </c>
      <c r="AO811" s="24">
        <v>5</v>
      </c>
      <c r="AP811" t="s">
        <v>983</v>
      </c>
      <c r="AR811" s="35"/>
      <c r="AS811"/>
      <c r="AT811" s="34"/>
      <c r="AV811" s="34"/>
      <c r="AX811" s="34"/>
      <c r="AY811"/>
      <c r="BA811" s="34"/>
      <c r="BB811"/>
      <c r="BC811" t="s">
        <v>889</v>
      </c>
      <c r="BD811" s="36">
        <v>170144</v>
      </c>
      <c r="BE811" s="36">
        <v>170144</v>
      </c>
      <c r="BF811">
        <v>0</v>
      </c>
      <c r="BG811" s="34">
        <v>43252</v>
      </c>
      <c r="BH811">
        <v>24</v>
      </c>
      <c r="BI811" t="s">
        <v>974</v>
      </c>
      <c r="BJ811" t="s">
        <v>975</v>
      </c>
      <c r="BK811" t="s">
        <v>234</v>
      </c>
      <c r="BL811" t="s">
        <v>194</v>
      </c>
      <c r="BM811" s="8" t="s">
        <v>192</v>
      </c>
      <c r="BN811" t="s">
        <v>189</v>
      </c>
      <c r="BO811" t="s">
        <v>190</v>
      </c>
      <c r="BP811" s="35" t="s">
        <v>887</v>
      </c>
      <c r="BQ811"/>
      <c r="BU811" s="35"/>
      <c r="BV811" s="35"/>
      <c r="BX811"/>
      <c r="CA811" s="35"/>
      <c r="CB811" s="35"/>
      <c r="CC811"/>
      <c r="CG811" s="35"/>
      <c r="CH811" s="35"/>
      <c r="CK811"/>
      <c r="CM811" s="35"/>
      <c r="CN811" s="35"/>
      <c r="CQ811"/>
      <c r="CS811" s="35"/>
      <c r="CT811" s="35"/>
      <c r="CX811"/>
      <c r="CZ811" s="35"/>
      <c r="DD811" s="34"/>
      <c r="DG811" t="s">
        <v>886</v>
      </c>
      <c r="DH811" t="s">
        <v>984</v>
      </c>
      <c r="DI811" t="s">
        <v>798</v>
      </c>
      <c r="DL811" t="s">
        <v>688</v>
      </c>
      <c r="DM811">
        <v>3</v>
      </c>
      <c r="DN811">
        <v>8</v>
      </c>
      <c r="DO811" t="s">
        <v>888</v>
      </c>
      <c r="DQ811" t="s">
        <v>927</v>
      </c>
      <c r="DR811">
        <v>14</v>
      </c>
      <c r="DS811">
        <v>0</v>
      </c>
      <c r="DU811">
        <v>14</v>
      </c>
      <c r="DV811">
        <v>0</v>
      </c>
      <c r="DX811">
        <v>14</v>
      </c>
      <c r="DY811">
        <v>0</v>
      </c>
      <c r="DZ811" t="s">
        <v>246</v>
      </c>
      <c r="EA811" t="s">
        <v>929</v>
      </c>
    </row>
    <row r="812" spans="1:131" x14ac:dyDescent="0.4">
      <c r="A812" s="34">
        <v>43067.305104166669</v>
      </c>
      <c r="B812" s="25">
        <v>42956.647916666669</v>
      </c>
      <c r="D812" s="34"/>
      <c r="E812" s="34" t="s">
        <v>193</v>
      </c>
      <c r="F812" s="34" t="s">
        <v>191</v>
      </c>
      <c r="G812" s="34" t="s">
        <v>100</v>
      </c>
      <c r="H812" t="s">
        <v>856</v>
      </c>
      <c r="I812" t="s">
        <v>243</v>
      </c>
      <c r="J812" t="s">
        <v>857</v>
      </c>
      <c r="K812" t="s">
        <v>713</v>
      </c>
      <c r="L812" t="s">
        <v>855</v>
      </c>
      <c r="M812" s="30">
        <v>4.05</v>
      </c>
      <c r="N812">
        <v>5.333333333333333</v>
      </c>
      <c r="P812" s="24" t="str">
        <f>IFERROR(MID(RADataTable[[#This Row],[RATemplate]],1,LEN(RADataTable[[#This Row],[RATemplate]])-8),"RA") &amp; " " &amp; RADataTable[[#This Row],[prop_id0]] &amp; " " &amp; RADataTable[[#This Row],[last0]]</f>
        <v>RA 1755881 San</v>
      </c>
      <c r="T812">
        <v>3</v>
      </c>
      <c r="U812">
        <v>3</v>
      </c>
      <c r="V812" s="34">
        <v>43031.741666666669</v>
      </c>
      <c r="W812">
        <v>1</v>
      </c>
      <c r="X812" s="15" t="str">
        <f>HYPERLINK("https://www.ejacket.nsf.gov/ej/showProposal.do?Continue=Y&amp;ID="&amp;RADataTable[[#This Row],[prop_id0]],"eJ")</f>
        <v>eJ</v>
      </c>
      <c r="Y812" s="15" t="str">
        <f>HYPERLINK("mailto:"&amp;RADataTable[[#This Row],[email]]&amp;"&amp;subject=Your NSF Proposal:  "&amp;RADataTable[[#This Row],[Div]]&amp;" "&amp;RADataTable[[#This Row],[prop_id0]], RADataTable[[#This Row],[email]])</f>
        <v>osan@okstate.edu</v>
      </c>
      <c r="Z812" s="15" t="str">
        <f>HYPERLINK("mailto:"&amp;RADataTable[[#This Row],[allPIemail]]&amp;"&amp;subject=NSF Proposal:  "&amp;RADataTable[[#This Row],[Div]]&amp;" "&amp;RADataTable[[#This Row],[prop_id0]], "PIs@")</f>
        <v>PIs@</v>
      </c>
      <c r="AA812" t="s">
        <v>245</v>
      </c>
      <c r="AB812" t="s">
        <v>688</v>
      </c>
      <c r="AC812" s="30" t="s">
        <v>883</v>
      </c>
      <c r="AD812" t="s">
        <v>884</v>
      </c>
      <c r="AE812" t="s">
        <v>885</v>
      </c>
      <c r="AF812" s="36">
        <v>170144</v>
      </c>
      <c r="AG812" s="36">
        <v>170144</v>
      </c>
      <c r="AH812" s="24"/>
      <c r="AJ812" s="34"/>
      <c r="AK812" t="s">
        <v>923</v>
      </c>
      <c r="AL812" t="s">
        <v>924</v>
      </c>
      <c r="AM812" s="34" t="s">
        <v>925</v>
      </c>
      <c r="AN812" s="34">
        <v>43032</v>
      </c>
      <c r="AO812" s="24">
        <v>5</v>
      </c>
      <c r="AP812" t="s">
        <v>983</v>
      </c>
      <c r="AR812" s="35"/>
      <c r="AS812"/>
      <c r="AT812" s="34"/>
      <c r="AV812" s="34"/>
      <c r="AX812" s="34"/>
      <c r="AY812"/>
      <c r="BA812" s="34"/>
      <c r="BB812"/>
      <c r="BC812" t="s">
        <v>889</v>
      </c>
      <c r="BD812" s="36">
        <v>170144</v>
      </c>
      <c r="BE812" s="36">
        <v>170144</v>
      </c>
      <c r="BF812">
        <v>0</v>
      </c>
      <c r="BG812" s="34">
        <v>43252</v>
      </c>
      <c r="BH812">
        <v>24</v>
      </c>
      <c r="BI812" t="s">
        <v>974</v>
      </c>
      <c r="BJ812" t="s">
        <v>975</v>
      </c>
      <c r="BK812" t="s">
        <v>234</v>
      </c>
      <c r="BL812" t="s">
        <v>194</v>
      </c>
      <c r="BM812" s="8" t="s">
        <v>192</v>
      </c>
      <c r="BN812" t="s">
        <v>189</v>
      </c>
      <c r="BO812" t="s">
        <v>190</v>
      </c>
      <c r="BP812" s="35" t="s">
        <v>887</v>
      </c>
      <c r="BQ812"/>
      <c r="BU812" s="35"/>
      <c r="BV812" s="35"/>
      <c r="BX812"/>
      <c r="CA812" s="35"/>
      <c r="CB812" s="35"/>
      <c r="CC812"/>
      <c r="CG812" s="35"/>
      <c r="CH812" s="35"/>
      <c r="CK812"/>
      <c r="CM812" s="35"/>
      <c r="CN812" s="35"/>
      <c r="CQ812"/>
      <c r="CS812" s="35"/>
      <c r="CT812" s="35"/>
      <c r="CX812"/>
      <c r="CZ812" s="35"/>
      <c r="DD812" s="34"/>
      <c r="DG812" t="s">
        <v>886</v>
      </c>
      <c r="DH812" t="s">
        <v>984</v>
      </c>
      <c r="DI812" t="s">
        <v>798</v>
      </c>
      <c r="DL812" t="s">
        <v>688</v>
      </c>
      <c r="DM812">
        <v>3</v>
      </c>
      <c r="DN812">
        <v>8</v>
      </c>
      <c r="DO812" t="s">
        <v>888</v>
      </c>
      <c r="DQ812" t="s">
        <v>927</v>
      </c>
      <c r="DR812">
        <v>14</v>
      </c>
      <c r="DS812">
        <v>0</v>
      </c>
      <c r="DU812">
        <v>14</v>
      </c>
      <c r="DV812">
        <v>0</v>
      </c>
      <c r="DX812">
        <v>14</v>
      </c>
      <c r="DY812">
        <v>0</v>
      </c>
      <c r="DZ812" t="s">
        <v>246</v>
      </c>
      <c r="EA812" t="s">
        <v>929</v>
      </c>
    </row>
    <row r="813" spans="1:131" x14ac:dyDescent="0.4">
      <c r="A813" s="34">
        <v>43067.305104166669</v>
      </c>
      <c r="B813" s="25">
        <v>42956.647916666669</v>
      </c>
      <c r="D813" s="34"/>
      <c r="E813" s="34" t="s">
        <v>193</v>
      </c>
      <c r="F813" s="34" t="s">
        <v>191</v>
      </c>
      <c r="G813" s="34" t="s">
        <v>100</v>
      </c>
      <c r="H813" t="s">
        <v>856</v>
      </c>
      <c r="I813" t="s">
        <v>243</v>
      </c>
      <c r="J813" t="s">
        <v>857</v>
      </c>
      <c r="K813" t="s">
        <v>713</v>
      </c>
      <c r="L813" t="s">
        <v>855</v>
      </c>
      <c r="M813" s="30">
        <v>4.05</v>
      </c>
      <c r="N813">
        <v>5.333333333333333</v>
      </c>
      <c r="P813" s="24" t="str">
        <f>IFERROR(MID(RADataTable[[#This Row],[RATemplate]],1,LEN(RADataTable[[#This Row],[RATemplate]])-8),"RA") &amp; " " &amp; RADataTable[[#This Row],[prop_id0]] &amp; " " &amp; RADataTable[[#This Row],[last0]]</f>
        <v>RA 1755881 San</v>
      </c>
      <c r="T813">
        <v>3</v>
      </c>
      <c r="U813">
        <v>3</v>
      </c>
      <c r="V813" s="34">
        <v>43031.741666666669</v>
      </c>
      <c r="W813">
        <v>1</v>
      </c>
      <c r="X813" s="15" t="str">
        <f>HYPERLINK("https://www.ejacket.nsf.gov/ej/showProposal.do?Continue=Y&amp;ID="&amp;RADataTable[[#This Row],[prop_id0]],"eJ")</f>
        <v>eJ</v>
      </c>
      <c r="Y813" s="15" t="str">
        <f>HYPERLINK("mailto:"&amp;RADataTable[[#This Row],[email]]&amp;"&amp;subject=Your NSF Proposal:  "&amp;RADataTable[[#This Row],[Div]]&amp;" "&amp;RADataTable[[#This Row],[prop_id0]], RADataTable[[#This Row],[email]])</f>
        <v>osan@okstate.edu</v>
      </c>
      <c r="Z813" s="15" t="str">
        <f>HYPERLINK("mailto:"&amp;RADataTable[[#This Row],[allPIemail]]&amp;"&amp;subject=NSF Proposal:  "&amp;RADataTable[[#This Row],[Div]]&amp;" "&amp;RADataTable[[#This Row],[prop_id0]], "PIs@")</f>
        <v>PIs@</v>
      </c>
      <c r="AA813" t="s">
        <v>245</v>
      </c>
      <c r="AB813" t="s">
        <v>688</v>
      </c>
      <c r="AC813" s="30" t="s">
        <v>883</v>
      </c>
      <c r="AD813" t="s">
        <v>884</v>
      </c>
      <c r="AE813" t="s">
        <v>885</v>
      </c>
      <c r="AF813" s="36">
        <v>170144</v>
      </c>
      <c r="AG813" s="36">
        <v>170144</v>
      </c>
      <c r="AH813" s="24"/>
      <c r="AJ813" s="34"/>
      <c r="AK813" t="s">
        <v>923</v>
      </c>
      <c r="AL813" t="s">
        <v>924</v>
      </c>
      <c r="AM813" s="34" t="s">
        <v>925</v>
      </c>
      <c r="AN813" s="34">
        <v>43032</v>
      </c>
      <c r="AO813" s="24">
        <v>5</v>
      </c>
      <c r="AP813" t="s">
        <v>983</v>
      </c>
      <c r="AR813" s="35"/>
      <c r="AS813"/>
      <c r="AT813" s="34"/>
      <c r="AV813" s="34"/>
      <c r="AX813" s="34"/>
      <c r="AY813"/>
      <c r="BA813" s="34"/>
      <c r="BB813"/>
      <c r="BC813" t="s">
        <v>889</v>
      </c>
      <c r="BD813" s="36">
        <v>170144</v>
      </c>
      <c r="BE813" s="36">
        <v>170144</v>
      </c>
      <c r="BF813">
        <v>0</v>
      </c>
      <c r="BG813" s="34">
        <v>43252</v>
      </c>
      <c r="BH813">
        <v>24</v>
      </c>
      <c r="BI813" t="s">
        <v>974</v>
      </c>
      <c r="BJ813" t="s">
        <v>975</v>
      </c>
      <c r="BK813" t="s">
        <v>234</v>
      </c>
      <c r="BL813" t="s">
        <v>194</v>
      </c>
      <c r="BM813" s="8" t="s">
        <v>192</v>
      </c>
      <c r="BN813" t="s">
        <v>189</v>
      </c>
      <c r="BO813" t="s">
        <v>190</v>
      </c>
      <c r="BP813" s="35" t="s">
        <v>887</v>
      </c>
      <c r="BQ813"/>
      <c r="BU813" s="35"/>
      <c r="BV813" s="35"/>
      <c r="BX813"/>
      <c r="CA813" s="35"/>
      <c r="CB813" s="35"/>
      <c r="CC813"/>
      <c r="CG813" s="35"/>
      <c r="CH813" s="35"/>
      <c r="CK813"/>
      <c r="CM813" s="35"/>
      <c r="CN813" s="35"/>
      <c r="CQ813"/>
      <c r="CS813" s="35"/>
      <c r="CT813" s="35"/>
      <c r="CX813"/>
      <c r="CZ813" s="35"/>
      <c r="DD813" s="34"/>
      <c r="DG813" t="s">
        <v>886</v>
      </c>
      <c r="DH813" t="s">
        <v>984</v>
      </c>
      <c r="DI813" t="s">
        <v>798</v>
      </c>
      <c r="DL813" t="s">
        <v>688</v>
      </c>
      <c r="DM813">
        <v>3</v>
      </c>
      <c r="DN813">
        <v>8</v>
      </c>
      <c r="DO813" t="s">
        <v>888</v>
      </c>
      <c r="DQ813" t="s">
        <v>927</v>
      </c>
      <c r="DR813">
        <v>14</v>
      </c>
      <c r="DS813">
        <v>0</v>
      </c>
      <c r="DU813">
        <v>14</v>
      </c>
      <c r="DV813">
        <v>0</v>
      </c>
      <c r="DX813">
        <v>14</v>
      </c>
      <c r="DY813">
        <v>0</v>
      </c>
      <c r="DZ813" t="s">
        <v>246</v>
      </c>
      <c r="EA813" t="s">
        <v>929</v>
      </c>
    </row>
    <row r="814" spans="1:131" x14ac:dyDescent="0.4">
      <c r="A814" s="34">
        <v>43067.305104166669</v>
      </c>
      <c r="B814" s="25">
        <v>42956.647916666669</v>
      </c>
      <c r="D814" s="34"/>
      <c r="E814" s="34" t="s">
        <v>193</v>
      </c>
      <c r="F814" s="34" t="s">
        <v>191</v>
      </c>
      <c r="G814" s="34" t="s">
        <v>100</v>
      </c>
      <c r="H814" t="s">
        <v>856</v>
      </c>
      <c r="I814" t="s">
        <v>243</v>
      </c>
      <c r="J814" t="s">
        <v>857</v>
      </c>
      <c r="K814" t="s">
        <v>713</v>
      </c>
      <c r="L814" t="s">
        <v>855</v>
      </c>
      <c r="M814" s="30">
        <v>4.05</v>
      </c>
      <c r="N814">
        <v>5.333333333333333</v>
      </c>
      <c r="P814" s="24" t="str">
        <f>IFERROR(MID(RADataTable[[#This Row],[RATemplate]],1,LEN(RADataTable[[#This Row],[RATemplate]])-8),"RA") &amp; " " &amp; RADataTable[[#This Row],[prop_id0]] &amp; " " &amp; RADataTable[[#This Row],[last0]]</f>
        <v>RA 1755881 San</v>
      </c>
      <c r="T814">
        <v>3</v>
      </c>
      <c r="U814">
        <v>3</v>
      </c>
      <c r="V814" s="34">
        <v>43031.741666666669</v>
      </c>
      <c r="W814">
        <v>1</v>
      </c>
      <c r="X814" s="15" t="str">
        <f>HYPERLINK("https://www.ejacket.nsf.gov/ej/showProposal.do?Continue=Y&amp;ID="&amp;RADataTable[[#This Row],[prop_id0]],"eJ")</f>
        <v>eJ</v>
      </c>
      <c r="Y814" s="15" t="str">
        <f>HYPERLINK("mailto:"&amp;RADataTable[[#This Row],[email]]&amp;"&amp;subject=Your NSF Proposal:  "&amp;RADataTable[[#This Row],[Div]]&amp;" "&amp;RADataTable[[#This Row],[prop_id0]], RADataTable[[#This Row],[email]])</f>
        <v>osan@okstate.edu</v>
      </c>
      <c r="Z814" s="15" t="str">
        <f>HYPERLINK("mailto:"&amp;RADataTable[[#This Row],[allPIemail]]&amp;"&amp;subject=NSF Proposal:  "&amp;RADataTable[[#This Row],[Div]]&amp;" "&amp;RADataTable[[#This Row],[prop_id0]], "PIs@")</f>
        <v>PIs@</v>
      </c>
      <c r="AA814" t="s">
        <v>245</v>
      </c>
      <c r="AB814" t="s">
        <v>688</v>
      </c>
      <c r="AC814" s="30" t="s">
        <v>883</v>
      </c>
      <c r="AD814" t="s">
        <v>884</v>
      </c>
      <c r="AE814" t="s">
        <v>885</v>
      </c>
      <c r="AF814" s="36">
        <v>170144</v>
      </c>
      <c r="AG814" s="36">
        <v>170144</v>
      </c>
      <c r="AH814" s="24"/>
      <c r="AJ814" s="34"/>
      <c r="AK814" t="s">
        <v>923</v>
      </c>
      <c r="AL814" t="s">
        <v>924</v>
      </c>
      <c r="AM814" s="34" t="s">
        <v>925</v>
      </c>
      <c r="AN814" s="34">
        <v>43032</v>
      </c>
      <c r="AO814" s="24">
        <v>5</v>
      </c>
      <c r="AP814" t="s">
        <v>983</v>
      </c>
      <c r="AR814" s="35"/>
      <c r="AS814"/>
      <c r="AT814" s="34"/>
      <c r="AV814" s="34"/>
      <c r="AX814" s="34"/>
      <c r="AY814"/>
      <c r="BA814" s="34"/>
      <c r="BB814"/>
      <c r="BC814" t="s">
        <v>889</v>
      </c>
      <c r="BD814" s="36">
        <v>170144</v>
      </c>
      <c r="BE814" s="36">
        <v>170144</v>
      </c>
      <c r="BF814">
        <v>0</v>
      </c>
      <c r="BG814" s="34">
        <v>43252</v>
      </c>
      <c r="BH814">
        <v>24</v>
      </c>
      <c r="BI814" t="s">
        <v>974</v>
      </c>
      <c r="BJ814" t="s">
        <v>975</v>
      </c>
      <c r="BK814" t="s">
        <v>234</v>
      </c>
      <c r="BL814" t="s">
        <v>194</v>
      </c>
      <c r="BM814" s="8" t="s">
        <v>192</v>
      </c>
      <c r="BN814" t="s">
        <v>189</v>
      </c>
      <c r="BO814" t="s">
        <v>190</v>
      </c>
      <c r="BP814" s="35" t="s">
        <v>887</v>
      </c>
      <c r="BQ814"/>
      <c r="BU814" s="35"/>
      <c r="BV814" s="35"/>
      <c r="BX814"/>
      <c r="CA814" s="35"/>
      <c r="CB814" s="35"/>
      <c r="CC814"/>
      <c r="CG814" s="35"/>
      <c r="CH814" s="35"/>
      <c r="CK814"/>
      <c r="CM814" s="35"/>
      <c r="CN814" s="35"/>
      <c r="CQ814"/>
      <c r="CS814" s="35"/>
      <c r="CT814" s="35"/>
      <c r="CX814"/>
      <c r="CZ814" s="35"/>
      <c r="DD814" s="34"/>
      <c r="DG814" t="s">
        <v>886</v>
      </c>
      <c r="DH814" t="s">
        <v>984</v>
      </c>
      <c r="DI814" t="s">
        <v>798</v>
      </c>
      <c r="DL814" t="s">
        <v>688</v>
      </c>
      <c r="DM814">
        <v>3</v>
      </c>
      <c r="DN814">
        <v>8</v>
      </c>
      <c r="DO814" t="s">
        <v>888</v>
      </c>
      <c r="DQ814" t="s">
        <v>927</v>
      </c>
      <c r="DR814">
        <v>14</v>
      </c>
      <c r="DS814">
        <v>0</v>
      </c>
      <c r="DU814">
        <v>14</v>
      </c>
      <c r="DV814">
        <v>0</v>
      </c>
      <c r="DX814">
        <v>14</v>
      </c>
      <c r="DY814">
        <v>0</v>
      </c>
      <c r="DZ814" t="s">
        <v>246</v>
      </c>
      <c r="EA814" t="s">
        <v>929</v>
      </c>
    </row>
    <row r="815" spans="1:131" x14ac:dyDescent="0.4">
      <c r="A815" s="34">
        <v>43067.305104166669</v>
      </c>
      <c r="B815" s="25">
        <v>42956.647916666669</v>
      </c>
      <c r="D815" s="34"/>
      <c r="E815" s="34" t="s">
        <v>193</v>
      </c>
      <c r="F815" s="34" t="s">
        <v>191</v>
      </c>
      <c r="G815" s="34" t="s">
        <v>100</v>
      </c>
      <c r="H815" t="s">
        <v>856</v>
      </c>
      <c r="I815" t="s">
        <v>243</v>
      </c>
      <c r="J815" t="s">
        <v>857</v>
      </c>
      <c r="K815" t="s">
        <v>713</v>
      </c>
      <c r="L815" t="s">
        <v>855</v>
      </c>
      <c r="M815" s="30">
        <v>4.05</v>
      </c>
      <c r="N815">
        <v>5.333333333333333</v>
      </c>
      <c r="P815" s="24" t="str">
        <f>IFERROR(MID(RADataTable[[#This Row],[RATemplate]],1,LEN(RADataTable[[#This Row],[RATemplate]])-8),"RA") &amp; " " &amp; RADataTable[[#This Row],[prop_id0]] &amp; " " &amp; RADataTable[[#This Row],[last0]]</f>
        <v>RA 1755881 San</v>
      </c>
      <c r="T815">
        <v>3</v>
      </c>
      <c r="U815">
        <v>3</v>
      </c>
      <c r="V815" s="34">
        <v>43031.741666666669</v>
      </c>
      <c r="W815">
        <v>1</v>
      </c>
      <c r="X815" s="15" t="str">
        <f>HYPERLINK("https://www.ejacket.nsf.gov/ej/showProposal.do?Continue=Y&amp;ID="&amp;RADataTable[[#This Row],[prop_id0]],"eJ")</f>
        <v>eJ</v>
      </c>
      <c r="Y815" s="15" t="str">
        <f>HYPERLINK("mailto:"&amp;RADataTable[[#This Row],[email]]&amp;"&amp;subject=Your NSF Proposal:  "&amp;RADataTable[[#This Row],[Div]]&amp;" "&amp;RADataTable[[#This Row],[prop_id0]], RADataTable[[#This Row],[email]])</f>
        <v>osan@okstate.edu</v>
      </c>
      <c r="Z815" s="15" t="str">
        <f>HYPERLINK("mailto:"&amp;RADataTable[[#This Row],[allPIemail]]&amp;"&amp;subject=NSF Proposal:  "&amp;RADataTable[[#This Row],[Div]]&amp;" "&amp;RADataTable[[#This Row],[prop_id0]], "PIs@")</f>
        <v>PIs@</v>
      </c>
      <c r="AA815" t="s">
        <v>245</v>
      </c>
      <c r="AB815" t="s">
        <v>688</v>
      </c>
      <c r="AC815" s="30" t="s">
        <v>883</v>
      </c>
      <c r="AD815" t="s">
        <v>884</v>
      </c>
      <c r="AE815" t="s">
        <v>885</v>
      </c>
      <c r="AF815" s="36">
        <v>170144</v>
      </c>
      <c r="AG815" s="36">
        <v>170144</v>
      </c>
      <c r="AH815" s="24"/>
      <c r="AJ815" s="34"/>
      <c r="AK815" t="s">
        <v>923</v>
      </c>
      <c r="AL815" t="s">
        <v>924</v>
      </c>
      <c r="AM815" s="34" t="s">
        <v>925</v>
      </c>
      <c r="AN815" s="34">
        <v>43032</v>
      </c>
      <c r="AO815" s="24">
        <v>5</v>
      </c>
      <c r="AP815" t="s">
        <v>983</v>
      </c>
      <c r="AR815" s="35"/>
      <c r="AS815"/>
      <c r="AT815" s="34"/>
      <c r="AV815" s="34"/>
      <c r="AX815" s="34"/>
      <c r="AY815"/>
      <c r="BA815" s="34"/>
      <c r="BB815"/>
      <c r="BC815" t="s">
        <v>889</v>
      </c>
      <c r="BD815" s="36">
        <v>170144</v>
      </c>
      <c r="BE815" s="36">
        <v>170144</v>
      </c>
      <c r="BF815">
        <v>0</v>
      </c>
      <c r="BG815" s="34">
        <v>43252</v>
      </c>
      <c r="BH815">
        <v>24</v>
      </c>
      <c r="BI815" t="s">
        <v>974</v>
      </c>
      <c r="BJ815" t="s">
        <v>975</v>
      </c>
      <c r="BK815" t="s">
        <v>234</v>
      </c>
      <c r="BL815" t="s">
        <v>194</v>
      </c>
      <c r="BM815" s="8" t="s">
        <v>192</v>
      </c>
      <c r="BN815" t="s">
        <v>189</v>
      </c>
      <c r="BO815" t="s">
        <v>190</v>
      </c>
      <c r="BP815" s="35" t="s">
        <v>887</v>
      </c>
      <c r="BQ815"/>
      <c r="BU815" s="35"/>
      <c r="BV815" s="35"/>
      <c r="BX815"/>
      <c r="CA815" s="35"/>
      <c r="CB815" s="35"/>
      <c r="CC815"/>
      <c r="CG815" s="35"/>
      <c r="CH815" s="35"/>
      <c r="CK815"/>
      <c r="CM815" s="35"/>
      <c r="CN815" s="35"/>
      <c r="CQ815"/>
      <c r="CS815" s="35"/>
      <c r="CT815" s="35"/>
      <c r="CX815"/>
      <c r="CZ815" s="35"/>
      <c r="DD815" s="34"/>
      <c r="DG815" t="s">
        <v>886</v>
      </c>
      <c r="DH815" t="s">
        <v>984</v>
      </c>
      <c r="DI815" t="s">
        <v>798</v>
      </c>
      <c r="DL815" t="s">
        <v>688</v>
      </c>
      <c r="DM815">
        <v>3</v>
      </c>
      <c r="DN815">
        <v>8</v>
      </c>
      <c r="DO815" t="s">
        <v>888</v>
      </c>
      <c r="DQ815" t="s">
        <v>927</v>
      </c>
      <c r="DR815">
        <v>14</v>
      </c>
      <c r="DS815">
        <v>0</v>
      </c>
      <c r="DU815">
        <v>14</v>
      </c>
      <c r="DV815">
        <v>0</v>
      </c>
      <c r="DX815">
        <v>14</v>
      </c>
      <c r="DY815">
        <v>0</v>
      </c>
      <c r="DZ815" t="s">
        <v>246</v>
      </c>
      <c r="EA815" t="s">
        <v>929</v>
      </c>
    </row>
    <row r="816" spans="1:131" x14ac:dyDescent="0.4">
      <c r="A816" s="34">
        <v>43067.305104166669</v>
      </c>
      <c r="B816" s="25">
        <v>42956.647916666669</v>
      </c>
      <c r="D816" s="34"/>
      <c r="E816" s="34" t="s">
        <v>193</v>
      </c>
      <c r="F816" s="34" t="s">
        <v>191</v>
      </c>
      <c r="G816" s="34" t="s">
        <v>100</v>
      </c>
      <c r="H816" t="s">
        <v>856</v>
      </c>
      <c r="I816" t="s">
        <v>243</v>
      </c>
      <c r="J816" t="s">
        <v>857</v>
      </c>
      <c r="K816" t="s">
        <v>713</v>
      </c>
      <c r="L816" t="s">
        <v>855</v>
      </c>
      <c r="M816" s="30">
        <v>4.05</v>
      </c>
      <c r="N816">
        <v>5.333333333333333</v>
      </c>
      <c r="P816" s="24" t="str">
        <f>IFERROR(MID(RADataTable[[#This Row],[RATemplate]],1,LEN(RADataTable[[#This Row],[RATemplate]])-8),"RA") &amp; " " &amp; RADataTable[[#This Row],[prop_id0]] &amp; " " &amp; RADataTable[[#This Row],[last0]]</f>
        <v>RA 1755881 San</v>
      </c>
      <c r="T816">
        <v>3</v>
      </c>
      <c r="U816">
        <v>3</v>
      </c>
      <c r="V816" s="34">
        <v>43031.741666666669</v>
      </c>
      <c r="W816">
        <v>1</v>
      </c>
      <c r="X816" s="15" t="str">
        <f>HYPERLINK("https://www.ejacket.nsf.gov/ej/showProposal.do?Continue=Y&amp;ID="&amp;RADataTable[[#This Row],[prop_id0]],"eJ")</f>
        <v>eJ</v>
      </c>
      <c r="Y816" s="15" t="str">
        <f>HYPERLINK("mailto:"&amp;RADataTable[[#This Row],[email]]&amp;"&amp;subject=Your NSF Proposal:  "&amp;RADataTable[[#This Row],[Div]]&amp;" "&amp;RADataTable[[#This Row],[prop_id0]], RADataTable[[#This Row],[email]])</f>
        <v>osan@okstate.edu</v>
      </c>
      <c r="Z816" s="15" t="str">
        <f>HYPERLINK("mailto:"&amp;RADataTable[[#This Row],[allPIemail]]&amp;"&amp;subject=NSF Proposal:  "&amp;RADataTable[[#This Row],[Div]]&amp;" "&amp;RADataTable[[#This Row],[prop_id0]], "PIs@")</f>
        <v>PIs@</v>
      </c>
      <c r="AA816" t="s">
        <v>245</v>
      </c>
      <c r="AB816" t="s">
        <v>688</v>
      </c>
      <c r="AC816" s="30" t="s">
        <v>883</v>
      </c>
      <c r="AD816" t="s">
        <v>884</v>
      </c>
      <c r="AE816" t="s">
        <v>885</v>
      </c>
      <c r="AF816" s="36">
        <v>170144</v>
      </c>
      <c r="AG816" s="36">
        <v>170144</v>
      </c>
      <c r="AH816" s="24"/>
      <c r="AJ816" s="34"/>
      <c r="AK816" t="s">
        <v>923</v>
      </c>
      <c r="AL816" t="s">
        <v>924</v>
      </c>
      <c r="AM816" s="34" t="s">
        <v>925</v>
      </c>
      <c r="AN816" s="34">
        <v>43032</v>
      </c>
      <c r="AO816" s="24">
        <v>5</v>
      </c>
      <c r="AP816" t="s">
        <v>983</v>
      </c>
      <c r="AR816" s="35"/>
      <c r="AS816"/>
      <c r="AT816" s="34"/>
      <c r="AV816" s="34"/>
      <c r="AX816" s="34"/>
      <c r="AY816"/>
      <c r="BA816" s="34"/>
      <c r="BB816"/>
      <c r="BC816" t="s">
        <v>889</v>
      </c>
      <c r="BD816" s="36">
        <v>170144</v>
      </c>
      <c r="BE816" s="36">
        <v>170144</v>
      </c>
      <c r="BF816">
        <v>0</v>
      </c>
      <c r="BG816" s="34">
        <v>43252</v>
      </c>
      <c r="BH816">
        <v>24</v>
      </c>
      <c r="BI816" t="s">
        <v>974</v>
      </c>
      <c r="BJ816" t="s">
        <v>975</v>
      </c>
      <c r="BK816" t="s">
        <v>234</v>
      </c>
      <c r="BL816" t="s">
        <v>194</v>
      </c>
      <c r="BM816" s="8" t="s">
        <v>192</v>
      </c>
      <c r="BN816" t="s">
        <v>189</v>
      </c>
      <c r="BO816" t="s">
        <v>190</v>
      </c>
      <c r="BP816" s="35" t="s">
        <v>887</v>
      </c>
      <c r="BQ816"/>
      <c r="BU816" s="35"/>
      <c r="BV816" s="35"/>
      <c r="BX816"/>
      <c r="CA816" s="35"/>
      <c r="CB816" s="35"/>
      <c r="CC816"/>
      <c r="CG816" s="35"/>
      <c r="CH816" s="35"/>
      <c r="CK816"/>
      <c r="CM816" s="35"/>
      <c r="CN816" s="35"/>
      <c r="CQ816"/>
      <c r="CS816" s="35"/>
      <c r="CT816" s="35"/>
      <c r="CX816"/>
      <c r="CZ816" s="35"/>
      <c r="DD816" s="34"/>
      <c r="DG816" t="s">
        <v>886</v>
      </c>
      <c r="DH816" t="s">
        <v>984</v>
      </c>
      <c r="DI816" t="s">
        <v>798</v>
      </c>
      <c r="DL816" t="s">
        <v>688</v>
      </c>
      <c r="DM816">
        <v>3</v>
      </c>
      <c r="DN816">
        <v>8</v>
      </c>
      <c r="DO816" t="s">
        <v>888</v>
      </c>
      <c r="DQ816" t="s">
        <v>927</v>
      </c>
      <c r="DR816">
        <v>14</v>
      </c>
      <c r="DS816">
        <v>0</v>
      </c>
      <c r="DU816">
        <v>14</v>
      </c>
      <c r="DV816">
        <v>0</v>
      </c>
      <c r="DX816">
        <v>14</v>
      </c>
      <c r="DY816">
        <v>0</v>
      </c>
      <c r="DZ816" t="s">
        <v>246</v>
      </c>
      <c r="EA816" t="s">
        <v>929</v>
      </c>
    </row>
    <row r="817" spans="1:131" x14ac:dyDescent="0.4">
      <c r="A817" s="34">
        <v>43067.305104166669</v>
      </c>
      <c r="B817" s="25">
        <v>42956.647916666669</v>
      </c>
      <c r="D817" s="34"/>
      <c r="E817" s="34" t="s">
        <v>193</v>
      </c>
      <c r="F817" s="34" t="s">
        <v>191</v>
      </c>
      <c r="G817" s="34" t="s">
        <v>100</v>
      </c>
      <c r="H817" t="s">
        <v>856</v>
      </c>
      <c r="I817" t="s">
        <v>243</v>
      </c>
      <c r="J817" t="s">
        <v>857</v>
      </c>
      <c r="K817" t="s">
        <v>713</v>
      </c>
      <c r="L817" t="s">
        <v>855</v>
      </c>
      <c r="M817" s="30">
        <v>4.05</v>
      </c>
      <c r="N817">
        <v>5.333333333333333</v>
      </c>
      <c r="P817" s="24" t="str">
        <f>IFERROR(MID(RADataTable[[#This Row],[RATemplate]],1,LEN(RADataTable[[#This Row],[RATemplate]])-8),"RA") &amp; " " &amp; RADataTable[[#This Row],[prop_id0]] &amp; " " &amp; RADataTable[[#This Row],[last0]]</f>
        <v>RA 1755881 San</v>
      </c>
      <c r="T817">
        <v>3</v>
      </c>
      <c r="U817">
        <v>3</v>
      </c>
      <c r="V817" s="34">
        <v>43031.741666666669</v>
      </c>
      <c r="W817">
        <v>1</v>
      </c>
      <c r="X817" s="15" t="str">
        <f>HYPERLINK("https://www.ejacket.nsf.gov/ej/showProposal.do?Continue=Y&amp;ID="&amp;RADataTable[[#This Row],[prop_id0]],"eJ")</f>
        <v>eJ</v>
      </c>
      <c r="Y817" s="15" t="str">
        <f>HYPERLINK("mailto:"&amp;RADataTable[[#This Row],[email]]&amp;"&amp;subject=Your NSF Proposal:  "&amp;RADataTable[[#This Row],[Div]]&amp;" "&amp;RADataTable[[#This Row],[prop_id0]], RADataTable[[#This Row],[email]])</f>
        <v>osan@okstate.edu</v>
      </c>
      <c r="Z817" s="15" t="str">
        <f>HYPERLINK("mailto:"&amp;RADataTable[[#This Row],[allPIemail]]&amp;"&amp;subject=NSF Proposal:  "&amp;RADataTable[[#This Row],[Div]]&amp;" "&amp;RADataTable[[#This Row],[prop_id0]], "PIs@")</f>
        <v>PIs@</v>
      </c>
      <c r="AA817" t="s">
        <v>245</v>
      </c>
      <c r="AB817" t="s">
        <v>688</v>
      </c>
      <c r="AC817" s="30" t="s">
        <v>883</v>
      </c>
      <c r="AD817" t="s">
        <v>884</v>
      </c>
      <c r="AE817" t="s">
        <v>885</v>
      </c>
      <c r="AF817" s="36">
        <v>170144</v>
      </c>
      <c r="AG817" s="36">
        <v>170144</v>
      </c>
      <c r="AH817" s="24"/>
      <c r="AJ817" s="34"/>
      <c r="AK817" t="s">
        <v>923</v>
      </c>
      <c r="AL817" t="s">
        <v>924</v>
      </c>
      <c r="AM817" s="34" t="s">
        <v>925</v>
      </c>
      <c r="AN817" s="34">
        <v>43032</v>
      </c>
      <c r="AO817" s="24">
        <v>5</v>
      </c>
      <c r="AP817" t="s">
        <v>983</v>
      </c>
      <c r="AR817" s="35"/>
      <c r="AS817"/>
      <c r="AT817" s="34"/>
      <c r="AV817" s="34"/>
      <c r="AX817" s="34"/>
      <c r="AY817"/>
      <c r="BA817" s="34"/>
      <c r="BB817"/>
      <c r="BC817" t="s">
        <v>889</v>
      </c>
      <c r="BD817" s="36">
        <v>170144</v>
      </c>
      <c r="BE817" s="36">
        <v>170144</v>
      </c>
      <c r="BF817">
        <v>0</v>
      </c>
      <c r="BG817" s="34">
        <v>43252</v>
      </c>
      <c r="BH817">
        <v>24</v>
      </c>
      <c r="BI817" t="s">
        <v>974</v>
      </c>
      <c r="BJ817" t="s">
        <v>975</v>
      </c>
      <c r="BK817" t="s">
        <v>234</v>
      </c>
      <c r="BL817" t="s">
        <v>194</v>
      </c>
      <c r="BM817" s="8" t="s">
        <v>192</v>
      </c>
      <c r="BN817" t="s">
        <v>189</v>
      </c>
      <c r="BO817" t="s">
        <v>190</v>
      </c>
      <c r="BP817" s="35" t="s">
        <v>887</v>
      </c>
      <c r="BQ817"/>
      <c r="BU817" s="35"/>
      <c r="BV817" s="35"/>
      <c r="BX817"/>
      <c r="CA817" s="35"/>
      <c r="CB817" s="35"/>
      <c r="CC817"/>
      <c r="CG817" s="35"/>
      <c r="CH817" s="35"/>
      <c r="CK817"/>
      <c r="CM817" s="35"/>
      <c r="CN817" s="35"/>
      <c r="CQ817"/>
      <c r="CS817" s="35"/>
      <c r="CT817" s="35"/>
      <c r="CX817"/>
      <c r="CZ817" s="35"/>
      <c r="DD817" s="34"/>
      <c r="DG817" t="s">
        <v>886</v>
      </c>
      <c r="DH817" t="s">
        <v>984</v>
      </c>
      <c r="DI817" t="s">
        <v>798</v>
      </c>
      <c r="DL817" t="s">
        <v>688</v>
      </c>
      <c r="DM817">
        <v>3</v>
      </c>
      <c r="DN817">
        <v>8</v>
      </c>
      <c r="DO817" t="s">
        <v>888</v>
      </c>
      <c r="DQ817" t="s">
        <v>927</v>
      </c>
      <c r="DR817">
        <v>14</v>
      </c>
      <c r="DS817">
        <v>0</v>
      </c>
      <c r="DU817">
        <v>14</v>
      </c>
      <c r="DV817">
        <v>0</v>
      </c>
      <c r="DX817">
        <v>14</v>
      </c>
      <c r="DY817">
        <v>0</v>
      </c>
      <c r="DZ817" t="s">
        <v>246</v>
      </c>
      <c r="EA817" t="s">
        <v>929</v>
      </c>
    </row>
    <row r="818" spans="1:131" x14ac:dyDescent="0.4">
      <c r="A818" s="34">
        <v>43067.305104166669</v>
      </c>
      <c r="B818" s="25">
        <v>42956.647916666669</v>
      </c>
      <c r="D818" s="34"/>
      <c r="E818" s="34" t="s">
        <v>193</v>
      </c>
      <c r="F818" s="34" t="s">
        <v>191</v>
      </c>
      <c r="G818" s="34" t="s">
        <v>100</v>
      </c>
      <c r="H818" t="s">
        <v>856</v>
      </c>
      <c r="I818" t="s">
        <v>243</v>
      </c>
      <c r="J818" t="s">
        <v>857</v>
      </c>
      <c r="K818" t="s">
        <v>713</v>
      </c>
      <c r="L818" t="s">
        <v>855</v>
      </c>
      <c r="M818" s="30">
        <v>4.05</v>
      </c>
      <c r="N818">
        <v>5.333333333333333</v>
      </c>
      <c r="P818" s="24" t="str">
        <f>IFERROR(MID(RADataTable[[#This Row],[RATemplate]],1,LEN(RADataTable[[#This Row],[RATemplate]])-8),"RA") &amp; " " &amp; RADataTable[[#This Row],[prop_id0]] &amp; " " &amp; RADataTable[[#This Row],[last0]]</f>
        <v>RA 1755881 San</v>
      </c>
      <c r="T818">
        <v>3</v>
      </c>
      <c r="U818">
        <v>3</v>
      </c>
      <c r="V818" s="34">
        <v>43031.741666666669</v>
      </c>
      <c r="W818">
        <v>1</v>
      </c>
      <c r="X818" s="15" t="str">
        <f>HYPERLINK("https://www.ejacket.nsf.gov/ej/showProposal.do?Continue=Y&amp;ID="&amp;RADataTable[[#This Row],[prop_id0]],"eJ")</f>
        <v>eJ</v>
      </c>
      <c r="Y818" s="15" t="str">
        <f>HYPERLINK("mailto:"&amp;RADataTable[[#This Row],[email]]&amp;"&amp;subject=Your NSF Proposal:  "&amp;RADataTable[[#This Row],[Div]]&amp;" "&amp;RADataTable[[#This Row],[prop_id0]], RADataTable[[#This Row],[email]])</f>
        <v>osan@okstate.edu</v>
      </c>
      <c r="Z818" s="15" t="str">
        <f>HYPERLINK("mailto:"&amp;RADataTable[[#This Row],[allPIemail]]&amp;"&amp;subject=NSF Proposal:  "&amp;RADataTable[[#This Row],[Div]]&amp;" "&amp;RADataTable[[#This Row],[prop_id0]], "PIs@")</f>
        <v>PIs@</v>
      </c>
      <c r="AA818" t="s">
        <v>245</v>
      </c>
      <c r="AB818" t="s">
        <v>688</v>
      </c>
      <c r="AC818" s="30" t="s">
        <v>883</v>
      </c>
      <c r="AD818" t="s">
        <v>884</v>
      </c>
      <c r="AE818" t="s">
        <v>885</v>
      </c>
      <c r="AF818" s="36">
        <v>170144</v>
      </c>
      <c r="AG818" s="36">
        <v>170144</v>
      </c>
      <c r="AH818" s="24"/>
      <c r="AJ818" s="34"/>
      <c r="AK818" t="s">
        <v>923</v>
      </c>
      <c r="AL818" t="s">
        <v>924</v>
      </c>
      <c r="AM818" s="34" t="s">
        <v>925</v>
      </c>
      <c r="AN818" s="34">
        <v>43032</v>
      </c>
      <c r="AO818" s="24">
        <v>5</v>
      </c>
      <c r="AP818" t="s">
        <v>983</v>
      </c>
      <c r="AR818" s="35"/>
      <c r="AS818"/>
      <c r="AT818" s="34"/>
      <c r="AV818" s="34"/>
      <c r="AX818" s="34"/>
      <c r="AY818"/>
      <c r="BA818" s="34"/>
      <c r="BB818"/>
      <c r="BC818" t="s">
        <v>889</v>
      </c>
      <c r="BD818" s="36">
        <v>170144</v>
      </c>
      <c r="BE818" s="36">
        <v>170144</v>
      </c>
      <c r="BF818">
        <v>0</v>
      </c>
      <c r="BG818" s="34">
        <v>43252</v>
      </c>
      <c r="BH818">
        <v>24</v>
      </c>
      <c r="BI818" t="s">
        <v>974</v>
      </c>
      <c r="BJ818" t="s">
        <v>975</v>
      </c>
      <c r="BK818" t="s">
        <v>234</v>
      </c>
      <c r="BL818" t="s">
        <v>194</v>
      </c>
      <c r="BM818" s="8" t="s">
        <v>192</v>
      </c>
      <c r="BN818" t="s">
        <v>189</v>
      </c>
      <c r="BO818" t="s">
        <v>190</v>
      </c>
      <c r="BP818" s="35" t="s">
        <v>887</v>
      </c>
      <c r="BQ818"/>
      <c r="BU818" s="35"/>
      <c r="BV818" s="35"/>
      <c r="BX818"/>
      <c r="CA818" s="35"/>
      <c r="CB818" s="35"/>
      <c r="CC818"/>
      <c r="CG818" s="35"/>
      <c r="CH818" s="35"/>
      <c r="CK818"/>
      <c r="CM818" s="35"/>
      <c r="CN818" s="35"/>
      <c r="CQ818"/>
      <c r="CS818" s="35"/>
      <c r="CT818" s="35"/>
      <c r="CX818"/>
      <c r="CZ818" s="35"/>
      <c r="DD818" s="34"/>
      <c r="DG818" t="s">
        <v>886</v>
      </c>
      <c r="DH818" t="s">
        <v>984</v>
      </c>
      <c r="DI818" t="s">
        <v>798</v>
      </c>
      <c r="DL818" t="s">
        <v>688</v>
      </c>
      <c r="DM818">
        <v>3</v>
      </c>
      <c r="DN818">
        <v>8</v>
      </c>
      <c r="DO818" t="s">
        <v>888</v>
      </c>
      <c r="DQ818" t="s">
        <v>927</v>
      </c>
      <c r="DR818">
        <v>14</v>
      </c>
      <c r="DS818">
        <v>0</v>
      </c>
      <c r="DU818">
        <v>14</v>
      </c>
      <c r="DV818">
        <v>0</v>
      </c>
      <c r="DX818">
        <v>14</v>
      </c>
      <c r="DY818">
        <v>0</v>
      </c>
      <c r="DZ818" t="s">
        <v>246</v>
      </c>
      <c r="EA818" t="s">
        <v>929</v>
      </c>
    </row>
    <row r="819" spans="1:131" x14ac:dyDescent="0.4">
      <c r="A819" s="34">
        <v>43067.305104166669</v>
      </c>
      <c r="B819" s="25">
        <v>42956.647916666669</v>
      </c>
      <c r="D819" s="34"/>
      <c r="E819" s="34" t="s">
        <v>193</v>
      </c>
      <c r="F819" s="34" t="s">
        <v>191</v>
      </c>
      <c r="G819" s="34" t="s">
        <v>100</v>
      </c>
      <c r="H819" t="s">
        <v>856</v>
      </c>
      <c r="I819" t="s">
        <v>243</v>
      </c>
      <c r="J819" t="s">
        <v>857</v>
      </c>
      <c r="K819" t="s">
        <v>713</v>
      </c>
      <c r="L819" t="s">
        <v>855</v>
      </c>
      <c r="M819" s="30">
        <v>4.05</v>
      </c>
      <c r="N819">
        <v>5.333333333333333</v>
      </c>
      <c r="P819" s="24" t="str">
        <f>IFERROR(MID(RADataTable[[#This Row],[RATemplate]],1,LEN(RADataTable[[#This Row],[RATemplate]])-8),"RA") &amp; " " &amp; RADataTable[[#This Row],[prop_id0]] &amp; " " &amp; RADataTable[[#This Row],[last0]]</f>
        <v>RA 1755881 San</v>
      </c>
      <c r="T819">
        <v>3</v>
      </c>
      <c r="U819">
        <v>3</v>
      </c>
      <c r="V819" s="34">
        <v>43031.741666666669</v>
      </c>
      <c r="W819">
        <v>1</v>
      </c>
      <c r="X819" s="15" t="str">
        <f>HYPERLINK("https://www.ejacket.nsf.gov/ej/showProposal.do?Continue=Y&amp;ID="&amp;RADataTable[[#This Row],[prop_id0]],"eJ")</f>
        <v>eJ</v>
      </c>
      <c r="Y819" s="15" t="str">
        <f>HYPERLINK("mailto:"&amp;RADataTable[[#This Row],[email]]&amp;"&amp;subject=Your NSF Proposal:  "&amp;RADataTable[[#This Row],[Div]]&amp;" "&amp;RADataTable[[#This Row],[prop_id0]], RADataTable[[#This Row],[email]])</f>
        <v>osan@okstate.edu</v>
      </c>
      <c r="Z819" s="15" t="str">
        <f>HYPERLINK("mailto:"&amp;RADataTable[[#This Row],[allPIemail]]&amp;"&amp;subject=NSF Proposal:  "&amp;RADataTable[[#This Row],[Div]]&amp;" "&amp;RADataTable[[#This Row],[prop_id0]], "PIs@")</f>
        <v>PIs@</v>
      </c>
      <c r="AA819" t="s">
        <v>245</v>
      </c>
      <c r="AB819" t="s">
        <v>688</v>
      </c>
      <c r="AC819" s="30" t="s">
        <v>883</v>
      </c>
      <c r="AD819" t="s">
        <v>884</v>
      </c>
      <c r="AE819" t="s">
        <v>885</v>
      </c>
      <c r="AF819" s="36">
        <v>170144</v>
      </c>
      <c r="AG819" s="36">
        <v>170144</v>
      </c>
      <c r="AH819" s="24"/>
      <c r="AJ819" s="34"/>
      <c r="AK819" t="s">
        <v>923</v>
      </c>
      <c r="AL819" t="s">
        <v>924</v>
      </c>
      <c r="AM819" s="34" t="s">
        <v>925</v>
      </c>
      <c r="AN819" s="34">
        <v>43032</v>
      </c>
      <c r="AO819" s="24">
        <v>5</v>
      </c>
      <c r="AP819" t="s">
        <v>983</v>
      </c>
      <c r="AR819" s="35"/>
      <c r="AS819"/>
      <c r="AT819" s="34"/>
      <c r="AV819" s="34"/>
      <c r="AX819" s="34"/>
      <c r="AY819"/>
      <c r="BA819" s="34"/>
      <c r="BB819"/>
      <c r="BC819" t="s">
        <v>889</v>
      </c>
      <c r="BD819" s="36">
        <v>170144</v>
      </c>
      <c r="BE819" s="36">
        <v>170144</v>
      </c>
      <c r="BF819">
        <v>0</v>
      </c>
      <c r="BG819" s="34">
        <v>43252</v>
      </c>
      <c r="BH819">
        <v>24</v>
      </c>
      <c r="BI819" t="s">
        <v>974</v>
      </c>
      <c r="BJ819" t="s">
        <v>975</v>
      </c>
      <c r="BK819" t="s">
        <v>234</v>
      </c>
      <c r="BL819" t="s">
        <v>194</v>
      </c>
      <c r="BM819" s="8" t="s">
        <v>192</v>
      </c>
      <c r="BN819" t="s">
        <v>189</v>
      </c>
      <c r="BO819" t="s">
        <v>190</v>
      </c>
      <c r="BP819" s="35" t="s">
        <v>887</v>
      </c>
      <c r="BQ819"/>
      <c r="BU819" s="35"/>
      <c r="BV819" s="35"/>
      <c r="BX819"/>
      <c r="CA819" s="35"/>
      <c r="CB819" s="35"/>
      <c r="CC819"/>
      <c r="CG819" s="35"/>
      <c r="CH819" s="35"/>
      <c r="CK819"/>
      <c r="CM819" s="35"/>
      <c r="CN819" s="35"/>
      <c r="CQ819"/>
      <c r="CS819" s="35"/>
      <c r="CT819" s="35"/>
      <c r="CX819"/>
      <c r="CZ819" s="35"/>
      <c r="DD819" s="34"/>
      <c r="DG819" t="s">
        <v>886</v>
      </c>
      <c r="DH819" t="s">
        <v>984</v>
      </c>
      <c r="DI819" t="s">
        <v>798</v>
      </c>
      <c r="DL819" t="s">
        <v>688</v>
      </c>
      <c r="DM819">
        <v>3</v>
      </c>
      <c r="DN819">
        <v>8</v>
      </c>
      <c r="DO819" t="s">
        <v>888</v>
      </c>
      <c r="DQ819" t="s">
        <v>927</v>
      </c>
      <c r="DR819">
        <v>14</v>
      </c>
      <c r="DS819">
        <v>0</v>
      </c>
      <c r="DU819">
        <v>14</v>
      </c>
      <c r="DV819">
        <v>0</v>
      </c>
      <c r="DX819">
        <v>14</v>
      </c>
      <c r="DY819">
        <v>0</v>
      </c>
      <c r="DZ819" t="s">
        <v>246</v>
      </c>
      <c r="EA819" t="s">
        <v>929</v>
      </c>
    </row>
    <row r="820" spans="1:131" x14ac:dyDescent="0.4">
      <c r="A820" s="34">
        <v>43067.305104166669</v>
      </c>
      <c r="B820" s="25">
        <v>42956.647916666669</v>
      </c>
      <c r="D820" s="34"/>
      <c r="E820" s="34" t="s">
        <v>193</v>
      </c>
      <c r="F820" s="34" t="s">
        <v>191</v>
      </c>
      <c r="G820" s="34" t="s">
        <v>100</v>
      </c>
      <c r="H820" t="s">
        <v>856</v>
      </c>
      <c r="I820" t="s">
        <v>243</v>
      </c>
      <c r="J820" t="s">
        <v>857</v>
      </c>
      <c r="K820" t="s">
        <v>713</v>
      </c>
      <c r="L820" t="s">
        <v>855</v>
      </c>
      <c r="M820" s="30">
        <v>4.05</v>
      </c>
      <c r="N820">
        <v>5.333333333333333</v>
      </c>
      <c r="P820" s="24" t="str">
        <f>IFERROR(MID(RADataTable[[#This Row],[RATemplate]],1,LEN(RADataTable[[#This Row],[RATemplate]])-8),"RA") &amp; " " &amp; RADataTable[[#This Row],[prop_id0]] &amp; " " &amp; RADataTable[[#This Row],[last0]]</f>
        <v>RA 1755881 San</v>
      </c>
      <c r="T820">
        <v>3</v>
      </c>
      <c r="U820">
        <v>3</v>
      </c>
      <c r="V820" s="34">
        <v>43031.741666666669</v>
      </c>
      <c r="W820">
        <v>1</v>
      </c>
      <c r="X820" s="15" t="str">
        <f>HYPERLINK("https://www.ejacket.nsf.gov/ej/showProposal.do?Continue=Y&amp;ID="&amp;RADataTable[[#This Row],[prop_id0]],"eJ")</f>
        <v>eJ</v>
      </c>
      <c r="Y820" s="15" t="str">
        <f>HYPERLINK("mailto:"&amp;RADataTable[[#This Row],[email]]&amp;"&amp;subject=Your NSF Proposal:  "&amp;RADataTable[[#This Row],[Div]]&amp;" "&amp;RADataTable[[#This Row],[prop_id0]], RADataTable[[#This Row],[email]])</f>
        <v>osan@okstate.edu</v>
      </c>
      <c r="Z820" s="15" t="str">
        <f>HYPERLINK("mailto:"&amp;RADataTable[[#This Row],[allPIemail]]&amp;"&amp;subject=NSF Proposal:  "&amp;RADataTable[[#This Row],[Div]]&amp;" "&amp;RADataTable[[#This Row],[prop_id0]], "PIs@")</f>
        <v>PIs@</v>
      </c>
      <c r="AA820" t="s">
        <v>245</v>
      </c>
      <c r="AB820" t="s">
        <v>688</v>
      </c>
      <c r="AC820" s="30" t="s">
        <v>883</v>
      </c>
      <c r="AD820" t="s">
        <v>884</v>
      </c>
      <c r="AE820" t="s">
        <v>885</v>
      </c>
      <c r="AF820" s="36">
        <v>170144</v>
      </c>
      <c r="AG820" s="36">
        <v>170144</v>
      </c>
      <c r="AH820" s="24"/>
      <c r="AJ820" s="34"/>
      <c r="AK820" t="s">
        <v>923</v>
      </c>
      <c r="AL820" t="s">
        <v>924</v>
      </c>
      <c r="AM820" s="34" t="s">
        <v>925</v>
      </c>
      <c r="AN820" s="34">
        <v>43032</v>
      </c>
      <c r="AO820" s="24">
        <v>5</v>
      </c>
      <c r="AP820" t="s">
        <v>983</v>
      </c>
      <c r="AR820" s="35"/>
      <c r="AS820"/>
      <c r="AT820" s="34"/>
      <c r="AV820" s="34"/>
      <c r="AX820" s="34"/>
      <c r="AY820"/>
      <c r="BA820" s="34"/>
      <c r="BB820"/>
      <c r="BC820" t="s">
        <v>889</v>
      </c>
      <c r="BD820" s="36">
        <v>170144</v>
      </c>
      <c r="BE820" s="36">
        <v>170144</v>
      </c>
      <c r="BF820">
        <v>0</v>
      </c>
      <c r="BG820" s="34">
        <v>43252</v>
      </c>
      <c r="BH820">
        <v>24</v>
      </c>
      <c r="BI820" t="s">
        <v>974</v>
      </c>
      <c r="BJ820" t="s">
        <v>975</v>
      </c>
      <c r="BK820" t="s">
        <v>234</v>
      </c>
      <c r="BL820" t="s">
        <v>194</v>
      </c>
      <c r="BM820" s="8" t="s">
        <v>192</v>
      </c>
      <c r="BN820" t="s">
        <v>189</v>
      </c>
      <c r="BO820" t="s">
        <v>190</v>
      </c>
      <c r="BP820" s="35" t="s">
        <v>887</v>
      </c>
      <c r="BQ820"/>
      <c r="BU820" s="35"/>
      <c r="BV820" s="35"/>
      <c r="BX820"/>
      <c r="CA820" s="35"/>
      <c r="CB820" s="35"/>
      <c r="CC820"/>
      <c r="CG820" s="35"/>
      <c r="CH820" s="35"/>
      <c r="CK820"/>
      <c r="CM820" s="35"/>
      <c r="CN820" s="35"/>
      <c r="CQ820"/>
      <c r="CS820" s="35"/>
      <c r="CT820" s="35"/>
      <c r="CX820"/>
      <c r="CZ820" s="35"/>
      <c r="DD820" s="34"/>
      <c r="DG820" t="s">
        <v>886</v>
      </c>
      <c r="DH820" t="s">
        <v>984</v>
      </c>
      <c r="DI820" t="s">
        <v>798</v>
      </c>
      <c r="DL820" t="s">
        <v>688</v>
      </c>
      <c r="DM820">
        <v>3</v>
      </c>
      <c r="DN820">
        <v>8</v>
      </c>
      <c r="DO820" t="s">
        <v>888</v>
      </c>
      <c r="DQ820" t="s">
        <v>927</v>
      </c>
      <c r="DR820">
        <v>14</v>
      </c>
      <c r="DS820">
        <v>0</v>
      </c>
      <c r="DU820">
        <v>14</v>
      </c>
      <c r="DV820">
        <v>0</v>
      </c>
      <c r="DX820">
        <v>14</v>
      </c>
      <c r="DY820">
        <v>0</v>
      </c>
      <c r="DZ820" t="s">
        <v>246</v>
      </c>
      <c r="EA820" t="s">
        <v>929</v>
      </c>
    </row>
    <row r="821" spans="1:131" x14ac:dyDescent="0.4">
      <c r="A821" s="34">
        <v>43067.305104166669</v>
      </c>
      <c r="B821" s="25">
        <v>42956.647916666669</v>
      </c>
      <c r="D821" s="34"/>
      <c r="E821" s="34" t="s">
        <v>193</v>
      </c>
      <c r="F821" s="34" t="s">
        <v>191</v>
      </c>
      <c r="G821" s="34" t="s">
        <v>100</v>
      </c>
      <c r="H821" t="s">
        <v>856</v>
      </c>
      <c r="I821" t="s">
        <v>243</v>
      </c>
      <c r="J821" t="s">
        <v>857</v>
      </c>
      <c r="K821" t="s">
        <v>713</v>
      </c>
      <c r="L821" t="s">
        <v>855</v>
      </c>
      <c r="M821" s="30">
        <v>4.05</v>
      </c>
      <c r="N821">
        <v>5.333333333333333</v>
      </c>
      <c r="P821" s="24" t="str">
        <f>IFERROR(MID(RADataTable[[#This Row],[RATemplate]],1,LEN(RADataTable[[#This Row],[RATemplate]])-8),"RA") &amp; " " &amp; RADataTable[[#This Row],[prop_id0]] &amp; " " &amp; RADataTable[[#This Row],[last0]]</f>
        <v>RA 1755881 San</v>
      </c>
      <c r="T821">
        <v>3</v>
      </c>
      <c r="U821">
        <v>3</v>
      </c>
      <c r="V821" s="34">
        <v>43031.741666666669</v>
      </c>
      <c r="W821">
        <v>1</v>
      </c>
      <c r="X821" s="15" t="str">
        <f>HYPERLINK("https://www.ejacket.nsf.gov/ej/showProposal.do?Continue=Y&amp;ID="&amp;RADataTable[[#This Row],[prop_id0]],"eJ")</f>
        <v>eJ</v>
      </c>
      <c r="Y821" s="15" t="str">
        <f>HYPERLINK("mailto:"&amp;RADataTable[[#This Row],[email]]&amp;"&amp;subject=Your NSF Proposal:  "&amp;RADataTable[[#This Row],[Div]]&amp;" "&amp;RADataTable[[#This Row],[prop_id0]], RADataTable[[#This Row],[email]])</f>
        <v>osan@okstate.edu</v>
      </c>
      <c r="Z821" s="15" t="str">
        <f>HYPERLINK("mailto:"&amp;RADataTable[[#This Row],[allPIemail]]&amp;"&amp;subject=NSF Proposal:  "&amp;RADataTable[[#This Row],[Div]]&amp;" "&amp;RADataTable[[#This Row],[prop_id0]], "PIs@")</f>
        <v>PIs@</v>
      </c>
      <c r="AA821" t="s">
        <v>245</v>
      </c>
      <c r="AB821" t="s">
        <v>688</v>
      </c>
      <c r="AC821" s="30" t="s">
        <v>883</v>
      </c>
      <c r="AD821" t="s">
        <v>884</v>
      </c>
      <c r="AE821" t="s">
        <v>885</v>
      </c>
      <c r="AF821" s="36">
        <v>170144</v>
      </c>
      <c r="AG821" s="36">
        <v>170144</v>
      </c>
      <c r="AH821" s="24"/>
      <c r="AJ821" s="34"/>
      <c r="AK821" t="s">
        <v>923</v>
      </c>
      <c r="AL821" t="s">
        <v>924</v>
      </c>
      <c r="AM821" s="34" t="s">
        <v>925</v>
      </c>
      <c r="AN821" s="34">
        <v>43032</v>
      </c>
      <c r="AO821" s="24">
        <v>5</v>
      </c>
      <c r="AP821" t="s">
        <v>983</v>
      </c>
      <c r="AR821" s="35"/>
      <c r="AS821"/>
      <c r="AT821" s="34"/>
      <c r="AV821" s="34"/>
      <c r="AX821" s="34"/>
      <c r="AY821"/>
      <c r="BA821" s="34"/>
      <c r="BB821"/>
      <c r="BC821" t="s">
        <v>889</v>
      </c>
      <c r="BD821" s="36">
        <v>170144</v>
      </c>
      <c r="BE821" s="36">
        <v>170144</v>
      </c>
      <c r="BF821">
        <v>0</v>
      </c>
      <c r="BG821" s="34">
        <v>43252</v>
      </c>
      <c r="BH821">
        <v>24</v>
      </c>
      <c r="BI821" t="s">
        <v>974</v>
      </c>
      <c r="BJ821" t="s">
        <v>975</v>
      </c>
      <c r="BK821" t="s">
        <v>234</v>
      </c>
      <c r="BL821" t="s">
        <v>194</v>
      </c>
      <c r="BM821" s="8" t="s">
        <v>192</v>
      </c>
      <c r="BN821" t="s">
        <v>189</v>
      </c>
      <c r="BO821" t="s">
        <v>190</v>
      </c>
      <c r="BP821" s="35" t="s">
        <v>887</v>
      </c>
      <c r="BQ821"/>
      <c r="BU821" s="35"/>
      <c r="BV821" s="35"/>
      <c r="BX821"/>
      <c r="CA821" s="35"/>
      <c r="CB821" s="35"/>
      <c r="CC821"/>
      <c r="CG821" s="35"/>
      <c r="CH821" s="35"/>
      <c r="CK821"/>
      <c r="CM821" s="35"/>
      <c r="CN821" s="35"/>
      <c r="CQ821"/>
      <c r="CS821" s="35"/>
      <c r="CT821" s="35"/>
      <c r="CX821"/>
      <c r="CZ821" s="35"/>
      <c r="DD821" s="34"/>
      <c r="DG821" t="s">
        <v>886</v>
      </c>
      <c r="DH821" t="s">
        <v>984</v>
      </c>
      <c r="DI821" t="s">
        <v>798</v>
      </c>
      <c r="DL821" t="s">
        <v>688</v>
      </c>
      <c r="DM821">
        <v>3</v>
      </c>
      <c r="DN821">
        <v>8</v>
      </c>
      <c r="DO821" t="s">
        <v>888</v>
      </c>
      <c r="DQ821" t="s">
        <v>927</v>
      </c>
      <c r="DR821">
        <v>14</v>
      </c>
      <c r="DS821">
        <v>0</v>
      </c>
      <c r="DU821">
        <v>14</v>
      </c>
      <c r="DV821">
        <v>0</v>
      </c>
      <c r="DX821">
        <v>14</v>
      </c>
      <c r="DY821">
        <v>0</v>
      </c>
      <c r="DZ821" t="s">
        <v>246</v>
      </c>
      <c r="EA821" t="s">
        <v>929</v>
      </c>
    </row>
    <row r="822" spans="1:131" x14ac:dyDescent="0.4">
      <c r="A822" s="34">
        <v>43067.305104166669</v>
      </c>
      <c r="B822" s="25">
        <v>42956.647916666669</v>
      </c>
      <c r="D822" s="34"/>
      <c r="E822" s="34" t="s">
        <v>193</v>
      </c>
      <c r="F822" s="34" t="s">
        <v>191</v>
      </c>
      <c r="G822" s="34" t="s">
        <v>100</v>
      </c>
      <c r="H822" t="s">
        <v>856</v>
      </c>
      <c r="I822" t="s">
        <v>243</v>
      </c>
      <c r="J822" t="s">
        <v>857</v>
      </c>
      <c r="K822" t="s">
        <v>713</v>
      </c>
      <c r="L822" t="s">
        <v>855</v>
      </c>
      <c r="M822" s="30">
        <v>4.05</v>
      </c>
      <c r="N822">
        <v>5.333333333333333</v>
      </c>
      <c r="P822" s="24" t="str">
        <f>IFERROR(MID(RADataTable[[#This Row],[RATemplate]],1,LEN(RADataTable[[#This Row],[RATemplate]])-8),"RA") &amp; " " &amp; RADataTable[[#This Row],[prop_id0]] &amp; " " &amp; RADataTable[[#This Row],[last0]]</f>
        <v>RA 1755881 San</v>
      </c>
      <c r="T822">
        <v>3</v>
      </c>
      <c r="U822">
        <v>3</v>
      </c>
      <c r="V822" s="34">
        <v>43031.741666666669</v>
      </c>
      <c r="W822">
        <v>1</v>
      </c>
      <c r="X822" s="15" t="str">
        <f>HYPERLINK("https://www.ejacket.nsf.gov/ej/showProposal.do?Continue=Y&amp;ID="&amp;RADataTable[[#This Row],[prop_id0]],"eJ")</f>
        <v>eJ</v>
      </c>
      <c r="Y822" s="15" t="str">
        <f>HYPERLINK("mailto:"&amp;RADataTable[[#This Row],[email]]&amp;"&amp;subject=Your NSF Proposal:  "&amp;RADataTable[[#This Row],[Div]]&amp;" "&amp;RADataTable[[#This Row],[prop_id0]], RADataTable[[#This Row],[email]])</f>
        <v>osan@okstate.edu</v>
      </c>
      <c r="Z822" s="15" t="str">
        <f>HYPERLINK("mailto:"&amp;RADataTable[[#This Row],[allPIemail]]&amp;"&amp;subject=NSF Proposal:  "&amp;RADataTable[[#This Row],[Div]]&amp;" "&amp;RADataTable[[#This Row],[prop_id0]], "PIs@")</f>
        <v>PIs@</v>
      </c>
      <c r="AA822" t="s">
        <v>245</v>
      </c>
      <c r="AB822" t="s">
        <v>688</v>
      </c>
      <c r="AC822" s="30" t="s">
        <v>883</v>
      </c>
      <c r="AD822" t="s">
        <v>884</v>
      </c>
      <c r="AE822" t="s">
        <v>885</v>
      </c>
      <c r="AF822" s="36">
        <v>170144</v>
      </c>
      <c r="AG822" s="36">
        <v>170144</v>
      </c>
      <c r="AH822" s="24"/>
      <c r="AJ822" s="34"/>
      <c r="AK822" t="s">
        <v>923</v>
      </c>
      <c r="AL822" t="s">
        <v>924</v>
      </c>
      <c r="AM822" s="34" t="s">
        <v>925</v>
      </c>
      <c r="AN822" s="34">
        <v>43032</v>
      </c>
      <c r="AO822" s="24">
        <v>5</v>
      </c>
      <c r="AP822" t="s">
        <v>983</v>
      </c>
      <c r="AR822" s="35"/>
      <c r="AS822"/>
      <c r="AT822" s="34"/>
      <c r="AV822" s="34"/>
      <c r="AX822" s="34"/>
      <c r="AY822"/>
      <c r="BA822" s="34"/>
      <c r="BB822"/>
      <c r="BC822" t="s">
        <v>889</v>
      </c>
      <c r="BD822" s="36">
        <v>170144</v>
      </c>
      <c r="BE822" s="36">
        <v>170144</v>
      </c>
      <c r="BF822">
        <v>0</v>
      </c>
      <c r="BG822" s="34">
        <v>43252</v>
      </c>
      <c r="BH822">
        <v>24</v>
      </c>
      <c r="BI822" t="s">
        <v>974</v>
      </c>
      <c r="BJ822" t="s">
        <v>975</v>
      </c>
      <c r="BK822" t="s">
        <v>234</v>
      </c>
      <c r="BL822" t="s">
        <v>194</v>
      </c>
      <c r="BM822" s="8" t="s">
        <v>192</v>
      </c>
      <c r="BN822" t="s">
        <v>189</v>
      </c>
      <c r="BO822" t="s">
        <v>190</v>
      </c>
      <c r="BP822" s="35" t="s">
        <v>887</v>
      </c>
      <c r="BQ822"/>
      <c r="BU822" s="35"/>
      <c r="BV822" s="35"/>
      <c r="BX822"/>
      <c r="CA822" s="35"/>
      <c r="CB822" s="35"/>
      <c r="CC822"/>
      <c r="CG822" s="35"/>
      <c r="CH822" s="35"/>
      <c r="CK822"/>
      <c r="CM822" s="35"/>
      <c r="CN822" s="35"/>
      <c r="CQ822"/>
      <c r="CS822" s="35"/>
      <c r="CT822" s="35"/>
      <c r="CX822"/>
      <c r="CZ822" s="35"/>
      <c r="DD822" s="34"/>
      <c r="DG822" t="s">
        <v>886</v>
      </c>
      <c r="DH822" t="s">
        <v>984</v>
      </c>
      <c r="DI822" t="s">
        <v>798</v>
      </c>
      <c r="DL822" t="s">
        <v>688</v>
      </c>
      <c r="DM822">
        <v>3</v>
      </c>
      <c r="DN822">
        <v>8</v>
      </c>
      <c r="DO822" t="s">
        <v>888</v>
      </c>
      <c r="DQ822" t="s">
        <v>927</v>
      </c>
      <c r="DR822">
        <v>14</v>
      </c>
      <c r="DS822">
        <v>0</v>
      </c>
      <c r="DU822">
        <v>14</v>
      </c>
      <c r="DV822">
        <v>0</v>
      </c>
      <c r="DX822">
        <v>14</v>
      </c>
      <c r="DY822">
        <v>0</v>
      </c>
      <c r="DZ822" t="s">
        <v>246</v>
      </c>
      <c r="EA822" t="s">
        <v>929</v>
      </c>
    </row>
    <row r="823" spans="1:131" x14ac:dyDescent="0.4">
      <c r="A823" s="34">
        <v>43067.305104166669</v>
      </c>
      <c r="B823" s="25">
        <v>42956.647916666669</v>
      </c>
      <c r="D823" s="34"/>
      <c r="E823" s="34" t="s">
        <v>193</v>
      </c>
      <c r="F823" s="34" t="s">
        <v>191</v>
      </c>
      <c r="G823" s="34" t="s">
        <v>100</v>
      </c>
      <c r="H823" t="s">
        <v>856</v>
      </c>
      <c r="I823" t="s">
        <v>243</v>
      </c>
      <c r="J823" t="s">
        <v>857</v>
      </c>
      <c r="K823" t="s">
        <v>713</v>
      </c>
      <c r="L823" t="s">
        <v>855</v>
      </c>
      <c r="M823" s="30">
        <v>4.05</v>
      </c>
      <c r="N823">
        <v>5.333333333333333</v>
      </c>
      <c r="P823" s="24" t="str">
        <f>IFERROR(MID(RADataTable[[#This Row],[RATemplate]],1,LEN(RADataTable[[#This Row],[RATemplate]])-8),"RA") &amp; " " &amp; RADataTable[[#This Row],[prop_id0]] &amp; " " &amp; RADataTable[[#This Row],[last0]]</f>
        <v>RA 1755881 San</v>
      </c>
      <c r="T823">
        <v>3</v>
      </c>
      <c r="U823">
        <v>3</v>
      </c>
      <c r="V823" s="34">
        <v>43031.741666666669</v>
      </c>
      <c r="W823">
        <v>1</v>
      </c>
      <c r="X823" s="15" t="str">
        <f>HYPERLINK("https://www.ejacket.nsf.gov/ej/showProposal.do?Continue=Y&amp;ID="&amp;RADataTable[[#This Row],[prop_id0]],"eJ")</f>
        <v>eJ</v>
      </c>
      <c r="Y823" s="15" t="str">
        <f>HYPERLINK("mailto:"&amp;RADataTable[[#This Row],[email]]&amp;"&amp;subject=Your NSF Proposal:  "&amp;RADataTable[[#This Row],[Div]]&amp;" "&amp;RADataTable[[#This Row],[prop_id0]], RADataTable[[#This Row],[email]])</f>
        <v>osan@okstate.edu</v>
      </c>
      <c r="Z823" s="15" t="str">
        <f>HYPERLINK("mailto:"&amp;RADataTable[[#This Row],[allPIemail]]&amp;"&amp;subject=NSF Proposal:  "&amp;RADataTable[[#This Row],[Div]]&amp;" "&amp;RADataTable[[#This Row],[prop_id0]], "PIs@")</f>
        <v>PIs@</v>
      </c>
      <c r="AA823" t="s">
        <v>245</v>
      </c>
      <c r="AB823" t="s">
        <v>688</v>
      </c>
      <c r="AC823" s="30" t="s">
        <v>883</v>
      </c>
      <c r="AD823" t="s">
        <v>884</v>
      </c>
      <c r="AE823" t="s">
        <v>885</v>
      </c>
      <c r="AF823" s="36">
        <v>170144</v>
      </c>
      <c r="AG823" s="36">
        <v>170144</v>
      </c>
      <c r="AH823" s="24"/>
      <c r="AJ823" s="34"/>
      <c r="AK823" t="s">
        <v>923</v>
      </c>
      <c r="AL823" t="s">
        <v>924</v>
      </c>
      <c r="AM823" s="34" t="s">
        <v>925</v>
      </c>
      <c r="AN823" s="34">
        <v>43032</v>
      </c>
      <c r="AO823" s="24">
        <v>5</v>
      </c>
      <c r="AP823" t="s">
        <v>983</v>
      </c>
      <c r="AR823" s="35"/>
      <c r="AS823"/>
      <c r="AT823" s="34"/>
      <c r="AV823" s="34"/>
      <c r="AX823" s="34"/>
      <c r="AY823"/>
      <c r="BA823" s="34"/>
      <c r="BB823"/>
      <c r="BC823" t="s">
        <v>889</v>
      </c>
      <c r="BD823" s="36">
        <v>170144</v>
      </c>
      <c r="BE823" s="36">
        <v>170144</v>
      </c>
      <c r="BF823">
        <v>0</v>
      </c>
      <c r="BG823" s="34">
        <v>43252</v>
      </c>
      <c r="BH823">
        <v>24</v>
      </c>
      <c r="BI823" t="s">
        <v>974</v>
      </c>
      <c r="BJ823" t="s">
        <v>975</v>
      </c>
      <c r="BK823" t="s">
        <v>234</v>
      </c>
      <c r="BL823" t="s">
        <v>194</v>
      </c>
      <c r="BM823" s="8" t="s">
        <v>192</v>
      </c>
      <c r="BN823" t="s">
        <v>189</v>
      </c>
      <c r="BO823" t="s">
        <v>190</v>
      </c>
      <c r="BP823" s="35" t="s">
        <v>887</v>
      </c>
      <c r="BQ823"/>
      <c r="BU823" s="35"/>
      <c r="BV823" s="35"/>
      <c r="BX823"/>
      <c r="CA823" s="35"/>
      <c r="CB823" s="35"/>
      <c r="CC823"/>
      <c r="CG823" s="35"/>
      <c r="CH823" s="35"/>
      <c r="CK823"/>
      <c r="CM823" s="35"/>
      <c r="CN823" s="35"/>
      <c r="CQ823"/>
      <c r="CS823" s="35"/>
      <c r="CT823" s="35"/>
      <c r="CX823"/>
      <c r="CZ823" s="35"/>
      <c r="DD823" s="34"/>
      <c r="DG823" t="s">
        <v>886</v>
      </c>
      <c r="DH823" t="s">
        <v>984</v>
      </c>
      <c r="DI823" t="s">
        <v>798</v>
      </c>
      <c r="DL823" t="s">
        <v>688</v>
      </c>
      <c r="DM823">
        <v>3</v>
      </c>
      <c r="DN823">
        <v>8</v>
      </c>
      <c r="DO823" t="s">
        <v>888</v>
      </c>
      <c r="DQ823" t="s">
        <v>927</v>
      </c>
      <c r="DR823">
        <v>14</v>
      </c>
      <c r="DS823">
        <v>0</v>
      </c>
      <c r="DU823">
        <v>14</v>
      </c>
      <c r="DV823">
        <v>0</v>
      </c>
      <c r="DX823">
        <v>14</v>
      </c>
      <c r="DY823">
        <v>0</v>
      </c>
      <c r="DZ823" t="s">
        <v>246</v>
      </c>
      <c r="EA823" t="s">
        <v>929</v>
      </c>
    </row>
    <row r="824" spans="1:131" x14ac:dyDescent="0.4">
      <c r="A824" s="34">
        <v>43067.305104166669</v>
      </c>
      <c r="B824" s="25">
        <v>42956.647916666669</v>
      </c>
      <c r="D824" s="34"/>
      <c r="E824" s="34" t="s">
        <v>193</v>
      </c>
      <c r="F824" s="34" t="s">
        <v>191</v>
      </c>
      <c r="G824" s="34" t="s">
        <v>100</v>
      </c>
      <c r="H824" t="s">
        <v>856</v>
      </c>
      <c r="I824" t="s">
        <v>243</v>
      </c>
      <c r="J824" t="s">
        <v>857</v>
      </c>
      <c r="K824" t="s">
        <v>713</v>
      </c>
      <c r="L824" t="s">
        <v>855</v>
      </c>
      <c r="M824" s="30">
        <v>4.05</v>
      </c>
      <c r="N824">
        <v>5.333333333333333</v>
      </c>
      <c r="P824" s="24" t="str">
        <f>IFERROR(MID(RADataTable[[#This Row],[RATemplate]],1,LEN(RADataTable[[#This Row],[RATemplate]])-8),"RA") &amp; " " &amp; RADataTable[[#This Row],[prop_id0]] &amp; " " &amp; RADataTable[[#This Row],[last0]]</f>
        <v>RA 1755881 San</v>
      </c>
      <c r="T824">
        <v>3</v>
      </c>
      <c r="U824">
        <v>3</v>
      </c>
      <c r="V824" s="34">
        <v>43031.741666666669</v>
      </c>
      <c r="W824">
        <v>1</v>
      </c>
      <c r="X824" s="15" t="str">
        <f>HYPERLINK("https://www.ejacket.nsf.gov/ej/showProposal.do?Continue=Y&amp;ID="&amp;RADataTable[[#This Row],[prop_id0]],"eJ")</f>
        <v>eJ</v>
      </c>
      <c r="Y824" s="15" t="str">
        <f>HYPERLINK("mailto:"&amp;RADataTable[[#This Row],[email]]&amp;"&amp;subject=Your NSF Proposal:  "&amp;RADataTable[[#This Row],[Div]]&amp;" "&amp;RADataTable[[#This Row],[prop_id0]], RADataTable[[#This Row],[email]])</f>
        <v>osan@okstate.edu</v>
      </c>
      <c r="Z824" s="15" t="str">
        <f>HYPERLINK("mailto:"&amp;RADataTable[[#This Row],[allPIemail]]&amp;"&amp;subject=NSF Proposal:  "&amp;RADataTable[[#This Row],[Div]]&amp;" "&amp;RADataTable[[#This Row],[prop_id0]], "PIs@")</f>
        <v>PIs@</v>
      </c>
      <c r="AA824" t="s">
        <v>245</v>
      </c>
      <c r="AB824" t="s">
        <v>688</v>
      </c>
      <c r="AC824" s="30" t="s">
        <v>883</v>
      </c>
      <c r="AD824" t="s">
        <v>884</v>
      </c>
      <c r="AE824" t="s">
        <v>885</v>
      </c>
      <c r="AF824" s="36">
        <v>170144</v>
      </c>
      <c r="AG824" s="36">
        <v>170144</v>
      </c>
      <c r="AH824" s="24"/>
      <c r="AJ824" s="34"/>
      <c r="AK824" t="s">
        <v>923</v>
      </c>
      <c r="AL824" t="s">
        <v>924</v>
      </c>
      <c r="AM824" s="34" t="s">
        <v>925</v>
      </c>
      <c r="AN824" s="34">
        <v>43032</v>
      </c>
      <c r="AO824" s="24">
        <v>5</v>
      </c>
      <c r="AP824" t="s">
        <v>983</v>
      </c>
      <c r="AR824" s="35"/>
      <c r="AS824"/>
      <c r="AT824" s="34"/>
      <c r="AV824" s="34"/>
      <c r="AX824" s="34"/>
      <c r="AY824"/>
      <c r="BA824" s="34"/>
      <c r="BB824"/>
      <c r="BC824" t="s">
        <v>889</v>
      </c>
      <c r="BD824" s="36">
        <v>170144</v>
      </c>
      <c r="BE824" s="36">
        <v>170144</v>
      </c>
      <c r="BF824">
        <v>0</v>
      </c>
      <c r="BG824" s="34">
        <v>43252</v>
      </c>
      <c r="BH824">
        <v>24</v>
      </c>
      <c r="BI824" t="s">
        <v>974</v>
      </c>
      <c r="BJ824" t="s">
        <v>975</v>
      </c>
      <c r="BK824" t="s">
        <v>234</v>
      </c>
      <c r="BL824" t="s">
        <v>194</v>
      </c>
      <c r="BM824" s="8" t="s">
        <v>192</v>
      </c>
      <c r="BN824" t="s">
        <v>189</v>
      </c>
      <c r="BO824" t="s">
        <v>190</v>
      </c>
      <c r="BP824" s="35" t="s">
        <v>887</v>
      </c>
      <c r="BQ824"/>
      <c r="BU824" s="35"/>
      <c r="BV824" s="35"/>
      <c r="BX824"/>
      <c r="CA824" s="35"/>
      <c r="CB824" s="35"/>
      <c r="CC824"/>
      <c r="CG824" s="35"/>
      <c r="CH824" s="35"/>
      <c r="CK824"/>
      <c r="CM824" s="35"/>
      <c r="CN824" s="35"/>
      <c r="CQ824"/>
      <c r="CS824" s="35"/>
      <c r="CT824" s="35"/>
      <c r="CX824"/>
      <c r="CZ824" s="35"/>
      <c r="DD824" s="34"/>
      <c r="DG824" t="s">
        <v>886</v>
      </c>
      <c r="DH824" t="s">
        <v>984</v>
      </c>
      <c r="DI824" t="s">
        <v>798</v>
      </c>
      <c r="DL824" t="s">
        <v>688</v>
      </c>
      <c r="DM824">
        <v>3</v>
      </c>
      <c r="DN824">
        <v>8</v>
      </c>
      <c r="DO824" t="s">
        <v>888</v>
      </c>
      <c r="DQ824" t="s">
        <v>927</v>
      </c>
      <c r="DR824">
        <v>14</v>
      </c>
      <c r="DS824">
        <v>0</v>
      </c>
      <c r="DU824">
        <v>14</v>
      </c>
      <c r="DV824">
        <v>0</v>
      </c>
      <c r="DX824">
        <v>14</v>
      </c>
      <c r="DY824">
        <v>0</v>
      </c>
      <c r="DZ824" t="s">
        <v>246</v>
      </c>
      <c r="EA824" t="s">
        <v>929</v>
      </c>
    </row>
    <row r="825" spans="1:131" x14ac:dyDescent="0.4">
      <c r="A825" s="34">
        <v>43067.305104166669</v>
      </c>
      <c r="B825" s="25">
        <v>42956.647916666669</v>
      </c>
      <c r="D825" s="34"/>
      <c r="E825" s="34" t="s">
        <v>193</v>
      </c>
      <c r="F825" s="34" t="s">
        <v>191</v>
      </c>
      <c r="G825" s="34" t="s">
        <v>100</v>
      </c>
      <c r="H825" t="s">
        <v>856</v>
      </c>
      <c r="I825" t="s">
        <v>243</v>
      </c>
      <c r="J825" t="s">
        <v>857</v>
      </c>
      <c r="K825" t="s">
        <v>713</v>
      </c>
      <c r="L825" t="s">
        <v>855</v>
      </c>
      <c r="M825" s="30">
        <v>4.05</v>
      </c>
      <c r="N825">
        <v>5.333333333333333</v>
      </c>
      <c r="P825" s="24" t="str">
        <f>IFERROR(MID(RADataTable[[#This Row],[RATemplate]],1,LEN(RADataTable[[#This Row],[RATemplate]])-8),"RA") &amp; " " &amp; RADataTable[[#This Row],[prop_id0]] &amp; " " &amp; RADataTable[[#This Row],[last0]]</f>
        <v>RA 1755881 San</v>
      </c>
      <c r="T825">
        <v>3</v>
      </c>
      <c r="U825">
        <v>3</v>
      </c>
      <c r="V825" s="34">
        <v>43031.741666666669</v>
      </c>
      <c r="W825">
        <v>1</v>
      </c>
      <c r="X825" s="15" t="str">
        <f>HYPERLINK("https://www.ejacket.nsf.gov/ej/showProposal.do?Continue=Y&amp;ID="&amp;RADataTable[[#This Row],[prop_id0]],"eJ")</f>
        <v>eJ</v>
      </c>
      <c r="Y825" s="15" t="str">
        <f>HYPERLINK("mailto:"&amp;RADataTable[[#This Row],[email]]&amp;"&amp;subject=Your NSF Proposal:  "&amp;RADataTable[[#This Row],[Div]]&amp;" "&amp;RADataTable[[#This Row],[prop_id0]], RADataTable[[#This Row],[email]])</f>
        <v>osan@okstate.edu</v>
      </c>
      <c r="Z825" s="15" t="str">
        <f>HYPERLINK("mailto:"&amp;RADataTable[[#This Row],[allPIemail]]&amp;"&amp;subject=NSF Proposal:  "&amp;RADataTable[[#This Row],[Div]]&amp;" "&amp;RADataTable[[#This Row],[prop_id0]], "PIs@")</f>
        <v>PIs@</v>
      </c>
      <c r="AA825" t="s">
        <v>245</v>
      </c>
      <c r="AB825" t="s">
        <v>688</v>
      </c>
      <c r="AC825" s="30" t="s">
        <v>883</v>
      </c>
      <c r="AD825" t="s">
        <v>884</v>
      </c>
      <c r="AE825" t="s">
        <v>885</v>
      </c>
      <c r="AF825" s="36">
        <v>170144</v>
      </c>
      <c r="AG825" s="36">
        <v>170144</v>
      </c>
      <c r="AH825" s="24"/>
      <c r="AJ825" s="34"/>
      <c r="AK825" t="s">
        <v>923</v>
      </c>
      <c r="AL825" t="s">
        <v>924</v>
      </c>
      <c r="AM825" s="34" t="s">
        <v>925</v>
      </c>
      <c r="AN825" s="34">
        <v>43032</v>
      </c>
      <c r="AO825" s="24">
        <v>5</v>
      </c>
      <c r="AP825" t="s">
        <v>983</v>
      </c>
      <c r="AR825" s="35"/>
      <c r="AS825"/>
      <c r="AT825" s="34"/>
      <c r="AV825" s="34"/>
      <c r="AX825" s="34"/>
      <c r="AY825"/>
      <c r="BA825" s="34"/>
      <c r="BB825"/>
      <c r="BC825" t="s">
        <v>889</v>
      </c>
      <c r="BD825" s="36">
        <v>170144</v>
      </c>
      <c r="BE825" s="36">
        <v>170144</v>
      </c>
      <c r="BF825">
        <v>0</v>
      </c>
      <c r="BG825" s="34">
        <v>43252</v>
      </c>
      <c r="BH825">
        <v>24</v>
      </c>
      <c r="BI825" t="s">
        <v>974</v>
      </c>
      <c r="BJ825" t="s">
        <v>975</v>
      </c>
      <c r="BK825" t="s">
        <v>234</v>
      </c>
      <c r="BL825" t="s">
        <v>194</v>
      </c>
      <c r="BM825" s="8" t="s">
        <v>192</v>
      </c>
      <c r="BN825" t="s">
        <v>189</v>
      </c>
      <c r="BO825" t="s">
        <v>190</v>
      </c>
      <c r="BP825" s="35" t="s">
        <v>887</v>
      </c>
      <c r="BQ825"/>
      <c r="BU825" s="35"/>
      <c r="BV825" s="35"/>
      <c r="BX825"/>
      <c r="CA825" s="35"/>
      <c r="CB825" s="35"/>
      <c r="CC825"/>
      <c r="CG825" s="35"/>
      <c r="CH825" s="35"/>
      <c r="CK825"/>
      <c r="CM825" s="35"/>
      <c r="CN825" s="35"/>
      <c r="CQ825"/>
      <c r="CS825" s="35"/>
      <c r="CT825" s="35"/>
      <c r="CX825"/>
      <c r="CZ825" s="35"/>
      <c r="DD825" s="34"/>
      <c r="DG825" t="s">
        <v>886</v>
      </c>
      <c r="DH825" t="s">
        <v>984</v>
      </c>
      <c r="DI825" t="s">
        <v>798</v>
      </c>
      <c r="DL825" t="s">
        <v>688</v>
      </c>
      <c r="DM825">
        <v>3</v>
      </c>
      <c r="DN825">
        <v>8</v>
      </c>
      <c r="DO825" t="s">
        <v>888</v>
      </c>
      <c r="DQ825" t="s">
        <v>927</v>
      </c>
      <c r="DR825">
        <v>14</v>
      </c>
      <c r="DS825">
        <v>0</v>
      </c>
      <c r="DU825">
        <v>14</v>
      </c>
      <c r="DV825">
        <v>0</v>
      </c>
      <c r="DX825">
        <v>14</v>
      </c>
      <c r="DY825">
        <v>0</v>
      </c>
      <c r="DZ825" t="s">
        <v>246</v>
      </c>
      <c r="EA825" t="s">
        <v>929</v>
      </c>
    </row>
    <row r="826" spans="1:131" x14ac:dyDescent="0.4">
      <c r="A826" s="34">
        <v>43067.305104166669</v>
      </c>
      <c r="B826" s="25">
        <v>42956.647916666669</v>
      </c>
      <c r="D826" s="34"/>
      <c r="E826" s="34" t="s">
        <v>193</v>
      </c>
      <c r="F826" s="34" t="s">
        <v>191</v>
      </c>
      <c r="G826" s="34" t="s">
        <v>100</v>
      </c>
      <c r="H826" t="s">
        <v>856</v>
      </c>
      <c r="I826" t="s">
        <v>243</v>
      </c>
      <c r="J826" t="s">
        <v>857</v>
      </c>
      <c r="K826" t="s">
        <v>713</v>
      </c>
      <c r="L826" t="s">
        <v>855</v>
      </c>
      <c r="M826" s="30">
        <v>4.05</v>
      </c>
      <c r="N826">
        <v>5.333333333333333</v>
      </c>
      <c r="P826" s="24" t="str">
        <f>IFERROR(MID(RADataTable[[#This Row],[RATemplate]],1,LEN(RADataTable[[#This Row],[RATemplate]])-8),"RA") &amp; " " &amp; RADataTable[[#This Row],[prop_id0]] &amp; " " &amp; RADataTable[[#This Row],[last0]]</f>
        <v>RA 1755881 San</v>
      </c>
      <c r="T826">
        <v>3</v>
      </c>
      <c r="U826">
        <v>3</v>
      </c>
      <c r="V826" s="34">
        <v>43031.741666666669</v>
      </c>
      <c r="W826">
        <v>1</v>
      </c>
      <c r="X826" s="15" t="str">
        <f>HYPERLINK("https://www.ejacket.nsf.gov/ej/showProposal.do?Continue=Y&amp;ID="&amp;RADataTable[[#This Row],[prop_id0]],"eJ")</f>
        <v>eJ</v>
      </c>
      <c r="Y826" s="15" t="str">
        <f>HYPERLINK("mailto:"&amp;RADataTable[[#This Row],[email]]&amp;"&amp;subject=Your NSF Proposal:  "&amp;RADataTable[[#This Row],[Div]]&amp;" "&amp;RADataTable[[#This Row],[prop_id0]], RADataTable[[#This Row],[email]])</f>
        <v>osan@okstate.edu</v>
      </c>
      <c r="Z826" s="15" t="str">
        <f>HYPERLINK("mailto:"&amp;RADataTable[[#This Row],[allPIemail]]&amp;"&amp;subject=NSF Proposal:  "&amp;RADataTable[[#This Row],[Div]]&amp;" "&amp;RADataTable[[#This Row],[prop_id0]], "PIs@")</f>
        <v>PIs@</v>
      </c>
      <c r="AA826" t="s">
        <v>245</v>
      </c>
      <c r="AB826" t="s">
        <v>688</v>
      </c>
      <c r="AC826" s="30" t="s">
        <v>883</v>
      </c>
      <c r="AD826" t="s">
        <v>884</v>
      </c>
      <c r="AE826" t="s">
        <v>885</v>
      </c>
      <c r="AF826" s="36">
        <v>170144</v>
      </c>
      <c r="AG826" s="36">
        <v>170144</v>
      </c>
      <c r="AH826" s="24"/>
      <c r="AJ826" s="34"/>
      <c r="AK826" t="s">
        <v>923</v>
      </c>
      <c r="AL826" t="s">
        <v>924</v>
      </c>
      <c r="AM826" s="34" t="s">
        <v>925</v>
      </c>
      <c r="AN826" s="34">
        <v>43032</v>
      </c>
      <c r="AO826" s="24">
        <v>5</v>
      </c>
      <c r="AP826" t="s">
        <v>983</v>
      </c>
      <c r="AR826" s="35"/>
      <c r="AS826"/>
      <c r="AT826" s="34"/>
      <c r="AV826" s="34"/>
      <c r="AX826" s="34"/>
      <c r="AY826"/>
      <c r="BA826" s="34"/>
      <c r="BB826"/>
      <c r="BC826" t="s">
        <v>889</v>
      </c>
      <c r="BD826" s="36">
        <v>170144</v>
      </c>
      <c r="BE826" s="36">
        <v>170144</v>
      </c>
      <c r="BF826">
        <v>0</v>
      </c>
      <c r="BG826" s="34">
        <v>43252</v>
      </c>
      <c r="BH826">
        <v>24</v>
      </c>
      <c r="BI826" t="s">
        <v>974</v>
      </c>
      <c r="BJ826" t="s">
        <v>975</v>
      </c>
      <c r="BK826" t="s">
        <v>234</v>
      </c>
      <c r="BL826" t="s">
        <v>194</v>
      </c>
      <c r="BM826" s="8" t="s">
        <v>192</v>
      </c>
      <c r="BN826" t="s">
        <v>189</v>
      </c>
      <c r="BO826" t="s">
        <v>190</v>
      </c>
      <c r="BP826" s="35" t="s">
        <v>887</v>
      </c>
      <c r="BQ826"/>
      <c r="BU826" s="35"/>
      <c r="BV826" s="35"/>
      <c r="BX826"/>
      <c r="CA826" s="35"/>
      <c r="CB826" s="35"/>
      <c r="CC826"/>
      <c r="CG826" s="35"/>
      <c r="CH826" s="35"/>
      <c r="CK826"/>
      <c r="CM826" s="35"/>
      <c r="CN826" s="35"/>
      <c r="CQ826"/>
      <c r="CS826" s="35"/>
      <c r="CT826" s="35"/>
      <c r="CX826"/>
      <c r="CZ826" s="35"/>
      <c r="DD826" s="34"/>
      <c r="DG826" t="s">
        <v>886</v>
      </c>
      <c r="DH826" t="s">
        <v>984</v>
      </c>
      <c r="DI826" t="s">
        <v>798</v>
      </c>
      <c r="DL826" t="s">
        <v>688</v>
      </c>
      <c r="DM826">
        <v>3</v>
      </c>
      <c r="DN826">
        <v>8</v>
      </c>
      <c r="DO826" t="s">
        <v>888</v>
      </c>
      <c r="DQ826" t="s">
        <v>927</v>
      </c>
      <c r="DR826">
        <v>14</v>
      </c>
      <c r="DS826">
        <v>0</v>
      </c>
      <c r="DU826">
        <v>14</v>
      </c>
      <c r="DV826">
        <v>0</v>
      </c>
      <c r="DX826">
        <v>14</v>
      </c>
      <c r="DY826">
        <v>0</v>
      </c>
      <c r="DZ826" t="s">
        <v>246</v>
      </c>
      <c r="EA826" t="s">
        <v>929</v>
      </c>
    </row>
    <row r="827" spans="1:131" x14ac:dyDescent="0.4">
      <c r="A827" s="34">
        <v>43067.305104166669</v>
      </c>
      <c r="B827" s="25">
        <v>42956.647916666669</v>
      </c>
      <c r="D827" s="34"/>
      <c r="E827" s="34" t="s">
        <v>193</v>
      </c>
      <c r="F827" s="34" t="s">
        <v>191</v>
      </c>
      <c r="G827" s="34" t="s">
        <v>100</v>
      </c>
      <c r="H827" t="s">
        <v>856</v>
      </c>
      <c r="I827" t="s">
        <v>243</v>
      </c>
      <c r="J827" t="s">
        <v>857</v>
      </c>
      <c r="K827" t="s">
        <v>713</v>
      </c>
      <c r="L827" t="s">
        <v>855</v>
      </c>
      <c r="M827" s="30">
        <v>4.05</v>
      </c>
      <c r="N827">
        <v>5.333333333333333</v>
      </c>
      <c r="P827" s="24" t="str">
        <f>IFERROR(MID(RADataTable[[#This Row],[RATemplate]],1,LEN(RADataTable[[#This Row],[RATemplate]])-8),"RA") &amp; " " &amp; RADataTable[[#This Row],[prop_id0]] &amp; " " &amp; RADataTable[[#This Row],[last0]]</f>
        <v>RA 1755881 San</v>
      </c>
      <c r="T827">
        <v>3</v>
      </c>
      <c r="U827">
        <v>3</v>
      </c>
      <c r="V827" s="34">
        <v>43031.741666666669</v>
      </c>
      <c r="W827">
        <v>1</v>
      </c>
      <c r="X827" s="15" t="str">
        <f>HYPERLINK("https://www.ejacket.nsf.gov/ej/showProposal.do?Continue=Y&amp;ID="&amp;RADataTable[[#This Row],[prop_id0]],"eJ")</f>
        <v>eJ</v>
      </c>
      <c r="Y827" s="15" t="str">
        <f>HYPERLINK("mailto:"&amp;RADataTable[[#This Row],[email]]&amp;"&amp;subject=Your NSF Proposal:  "&amp;RADataTable[[#This Row],[Div]]&amp;" "&amp;RADataTable[[#This Row],[prop_id0]], RADataTable[[#This Row],[email]])</f>
        <v>osan@okstate.edu</v>
      </c>
      <c r="Z827" s="15" t="str">
        <f>HYPERLINK("mailto:"&amp;RADataTable[[#This Row],[allPIemail]]&amp;"&amp;subject=NSF Proposal:  "&amp;RADataTable[[#This Row],[Div]]&amp;" "&amp;RADataTable[[#This Row],[prop_id0]], "PIs@")</f>
        <v>PIs@</v>
      </c>
      <c r="AA827" t="s">
        <v>245</v>
      </c>
      <c r="AB827" t="s">
        <v>688</v>
      </c>
      <c r="AC827" s="30" t="s">
        <v>883</v>
      </c>
      <c r="AD827" t="s">
        <v>884</v>
      </c>
      <c r="AE827" t="s">
        <v>885</v>
      </c>
      <c r="AF827" s="36">
        <v>170144</v>
      </c>
      <c r="AG827" s="36">
        <v>170144</v>
      </c>
      <c r="AH827" s="24"/>
      <c r="AJ827" s="34"/>
      <c r="AK827" t="s">
        <v>923</v>
      </c>
      <c r="AL827" t="s">
        <v>924</v>
      </c>
      <c r="AM827" s="34" t="s">
        <v>925</v>
      </c>
      <c r="AN827" s="34">
        <v>43032</v>
      </c>
      <c r="AO827" s="24">
        <v>5</v>
      </c>
      <c r="AP827" t="s">
        <v>983</v>
      </c>
      <c r="AR827" s="35"/>
      <c r="AS827"/>
      <c r="AT827" s="34"/>
      <c r="AV827" s="34"/>
      <c r="AX827" s="34"/>
      <c r="AY827"/>
      <c r="BA827" s="34"/>
      <c r="BB827"/>
      <c r="BC827" t="s">
        <v>889</v>
      </c>
      <c r="BD827" s="36">
        <v>170144</v>
      </c>
      <c r="BE827" s="36">
        <v>170144</v>
      </c>
      <c r="BF827">
        <v>0</v>
      </c>
      <c r="BG827" s="34">
        <v>43252</v>
      </c>
      <c r="BH827">
        <v>24</v>
      </c>
      <c r="BI827" t="s">
        <v>974</v>
      </c>
      <c r="BJ827" t="s">
        <v>975</v>
      </c>
      <c r="BK827" t="s">
        <v>234</v>
      </c>
      <c r="BL827" t="s">
        <v>194</v>
      </c>
      <c r="BM827" s="8" t="s">
        <v>192</v>
      </c>
      <c r="BN827" t="s">
        <v>189</v>
      </c>
      <c r="BO827" t="s">
        <v>190</v>
      </c>
      <c r="BP827" s="35" t="s">
        <v>887</v>
      </c>
      <c r="BQ827"/>
      <c r="BU827" s="35"/>
      <c r="BV827" s="35"/>
      <c r="BX827"/>
      <c r="CA827" s="35"/>
      <c r="CB827" s="35"/>
      <c r="CC827"/>
      <c r="CG827" s="35"/>
      <c r="CH827" s="35"/>
      <c r="CK827"/>
      <c r="CM827" s="35"/>
      <c r="CN827" s="35"/>
      <c r="CQ827"/>
      <c r="CS827" s="35"/>
      <c r="CT827" s="35"/>
      <c r="CX827"/>
      <c r="CZ827" s="35"/>
      <c r="DD827" s="34"/>
      <c r="DG827" t="s">
        <v>886</v>
      </c>
      <c r="DH827" t="s">
        <v>984</v>
      </c>
      <c r="DI827" t="s">
        <v>798</v>
      </c>
      <c r="DL827" t="s">
        <v>688</v>
      </c>
      <c r="DM827">
        <v>3</v>
      </c>
      <c r="DN827">
        <v>8</v>
      </c>
      <c r="DO827" t="s">
        <v>888</v>
      </c>
      <c r="DQ827" t="s">
        <v>927</v>
      </c>
      <c r="DR827">
        <v>14</v>
      </c>
      <c r="DS827">
        <v>0</v>
      </c>
      <c r="DU827">
        <v>14</v>
      </c>
      <c r="DV827">
        <v>0</v>
      </c>
      <c r="DX827">
        <v>14</v>
      </c>
      <c r="DY827">
        <v>0</v>
      </c>
      <c r="DZ827" t="s">
        <v>246</v>
      </c>
      <c r="EA827" t="s">
        <v>929</v>
      </c>
    </row>
    <row r="828" spans="1:131" x14ac:dyDescent="0.4">
      <c r="A828" s="34">
        <v>43067.305104166669</v>
      </c>
      <c r="B828" s="25">
        <v>42956.647916666669</v>
      </c>
      <c r="D828" s="34"/>
      <c r="E828" s="34" t="s">
        <v>193</v>
      </c>
      <c r="F828" s="34" t="s">
        <v>191</v>
      </c>
      <c r="G828" s="34" t="s">
        <v>100</v>
      </c>
      <c r="H828" t="s">
        <v>856</v>
      </c>
      <c r="I828" t="s">
        <v>243</v>
      </c>
      <c r="J828" t="s">
        <v>857</v>
      </c>
      <c r="K828" t="s">
        <v>713</v>
      </c>
      <c r="L828" t="s">
        <v>855</v>
      </c>
      <c r="M828" s="30">
        <v>4.05</v>
      </c>
      <c r="N828">
        <v>5.333333333333333</v>
      </c>
      <c r="P828" s="24" t="str">
        <f>IFERROR(MID(RADataTable[[#This Row],[RATemplate]],1,LEN(RADataTable[[#This Row],[RATemplate]])-8),"RA") &amp; " " &amp; RADataTable[[#This Row],[prop_id0]] &amp; " " &amp; RADataTable[[#This Row],[last0]]</f>
        <v>RA 1755881 San</v>
      </c>
      <c r="T828">
        <v>3</v>
      </c>
      <c r="U828">
        <v>3</v>
      </c>
      <c r="V828" s="34">
        <v>43031.741666666669</v>
      </c>
      <c r="W828">
        <v>1</v>
      </c>
      <c r="X828" s="15" t="str">
        <f>HYPERLINK("https://www.ejacket.nsf.gov/ej/showProposal.do?Continue=Y&amp;ID="&amp;RADataTable[[#This Row],[prop_id0]],"eJ")</f>
        <v>eJ</v>
      </c>
      <c r="Y828" s="15" t="str">
        <f>HYPERLINK("mailto:"&amp;RADataTable[[#This Row],[email]]&amp;"&amp;subject=Your NSF Proposal:  "&amp;RADataTable[[#This Row],[Div]]&amp;" "&amp;RADataTable[[#This Row],[prop_id0]], RADataTable[[#This Row],[email]])</f>
        <v>osan@okstate.edu</v>
      </c>
      <c r="Z828" s="15" t="str">
        <f>HYPERLINK("mailto:"&amp;RADataTable[[#This Row],[allPIemail]]&amp;"&amp;subject=NSF Proposal:  "&amp;RADataTable[[#This Row],[Div]]&amp;" "&amp;RADataTable[[#This Row],[prop_id0]], "PIs@")</f>
        <v>PIs@</v>
      </c>
      <c r="AA828" t="s">
        <v>245</v>
      </c>
      <c r="AB828" t="s">
        <v>688</v>
      </c>
      <c r="AC828" s="30" t="s">
        <v>883</v>
      </c>
      <c r="AD828" t="s">
        <v>884</v>
      </c>
      <c r="AE828" t="s">
        <v>885</v>
      </c>
      <c r="AF828" s="36">
        <v>170144</v>
      </c>
      <c r="AG828" s="36">
        <v>170144</v>
      </c>
      <c r="AH828" s="24"/>
      <c r="AJ828" s="34"/>
      <c r="AK828" t="s">
        <v>923</v>
      </c>
      <c r="AL828" t="s">
        <v>924</v>
      </c>
      <c r="AM828" s="34" t="s">
        <v>925</v>
      </c>
      <c r="AN828" s="34">
        <v>43032</v>
      </c>
      <c r="AO828" s="24">
        <v>5</v>
      </c>
      <c r="AP828" t="s">
        <v>983</v>
      </c>
      <c r="AR828" s="35"/>
      <c r="AS828"/>
      <c r="AT828" s="34"/>
      <c r="AV828" s="34"/>
      <c r="AX828" s="34"/>
      <c r="AY828"/>
      <c r="BA828" s="34"/>
      <c r="BB828"/>
      <c r="BC828" t="s">
        <v>889</v>
      </c>
      <c r="BD828" s="36">
        <v>170144</v>
      </c>
      <c r="BE828" s="36">
        <v>170144</v>
      </c>
      <c r="BF828">
        <v>0</v>
      </c>
      <c r="BG828" s="34">
        <v>43252</v>
      </c>
      <c r="BH828">
        <v>24</v>
      </c>
      <c r="BI828" t="s">
        <v>974</v>
      </c>
      <c r="BJ828" t="s">
        <v>975</v>
      </c>
      <c r="BK828" t="s">
        <v>234</v>
      </c>
      <c r="BL828" t="s">
        <v>194</v>
      </c>
      <c r="BM828" s="8" t="s">
        <v>192</v>
      </c>
      <c r="BN828" t="s">
        <v>189</v>
      </c>
      <c r="BO828" t="s">
        <v>190</v>
      </c>
      <c r="BP828" s="35" t="s">
        <v>887</v>
      </c>
      <c r="BQ828"/>
      <c r="BU828" s="35"/>
      <c r="BV828" s="35"/>
      <c r="BX828"/>
      <c r="CA828" s="35"/>
      <c r="CB828" s="35"/>
      <c r="CC828"/>
      <c r="CG828" s="35"/>
      <c r="CH828" s="35"/>
      <c r="CK828"/>
      <c r="CM828" s="35"/>
      <c r="CN828" s="35"/>
      <c r="CQ828"/>
      <c r="CS828" s="35"/>
      <c r="CT828" s="35"/>
      <c r="CX828"/>
      <c r="CZ828" s="35"/>
      <c r="DD828" s="34"/>
      <c r="DG828" t="s">
        <v>886</v>
      </c>
      <c r="DH828" t="s">
        <v>984</v>
      </c>
      <c r="DI828" t="s">
        <v>798</v>
      </c>
      <c r="DL828" t="s">
        <v>688</v>
      </c>
      <c r="DM828">
        <v>3</v>
      </c>
      <c r="DN828">
        <v>8</v>
      </c>
      <c r="DO828" t="s">
        <v>888</v>
      </c>
      <c r="DQ828" t="s">
        <v>927</v>
      </c>
      <c r="DR828">
        <v>14</v>
      </c>
      <c r="DS828">
        <v>0</v>
      </c>
      <c r="DU828">
        <v>14</v>
      </c>
      <c r="DV828">
        <v>0</v>
      </c>
      <c r="DX828">
        <v>14</v>
      </c>
      <c r="DY828">
        <v>0</v>
      </c>
      <c r="DZ828" t="s">
        <v>246</v>
      </c>
      <c r="EA828" t="s">
        <v>929</v>
      </c>
    </row>
    <row r="829" spans="1:131" x14ac:dyDescent="0.4">
      <c r="A829" s="34">
        <v>43067.305104166669</v>
      </c>
      <c r="B829" s="25">
        <v>42956.647916666669</v>
      </c>
      <c r="D829" s="34"/>
      <c r="E829" s="34" t="s">
        <v>193</v>
      </c>
      <c r="F829" s="34" t="s">
        <v>191</v>
      </c>
      <c r="G829" s="34" t="s">
        <v>100</v>
      </c>
      <c r="H829" t="s">
        <v>856</v>
      </c>
      <c r="I829" t="s">
        <v>243</v>
      </c>
      <c r="J829" t="s">
        <v>857</v>
      </c>
      <c r="K829" t="s">
        <v>713</v>
      </c>
      <c r="L829" t="s">
        <v>855</v>
      </c>
      <c r="M829" s="30">
        <v>4.05</v>
      </c>
      <c r="N829">
        <v>5.333333333333333</v>
      </c>
      <c r="P829" s="24" t="str">
        <f>IFERROR(MID(RADataTable[[#This Row],[RATemplate]],1,LEN(RADataTable[[#This Row],[RATemplate]])-8),"RA") &amp; " " &amp; RADataTable[[#This Row],[prop_id0]] &amp; " " &amp; RADataTable[[#This Row],[last0]]</f>
        <v>RA 1755881 San</v>
      </c>
      <c r="T829">
        <v>3</v>
      </c>
      <c r="U829">
        <v>3</v>
      </c>
      <c r="V829" s="34">
        <v>43031.741666666669</v>
      </c>
      <c r="W829">
        <v>1</v>
      </c>
      <c r="X829" s="15" t="str">
        <f>HYPERLINK("https://www.ejacket.nsf.gov/ej/showProposal.do?Continue=Y&amp;ID="&amp;RADataTable[[#This Row],[prop_id0]],"eJ")</f>
        <v>eJ</v>
      </c>
      <c r="Y829" s="15" t="str">
        <f>HYPERLINK("mailto:"&amp;RADataTable[[#This Row],[email]]&amp;"&amp;subject=Your NSF Proposal:  "&amp;RADataTable[[#This Row],[Div]]&amp;" "&amp;RADataTable[[#This Row],[prop_id0]], RADataTable[[#This Row],[email]])</f>
        <v>osan@okstate.edu</v>
      </c>
      <c r="Z829" s="15" t="str">
        <f>HYPERLINK("mailto:"&amp;RADataTable[[#This Row],[allPIemail]]&amp;"&amp;subject=NSF Proposal:  "&amp;RADataTable[[#This Row],[Div]]&amp;" "&amp;RADataTable[[#This Row],[prop_id0]], "PIs@")</f>
        <v>PIs@</v>
      </c>
      <c r="AA829" t="s">
        <v>245</v>
      </c>
      <c r="AB829" t="s">
        <v>688</v>
      </c>
      <c r="AC829" s="30" t="s">
        <v>883</v>
      </c>
      <c r="AD829" t="s">
        <v>884</v>
      </c>
      <c r="AE829" t="s">
        <v>885</v>
      </c>
      <c r="AF829" s="36">
        <v>170144</v>
      </c>
      <c r="AG829" s="36">
        <v>170144</v>
      </c>
      <c r="AH829" s="24"/>
      <c r="AJ829" s="34"/>
      <c r="AK829" t="s">
        <v>923</v>
      </c>
      <c r="AL829" t="s">
        <v>924</v>
      </c>
      <c r="AM829" s="34" t="s">
        <v>925</v>
      </c>
      <c r="AN829" s="34">
        <v>43032</v>
      </c>
      <c r="AO829" s="24">
        <v>5</v>
      </c>
      <c r="AP829" t="s">
        <v>983</v>
      </c>
      <c r="AR829" s="35"/>
      <c r="AS829"/>
      <c r="AT829" s="34"/>
      <c r="AV829" s="34"/>
      <c r="AX829" s="34"/>
      <c r="AY829"/>
      <c r="BA829" s="34"/>
      <c r="BB829"/>
      <c r="BC829" t="s">
        <v>889</v>
      </c>
      <c r="BD829" s="36">
        <v>170144</v>
      </c>
      <c r="BE829" s="36">
        <v>170144</v>
      </c>
      <c r="BF829">
        <v>0</v>
      </c>
      <c r="BG829" s="34">
        <v>43252</v>
      </c>
      <c r="BH829">
        <v>24</v>
      </c>
      <c r="BI829" t="s">
        <v>974</v>
      </c>
      <c r="BJ829" t="s">
        <v>975</v>
      </c>
      <c r="BK829" t="s">
        <v>234</v>
      </c>
      <c r="BL829" t="s">
        <v>194</v>
      </c>
      <c r="BM829" s="8" t="s">
        <v>192</v>
      </c>
      <c r="BN829" t="s">
        <v>189</v>
      </c>
      <c r="BO829" t="s">
        <v>190</v>
      </c>
      <c r="BP829" s="35" t="s">
        <v>887</v>
      </c>
      <c r="BQ829"/>
      <c r="BU829" s="35"/>
      <c r="BV829" s="35"/>
      <c r="BX829"/>
      <c r="CA829" s="35"/>
      <c r="CB829" s="35"/>
      <c r="CC829"/>
      <c r="CG829" s="35"/>
      <c r="CH829" s="35"/>
      <c r="CK829"/>
      <c r="CM829" s="35"/>
      <c r="CN829" s="35"/>
      <c r="CQ829"/>
      <c r="CS829" s="35"/>
      <c r="CT829" s="35"/>
      <c r="CX829"/>
      <c r="CZ829" s="35"/>
      <c r="DD829" s="34"/>
      <c r="DG829" t="s">
        <v>886</v>
      </c>
      <c r="DH829" t="s">
        <v>984</v>
      </c>
      <c r="DI829" t="s">
        <v>798</v>
      </c>
      <c r="DL829" t="s">
        <v>688</v>
      </c>
      <c r="DM829">
        <v>3</v>
      </c>
      <c r="DN829">
        <v>8</v>
      </c>
      <c r="DO829" t="s">
        <v>888</v>
      </c>
      <c r="DQ829" t="s">
        <v>927</v>
      </c>
      <c r="DR829">
        <v>14</v>
      </c>
      <c r="DS829">
        <v>0</v>
      </c>
      <c r="DU829">
        <v>14</v>
      </c>
      <c r="DV829">
        <v>0</v>
      </c>
      <c r="DX829">
        <v>14</v>
      </c>
      <c r="DY829">
        <v>0</v>
      </c>
      <c r="DZ829" t="s">
        <v>246</v>
      </c>
      <c r="EA829" t="s">
        <v>929</v>
      </c>
    </row>
    <row r="830" spans="1:131" x14ac:dyDescent="0.4">
      <c r="A830" s="34">
        <v>43067.305104166669</v>
      </c>
      <c r="B830" s="25">
        <v>42956.647916666669</v>
      </c>
      <c r="D830" s="34"/>
      <c r="E830" s="34" t="s">
        <v>193</v>
      </c>
      <c r="F830" s="34" t="s">
        <v>191</v>
      </c>
      <c r="G830" s="34" t="s">
        <v>100</v>
      </c>
      <c r="H830" t="s">
        <v>856</v>
      </c>
      <c r="I830" t="s">
        <v>243</v>
      </c>
      <c r="J830" t="s">
        <v>857</v>
      </c>
      <c r="K830" t="s">
        <v>713</v>
      </c>
      <c r="L830" t="s">
        <v>855</v>
      </c>
      <c r="M830" s="30">
        <v>4.05</v>
      </c>
      <c r="N830">
        <v>5.333333333333333</v>
      </c>
      <c r="P830" s="24" t="str">
        <f>IFERROR(MID(RADataTable[[#This Row],[RATemplate]],1,LEN(RADataTable[[#This Row],[RATemplate]])-8),"RA") &amp; " " &amp; RADataTable[[#This Row],[prop_id0]] &amp; " " &amp; RADataTable[[#This Row],[last0]]</f>
        <v>RA 1755881 San</v>
      </c>
      <c r="T830">
        <v>3</v>
      </c>
      <c r="U830">
        <v>3</v>
      </c>
      <c r="V830" s="34">
        <v>43031.741666666669</v>
      </c>
      <c r="W830">
        <v>1</v>
      </c>
      <c r="X830" s="15" t="str">
        <f>HYPERLINK("https://www.ejacket.nsf.gov/ej/showProposal.do?Continue=Y&amp;ID="&amp;RADataTable[[#This Row],[prop_id0]],"eJ")</f>
        <v>eJ</v>
      </c>
      <c r="Y830" s="15" t="str">
        <f>HYPERLINK("mailto:"&amp;RADataTable[[#This Row],[email]]&amp;"&amp;subject=Your NSF Proposal:  "&amp;RADataTable[[#This Row],[Div]]&amp;" "&amp;RADataTable[[#This Row],[prop_id0]], RADataTable[[#This Row],[email]])</f>
        <v>osan@okstate.edu</v>
      </c>
      <c r="Z830" s="15" t="str">
        <f>HYPERLINK("mailto:"&amp;RADataTable[[#This Row],[allPIemail]]&amp;"&amp;subject=NSF Proposal:  "&amp;RADataTable[[#This Row],[Div]]&amp;" "&amp;RADataTable[[#This Row],[prop_id0]], "PIs@")</f>
        <v>PIs@</v>
      </c>
      <c r="AA830" t="s">
        <v>245</v>
      </c>
      <c r="AB830" t="s">
        <v>688</v>
      </c>
      <c r="AC830" s="30" t="s">
        <v>883</v>
      </c>
      <c r="AD830" t="s">
        <v>884</v>
      </c>
      <c r="AE830" t="s">
        <v>885</v>
      </c>
      <c r="AF830" s="36">
        <v>170144</v>
      </c>
      <c r="AG830" s="36">
        <v>170144</v>
      </c>
      <c r="AH830" s="24"/>
      <c r="AJ830" s="34"/>
      <c r="AK830" t="s">
        <v>923</v>
      </c>
      <c r="AL830" t="s">
        <v>924</v>
      </c>
      <c r="AM830" s="34" t="s">
        <v>925</v>
      </c>
      <c r="AN830" s="34">
        <v>43032</v>
      </c>
      <c r="AO830" s="24">
        <v>5</v>
      </c>
      <c r="AP830" t="s">
        <v>983</v>
      </c>
      <c r="AR830" s="35"/>
      <c r="AS830"/>
      <c r="AT830" s="34"/>
      <c r="AV830" s="34"/>
      <c r="AX830" s="34"/>
      <c r="AY830"/>
      <c r="BA830" s="34"/>
      <c r="BB830"/>
      <c r="BC830" t="s">
        <v>889</v>
      </c>
      <c r="BD830" s="36">
        <v>170144</v>
      </c>
      <c r="BE830" s="36">
        <v>170144</v>
      </c>
      <c r="BF830">
        <v>0</v>
      </c>
      <c r="BG830" s="34">
        <v>43252</v>
      </c>
      <c r="BH830">
        <v>24</v>
      </c>
      <c r="BI830" t="s">
        <v>974</v>
      </c>
      <c r="BJ830" t="s">
        <v>975</v>
      </c>
      <c r="BK830" t="s">
        <v>234</v>
      </c>
      <c r="BL830" t="s">
        <v>194</v>
      </c>
      <c r="BM830" s="8" t="s">
        <v>192</v>
      </c>
      <c r="BN830" t="s">
        <v>189</v>
      </c>
      <c r="BO830" t="s">
        <v>190</v>
      </c>
      <c r="BP830" s="35" t="s">
        <v>887</v>
      </c>
      <c r="BQ830"/>
      <c r="BU830" s="35"/>
      <c r="BV830" s="35"/>
      <c r="BX830"/>
      <c r="CA830" s="35"/>
      <c r="CB830" s="35"/>
      <c r="CC830"/>
      <c r="CG830" s="35"/>
      <c r="CH830" s="35"/>
      <c r="CK830"/>
      <c r="CM830" s="35"/>
      <c r="CN830" s="35"/>
      <c r="CQ830"/>
      <c r="CS830" s="35"/>
      <c r="CT830" s="35"/>
      <c r="CX830"/>
      <c r="CZ830" s="35"/>
      <c r="DD830" s="34"/>
      <c r="DG830" t="s">
        <v>886</v>
      </c>
      <c r="DH830" t="s">
        <v>984</v>
      </c>
      <c r="DI830" t="s">
        <v>798</v>
      </c>
      <c r="DL830" t="s">
        <v>688</v>
      </c>
      <c r="DM830">
        <v>3</v>
      </c>
      <c r="DN830">
        <v>8</v>
      </c>
      <c r="DO830" t="s">
        <v>888</v>
      </c>
      <c r="DQ830" t="s">
        <v>927</v>
      </c>
      <c r="DR830">
        <v>14</v>
      </c>
      <c r="DS830">
        <v>0</v>
      </c>
      <c r="DU830">
        <v>14</v>
      </c>
      <c r="DV830">
        <v>0</v>
      </c>
      <c r="DX830">
        <v>14</v>
      </c>
      <c r="DY830">
        <v>0</v>
      </c>
      <c r="DZ830" t="s">
        <v>246</v>
      </c>
      <c r="EA830" t="s">
        <v>929</v>
      </c>
    </row>
    <row r="831" spans="1:131" x14ac:dyDescent="0.4">
      <c r="A831" s="34">
        <v>43067.305104166669</v>
      </c>
      <c r="B831" s="25">
        <v>42956.647916666669</v>
      </c>
      <c r="D831" s="34"/>
      <c r="E831" s="34" t="s">
        <v>193</v>
      </c>
      <c r="F831" s="34" t="s">
        <v>191</v>
      </c>
      <c r="G831" s="34" t="s">
        <v>100</v>
      </c>
      <c r="H831" t="s">
        <v>856</v>
      </c>
      <c r="I831" t="s">
        <v>243</v>
      </c>
      <c r="J831" t="s">
        <v>857</v>
      </c>
      <c r="K831" t="s">
        <v>713</v>
      </c>
      <c r="L831" t="s">
        <v>855</v>
      </c>
      <c r="M831" s="30">
        <v>4.05</v>
      </c>
      <c r="N831">
        <v>5.333333333333333</v>
      </c>
      <c r="P831" s="24" t="str">
        <f>IFERROR(MID(RADataTable[[#This Row],[RATemplate]],1,LEN(RADataTable[[#This Row],[RATemplate]])-8),"RA") &amp; " " &amp; RADataTable[[#This Row],[prop_id0]] &amp; " " &amp; RADataTable[[#This Row],[last0]]</f>
        <v>RA 1755881 San</v>
      </c>
      <c r="T831">
        <v>3</v>
      </c>
      <c r="U831">
        <v>3</v>
      </c>
      <c r="V831" s="34">
        <v>43031.741666666669</v>
      </c>
      <c r="W831">
        <v>1</v>
      </c>
      <c r="X831" s="15" t="str">
        <f>HYPERLINK("https://www.ejacket.nsf.gov/ej/showProposal.do?Continue=Y&amp;ID="&amp;RADataTable[[#This Row],[prop_id0]],"eJ")</f>
        <v>eJ</v>
      </c>
      <c r="Y831" s="15" t="str">
        <f>HYPERLINK("mailto:"&amp;RADataTable[[#This Row],[email]]&amp;"&amp;subject=Your NSF Proposal:  "&amp;RADataTable[[#This Row],[Div]]&amp;" "&amp;RADataTable[[#This Row],[prop_id0]], RADataTable[[#This Row],[email]])</f>
        <v>osan@okstate.edu</v>
      </c>
      <c r="Z831" s="15" t="str">
        <f>HYPERLINK("mailto:"&amp;RADataTable[[#This Row],[allPIemail]]&amp;"&amp;subject=NSF Proposal:  "&amp;RADataTable[[#This Row],[Div]]&amp;" "&amp;RADataTable[[#This Row],[prop_id0]], "PIs@")</f>
        <v>PIs@</v>
      </c>
      <c r="AA831" t="s">
        <v>245</v>
      </c>
      <c r="AB831" t="s">
        <v>688</v>
      </c>
      <c r="AC831" s="30" t="s">
        <v>883</v>
      </c>
      <c r="AD831" t="s">
        <v>884</v>
      </c>
      <c r="AE831" t="s">
        <v>885</v>
      </c>
      <c r="AF831" s="36">
        <v>170144</v>
      </c>
      <c r="AG831" s="36">
        <v>170144</v>
      </c>
      <c r="AH831" s="24"/>
      <c r="AJ831" s="34"/>
      <c r="AK831" t="s">
        <v>923</v>
      </c>
      <c r="AL831" t="s">
        <v>924</v>
      </c>
      <c r="AM831" s="34" t="s">
        <v>925</v>
      </c>
      <c r="AN831" s="34">
        <v>43032</v>
      </c>
      <c r="AO831" s="24">
        <v>5</v>
      </c>
      <c r="AP831" t="s">
        <v>983</v>
      </c>
      <c r="AR831" s="35"/>
      <c r="AS831"/>
      <c r="AT831" s="34"/>
      <c r="AV831" s="34"/>
      <c r="AX831" s="34"/>
      <c r="AY831"/>
      <c r="BA831" s="34"/>
      <c r="BB831"/>
      <c r="BC831" t="s">
        <v>889</v>
      </c>
      <c r="BD831" s="36">
        <v>170144</v>
      </c>
      <c r="BE831" s="36">
        <v>170144</v>
      </c>
      <c r="BF831">
        <v>0</v>
      </c>
      <c r="BG831" s="34">
        <v>43252</v>
      </c>
      <c r="BH831">
        <v>24</v>
      </c>
      <c r="BI831" t="s">
        <v>974</v>
      </c>
      <c r="BJ831" t="s">
        <v>975</v>
      </c>
      <c r="BK831" t="s">
        <v>234</v>
      </c>
      <c r="BL831" t="s">
        <v>194</v>
      </c>
      <c r="BM831" s="8" t="s">
        <v>192</v>
      </c>
      <c r="BN831" t="s">
        <v>189</v>
      </c>
      <c r="BO831" t="s">
        <v>190</v>
      </c>
      <c r="BP831" s="35" t="s">
        <v>887</v>
      </c>
      <c r="BQ831"/>
      <c r="BU831" s="35"/>
      <c r="BV831" s="35"/>
      <c r="BX831"/>
      <c r="CA831" s="35"/>
      <c r="CB831" s="35"/>
      <c r="CC831"/>
      <c r="CG831" s="35"/>
      <c r="CH831" s="35"/>
      <c r="CK831"/>
      <c r="CM831" s="35"/>
      <c r="CN831" s="35"/>
      <c r="CQ831"/>
      <c r="CS831" s="35"/>
      <c r="CT831" s="35"/>
      <c r="CX831"/>
      <c r="CZ831" s="35"/>
      <c r="DD831" s="34"/>
      <c r="DG831" t="s">
        <v>886</v>
      </c>
      <c r="DH831" t="s">
        <v>984</v>
      </c>
      <c r="DI831" t="s">
        <v>798</v>
      </c>
      <c r="DL831" t="s">
        <v>688</v>
      </c>
      <c r="DM831">
        <v>3</v>
      </c>
      <c r="DN831">
        <v>8</v>
      </c>
      <c r="DO831" t="s">
        <v>888</v>
      </c>
      <c r="DQ831" t="s">
        <v>927</v>
      </c>
      <c r="DR831">
        <v>14</v>
      </c>
      <c r="DS831">
        <v>0</v>
      </c>
      <c r="DU831">
        <v>14</v>
      </c>
      <c r="DV831">
        <v>0</v>
      </c>
      <c r="DX831">
        <v>14</v>
      </c>
      <c r="DY831">
        <v>0</v>
      </c>
      <c r="DZ831" t="s">
        <v>246</v>
      </c>
      <c r="EA831" t="s">
        <v>929</v>
      </c>
    </row>
    <row r="832" spans="1:131" x14ac:dyDescent="0.4">
      <c r="A832" s="34">
        <v>43067.305104166669</v>
      </c>
      <c r="B832" s="25">
        <v>42956.647916666669</v>
      </c>
      <c r="D832" s="34"/>
      <c r="E832" s="34" t="s">
        <v>193</v>
      </c>
      <c r="F832" s="34" t="s">
        <v>191</v>
      </c>
      <c r="G832" s="34" t="s">
        <v>100</v>
      </c>
      <c r="H832" t="s">
        <v>856</v>
      </c>
      <c r="I832" t="s">
        <v>243</v>
      </c>
      <c r="J832" t="s">
        <v>857</v>
      </c>
      <c r="K832" t="s">
        <v>713</v>
      </c>
      <c r="L832" t="s">
        <v>855</v>
      </c>
      <c r="M832" s="30">
        <v>4.05</v>
      </c>
      <c r="N832">
        <v>5.333333333333333</v>
      </c>
      <c r="P832" s="24" t="str">
        <f>IFERROR(MID(RADataTable[[#This Row],[RATemplate]],1,LEN(RADataTable[[#This Row],[RATemplate]])-8),"RA") &amp; " " &amp; RADataTable[[#This Row],[prop_id0]] &amp; " " &amp; RADataTable[[#This Row],[last0]]</f>
        <v>RA 1755881 San</v>
      </c>
      <c r="T832">
        <v>3</v>
      </c>
      <c r="U832">
        <v>3</v>
      </c>
      <c r="V832" s="34">
        <v>43031.741666666669</v>
      </c>
      <c r="W832">
        <v>1</v>
      </c>
      <c r="X832" s="15" t="str">
        <f>HYPERLINK("https://www.ejacket.nsf.gov/ej/showProposal.do?Continue=Y&amp;ID="&amp;RADataTable[[#This Row],[prop_id0]],"eJ")</f>
        <v>eJ</v>
      </c>
      <c r="Y832" s="15" t="str">
        <f>HYPERLINK("mailto:"&amp;RADataTable[[#This Row],[email]]&amp;"&amp;subject=Your NSF Proposal:  "&amp;RADataTable[[#This Row],[Div]]&amp;" "&amp;RADataTable[[#This Row],[prop_id0]], RADataTable[[#This Row],[email]])</f>
        <v>osan@okstate.edu</v>
      </c>
      <c r="Z832" s="15" t="str">
        <f>HYPERLINK("mailto:"&amp;RADataTable[[#This Row],[allPIemail]]&amp;"&amp;subject=NSF Proposal:  "&amp;RADataTable[[#This Row],[Div]]&amp;" "&amp;RADataTable[[#This Row],[prop_id0]], "PIs@")</f>
        <v>PIs@</v>
      </c>
      <c r="AA832" t="s">
        <v>245</v>
      </c>
      <c r="AB832" t="s">
        <v>688</v>
      </c>
      <c r="AC832" s="30" t="s">
        <v>883</v>
      </c>
      <c r="AD832" t="s">
        <v>884</v>
      </c>
      <c r="AE832" t="s">
        <v>885</v>
      </c>
      <c r="AF832" s="36">
        <v>170144</v>
      </c>
      <c r="AG832" s="36">
        <v>170144</v>
      </c>
      <c r="AH832" s="24"/>
      <c r="AJ832" s="34"/>
      <c r="AK832" t="s">
        <v>923</v>
      </c>
      <c r="AL832" t="s">
        <v>924</v>
      </c>
      <c r="AM832" s="34" t="s">
        <v>925</v>
      </c>
      <c r="AN832" s="34">
        <v>43032</v>
      </c>
      <c r="AO832" s="24">
        <v>5</v>
      </c>
      <c r="AP832" t="s">
        <v>983</v>
      </c>
      <c r="AR832" s="35"/>
      <c r="AS832"/>
      <c r="AT832" s="34"/>
      <c r="AV832" s="34"/>
      <c r="AX832" s="34"/>
      <c r="AY832"/>
      <c r="BA832" s="34"/>
      <c r="BB832"/>
      <c r="BC832" t="s">
        <v>889</v>
      </c>
      <c r="BD832" s="36">
        <v>170144</v>
      </c>
      <c r="BE832" s="36">
        <v>170144</v>
      </c>
      <c r="BF832">
        <v>0</v>
      </c>
      <c r="BG832" s="34">
        <v>43252</v>
      </c>
      <c r="BH832">
        <v>24</v>
      </c>
      <c r="BI832" t="s">
        <v>974</v>
      </c>
      <c r="BJ832" t="s">
        <v>975</v>
      </c>
      <c r="BK832" t="s">
        <v>234</v>
      </c>
      <c r="BL832" t="s">
        <v>194</v>
      </c>
      <c r="BM832" s="8" t="s">
        <v>192</v>
      </c>
      <c r="BN832" t="s">
        <v>189</v>
      </c>
      <c r="BO832" t="s">
        <v>190</v>
      </c>
      <c r="BP832" s="35" t="s">
        <v>887</v>
      </c>
      <c r="BQ832"/>
      <c r="BU832" s="35"/>
      <c r="BV832" s="35"/>
      <c r="BX832"/>
      <c r="CA832" s="35"/>
      <c r="CB832" s="35"/>
      <c r="CC832"/>
      <c r="CG832" s="35"/>
      <c r="CH832" s="35"/>
      <c r="CK832"/>
      <c r="CM832" s="35"/>
      <c r="CN832" s="35"/>
      <c r="CQ832"/>
      <c r="CS832" s="35"/>
      <c r="CT832" s="35"/>
      <c r="CX832"/>
      <c r="CZ832" s="35"/>
      <c r="DD832" s="34"/>
      <c r="DG832" t="s">
        <v>886</v>
      </c>
      <c r="DH832" t="s">
        <v>984</v>
      </c>
      <c r="DI832" t="s">
        <v>798</v>
      </c>
      <c r="DL832" t="s">
        <v>688</v>
      </c>
      <c r="DM832">
        <v>3</v>
      </c>
      <c r="DN832">
        <v>8</v>
      </c>
      <c r="DO832" t="s">
        <v>888</v>
      </c>
      <c r="DQ832" t="s">
        <v>927</v>
      </c>
      <c r="DR832">
        <v>14</v>
      </c>
      <c r="DS832">
        <v>0</v>
      </c>
      <c r="DU832">
        <v>14</v>
      </c>
      <c r="DV832">
        <v>0</v>
      </c>
      <c r="DX832">
        <v>14</v>
      </c>
      <c r="DY832">
        <v>0</v>
      </c>
      <c r="DZ832" t="s">
        <v>246</v>
      </c>
      <c r="EA832" t="s">
        <v>929</v>
      </c>
    </row>
    <row r="833" spans="1:131" x14ac:dyDescent="0.4">
      <c r="A833" s="34">
        <v>43067.305104166669</v>
      </c>
      <c r="B833" s="25">
        <v>42956.647916666669</v>
      </c>
      <c r="D833" s="34"/>
      <c r="E833" s="34" t="s">
        <v>193</v>
      </c>
      <c r="F833" s="34" t="s">
        <v>191</v>
      </c>
      <c r="G833" s="34" t="s">
        <v>100</v>
      </c>
      <c r="H833" t="s">
        <v>856</v>
      </c>
      <c r="I833" t="s">
        <v>243</v>
      </c>
      <c r="J833" t="s">
        <v>857</v>
      </c>
      <c r="K833" t="s">
        <v>713</v>
      </c>
      <c r="L833" t="s">
        <v>855</v>
      </c>
      <c r="M833" s="30">
        <v>4.05</v>
      </c>
      <c r="N833">
        <v>5.333333333333333</v>
      </c>
      <c r="P833" s="24" t="str">
        <f>IFERROR(MID(RADataTable[[#This Row],[RATemplate]],1,LEN(RADataTable[[#This Row],[RATemplate]])-8),"RA") &amp; " " &amp; RADataTable[[#This Row],[prop_id0]] &amp; " " &amp; RADataTable[[#This Row],[last0]]</f>
        <v>RA 1755881 San</v>
      </c>
      <c r="T833">
        <v>3</v>
      </c>
      <c r="U833">
        <v>3</v>
      </c>
      <c r="V833" s="34">
        <v>43031.741666666669</v>
      </c>
      <c r="W833">
        <v>1</v>
      </c>
      <c r="X833" s="15" t="str">
        <f>HYPERLINK("https://www.ejacket.nsf.gov/ej/showProposal.do?Continue=Y&amp;ID="&amp;RADataTable[[#This Row],[prop_id0]],"eJ")</f>
        <v>eJ</v>
      </c>
      <c r="Y833" s="15" t="str">
        <f>HYPERLINK("mailto:"&amp;RADataTable[[#This Row],[email]]&amp;"&amp;subject=Your NSF Proposal:  "&amp;RADataTable[[#This Row],[Div]]&amp;" "&amp;RADataTable[[#This Row],[prop_id0]], RADataTable[[#This Row],[email]])</f>
        <v>osan@okstate.edu</v>
      </c>
      <c r="Z833" s="15" t="str">
        <f>HYPERLINK("mailto:"&amp;RADataTable[[#This Row],[allPIemail]]&amp;"&amp;subject=NSF Proposal:  "&amp;RADataTable[[#This Row],[Div]]&amp;" "&amp;RADataTable[[#This Row],[prop_id0]], "PIs@")</f>
        <v>PIs@</v>
      </c>
      <c r="AA833" t="s">
        <v>245</v>
      </c>
      <c r="AB833" t="s">
        <v>688</v>
      </c>
      <c r="AC833" s="30" t="s">
        <v>883</v>
      </c>
      <c r="AD833" t="s">
        <v>884</v>
      </c>
      <c r="AE833" t="s">
        <v>885</v>
      </c>
      <c r="AF833" s="36">
        <v>170144</v>
      </c>
      <c r="AG833" s="36">
        <v>170144</v>
      </c>
      <c r="AH833" s="24"/>
      <c r="AJ833" s="34"/>
      <c r="AK833" t="s">
        <v>923</v>
      </c>
      <c r="AL833" t="s">
        <v>924</v>
      </c>
      <c r="AM833" s="34" t="s">
        <v>925</v>
      </c>
      <c r="AN833" s="34">
        <v>43032</v>
      </c>
      <c r="AO833" s="24">
        <v>5</v>
      </c>
      <c r="AP833" t="s">
        <v>983</v>
      </c>
      <c r="AR833" s="35"/>
      <c r="AS833"/>
      <c r="AT833" s="34"/>
      <c r="AV833" s="34"/>
      <c r="AX833" s="34"/>
      <c r="AY833"/>
      <c r="BA833" s="34"/>
      <c r="BB833"/>
      <c r="BC833" t="s">
        <v>889</v>
      </c>
      <c r="BD833" s="36">
        <v>170144</v>
      </c>
      <c r="BE833" s="36">
        <v>170144</v>
      </c>
      <c r="BF833">
        <v>0</v>
      </c>
      <c r="BG833" s="34">
        <v>43252</v>
      </c>
      <c r="BH833">
        <v>24</v>
      </c>
      <c r="BI833" t="s">
        <v>974</v>
      </c>
      <c r="BJ833" t="s">
        <v>975</v>
      </c>
      <c r="BK833" t="s">
        <v>234</v>
      </c>
      <c r="BL833" t="s">
        <v>194</v>
      </c>
      <c r="BM833" s="8" t="s">
        <v>192</v>
      </c>
      <c r="BN833" t="s">
        <v>189</v>
      </c>
      <c r="BO833" t="s">
        <v>190</v>
      </c>
      <c r="BP833" s="35" t="s">
        <v>887</v>
      </c>
      <c r="BQ833"/>
      <c r="BU833" s="35"/>
      <c r="BV833" s="35"/>
      <c r="BX833"/>
      <c r="CA833" s="35"/>
      <c r="CB833" s="35"/>
      <c r="CC833"/>
      <c r="CG833" s="35"/>
      <c r="CH833" s="35"/>
      <c r="CK833"/>
      <c r="CM833" s="35"/>
      <c r="CN833" s="35"/>
      <c r="CQ833"/>
      <c r="CS833" s="35"/>
      <c r="CT833" s="35"/>
      <c r="CX833"/>
      <c r="CZ833" s="35"/>
      <c r="DD833" s="34"/>
      <c r="DG833" t="s">
        <v>886</v>
      </c>
      <c r="DH833" t="s">
        <v>984</v>
      </c>
      <c r="DI833" t="s">
        <v>798</v>
      </c>
      <c r="DL833" t="s">
        <v>688</v>
      </c>
      <c r="DM833">
        <v>3</v>
      </c>
      <c r="DN833">
        <v>8</v>
      </c>
      <c r="DO833" t="s">
        <v>888</v>
      </c>
      <c r="DQ833" t="s">
        <v>927</v>
      </c>
      <c r="DR833">
        <v>14</v>
      </c>
      <c r="DS833">
        <v>0</v>
      </c>
      <c r="DU833">
        <v>14</v>
      </c>
      <c r="DV833">
        <v>0</v>
      </c>
      <c r="DX833">
        <v>14</v>
      </c>
      <c r="DY833">
        <v>0</v>
      </c>
      <c r="DZ833" t="s">
        <v>246</v>
      </c>
      <c r="EA833" t="s">
        <v>929</v>
      </c>
    </row>
    <row r="834" spans="1:131" x14ac:dyDescent="0.4">
      <c r="A834" s="34">
        <v>43067.305104166669</v>
      </c>
      <c r="B834" s="25">
        <v>42956.647916666669</v>
      </c>
      <c r="D834" s="34"/>
      <c r="E834" s="34" t="s">
        <v>193</v>
      </c>
      <c r="F834" s="34" t="s">
        <v>191</v>
      </c>
      <c r="G834" s="34" t="s">
        <v>100</v>
      </c>
      <c r="H834" t="s">
        <v>856</v>
      </c>
      <c r="I834" t="s">
        <v>243</v>
      </c>
      <c r="J834" t="s">
        <v>857</v>
      </c>
      <c r="K834" t="s">
        <v>713</v>
      </c>
      <c r="L834" t="s">
        <v>855</v>
      </c>
      <c r="M834" s="30">
        <v>4.05</v>
      </c>
      <c r="N834">
        <v>5.333333333333333</v>
      </c>
      <c r="P834" s="24" t="str">
        <f>IFERROR(MID(RADataTable[[#This Row],[RATemplate]],1,LEN(RADataTable[[#This Row],[RATemplate]])-8),"RA") &amp; " " &amp; RADataTable[[#This Row],[prop_id0]] &amp; " " &amp; RADataTable[[#This Row],[last0]]</f>
        <v>RA 1755881 San</v>
      </c>
      <c r="T834">
        <v>3</v>
      </c>
      <c r="U834">
        <v>3</v>
      </c>
      <c r="V834" s="34">
        <v>43031.741666666669</v>
      </c>
      <c r="W834">
        <v>1</v>
      </c>
      <c r="X834" s="15" t="str">
        <f>HYPERLINK("https://www.ejacket.nsf.gov/ej/showProposal.do?Continue=Y&amp;ID="&amp;RADataTable[[#This Row],[prop_id0]],"eJ")</f>
        <v>eJ</v>
      </c>
      <c r="Y834" s="15" t="str">
        <f>HYPERLINK("mailto:"&amp;RADataTable[[#This Row],[email]]&amp;"&amp;subject=Your NSF Proposal:  "&amp;RADataTable[[#This Row],[Div]]&amp;" "&amp;RADataTable[[#This Row],[prop_id0]], RADataTable[[#This Row],[email]])</f>
        <v>osan@okstate.edu</v>
      </c>
      <c r="Z834" s="15" t="str">
        <f>HYPERLINK("mailto:"&amp;RADataTable[[#This Row],[allPIemail]]&amp;"&amp;subject=NSF Proposal:  "&amp;RADataTable[[#This Row],[Div]]&amp;" "&amp;RADataTable[[#This Row],[prop_id0]], "PIs@")</f>
        <v>PIs@</v>
      </c>
      <c r="AA834" t="s">
        <v>245</v>
      </c>
      <c r="AB834" t="s">
        <v>688</v>
      </c>
      <c r="AC834" s="30" t="s">
        <v>883</v>
      </c>
      <c r="AD834" t="s">
        <v>884</v>
      </c>
      <c r="AE834" t="s">
        <v>885</v>
      </c>
      <c r="AF834" s="36">
        <v>170144</v>
      </c>
      <c r="AG834" s="36">
        <v>170144</v>
      </c>
      <c r="AH834" s="24"/>
      <c r="AJ834" s="34"/>
      <c r="AK834" t="s">
        <v>923</v>
      </c>
      <c r="AL834" t="s">
        <v>924</v>
      </c>
      <c r="AM834" s="34" t="s">
        <v>925</v>
      </c>
      <c r="AN834" s="34">
        <v>43032</v>
      </c>
      <c r="AO834" s="24">
        <v>5</v>
      </c>
      <c r="AP834" t="s">
        <v>983</v>
      </c>
      <c r="AR834" s="35"/>
      <c r="AS834"/>
      <c r="AT834" s="34"/>
      <c r="AV834" s="34"/>
      <c r="AX834" s="34"/>
      <c r="AY834"/>
      <c r="BA834" s="34"/>
      <c r="BB834"/>
      <c r="BC834" t="s">
        <v>889</v>
      </c>
      <c r="BD834" s="36">
        <v>170144</v>
      </c>
      <c r="BE834" s="36">
        <v>170144</v>
      </c>
      <c r="BF834">
        <v>0</v>
      </c>
      <c r="BG834" s="34">
        <v>43252</v>
      </c>
      <c r="BH834">
        <v>24</v>
      </c>
      <c r="BI834" t="s">
        <v>974</v>
      </c>
      <c r="BJ834" t="s">
        <v>975</v>
      </c>
      <c r="BK834" t="s">
        <v>234</v>
      </c>
      <c r="BL834" t="s">
        <v>194</v>
      </c>
      <c r="BM834" s="8" t="s">
        <v>192</v>
      </c>
      <c r="BN834" t="s">
        <v>189</v>
      </c>
      <c r="BO834" t="s">
        <v>190</v>
      </c>
      <c r="BP834" s="35" t="s">
        <v>887</v>
      </c>
      <c r="BQ834"/>
      <c r="BU834" s="35"/>
      <c r="BV834" s="35"/>
      <c r="BX834"/>
      <c r="CA834" s="35"/>
      <c r="CB834" s="35"/>
      <c r="CC834"/>
      <c r="CG834" s="35"/>
      <c r="CH834" s="35"/>
      <c r="CK834"/>
      <c r="CM834" s="35"/>
      <c r="CN834" s="35"/>
      <c r="CQ834"/>
      <c r="CS834" s="35"/>
      <c r="CT834" s="35"/>
      <c r="CX834"/>
      <c r="CZ834" s="35"/>
      <c r="DD834" s="34"/>
      <c r="DG834" t="s">
        <v>886</v>
      </c>
      <c r="DH834" t="s">
        <v>984</v>
      </c>
      <c r="DI834" t="s">
        <v>798</v>
      </c>
      <c r="DL834" t="s">
        <v>688</v>
      </c>
      <c r="DM834">
        <v>3</v>
      </c>
      <c r="DN834">
        <v>8</v>
      </c>
      <c r="DO834" t="s">
        <v>888</v>
      </c>
      <c r="DQ834" t="s">
        <v>927</v>
      </c>
      <c r="DR834">
        <v>14</v>
      </c>
      <c r="DS834">
        <v>0</v>
      </c>
      <c r="DU834">
        <v>14</v>
      </c>
      <c r="DV834">
        <v>0</v>
      </c>
      <c r="DX834">
        <v>14</v>
      </c>
      <c r="DY834">
        <v>0</v>
      </c>
      <c r="DZ834" t="s">
        <v>246</v>
      </c>
      <c r="EA834" t="s">
        <v>929</v>
      </c>
    </row>
    <row r="835" spans="1:131" x14ac:dyDescent="0.4">
      <c r="A835" s="34">
        <v>43067.305104166669</v>
      </c>
      <c r="B835" s="25">
        <v>42956.647916666669</v>
      </c>
      <c r="D835" s="34"/>
      <c r="E835" s="34" t="s">
        <v>193</v>
      </c>
      <c r="F835" s="34" t="s">
        <v>191</v>
      </c>
      <c r="G835" s="34" t="s">
        <v>100</v>
      </c>
      <c r="H835" t="s">
        <v>856</v>
      </c>
      <c r="I835" t="s">
        <v>243</v>
      </c>
      <c r="J835" t="s">
        <v>857</v>
      </c>
      <c r="K835" t="s">
        <v>713</v>
      </c>
      <c r="L835" t="s">
        <v>855</v>
      </c>
      <c r="M835" s="30">
        <v>4.05</v>
      </c>
      <c r="N835">
        <v>5.333333333333333</v>
      </c>
      <c r="P835" s="24" t="str">
        <f>IFERROR(MID(RADataTable[[#This Row],[RATemplate]],1,LEN(RADataTable[[#This Row],[RATemplate]])-8),"RA") &amp; " " &amp; RADataTable[[#This Row],[prop_id0]] &amp; " " &amp; RADataTable[[#This Row],[last0]]</f>
        <v>RA 1755881 San</v>
      </c>
      <c r="T835">
        <v>3</v>
      </c>
      <c r="U835">
        <v>3</v>
      </c>
      <c r="V835" s="34">
        <v>43031.741666666669</v>
      </c>
      <c r="W835">
        <v>1</v>
      </c>
      <c r="X835" s="15" t="str">
        <f>HYPERLINK("https://www.ejacket.nsf.gov/ej/showProposal.do?Continue=Y&amp;ID="&amp;RADataTable[[#This Row],[prop_id0]],"eJ")</f>
        <v>eJ</v>
      </c>
      <c r="Y835" s="15" t="str">
        <f>HYPERLINK("mailto:"&amp;RADataTable[[#This Row],[email]]&amp;"&amp;subject=Your NSF Proposal:  "&amp;RADataTable[[#This Row],[Div]]&amp;" "&amp;RADataTable[[#This Row],[prop_id0]], RADataTable[[#This Row],[email]])</f>
        <v>osan@okstate.edu</v>
      </c>
      <c r="Z835" s="15" t="str">
        <f>HYPERLINK("mailto:"&amp;RADataTable[[#This Row],[allPIemail]]&amp;"&amp;subject=NSF Proposal:  "&amp;RADataTable[[#This Row],[Div]]&amp;" "&amp;RADataTable[[#This Row],[prop_id0]], "PIs@")</f>
        <v>PIs@</v>
      </c>
      <c r="AA835" t="s">
        <v>245</v>
      </c>
      <c r="AB835" t="s">
        <v>688</v>
      </c>
      <c r="AC835" s="30" t="s">
        <v>883</v>
      </c>
      <c r="AD835" t="s">
        <v>884</v>
      </c>
      <c r="AE835" t="s">
        <v>885</v>
      </c>
      <c r="AF835" s="36">
        <v>170144</v>
      </c>
      <c r="AG835" s="36">
        <v>170144</v>
      </c>
      <c r="AH835" s="24"/>
      <c r="AJ835" s="34"/>
      <c r="AK835" t="s">
        <v>923</v>
      </c>
      <c r="AL835" t="s">
        <v>924</v>
      </c>
      <c r="AM835" s="34" t="s">
        <v>925</v>
      </c>
      <c r="AN835" s="34">
        <v>43032</v>
      </c>
      <c r="AO835" s="24">
        <v>5</v>
      </c>
      <c r="AP835" t="s">
        <v>983</v>
      </c>
      <c r="AR835" s="35"/>
      <c r="AS835"/>
      <c r="AT835" s="34"/>
      <c r="AV835" s="34"/>
      <c r="AX835" s="34"/>
      <c r="AY835"/>
      <c r="BA835" s="34"/>
      <c r="BB835"/>
      <c r="BC835" t="s">
        <v>889</v>
      </c>
      <c r="BD835" s="36">
        <v>170144</v>
      </c>
      <c r="BE835" s="36">
        <v>170144</v>
      </c>
      <c r="BF835">
        <v>0</v>
      </c>
      <c r="BG835" s="34">
        <v>43252</v>
      </c>
      <c r="BH835">
        <v>24</v>
      </c>
      <c r="BI835" t="s">
        <v>974</v>
      </c>
      <c r="BJ835" t="s">
        <v>975</v>
      </c>
      <c r="BK835" t="s">
        <v>234</v>
      </c>
      <c r="BL835" t="s">
        <v>194</v>
      </c>
      <c r="BM835" s="8" t="s">
        <v>192</v>
      </c>
      <c r="BN835" t="s">
        <v>189</v>
      </c>
      <c r="BO835" t="s">
        <v>190</v>
      </c>
      <c r="BP835" s="35" t="s">
        <v>887</v>
      </c>
      <c r="BQ835"/>
      <c r="BU835" s="35"/>
      <c r="BV835" s="35"/>
      <c r="BX835"/>
      <c r="CA835" s="35"/>
      <c r="CB835" s="35"/>
      <c r="CC835"/>
      <c r="CG835" s="35"/>
      <c r="CH835" s="35"/>
      <c r="CK835"/>
      <c r="CM835" s="35"/>
      <c r="CN835" s="35"/>
      <c r="CQ835"/>
      <c r="CS835" s="35"/>
      <c r="CT835" s="35"/>
      <c r="CX835"/>
      <c r="CZ835" s="35"/>
      <c r="DD835" s="34"/>
      <c r="DG835" t="s">
        <v>886</v>
      </c>
      <c r="DH835" t="s">
        <v>984</v>
      </c>
      <c r="DI835" t="s">
        <v>798</v>
      </c>
      <c r="DL835" t="s">
        <v>688</v>
      </c>
      <c r="DM835">
        <v>3</v>
      </c>
      <c r="DN835">
        <v>8</v>
      </c>
      <c r="DO835" t="s">
        <v>888</v>
      </c>
      <c r="DQ835" t="s">
        <v>927</v>
      </c>
      <c r="DR835">
        <v>14</v>
      </c>
      <c r="DS835">
        <v>0</v>
      </c>
      <c r="DU835">
        <v>14</v>
      </c>
      <c r="DV835">
        <v>0</v>
      </c>
      <c r="DX835">
        <v>14</v>
      </c>
      <c r="DY835">
        <v>0</v>
      </c>
      <c r="DZ835" t="s">
        <v>246</v>
      </c>
      <c r="EA835" t="s">
        <v>929</v>
      </c>
    </row>
    <row r="836" spans="1:131" x14ac:dyDescent="0.4">
      <c r="A836" s="34">
        <v>43067.305104166669</v>
      </c>
      <c r="B836" s="25">
        <v>42956.647916666669</v>
      </c>
      <c r="D836" s="34"/>
      <c r="E836" s="34" t="s">
        <v>193</v>
      </c>
      <c r="F836" s="34" t="s">
        <v>191</v>
      </c>
      <c r="G836" s="34" t="s">
        <v>100</v>
      </c>
      <c r="H836" t="s">
        <v>856</v>
      </c>
      <c r="I836" t="s">
        <v>243</v>
      </c>
      <c r="J836" t="s">
        <v>857</v>
      </c>
      <c r="K836" t="s">
        <v>713</v>
      </c>
      <c r="L836" t="s">
        <v>855</v>
      </c>
      <c r="M836" s="30">
        <v>4.05</v>
      </c>
      <c r="N836">
        <v>5.333333333333333</v>
      </c>
      <c r="P836" s="24" t="str">
        <f>IFERROR(MID(RADataTable[[#This Row],[RATemplate]],1,LEN(RADataTable[[#This Row],[RATemplate]])-8),"RA") &amp; " " &amp; RADataTable[[#This Row],[prop_id0]] &amp; " " &amp; RADataTable[[#This Row],[last0]]</f>
        <v>RA 1755881 San</v>
      </c>
      <c r="T836">
        <v>3</v>
      </c>
      <c r="U836">
        <v>3</v>
      </c>
      <c r="V836" s="34">
        <v>43031.741666666669</v>
      </c>
      <c r="W836">
        <v>1</v>
      </c>
      <c r="X836" s="15" t="str">
        <f>HYPERLINK("https://www.ejacket.nsf.gov/ej/showProposal.do?Continue=Y&amp;ID="&amp;RADataTable[[#This Row],[prop_id0]],"eJ")</f>
        <v>eJ</v>
      </c>
      <c r="Y836" s="15" t="str">
        <f>HYPERLINK("mailto:"&amp;RADataTable[[#This Row],[email]]&amp;"&amp;subject=Your NSF Proposal:  "&amp;RADataTable[[#This Row],[Div]]&amp;" "&amp;RADataTable[[#This Row],[prop_id0]], RADataTable[[#This Row],[email]])</f>
        <v>osan@okstate.edu</v>
      </c>
      <c r="Z836" s="15" t="str">
        <f>HYPERLINK("mailto:"&amp;RADataTable[[#This Row],[allPIemail]]&amp;"&amp;subject=NSF Proposal:  "&amp;RADataTable[[#This Row],[Div]]&amp;" "&amp;RADataTable[[#This Row],[prop_id0]], "PIs@")</f>
        <v>PIs@</v>
      </c>
      <c r="AA836" t="s">
        <v>245</v>
      </c>
      <c r="AB836" t="s">
        <v>688</v>
      </c>
      <c r="AC836" s="30" t="s">
        <v>883</v>
      </c>
      <c r="AD836" t="s">
        <v>884</v>
      </c>
      <c r="AE836" t="s">
        <v>885</v>
      </c>
      <c r="AF836" s="36">
        <v>170144</v>
      </c>
      <c r="AG836" s="36">
        <v>170144</v>
      </c>
      <c r="AH836" s="24"/>
      <c r="AJ836" s="34"/>
      <c r="AK836" t="s">
        <v>923</v>
      </c>
      <c r="AL836" t="s">
        <v>924</v>
      </c>
      <c r="AM836" s="34" t="s">
        <v>925</v>
      </c>
      <c r="AN836" s="34">
        <v>43032</v>
      </c>
      <c r="AO836" s="24">
        <v>5</v>
      </c>
      <c r="AP836" t="s">
        <v>983</v>
      </c>
      <c r="AR836" s="35"/>
      <c r="AS836"/>
      <c r="AT836" s="34"/>
      <c r="AV836" s="34"/>
      <c r="AX836" s="34"/>
      <c r="AY836"/>
      <c r="BA836" s="34"/>
      <c r="BB836"/>
      <c r="BC836" t="s">
        <v>889</v>
      </c>
      <c r="BD836" s="36">
        <v>170144</v>
      </c>
      <c r="BE836" s="36">
        <v>170144</v>
      </c>
      <c r="BF836">
        <v>0</v>
      </c>
      <c r="BG836" s="34">
        <v>43252</v>
      </c>
      <c r="BH836">
        <v>24</v>
      </c>
      <c r="BI836" t="s">
        <v>974</v>
      </c>
      <c r="BJ836" t="s">
        <v>975</v>
      </c>
      <c r="BK836" t="s">
        <v>234</v>
      </c>
      <c r="BL836" t="s">
        <v>194</v>
      </c>
      <c r="BM836" s="8" t="s">
        <v>192</v>
      </c>
      <c r="BN836" t="s">
        <v>189</v>
      </c>
      <c r="BO836" t="s">
        <v>190</v>
      </c>
      <c r="BP836" s="35" t="s">
        <v>887</v>
      </c>
      <c r="BQ836"/>
      <c r="BU836" s="35"/>
      <c r="BV836" s="35"/>
      <c r="BX836"/>
      <c r="CA836" s="35"/>
      <c r="CB836" s="35"/>
      <c r="CC836"/>
      <c r="CG836" s="35"/>
      <c r="CH836" s="35"/>
      <c r="CK836"/>
      <c r="CM836" s="35"/>
      <c r="CN836" s="35"/>
      <c r="CQ836"/>
      <c r="CS836" s="35"/>
      <c r="CT836" s="35"/>
      <c r="CX836"/>
      <c r="CZ836" s="35"/>
      <c r="DD836" s="34"/>
      <c r="DG836" t="s">
        <v>886</v>
      </c>
      <c r="DH836" t="s">
        <v>984</v>
      </c>
      <c r="DI836" t="s">
        <v>798</v>
      </c>
      <c r="DL836" t="s">
        <v>688</v>
      </c>
      <c r="DM836">
        <v>3</v>
      </c>
      <c r="DN836">
        <v>8</v>
      </c>
      <c r="DO836" t="s">
        <v>888</v>
      </c>
      <c r="DQ836" t="s">
        <v>927</v>
      </c>
      <c r="DR836">
        <v>14</v>
      </c>
      <c r="DS836">
        <v>0</v>
      </c>
      <c r="DU836">
        <v>14</v>
      </c>
      <c r="DV836">
        <v>0</v>
      </c>
      <c r="DX836">
        <v>14</v>
      </c>
      <c r="DY836">
        <v>0</v>
      </c>
      <c r="DZ836" t="s">
        <v>246</v>
      </c>
      <c r="EA836" t="s">
        <v>929</v>
      </c>
    </row>
    <row r="837" spans="1:131" x14ac:dyDescent="0.4">
      <c r="A837" s="34">
        <v>43067.305104166669</v>
      </c>
      <c r="B837" s="25">
        <v>42956.647916666669</v>
      </c>
      <c r="D837" s="34"/>
      <c r="E837" s="34" t="s">
        <v>193</v>
      </c>
      <c r="F837" s="34" t="s">
        <v>191</v>
      </c>
      <c r="G837" s="34" t="s">
        <v>100</v>
      </c>
      <c r="H837" t="s">
        <v>856</v>
      </c>
      <c r="I837" t="s">
        <v>243</v>
      </c>
      <c r="J837" t="s">
        <v>857</v>
      </c>
      <c r="K837" t="s">
        <v>713</v>
      </c>
      <c r="L837" t="s">
        <v>855</v>
      </c>
      <c r="M837" s="30">
        <v>4.05</v>
      </c>
      <c r="N837">
        <v>5.333333333333333</v>
      </c>
      <c r="P837" s="24" t="str">
        <f>IFERROR(MID(RADataTable[[#This Row],[RATemplate]],1,LEN(RADataTable[[#This Row],[RATemplate]])-8),"RA") &amp; " " &amp; RADataTable[[#This Row],[prop_id0]] &amp; " " &amp; RADataTable[[#This Row],[last0]]</f>
        <v>RA 1755881 San</v>
      </c>
      <c r="T837">
        <v>3</v>
      </c>
      <c r="U837">
        <v>3</v>
      </c>
      <c r="V837" s="34">
        <v>43031.741666666669</v>
      </c>
      <c r="W837">
        <v>1</v>
      </c>
      <c r="X837" s="15" t="str">
        <f>HYPERLINK("https://www.ejacket.nsf.gov/ej/showProposal.do?Continue=Y&amp;ID="&amp;RADataTable[[#This Row],[prop_id0]],"eJ")</f>
        <v>eJ</v>
      </c>
      <c r="Y837" s="15" t="str">
        <f>HYPERLINK("mailto:"&amp;RADataTable[[#This Row],[email]]&amp;"&amp;subject=Your NSF Proposal:  "&amp;RADataTable[[#This Row],[Div]]&amp;" "&amp;RADataTable[[#This Row],[prop_id0]], RADataTable[[#This Row],[email]])</f>
        <v>osan@okstate.edu</v>
      </c>
      <c r="Z837" s="15" t="str">
        <f>HYPERLINK("mailto:"&amp;RADataTable[[#This Row],[allPIemail]]&amp;"&amp;subject=NSF Proposal:  "&amp;RADataTable[[#This Row],[Div]]&amp;" "&amp;RADataTable[[#This Row],[prop_id0]], "PIs@")</f>
        <v>PIs@</v>
      </c>
      <c r="AA837" t="s">
        <v>245</v>
      </c>
      <c r="AB837" t="s">
        <v>688</v>
      </c>
      <c r="AC837" s="30" t="s">
        <v>883</v>
      </c>
      <c r="AD837" t="s">
        <v>884</v>
      </c>
      <c r="AE837" t="s">
        <v>885</v>
      </c>
      <c r="AF837" s="36">
        <v>170144</v>
      </c>
      <c r="AG837" s="36">
        <v>170144</v>
      </c>
      <c r="AH837" s="24"/>
      <c r="AJ837" s="34"/>
      <c r="AK837" t="s">
        <v>923</v>
      </c>
      <c r="AL837" t="s">
        <v>924</v>
      </c>
      <c r="AM837" s="34" t="s">
        <v>925</v>
      </c>
      <c r="AN837" s="34">
        <v>43032</v>
      </c>
      <c r="AO837" s="24">
        <v>5</v>
      </c>
      <c r="AP837" t="s">
        <v>983</v>
      </c>
      <c r="AR837" s="35"/>
      <c r="AS837"/>
      <c r="AT837" s="34"/>
      <c r="AV837" s="34"/>
      <c r="AX837" s="34"/>
      <c r="AY837"/>
      <c r="BA837" s="34"/>
      <c r="BB837"/>
      <c r="BC837" t="s">
        <v>889</v>
      </c>
      <c r="BD837" s="36">
        <v>170144</v>
      </c>
      <c r="BE837" s="36">
        <v>170144</v>
      </c>
      <c r="BF837">
        <v>0</v>
      </c>
      <c r="BG837" s="34">
        <v>43252</v>
      </c>
      <c r="BH837">
        <v>24</v>
      </c>
      <c r="BI837" t="s">
        <v>974</v>
      </c>
      <c r="BJ837" t="s">
        <v>975</v>
      </c>
      <c r="BK837" t="s">
        <v>234</v>
      </c>
      <c r="BL837" t="s">
        <v>194</v>
      </c>
      <c r="BM837" s="8" t="s">
        <v>192</v>
      </c>
      <c r="BN837" t="s">
        <v>189</v>
      </c>
      <c r="BO837" t="s">
        <v>190</v>
      </c>
      <c r="BP837" s="35" t="s">
        <v>887</v>
      </c>
      <c r="BQ837"/>
      <c r="BU837" s="35"/>
      <c r="BV837" s="35"/>
      <c r="BX837"/>
      <c r="CA837" s="35"/>
      <c r="CB837" s="35"/>
      <c r="CC837"/>
      <c r="CG837" s="35"/>
      <c r="CH837" s="35"/>
      <c r="CK837"/>
      <c r="CM837" s="35"/>
      <c r="CN837" s="35"/>
      <c r="CQ837"/>
      <c r="CS837" s="35"/>
      <c r="CT837" s="35"/>
      <c r="CX837"/>
      <c r="CZ837" s="35"/>
      <c r="DD837" s="34"/>
      <c r="DG837" t="s">
        <v>886</v>
      </c>
      <c r="DH837" t="s">
        <v>984</v>
      </c>
      <c r="DI837" t="s">
        <v>798</v>
      </c>
      <c r="DL837" t="s">
        <v>688</v>
      </c>
      <c r="DM837">
        <v>3</v>
      </c>
      <c r="DN837">
        <v>8</v>
      </c>
      <c r="DO837" t="s">
        <v>888</v>
      </c>
      <c r="DQ837" t="s">
        <v>927</v>
      </c>
      <c r="DR837">
        <v>14</v>
      </c>
      <c r="DS837">
        <v>0</v>
      </c>
      <c r="DU837">
        <v>14</v>
      </c>
      <c r="DV837">
        <v>0</v>
      </c>
      <c r="DX837">
        <v>14</v>
      </c>
      <c r="DY837">
        <v>0</v>
      </c>
      <c r="DZ837" t="s">
        <v>246</v>
      </c>
      <c r="EA837" t="s">
        <v>929</v>
      </c>
    </row>
    <row r="838" spans="1:131" x14ac:dyDescent="0.4">
      <c r="A838" s="34">
        <v>43067.305104166669</v>
      </c>
      <c r="B838" s="25">
        <v>42956.647916666669</v>
      </c>
      <c r="D838" s="34"/>
      <c r="E838" s="34" t="s">
        <v>193</v>
      </c>
      <c r="F838" s="34" t="s">
        <v>191</v>
      </c>
      <c r="G838" s="34" t="s">
        <v>100</v>
      </c>
      <c r="H838" t="s">
        <v>856</v>
      </c>
      <c r="I838" t="s">
        <v>243</v>
      </c>
      <c r="J838" t="s">
        <v>857</v>
      </c>
      <c r="K838" t="s">
        <v>713</v>
      </c>
      <c r="L838" t="s">
        <v>855</v>
      </c>
      <c r="M838" s="30">
        <v>4.05</v>
      </c>
      <c r="N838">
        <v>5.333333333333333</v>
      </c>
      <c r="P838" s="24" t="str">
        <f>IFERROR(MID(RADataTable[[#This Row],[RATemplate]],1,LEN(RADataTable[[#This Row],[RATemplate]])-8),"RA") &amp; " " &amp; RADataTable[[#This Row],[prop_id0]] &amp; " " &amp; RADataTable[[#This Row],[last0]]</f>
        <v>RA 1755881 San</v>
      </c>
      <c r="T838">
        <v>3</v>
      </c>
      <c r="U838">
        <v>3</v>
      </c>
      <c r="V838" s="34">
        <v>43031.741666666669</v>
      </c>
      <c r="W838">
        <v>1</v>
      </c>
      <c r="X838" s="15" t="str">
        <f>HYPERLINK("https://www.ejacket.nsf.gov/ej/showProposal.do?Continue=Y&amp;ID="&amp;RADataTable[[#This Row],[prop_id0]],"eJ")</f>
        <v>eJ</v>
      </c>
      <c r="Y838" s="15" t="str">
        <f>HYPERLINK("mailto:"&amp;RADataTable[[#This Row],[email]]&amp;"&amp;subject=Your NSF Proposal:  "&amp;RADataTable[[#This Row],[Div]]&amp;" "&amp;RADataTable[[#This Row],[prop_id0]], RADataTable[[#This Row],[email]])</f>
        <v>osan@okstate.edu</v>
      </c>
      <c r="Z838" s="15" t="str">
        <f>HYPERLINK("mailto:"&amp;RADataTable[[#This Row],[allPIemail]]&amp;"&amp;subject=NSF Proposal:  "&amp;RADataTable[[#This Row],[Div]]&amp;" "&amp;RADataTable[[#This Row],[prop_id0]], "PIs@")</f>
        <v>PIs@</v>
      </c>
      <c r="AA838" t="s">
        <v>245</v>
      </c>
      <c r="AB838" t="s">
        <v>688</v>
      </c>
      <c r="AC838" s="30" t="s">
        <v>883</v>
      </c>
      <c r="AD838" t="s">
        <v>884</v>
      </c>
      <c r="AE838" t="s">
        <v>885</v>
      </c>
      <c r="AF838" s="36">
        <v>170144</v>
      </c>
      <c r="AG838" s="36">
        <v>170144</v>
      </c>
      <c r="AH838" s="24"/>
      <c r="AJ838" s="34"/>
      <c r="AK838" t="s">
        <v>923</v>
      </c>
      <c r="AL838" t="s">
        <v>924</v>
      </c>
      <c r="AM838" s="34" t="s">
        <v>925</v>
      </c>
      <c r="AN838" s="34">
        <v>43032</v>
      </c>
      <c r="AO838" s="24">
        <v>5</v>
      </c>
      <c r="AP838" t="s">
        <v>983</v>
      </c>
      <c r="AR838" s="35"/>
      <c r="AS838"/>
      <c r="AT838" s="34"/>
      <c r="AV838" s="34"/>
      <c r="AX838" s="34"/>
      <c r="AY838"/>
      <c r="BA838" s="34"/>
      <c r="BB838"/>
      <c r="BC838" t="s">
        <v>889</v>
      </c>
      <c r="BD838" s="36">
        <v>170144</v>
      </c>
      <c r="BE838" s="36">
        <v>170144</v>
      </c>
      <c r="BF838">
        <v>0</v>
      </c>
      <c r="BG838" s="34">
        <v>43252</v>
      </c>
      <c r="BH838">
        <v>24</v>
      </c>
      <c r="BI838" t="s">
        <v>974</v>
      </c>
      <c r="BJ838" t="s">
        <v>975</v>
      </c>
      <c r="BK838" t="s">
        <v>234</v>
      </c>
      <c r="BL838" t="s">
        <v>194</v>
      </c>
      <c r="BM838" s="8" t="s">
        <v>192</v>
      </c>
      <c r="BN838" t="s">
        <v>189</v>
      </c>
      <c r="BO838" t="s">
        <v>190</v>
      </c>
      <c r="BP838" s="35" t="s">
        <v>887</v>
      </c>
      <c r="BQ838"/>
      <c r="BU838" s="35"/>
      <c r="BV838" s="35"/>
      <c r="BX838"/>
      <c r="CA838" s="35"/>
      <c r="CB838" s="35"/>
      <c r="CC838"/>
      <c r="CG838" s="35"/>
      <c r="CH838" s="35"/>
      <c r="CK838"/>
      <c r="CM838" s="35"/>
      <c r="CN838" s="35"/>
      <c r="CQ838"/>
      <c r="CS838" s="35"/>
      <c r="CT838" s="35"/>
      <c r="CX838"/>
      <c r="CZ838" s="35"/>
      <c r="DD838" s="34"/>
      <c r="DG838" t="s">
        <v>886</v>
      </c>
      <c r="DH838" t="s">
        <v>984</v>
      </c>
      <c r="DI838" t="s">
        <v>798</v>
      </c>
      <c r="DL838" t="s">
        <v>688</v>
      </c>
      <c r="DM838">
        <v>3</v>
      </c>
      <c r="DN838">
        <v>8</v>
      </c>
      <c r="DO838" t="s">
        <v>888</v>
      </c>
      <c r="DQ838" t="s">
        <v>927</v>
      </c>
      <c r="DR838">
        <v>14</v>
      </c>
      <c r="DS838">
        <v>0</v>
      </c>
      <c r="DU838">
        <v>14</v>
      </c>
      <c r="DV838">
        <v>0</v>
      </c>
      <c r="DX838">
        <v>14</v>
      </c>
      <c r="DY838">
        <v>0</v>
      </c>
      <c r="DZ838" t="s">
        <v>246</v>
      </c>
      <c r="EA838" t="s">
        <v>929</v>
      </c>
    </row>
    <row r="839" spans="1:131" x14ac:dyDescent="0.4">
      <c r="A839" s="34">
        <v>43067.305104166669</v>
      </c>
      <c r="B839" s="25">
        <v>42956.647916666669</v>
      </c>
      <c r="D839" s="34"/>
      <c r="E839" s="34" t="s">
        <v>193</v>
      </c>
      <c r="F839" s="34" t="s">
        <v>191</v>
      </c>
      <c r="G839" s="34" t="s">
        <v>100</v>
      </c>
      <c r="H839" t="s">
        <v>856</v>
      </c>
      <c r="I839" t="s">
        <v>243</v>
      </c>
      <c r="J839" t="s">
        <v>857</v>
      </c>
      <c r="K839" t="s">
        <v>713</v>
      </c>
      <c r="L839" t="s">
        <v>855</v>
      </c>
      <c r="M839" s="30">
        <v>4.05</v>
      </c>
      <c r="N839">
        <v>5.333333333333333</v>
      </c>
      <c r="P839" s="24" t="str">
        <f>IFERROR(MID(RADataTable[[#This Row],[RATemplate]],1,LEN(RADataTable[[#This Row],[RATemplate]])-8),"RA") &amp; " " &amp; RADataTable[[#This Row],[prop_id0]] &amp; " " &amp; RADataTable[[#This Row],[last0]]</f>
        <v>RA 1755881 San</v>
      </c>
      <c r="T839">
        <v>3</v>
      </c>
      <c r="U839">
        <v>3</v>
      </c>
      <c r="V839" s="34">
        <v>43031.741666666669</v>
      </c>
      <c r="W839">
        <v>1</v>
      </c>
      <c r="X839" s="15" t="str">
        <f>HYPERLINK("https://www.ejacket.nsf.gov/ej/showProposal.do?Continue=Y&amp;ID="&amp;RADataTable[[#This Row],[prop_id0]],"eJ")</f>
        <v>eJ</v>
      </c>
      <c r="Y839" s="15" t="str">
        <f>HYPERLINK("mailto:"&amp;RADataTable[[#This Row],[email]]&amp;"&amp;subject=Your NSF Proposal:  "&amp;RADataTable[[#This Row],[Div]]&amp;" "&amp;RADataTable[[#This Row],[prop_id0]], RADataTable[[#This Row],[email]])</f>
        <v>osan@okstate.edu</v>
      </c>
      <c r="Z839" s="15" t="str">
        <f>HYPERLINK("mailto:"&amp;RADataTable[[#This Row],[allPIemail]]&amp;"&amp;subject=NSF Proposal:  "&amp;RADataTable[[#This Row],[Div]]&amp;" "&amp;RADataTable[[#This Row],[prop_id0]], "PIs@")</f>
        <v>PIs@</v>
      </c>
      <c r="AA839" t="s">
        <v>245</v>
      </c>
      <c r="AB839" t="s">
        <v>688</v>
      </c>
      <c r="AC839" s="30" t="s">
        <v>883</v>
      </c>
      <c r="AD839" t="s">
        <v>884</v>
      </c>
      <c r="AE839" t="s">
        <v>885</v>
      </c>
      <c r="AF839" s="36">
        <v>170144</v>
      </c>
      <c r="AG839" s="36">
        <v>170144</v>
      </c>
      <c r="AH839" s="24"/>
      <c r="AJ839" s="34"/>
      <c r="AK839" t="s">
        <v>923</v>
      </c>
      <c r="AL839" t="s">
        <v>924</v>
      </c>
      <c r="AM839" s="34" t="s">
        <v>925</v>
      </c>
      <c r="AN839" s="34">
        <v>43032</v>
      </c>
      <c r="AO839" s="24">
        <v>5</v>
      </c>
      <c r="AP839" t="s">
        <v>983</v>
      </c>
      <c r="AR839" s="35"/>
      <c r="AS839"/>
      <c r="AT839" s="34"/>
      <c r="AV839" s="34"/>
      <c r="AX839" s="34"/>
      <c r="AY839"/>
      <c r="BA839" s="34"/>
      <c r="BB839"/>
      <c r="BC839" t="s">
        <v>889</v>
      </c>
      <c r="BD839" s="36">
        <v>170144</v>
      </c>
      <c r="BE839" s="36">
        <v>170144</v>
      </c>
      <c r="BF839">
        <v>0</v>
      </c>
      <c r="BG839" s="34">
        <v>43252</v>
      </c>
      <c r="BH839">
        <v>24</v>
      </c>
      <c r="BI839" t="s">
        <v>974</v>
      </c>
      <c r="BJ839" t="s">
        <v>975</v>
      </c>
      <c r="BK839" t="s">
        <v>234</v>
      </c>
      <c r="BL839" t="s">
        <v>194</v>
      </c>
      <c r="BM839" s="8" t="s">
        <v>192</v>
      </c>
      <c r="BN839" t="s">
        <v>189</v>
      </c>
      <c r="BO839" t="s">
        <v>190</v>
      </c>
      <c r="BP839" s="35" t="s">
        <v>887</v>
      </c>
      <c r="BQ839"/>
      <c r="BU839" s="35"/>
      <c r="BV839" s="35"/>
      <c r="BX839"/>
      <c r="CA839" s="35"/>
      <c r="CB839" s="35"/>
      <c r="CC839"/>
      <c r="CG839" s="35"/>
      <c r="CH839" s="35"/>
      <c r="CK839"/>
      <c r="CM839" s="35"/>
      <c r="CN839" s="35"/>
      <c r="CQ839"/>
      <c r="CS839" s="35"/>
      <c r="CT839" s="35"/>
      <c r="CX839"/>
      <c r="CZ839" s="35"/>
      <c r="DD839" s="34"/>
      <c r="DG839" t="s">
        <v>886</v>
      </c>
      <c r="DH839" t="s">
        <v>984</v>
      </c>
      <c r="DI839" t="s">
        <v>798</v>
      </c>
      <c r="DL839" t="s">
        <v>688</v>
      </c>
      <c r="DM839">
        <v>3</v>
      </c>
      <c r="DN839">
        <v>8</v>
      </c>
      <c r="DO839" t="s">
        <v>888</v>
      </c>
      <c r="DQ839" t="s">
        <v>927</v>
      </c>
      <c r="DR839">
        <v>14</v>
      </c>
      <c r="DS839">
        <v>0</v>
      </c>
      <c r="DU839">
        <v>14</v>
      </c>
      <c r="DV839">
        <v>0</v>
      </c>
      <c r="DX839">
        <v>14</v>
      </c>
      <c r="DY839">
        <v>0</v>
      </c>
      <c r="DZ839" t="s">
        <v>246</v>
      </c>
      <c r="EA839" t="s">
        <v>929</v>
      </c>
    </row>
    <row r="840" spans="1:131" x14ac:dyDescent="0.4">
      <c r="A840" s="34">
        <v>43067.305104166669</v>
      </c>
      <c r="B840" s="25">
        <v>42956.697222222225</v>
      </c>
      <c r="D840" s="34"/>
      <c r="E840" s="34" t="s">
        <v>193</v>
      </c>
      <c r="F840" s="34" t="s">
        <v>191</v>
      </c>
      <c r="G840" s="34" t="s">
        <v>100</v>
      </c>
      <c r="H840" t="s">
        <v>856</v>
      </c>
      <c r="I840" t="s">
        <v>243</v>
      </c>
      <c r="J840" t="s">
        <v>857</v>
      </c>
      <c r="K840" t="s">
        <v>713</v>
      </c>
      <c r="L840" t="s">
        <v>855</v>
      </c>
      <c r="M840" s="30">
        <v>4.05</v>
      </c>
      <c r="N840">
        <v>5.333333333333333</v>
      </c>
      <c r="P840" s="24" t="str">
        <f>IFERROR(MID(RADataTable[[#This Row],[RATemplate]],1,LEN(RADataTable[[#This Row],[RATemplate]])-8),"RA") &amp; " " &amp; RADataTable[[#This Row],[prop_id0]] &amp; " " &amp; RADataTable[[#This Row],[last0]]</f>
        <v>RA 1755954 Hajimirza</v>
      </c>
      <c r="T840">
        <v>3</v>
      </c>
      <c r="U840">
        <v>3</v>
      </c>
      <c r="V840" s="34">
        <v>43032.675694444442</v>
      </c>
      <c r="W840">
        <v>1</v>
      </c>
      <c r="X840" s="15" t="str">
        <f>HYPERLINK("https://www.ejacket.nsf.gov/ej/showProposal.do?Continue=Y&amp;ID="&amp;RADataTable[[#This Row],[prop_id0]],"eJ")</f>
        <v>eJ</v>
      </c>
      <c r="Y840" s="15" t="str">
        <f>HYPERLINK("mailto:"&amp;RADataTable[[#This Row],[email]]&amp;"&amp;subject=Your NSF Proposal:  "&amp;RADataTable[[#This Row],[Div]]&amp;" "&amp;RADataTable[[#This Row],[prop_id0]], RADataTable[[#This Row],[email]])</f>
        <v>shima.hm@tamu.edu</v>
      </c>
      <c r="Z840" s="15" t="str">
        <f>HYPERLINK("mailto:"&amp;RADataTable[[#This Row],[allPIemail]]&amp;"&amp;subject=NSF Proposal:  "&amp;RADataTable[[#This Row],[Div]]&amp;" "&amp;RADataTable[[#This Row],[prop_id0]], "PIs@")</f>
        <v>PIs@</v>
      </c>
      <c r="AA840" t="s">
        <v>245</v>
      </c>
      <c r="AB840" t="s">
        <v>689</v>
      </c>
      <c r="AC840" s="30" t="s">
        <v>890</v>
      </c>
      <c r="AD840" t="s">
        <v>891</v>
      </c>
      <c r="AE840" t="s">
        <v>892</v>
      </c>
      <c r="AF840" s="36">
        <v>175000</v>
      </c>
      <c r="AG840" s="36">
        <v>175000</v>
      </c>
      <c r="AH840" s="24"/>
      <c r="AJ840" s="34"/>
      <c r="AK840" t="s">
        <v>923</v>
      </c>
      <c r="AL840" t="s">
        <v>924</v>
      </c>
      <c r="AM840" s="34" t="s">
        <v>925</v>
      </c>
      <c r="AN840" s="34">
        <v>43032</v>
      </c>
      <c r="AO840" s="24">
        <v>5</v>
      </c>
      <c r="AP840" t="s">
        <v>985</v>
      </c>
      <c r="AR840" s="35"/>
      <c r="AS840"/>
      <c r="AT840" s="34"/>
      <c r="AV840" s="34"/>
      <c r="AX840" s="34"/>
      <c r="AY840"/>
      <c r="BA840" s="34"/>
      <c r="BB840"/>
      <c r="BC840" t="s">
        <v>895</v>
      </c>
      <c r="BD840" s="36">
        <v>175000</v>
      </c>
      <c r="BE840" s="36">
        <v>175000</v>
      </c>
      <c r="BF840">
        <v>0</v>
      </c>
      <c r="BG840" s="34">
        <v>43252</v>
      </c>
      <c r="BH840">
        <v>24</v>
      </c>
      <c r="BI840" t="s">
        <v>974</v>
      </c>
      <c r="BJ840" t="s">
        <v>975</v>
      </c>
      <c r="BK840" t="s">
        <v>234</v>
      </c>
      <c r="BL840" t="s">
        <v>194</v>
      </c>
      <c r="BM840" s="8" t="s">
        <v>192</v>
      </c>
      <c r="BN840" t="s">
        <v>189</v>
      </c>
      <c r="BO840" t="s">
        <v>190</v>
      </c>
      <c r="BP840" s="35" t="s">
        <v>880</v>
      </c>
      <c r="BQ840"/>
      <c r="BU840" s="35"/>
      <c r="BV840" s="35"/>
      <c r="BX840"/>
      <c r="CA840" s="35"/>
      <c r="CB840" s="35"/>
      <c r="CC840"/>
      <c r="CG840" s="35"/>
      <c r="CH840" s="35"/>
      <c r="CK840"/>
      <c r="CM840" s="35"/>
      <c r="CN840" s="35"/>
      <c r="CQ840"/>
      <c r="CS840" s="35"/>
      <c r="CT840" s="35"/>
      <c r="CX840"/>
      <c r="CZ840" s="35"/>
      <c r="DD840" s="34"/>
      <c r="DG840" t="s">
        <v>893</v>
      </c>
      <c r="DH840" t="s">
        <v>986</v>
      </c>
      <c r="DI840" t="s">
        <v>798</v>
      </c>
      <c r="DL840" t="s">
        <v>689</v>
      </c>
      <c r="DM840">
        <v>4</v>
      </c>
      <c r="DN840">
        <v>7</v>
      </c>
      <c r="DO840" t="s">
        <v>894</v>
      </c>
      <c r="DQ840" t="s">
        <v>927</v>
      </c>
      <c r="DR840">
        <v>14</v>
      </c>
      <c r="DS840">
        <v>0</v>
      </c>
      <c r="DU840">
        <v>14</v>
      </c>
      <c r="DV840">
        <v>0</v>
      </c>
      <c r="DX840">
        <v>14</v>
      </c>
      <c r="DY840">
        <v>0</v>
      </c>
      <c r="DZ840" t="s">
        <v>246</v>
      </c>
      <c r="EA840" t="s">
        <v>929</v>
      </c>
    </row>
    <row r="841" spans="1:131" x14ac:dyDescent="0.4">
      <c r="A841" s="34">
        <v>43067.305104166669</v>
      </c>
      <c r="B841" s="25">
        <v>42956.697222222225</v>
      </c>
      <c r="D841" s="34"/>
      <c r="E841" s="34" t="s">
        <v>193</v>
      </c>
      <c r="F841" s="34" t="s">
        <v>191</v>
      </c>
      <c r="G841" s="34" t="s">
        <v>100</v>
      </c>
      <c r="H841" t="s">
        <v>856</v>
      </c>
      <c r="I841" t="s">
        <v>243</v>
      </c>
      <c r="J841" t="s">
        <v>857</v>
      </c>
      <c r="K841" t="s">
        <v>713</v>
      </c>
      <c r="L841" t="s">
        <v>855</v>
      </c>
      <c r="M841" s="30">
        <v>4.05</v>
      </c>
      <c r="N841">
        <v>5.333333333333333</v>
      </c>
      <c r="P841" s="24" t="str">
        <f>IFERROR(MID(RADataTable[[#This Row],[RATemplate]],1,LEN(RADataTable[[#This Row],[RATemplate]])-8),"RA") &amp; " " &amp; RADataTable[[#This Row],[prop_id0]] &amp; " " &amp; RADataTable[[#This Row],[last0]]</f>
        <v>RA 1755954 Hajimirza</v>
      </c>
      <c r="T841">
        <v>3</v>
      </c>
      <c r="U841">
        <v>3</v>
      </c>
      <c r="V841" s="34">
        <v>43032.675694444442</v>
      </c>
      <c r="W841">
        <v>1</v>
      </c>
      <c r="X841" s="15" t="str">
        <f>HYPERLINK("https://www.ejacket.nsf.gov/ej/showProposal.do?Continue=Y&amp;ID="&amp;RADataTable[[#This Row],[prop_id0]],"eJ")</f>
        <v>eJ</v>
      </c>
      <c r="Y841" s="15" t="str">
        <f>HYPERLINK("mailto:"&amp;RADataTable[[#This Row],[email]]&amp;"&amp;subject=Your NSF Proposal:  "&amp;RADataTable[[#This Row],[Div]]&amp;" "&amp;RADataTable[[#This Row],[prop_id0]], RADataTable[[#This Row],[email]])</f>
        <v>shima.hm@tamu.edu</v>
      </c>
      <c r="Z841" s="15" t="str">
        <f>HYPERLINK("mailto:"&amp;RADataTable[[#This Row],[allPIemail]]&amp;"&amp;subject=NSF Proposal:  "&amp;RADataTable[[#This Row],[Div]]&amp;" "&amp;RADataTable[[#This Row],[prop_id0]], "PIs@")</f>
        <v>PIs@</v>
      </c>
      <c r="AA841" t="s">
        <v>245</v>
      </c>
      <c r="AB841" t="s">
        <v>689</v>
      </c>
      <c r="AC841" s="30" t="s">
        <v>890</v>
      </c>
      <c r="AD841" t="s">
        <v>891</v>
      </c>
      <c r="AE841" t="s">
        <v>892</v>
      </c>
      <c r="AF841" s="36">
        <v>175000</v>
      </c>
      <c r="AG841" s="36">
        <v>175000</v>
      </c>
      <c r="AH841" s="24"/>
      <c r="AJ841" s="34"/>
      <c r="AK841" t="s">
        <v>923</v>
      </c>
      <c r="AL841" t="s">
        <v>924</v>
      </c>
      <c r="AM841" s="34" t="s">
        <v>925</v>
      </c>
      <c r="AN841" s="34">
        <v>43032</v>
      </c>
      <c r="AO841" s="24">
        <v>5</v>
      </c>
      <c r="AP841" t="s">
        <v>985</v>
      </c>
      <c r="AR841" s="35"/>
      <c r="AS841"/>
      <c r="AT841" s="34"/>
      <c r="AV841" s="34"/>
      <c r="AX841" s="34"/>
      <c r="AY841"/>
      <c r="BA841" s="34"/>
      <c r="BB841"/>
      <c r="BC841" t="s">
        <v>895</v>
      </c>
      <c r="BD841" s="36">
        <v>175000</v>
      </c>
      <c r="BE841" s="36">
        <v>175000</v>
      </c>
      <c r="BF841">
        <v>0</v>
      </c>
      <c r="BG841" s="34">
        <v>43252</v>
      </c>
      <c r="BH841">
        <v>24</v>
      </c>
      <c r="BI841" t="s">
        <v>974</v>
      </c>
      <c r="BJ841" t="s">
        <v>975</v>
      </c>
      <c r="BK841" t="s">
        <v>234</v>
      </c>
      <c r="BL841" t="s">
        <v>194</v>
      </c>
      <c r="BM841" s="8" t="s">
        <v>192</v>
      </c>
      <c r="BN841" t="s">
        <v>189</v>
      </c>
      <c r="BO841" t="s">
        <v>190</v>
      </c>
      <c r="BP841" s="35" t="s">
        <v>880</v>
      </c>
      <c r="BQ841"/>
      <c r="BU841" s="35"/>
      <c r="BV841" s="35"/>
      <c r="BX841"/>
      <c r="CA841" s="35"/>
      <c r="CB841" s="35"/>
      <c r="CC841"/>
      <c r="CG841" s="35"/>
      <c r="CH841" s="35"/>
      <c r="CK841"/>
      <c r="CM841" s="35"/>
      <c r="CN841" s="35"/>
      <c r="CQ841"/>
      <c r="CS841" s="35"/>
      <c r="CT841" s="35"/>
      <c r="CX841"/>
      <c r="CZ841" s="35"/>
      <c r="DD841" s="34"/>
      <c r="DG841" t="s">
        <v>893</v>
      </c>
      <c r="DH841" t="s">
        <v>986</v>
      </c>
      <c r="DI841" t="s">
        <v>798</v>
      </c>
      <c r="DL841" t="s">
        <v>689</v>
      </c>
      <c r="DM841">
        <v>4</v>
      </c>
      <c r="DN841">
        <v>7</v>
      </c>
      <c r="DO841" t="s">
        <v>894</v>
      </c>
      <c r="DQ841" t="s">
        <v>927</v>
      </c>
      <c r="DR841">
        <v>14</v>
      </c>
      <c r="DS841">
        <v>0</v>
      </c>
      <c r="DU841">
        <v>14</v>
      </c>
      <c r="DV841">
        <v>0</v>
      </c>
      <c r="DX841">
        <v>14</v>
      </c>
      <c r="DY841">
        <v>0</v>
      </c>
      <c r="DZ841" t="s">
        <v>246</v>
      </c>
      <c r="EA841" t="s">
        <v>929</v>
      </c>
    </row>
    <row r="842" spans="1:131" x14ac:dyDescent="0.4">
      <c r="A842" s="34">
        <v>43067.305104166669</v>
      </c>
      <c r="B842" s="25">
        <v>42956.697222222225</v>
      </c>
      <c r="D842" s="34"/>
      <c r="E842" s="34" t="s">
        <v>193</v>
      </c>
      <c r="F842" s="34" t="s">
        <v>191</v>
      </c>
      <c r="G842" s="34" t="s">
        <v>100</v>
      </c>
      <c r="H842" t="s">
        <v>856</v>
      </c>
      <c r="I842" t="s">
        <v>243</v>
      </c>
      <c r="J842" t="s">
        <v>857</v>
      </c>
      <c r="K842" t="s">
        <v>713</v>
      </c>
      <c r="L842" t="s">
        <v>855</v>
      </c>
      <c r="M842" s="30">
        <v>4.05</v>
      </c>
      <c r="N842">
        <v>5.333333333333333</v>
      </c>
      <c r="P842" s="24" t="str">
        <f>IFERROR(MID(RADataTable[[#This Row],[RATemplate]],1,LEN(RADataTable[[#This Row],[RATemplate]])-8),"RA") &amp; " " &amp; RADataTable[[#This Row],[prop_id0]] &amp; " " &amp; RADataTable[[#This Row],[last0]]</f>
        <v>RA 1755954 Hajimirza</v>
      </c>
      <c r="T842">
        <v>3</v>
      </c>
      <c r="U842">
        <v>3</v>
      </c>
      <c r="V842" s="34">
        <v>43032.675694444442</v>
      </c>
      <c r="W842">
        <v>1</v>
      </c>
      <c r="X842" s="15" t="str">
        <f>HYPERLINK("https://www.ejacket.nsf.gov/ej/showProposal.do?Continue=Y&amp;ID="&amp;RADataTable[[#This Row],[prop_id0]],"eJ")</f>
        <v>eJ</v>
      </c>
      <c r="Y842" s="15" t="str">
        <f>HYPERLINK("mailto:"&amp;RADataTable[[#This Row],[email]]&amp;"&amp;subject=Your NSF Proposal:  "&amp;RADataTable[[#This Row],[Div]]&amp;" "&amp;RADataTable[[#This Row],[prop_id0]], RADataTable[[#This Row],[email]])</f>
        <v>shima.hm@tamu.edu</v>
      </c>
      <c r="Z842" s="15" t="str">
        <f>HYPERLINK("mailto:"&amp;RADataTable[[#This Row],[allPIemail]]&amp;"&amp;subject=NSF Proposal:  "&amp;RADataTable[[#This Row],[Div]]&amp;" "&amp;RADataTable[[#This Row],[prop_id0]], "PIs@")</f>
        <v>PIs@</v>
      </c>
      <c r="AA842" t="s">
        <v>245</v>
      </c>
      <c r="AB842" t="s">
        <v>689</v>
      </c>
      <c r="AC842" s="30" t="s">
        <v>890</v>
      </c>
      <c r="AD842" t="s">
        <v>891</v>
      </c>
      <c r="AE842" t="s">
        <v>892</v>
      </c>
      <c r="AF842" s="36">
        <v>175000</v>
      </c>
      <c r="AG842" s="36">
        <v>175000</v>
      </c>
      <c r="AH842" s="24"/>
      <c r="AJ842" s="34"/>
      <c r="AK842" t="s">
        <v>923</v>
      </c>
      <c r="AL842" t="s">
        <v>924</v>
      </c>
      <c r="AM842" s="34" t="s">
        <v>925</v>
      </c>
      <c r="AN842" s="34">
        <v>43032</v>
      </c>
      <c r="AO842" s="24">
        <v>5</v>
      </c>
      <c r="AP842" t="s">
        <v>985</v>
      </c>
      <c r="AR842" s="35"/>
      <c r="AS842"/>
      <c r="AT842" s="34"/>
      <c r="AV842" s="34"/>
      <c r="AX842" s="34"/>
      <c r="AY842"/>
      <c r="BA842" s="34"/>
      <c r="BB842"/>
      <c r="BC842" t="s">
        <v>895</v>
      </c>
      <c r="BD842" s="36">
        <v>175000</v>
      </c>
      <c r="BE842" s="36">
        <v>175000</v>
      </c>
      <c r="BF842">
        <v>0</v>
      </c>
      <c r="BG842" s="34">
        <v>43252</v>
      </c>
      <c r="BH842">
        <v>24</v>
      </c>
      <c r="BI842" t="s">
        <v>974</v>
      </c>
      <c r="BJ842" t="s">
        <v>975</v>
      </c>
      <c r="BK842" t="s">
        <v>234</v>
      </c>
      <c r="BL842" t="s">
        <v>194</v>
      </c>
      <c r="BM842" s="8" t="s">
        <v>192</v>
      </c>
      <c r="BN842" t="s">
        <v>189</v>
      </c>
      <c r="BO842" t="s">
        <v>190</v>
      </c>
      <c r="BP842" s="35" t="s">
        <v>880</v>
      </c>
      <c r="BQ842"/>
      <c r="BU842" s="35"/>
      <c r="BV842" s="35"/>
      <c r="BX842"/>
      <c r="CA842" s="35"/>
      <c r="CB842" s="35"/>
      <c r="CC842"/>
      <c r="CG842" s="35"/>
      <c r="CH842" s="35"/>
      <c r="CK842"/>
      <c r="CM842" s="35"/>
      <c r="CN842" s="35"/>
      <c r="CQ842"/>
      <c r="CS842" s="35"/>
      <c r="CT842" s="35"/>
      <c r="CX842"/>
      <c r="CZ842" s="35"/>
      <c r="DD842" s="34"/>
      <c r="DG842" t="s">
        <v>893</v>
      </c>
      <c r="DH842" t="s">
        <v>986</v>
      </c>
      <c r="DI842" t="s">
        <v>798</v>
      </c>
      <c r="DL842" t="s">
        <v>689</v>
      </c>
      <c r="DM842">
        <v>4</v>
      </c>
      <c r="DN842">
        <v>7</v>
      </c>
      <c r="DO842" t="s">
        <v>894</v>
      </c>
      <c r="DQ842" t="s">
        <v>927</v>
      </c>
      <c r="DR842">
        <v>14</v>
      </c>
      <c r="DS842">
        <v>0</v>
      </c>
      <c r="DU842">
        <v>14</v>
      </c>
      <c r="DV842">
        <v>0</v>
      </c>
      <c r="DX842">
        <v>14</v>
      </c>
      <c r="DY842">
        <v>0</v>
      </c>
      <c r="DZ842" t="s">
        <v>246</v>
      </c>
      <c r="EA842" t="s">
        <v>929</v>
      </c>
    </row>
    <row r="843" spans="1:131" x14ac:dyDescent="0.4">
      <c r="A843" s="34">
        <v>43067.305104166669</v>
      </c>
      <c r="B843" s="25">
        <v>42956.697222222225</v>
      </c>
      <c r="D843" s="34"/>
      <c r="E843" s="34" t="s">
        <v>193</v>
      </c>
      <c r="F843" s="34" t="s">
        <v>191</v>
      </c>
      <c r="G843" s="34" t="s">
        <v>100</v>
      </c>
      <c r="H843" t="s">
        <v>856</v>
      </c>
      <c r="I843" t="s">
        <v>243</v>
      </c>
      <c r="J843" t="s">
        <v>857</v>
      </c>
      <c r="K843" t="s">
        <v>713</v>
      </c>
      <c r="L843" t="s">
        <v>855</v>
      </c>
      <c r="M843" s="30">
        <v>4.05</v>
      </c>
      <c r="N843">
        <v>5.333333333333333</v>
      </c>
      <c r="P843" s="24" t="str">
        <f>IFERROR(MID(RADataTable[[#This Row],[RATemplate]],1,LEN(RADataTable[[#This Row],[RATemplate]])-8),"RA") &amp; " " &amp; RADataTable[[#This Row],[prop_id0]] &amp; " " &amp; RADataTable[[#This Row],[last0]]</f>
        <v>RA 1755954 Hajimirza</v>
      </c>
      <c r="T843">
        <v>3</v>
      </c>
      <c r="U843">
        <v>3</v>
      </c>
      <c r="V843" s="34">
        <v>43032.675694444442</v>
      </c>
      <c r="W843">
        <v>1</v>
      </c>
      <c r="X843" s="15" t="str">
        <f>HYPERLINK("https://www.ejacket.nsf.gov/ej/showProposal.do?Continue=Y&amp;ID="&amp;RADataTable[[#This Row],[prop_id0]],"eJ")</f>
        <v>eJ</v>
      </c>
      <c r="Y843" s="15" t="str">
        <f>HYPERLINK("mailto:"&amp;RADataTable[[#This Row],[email]]&amp;"&amp;subject=Your NSF Proposal:  "&amp;RADataTable[[#This Row],[Div]]&amp;" "&amp;RADataTable[[#This Row],[prop_id0]], RADataTable[[#This Row],[email]])</f>
        <v>shima.hm@tamu.edu</v>
      </c>
      <c r="Z843" s="15" t="str">
        <f>HYPERLINK("mailto:"&amp;RADataTable[[#This Row],[allPIemail]]&amp;"&amp;subject=NSF Proposal:  "&amp;RADataTable[[#This Row],[Div]]&amp;" "&amp;RADataTable[[#This Row],[prop_id0]], "PIs@")</f>
        <v>PIs@</v>
      </c>
      <c r="AA843" t="s">
        <v>245</v>
      </c>
      <c r="AB843" t="s">
        <v>689</v>
      </c>
      <c r="AC843" s="30" t="s">
        <v>890</v>
      </c>
      <c r="AD843" t="s">
        <v>891</v>
      </c>
      <c r="AE843" t="s">
        <v>892</v>
      </c>
      <c r="AF843" s="36">
        <v>175000</v>
      </c>
      <c r="AG843" s="36">
        <v>175000</v>
      </c>
      <c r="AH843" s="24"/>
      <c r="AJ843" s="34"/>
      <c r="AK843" t="s">
        <v>923</v>
      </c>
      <c r="AL843" t="s">
        <v>924</v>
      </c>
      <c r="AM843" s="34" t="s">
        <v>925</v>
      </c>
      <c r="AN843" s="34">
        <v>43032</v>
      </c>
      <c r="AO843" s="24">
        <v>5</v>
      </c>
      <c r="AP843" t="s">
        <v>985</v>
      </c>
      <c r="AR843" s="35"/>
      <c r="AS843"/>
      <c r="AT843" s="34"/>
      <c r="AV843" s="34"/>
      <c r="AX843" s="34"/>
      <c r="AY843"/>
      <c r="BA843" s="34"/>
      <c r="BB843"/>
      <c r="BC843" t="s">
        <v>895</v>
      </c>
      <c r="BD843" s="36">
        <v>175000</v>
      </c>
      <c r="BE843" s="36">
        <v>175000</v>
      </c>
      <c r="BF843">
        <v>0</v>
      </c>
      <c r="BG843" s="34">
        <v>43252</v>
      </c>
      <c r="BH843">
        <v>24</v>
      </c>
      <c r="BI843" t="s">
        <v>974</v>
      </c>
      <c r="BJ843" t="s">
        <v>975</v>
      </c>
      <c r="BK843" t="s">
        <v>234</v>
      </c>
      <c r="BL843" t="s">
        <v>194</v>
      </c>
      <c r="BM843" s="8" t="s">
        <v>192</v>
      </c>
      <c r="BN843" t="s">
        <v>189</v>
      </c>
      <c r="BO843" t="s">
        <v>190</v>
      </c>
      <c r="BP843" s="35" t="s">
        <v>880</v>
      </c>
      <c r="BQ843"/>
      <c r="BU843" s="35"/>
      <c r="BV843" s="35"/>
      <c r="BX843"/>
      <c r="CA843" s="35"/>
      <c r="CB843" s="35"/>
      <c r="CC843"/>
      <c r="CG843" s="35"/>
      <c r="CH843" s="35"/>
      <c r="CK843"/>
      <c r="CM843" s="35"/>
      <c r="CN843" s="35"/>
      <c r="CQ843"/>
      <c r="CS843" s="35"/>
      <c r="CT843" s="35"/>
      <c r="CX843"/>
      <c r="CZ843" s="35"/>
      <c r="DD843" s="34"/>
      <c r="DG843" t="s">
        <v>893</v>
      </c>
      <c r="DH843" t="s">
        <v>986</v>
      </c>
      <c r="DI843" t="s">
        <v>798</v>
      </c>
      <c r="DL843" t="s">
        <v>689</v>
      </c>
      <c r="DM843">
        <v>4</v>
      </c>
      <c r="DN843">
        <v>7</v>
      </c>
      <c r="DO843" t="s">
        <v>894</v>
      </c>
      <c r="DQ843" t="s">
        <v>927</v>
      </c>
      <c r="DR843">
        <v>14</v>
      </c>
      <c r="DS843">
        <v>0</v>
      </c>
      <c r="DU843">
        <v>14</v>
      </c>
      <c r="DV843">
        <v>0</v>
      </c>
      <c r="DX843">
        <v>14</v>
      </c>
      <c r="DY843">
        <v>0</v>
      </c>
      <c r="DZ843" t="s">
        <v>246</v>
      </c>
      <c r="EA843" t="s">
        <v>929</v>
      </c>
    </row>
    <row r="844" spans="1:131" x14ac:dyDescent="0.4">
      <c r="A844" s="34">
        <v>43067.305104166669</v>
      </c>
      <c r="B844" s="25">
        <v>42956.697222222225</v>
      </c>
      <c r="D844" s="34"/>
      <c r="E844" s="34" t="s">
        <v>193</v>
      </c>
      <c r="F844" s="34" t="s">
        <v>191</v>
      </c>
      <c r="G844" s="34" t="s">
        <v>100</v>
      </c>
      <c r="H844" t="s">
        <v>856</v>
      </c>
      <c r="I844" t="s">
        <v>243</v>
      </c>
      <c r="J844" t="s">
        <v>857</v>
      </c>
      <c r="K844" t="s">
        <v>713</v>
      </c>
      <c r="L844" t="s">
        <v>855</v>
      </c>
      <c r="M844" s="30">
        <v>4.05</v>
      </c>
      <c r="N844">
        <v>5.333333333333333</v>
      </c>
      <c r="P844" s="24" t="str">
        <f>IFERROR(MID(RADataTable[[#This Row],[RATemplate]],1,LEN(RADataTable[[#This Row],[RATemplate]])-8),"RA") &amp; " " &amp; RADataTable[[#This Row],[prop_id0]] &amp; " " &amp; RADataTable[[#This Row],[last0]]</f>
        <v>RA 1755954 Hajimirza</v>
      </c>
      <c r="T844">
        <v>3</v>
      </c>
      <c r="U844">
        <v>3</v>
      </c>
      <c r="V844" s="34">
        <v>43032.675694444442</v>
      </c>
      <c r="W844">
        <v>1</v>
      </c>
      <c r="X844" s="15" t="str">
        <f>HYPERLINK("https://www.ejacket.nsf.gov/ej/showProposal.do?Continue=Y&amp;ID="&amp;RADataTable[[#This Row],[prop_id0]],"eJ")</f>
        <v>eJ</v>
      </c>
      <c r="Y844" s="15" t="str">
        <f>HYPERLINK("mailto:"&amp;RADataTable[[#This Row],[email]]&amp;"&amp;subject=Your NSF Proposal:  "&amp;RADataTable[[#This Row],[Div]]&amp;" "&amp;RADataTable[[#This Row],[prop_id0]], RADataTable[[#This Row],[email]])</f>
        <v>shima.hm@tamu.edu</v>
      </c>
      <c r="Z844" s="15" t="str">
        <f>HYPERLINK("mailto:"&amp;RADataTable[[#This Row],[allPIemail]]&amp;"&amp;subject=NSF Proposal:  "&amp;RADataTable[[#This Row],[Div]]&amp;" "&amp;RADataTable[[#This Row],[prop_id0]], "PIs@")</f>
        <v>PIs@</v>
      </c>
      <c r="AA844" t="s">
        <v>245</v>
      </c>
      <c r="AB844" t="s">
        <v>689</v>
      </c>
      <c r="AC844" s="30" t="s">
        <v>890</v>
      </c>
      <c r="AD844" t="s">
        <v>891</v>
      </c>
      <c r="AE844" t="s">
        <v>892</v>
      </c>
      <c r="AF844" s="36">
        <v>175000</v>
      </c>
      <c r="AG844" s="36">
        <v>175000</v>
      </c>
      <c r="AH844" s="24"/>
      <c r="AJ844" s="34"/>
      <c r="AK844" t="s">
        <v>923</v>
      </c>
      <c r="AL844" t="s">
        <v>924</v>
      </c>
      <c r="AM844" s="34" t="s">
        <v>925</v>
      </c>
      <c r="AN844" s="34">
        <v>43032</v>
      </c>
      <c r="AO844" s="24">
        <v>5</v>
      </c>
      <c r="AP844" t="s">
        <v>985</v>
      </c>
      <c r="AR844" s="35"/>
      <c r="AS844"/>
      <c r="AT844" s="34"/>
      <c r="AV844" s="34"/>
      <c r="AX844" s="34"/>
      <c r="AY844"/>
      <c r="BA844" s="34"/>
      <c r="BB844"/>
      <c r="BC844" t="s">
        <v>895</v>
      </c>
      <c r="BD844" s="36">
        <v>175000</v>
      </c>
      <c r="BE844" s="36">
        <v>175000</v>
      </c>
      <c r="BF844">
        <v>0</v>
      </c>
      <c r="BG844" s="34">
        <v>43252</v>
      </c>
      <c r="BH844">
        <v>24</v>
      </c>
      <c r="BI844" t="s">
        <v>974</v>
      </c>
      <c r="BJ844" t="s">
        <v>975</v>
      </c>
      <c r="BK844" t="s">
        <v>234</v>
      </c>
      <c r="BL844" t="s">
        <v>194</v>
      </c>
      <c r="BM844" s="8" t="s">
        <v>192</v>
      </c>
      <c r="BN844" t="s">
        <v>189</v>
      </c>
      <c r="BO844" t="s">
        <v>190</v>
      </c>
      <c r="BP844" s="35" t="s">
        <v>880</v>
      </c>
      <c r="BQ844"/>
      <c r="BU844" s="35"/>
      <c r="BV844" s="35"/>
      <c r="BX844"/>
      <c r="CA844" s="35"/>
      <c r="CB844" s="35"/>
      <c r="CC844"/>
      <c r="CG844" s="35"/>
      <c r="CH844" s="35"/>
      <c r="CK844"/>
      <c r="CM844" s="35"/>
      <c r="CN844" s="35"/>
      <c r="CQ844"/>
      <c r="CS844" s="35"/>
      <c r="CT844" s="35"/>
      <c r="CX844"/>
      <c r="CZ844" s="35"/>
      <c r="DD844" s="34"/>
      <c r="DG844" t="s">
        <v>893</v>
      </c>
      <c r="DH844" t="s">
        <v>986</v>
      </c>
      <c r="DI844" t="s">
        <v>798</v>
      </c>
      <c r="DL844" t="s">
        <v>689</v>
      </c>
      <c r="DM844">
        <v>4</v>
      </c>
      <c r="DN844">
        <v>7</v>
      </c>
      <c r="DO844" t="s">
        <v>894</v>
      </c>
      <c r="DQ844" t="s">
        <v>927</v>
      </c>
      <c r="DR844">
        <v>14</v>
      </c>
      <c r="DS844">
        <v>0</v>
      </c>
      <c r="DU844">
        <v>14</v>
      </c>
      <c r="DV844">
        <v>0</v>
      </c>
      <c r="DX844">
        <v>14</v>
      </c>
      <c r="DY844">
        <v>0</v>
      </c>
      <c r="DZ844" t="s">
        <v>246</v>
      </c>
      <c r="EA844" t="s">
        <v>929</v>
      </c>
    </row>
    <row r="845" spans="1:131" x14ac:dyDescent="0.4">
      <c r="A845" s="34">
        <v>43067.305104166669</v>
      </c>
      <c r="B845" s="25">
        <v>42956.697222222225</v>
      </c>
      <c r="D845" s="34"/>
      <c r="E845" s="34" t="s">
        <v>193</v>
      </c>
      <c r="F845" s="34" t="s">
        <v>191</v>
      </c>
      <c r="G845" s="34" t="s">
        <v>100</v>
      </c>
      <c r="H845" t="s">
        <v>856</v>
      </c>
      <c r="I845" t="s">
        <v>243</v>
      </c>
      <c r="J845" t="s">
        <v>857</v>
      </c>
      <c r="K845" t="s">
        <v>713</v>
      </c>
      <c r="L845" t="s">
        <v>855</v>
      </c>
      <c r="M845" s="30">
        <v>4.05</v>
      </c>
      <c r="N845">
        <v>5.333333333333333</v>
      </c>
      <c r="P845" s="24" t="str">
        <f>IFERROR(MID(RADataTable[[#This Row],[RATemplate]],1,LEN(RADataTable[[#This Row],[RATemplate]])-8),"RA") &amp; " " &amp; RADataTable[[#This Row],[prop_id0]] &amp; " " &amp; RADataTable[[#This Row],[last0]]</f>
        <v>RA 1755954 Hajimirza</v>
      </c>
      <c r="T845">
        <v>3</v>
      </c>
      <c r="U845">
        <v>3</v>
      </c>
      <c r="V845" s="34">
        <v>43032.675694444442</v>
      </c>
      <c r="W845">
        <v>1</v>
      </c>
      <c r="X845" s="15" t="str">
        <f>HYPERLINK("https://www.ejacket.nsf.gov/ej/showProposal.do?Continue=Y&amp;ID="&amp;RADataTable[[#This Row],[prop_id0]],"eJ")</f>
        <v>eJ</v>
      </c>
      <c r="Y845" s="15" t="str">
        <f>HYPERLINK("mailto:"&amp;RADataTable[[#This Row],[email]]&amp;"&amp;subject=Your NSF Proposal:  "&amp;RADataTable[[#This Row],[Div]]&amp;" "&amp;RADataTable[[#This Row],[prop_id0]], RADataTable[[#This Row],[email]])</f>
        <v>shima.hm@tamu.edu</v>
      </c>
      <c r="Z845" s="15" t="str">
        <f>HYPERLINK("mailto:"&amp;RADataTable[[#This Row],[allPIemail]]&amp;"&amp;subject=NSF Proposal:  "&amp;RADataTable[[#This Row],[Div]]&amp;" "&amp;RADataTable[[#This Row],[prop_id0]], "PIs@")</f>
        <v>PIs@</v>
      </c>
      <c r="AA845" t="s">
        <v>245</v>
      </c>
      <c r="AB845" t="s">
        <v>689</v>
      </c>
      <c r="AC845" s="30" t="s">
        <v>890</v>
      </c>
      <c r="AD845" t="s">
        <v>891</v>
      </c>
      <c r="AE845" t="s">
        <v>892</v>
      </c>
      <c r="AF845" s="36">
        <v>175000</v>
      </c>
      <c r="AG845" s="36">
        <v>175000</v>
      </c>
      <c r="AH845" s="24"/>
      <c r="AJ845" s="34"/>
      <c r="AK845" t="s">
        <v>923</v>
      </c>
      <c r="AL845" t="s">
        <v>924</v>
      </c>
      <c r="AM845" s="34" t="s">
        <v>925</v>
      </c>
      <c r="AN845" s="34">
        <v>43032</v>
      </c>
      <c r="AO845" s="24">
        <v>5</v>
      </c>
      <c r="AP845" t="s">
        <v>985</v>
      </c>
      <c r="AR845" s="35"/>
      <c r="AS845"/>
      <c r="AT845" s="34"/>
      <c r="AV845" s="34"/>
      <c r="AX845" s="34"/>
      <c r="AY845"/>
      <c r="BA845" s="34"/>
      <c r="BB845"/>
      <c r="BC845" t="s">
        <v>895</v>
      </c>
      <c r="BD845" s="36">
        <v>175000</v>
      </c>
      <c r="BE845" s="36">
        <v>175000</v>
      </c>
      <c r="BF845">
        <v>0</v>
      </c>
      <c r="BG845" s="34">
        <v>43252</v>
      </c>
      <c r="BH845">
        <v>24</v>
      </c>
      <c r="BI845" t="s">
        <v>974</v>
      </c>
      <c r="BJ845" t="s">
        <v>975</v>
      </c>
      <c r="BK845" t="s">
        <v>234</v>
      </c>
      <c r="BL845" t="s">
        <v>194</v>
      </c>
      <c r="BM845" s="8" t="s">
        <v>192</v>
      </c>
      <c r="BN845" t="s">
        <v>189</v>
      </c>
      <c r="BO845" t="s">
        <v>190</v>
      </c>
      <c r="BP845" s="35" t="s">
        <v>880</v>
      </c>
      <c r="BQ845"/>
      <c r="BU845" s="35"/>
      <c r="BV845" s="35"/>
      <c r="BX845"/>
      <c r="CA845" s="35"/>
      <c r="CB845" s="35"/>
      <c r="CC845"/>
      <c r="CG845" s="35"/>
      <c r="CH845" s="35"/>
      <c r="CK845"/>
      <c r="CM845" s="35"/>
      <c r="CN845" s="35"/>
      <c r="CQ845"/>
      <c r="CS845" s="35"/>
      <c r="CT845" s="35"/>
      <c r="CX845"/>
      <c r="CZ845" s="35"/>
      <c r="DD845" s="34"/>
      <c r="DG845" t="s">
        <v>893</v>
      </c>
      <c r="DH845" t="s">
        <v>986</v>
      </c>
      <c r="DI845" t="s">
        <v>798</v>
      </c>
      <c r="DL845" t="s">
        <v>689</v>
      </c>
      <c r="DM845">
        <v>4</v>
      </c>
      <c r="DN845">
        <v>7</v>
      </c>
      <c r="DO845" t="s">
        <v>894</v>
      </c>
      <c r="DQ845" t="s">
        <v>927</v>
      </c>
      <c r="DR845">
        <v>14</v>
      </c>
      <c r="DS845">
        <v>0</v>
      </c>
      <c r="DU845">
        <v>14</v>
      </c>
      <c r="DV845">
        <v>0</v>
      </c>
      <c r="DX845">
        <v>14</v>
      </c>
      <c r="DY845">
        <v>0</v>
      </c>
      <c r="DZ845" t="s">
        <v>246</v>
      </c>
      <c r="EA845" t="s">
        <v>929</v>
      </c>
    </row>
    <row r="846" spans="1:131" x14ac:dyDescent="0.4">
      <c r="A846" s="34">
        <v>43067.305104166669</v>
      </c>
      <c r="B846" s="25">
        <v>42956.697222222225</v>
      </c>
      <c r="D846" s="34"/>
      <c r="E846" s="34" t="s">
        <v>193</v>
      </c>
      <c r="F846" s="34" t="s">
        <v>191</v>
      </c>
      <c r="G846" s="34" t="s">
        <v>100</v>
      </c>
      <c r="H846" t="s">
        <v>856</v>
      </c>
      <c r="I846" t="s">
        <v>243</v>
      </c>
      <c r="J846" t="s">
        <v>857</v>
      </c>
      <c r="K846" t="s">
        <v>713</v>
      </c>
      <c r="L846" t="s">
        <v>855</v>
      </c>
      <c r="M846" s="30">
        <v>4.05</v>
      </c>
      <c r="N846">
        <v>5.333333333333333</v>
      </c>
      <c r="P846" s="24" t="str">
        <f>IFERROR(MID(RADataTable[[#This Row],[RATemplate]],1,LEN(RADataTable[[#This Row],[RATemplate]])-8),"RA") &amp; " " &amp; RADataTable[[#This Row],[prop_id0]] &amp; " " &amp; RADataTable[[#This Row],[last0]]</f>
        <v>RA 1755954 Hajimirza</v>
      </c>
      <c r="T846">
        <v>3</v>
      </c>
      <c r="U846">
        <v>3</v>
      </c>
      <c r="V846" s="34">
        <v>43032.675694444442</v>
      </c>
      <c r="W846">
        <v>1</v>
      </c>
      <c r="X846" s="15" t="str">
        <f>HYPERLINK("https://www.ejacket.nsf.gov/ej/showProposal.do?Continue=Y&amp;ID="&amp;RADataTable[[#This Row],[prop_id0]],"eJ")</f>
        <v>eJ</v>
      </c>
      <c r="Y846" s="15" t="str">
        <f>HYPERLINK("mailto:"&amp;RADataTable[[#This Row],[email]]&amp;"&amp;subject=Your NSF Proposal:  "&amp;RADataTable[[#This Row],[Div]]&amp;" "&amp;RADataTable[[#This Row],[prop_id0]], RADataTable[[#This Row],[email]])</f>
        <v>shima.hm@tamu.edu</v>
      </c>
      <c r="Z846" s="15" t="str">
        <f>HYPERLINK("mailto:"&amp;RADataTable[[#This Row],[allPIemail]]&amp;"&amp;subject=NSF Proposal:  "&amp;RADataTable[[#This Row],[Div]]&amp;" "&amp;RADataTable[[#This Row],[prop_id0]], "PIs@")</f>
        <v>PIs@</v>
      </c>
      <c r="AA846" t="s">
        <v>245</v>
      </c>
      <c r="AB846" t="s">
        <v>689</v>
      </c>
      <c r="AC846" s="30" t="s">
        <v>890</v>
      </c>
      <c r="AD846" t="s">
        <v>891</v>
      </c>
      <c r="AE846" t="s">
        <v>892</v>
      </c>
      <c r="AF846" s="36">
        <v>175000</v>
      </c>
      <c r="AG846" s="36">
        <v>175000</v>
      </c>
      <c r="AH846" s="24"/>
      <c r="AJ846" s="34"/>
      <c r="AK846" t="s">
        <v>923</v>
      </c>
      <c r="AL846" t="s">
        <v>924</v>
      </c>
      <c r="AM846" s="34" t="s">
        <v>925</v>
      </c>
      <c r="AN846" s="34">
        <v>43032</v>
      </c>
      <c r="AO846" s="24">
        <v>5</v>
      </c>
      <c r="AP846" t="s">
        <v>985</v>
      </c>
      <c r="AR846" s="35"/>
      <c r="AS846"/>
      <c r="AT846" s="34"/>
      <c r="AV846" s="34"/>
      <c r="AX846" s="34"/>
      <c r="AY846"/>
      <c r="BA846" s="34"/>
      <c r="BB846"/>
      <c r="BC846" t="s">
        <v>895</v>
      </c>
      <c r="BD846" s="36">
        <v>175000</v>
      </c>
      <c r="BE846" s="36">
        <v>175000</v>
      </c>
      <c r="BF846">
        <v>0</v>
      </c>
      <c r="BG846" s="34">
        <v>43252</v>
      </c>
      <c r="BH846">
        <v>24</v>
      </c>
      <c r="BI846" t="s">
        <v>974</v>
      </c>
      <c r="BJ846" t="s">
        <v>975</v>
      </c>
      <c r="BK846" t="s">
        <v>234</v>
      </c>
      <c r="BL846" t="s">
        <v>194</v>
      </c>
      <c r="BM846" s="8" t="s">
        <v>192</v>
      </c>
      <c r="BN846" t="s">
        <v>189</v>
      </c>
      <c r="BO846" t="s">
        <v>190</v>
      </c>
      <c r="BP846" s="35" t="s">
        <v>880</v>
      </c>
      <c r="BQ846"/>
      <c r="BU846" s="35"/>
      <c r="BV846" s="35"/>
      <c r="BX846"/>
      <c r="CA846" s="35"/>
      <c r="CB846" s="35"/>
      <c r="CC846"/>
      <c r="CG846" s="35"/>
      <c r="CH846" s="35"/>
      <c r="CK846"/>
      <c r="CM846" s="35"/>
      <c r="CN846" s="35"/>
      <c r="CQ846"/>
      <c r="CS846" s="35"/>
      <c r="CT846" s="35"/>
      <c r="CX846"/>
      <c r="CZ846" s="35"/>
      <c r="DD846" s="34"/>
      <c r="DG846" t="s">
        <v>893</v>
      </c>
      <c r="DH846" t="s">
        <v>986</v>
      </c>
      <c r="DI846" t="s">
        <v>798</v>
      </c>
      <c r="DL846" t="s">
        <v>689</v>
      </c>
      <c r="DM846">
        <v>4</v>
      </c>
      <c r="DN846">
        <v>7</v>
      </c>
      <c r="DO846" t="s">
        <v>894</v>
      </c>
      <c r="DQ846" t="s">
        <v>927</v>
      </c>
      <c r="DR846">
        <v>14</v>
      </c>
      <c r="DS846">
        <v>0</v>
      </c>
      <c r="DU846">
        <v>14</v>
      </c>
      <c r="DV846">
        <v>0</v>
      </c>
      <c r="DX846">
        <v>14</v>
      </c>
      <c r="DY846">
        <v>0</v>
      </c>
      <c r="DZ846" t="s">
        <v>246</v>
      </c>
      <c r="EA846" t="s">
        <v>929</v>
      </c>
    </row>
    <row r="847" spans="1:131" x14ac:dyDescent="0.4">
      <c r="A847" s="34">
        <v>43067.305104166669</v>
      </c>
      <c r="B847" s="25">
        <v>42956.697222222225</v>
      </c>
      <c r="D847" s="34"/>
      <c r="E847" s="34" t="s">
        <v>193</v>
      </c>
      <c r="F847" s="34" t="s">
        <v>191</v>
      </c>
      <c r="G847" s="34" t="s">
        <v>100</v>
      </c>
      <c r="H847" t="s">
        <v>856</v>
      </c>
      <c r="I847" t="s">
        <v>243</v>
      </c>
      <c r="J847" t="s">
        <v>857</v>
      </c>
      <c r="K847" t="s">
        <v>713</v>
      </c>
      <c r="L847" t="s">
        <v>855</v>
      </c>
      <c r="M847" s="30">
        <v>4.05</v>
      </c>
      <c r="N847">
        <v>5.333333333333333</v>
      </c>
      <c r="P847" s="24" t="str">
        <f>IFERROR(MID(RADataTable[[#This Row],[RATemplate]],1,LEN(RADataTable[[#This Row],[RATemplate]])-8),"RA") &amp; " " &amp; RADataTable[[#This Row],[prop_id0]] &amp; " " &amp; RADataTable[[#This Row],[last0]]</f>
        <v>RA 1755954 Hajimirza</v>
      </c>
      <c r="T847">
        <v>3</v>
      </c>
      <c r="U847">
        <v>3</v>
      </c>
      <c r="V847" s="34">
        <v>43032.675694444442</v>
      </c>
      <c r="W847">
        <v>1</v>
      </c>
      <c r="X847" s="15" t="str">
        <f>HYPERLINK("https://www.ejacket.nsf.gov/ej/showProposal.do?Continue=Y&amp;ID="&amp;RADataTable[[#This Row],[prop_id0]],"eJ")</f>
        <v>eJ</v>
      </c>
      <c r="Y847" s="15" t="str">
        <f>HYPERLINK("mailto:"&amp;RADataTable[[#This Row],[email]]&amp;"&amp;subject=Your NSF Proposal:  "&amp;RADataTable[[#This Row],[Div]]&amp;" "&amp;RADataTable[[#This Row],[prop_id0]], RADataTable[[#This Row],[email]])</f>
        <v>shima.hm@tamu.edu</v>
      </c>
      <c r="Z847" s="15" t="str">
        <f>HYPERLINK("mailto:"&amp;RADataTable[[#This Row],[allPIemail]]&amp;"&amp;subject=NSF Proposal:  "&amp;RADataTable[[#This Row],[Div]]&amp;" "&amp;RADataTable[[#This Row],[prop_id0]], "PIs@")</f>
        <v>PIs@</v>
      </c>
      <c r="AA847" t="s">
        <v>245</v>
      </c>
      <c r="AB847" t="s">
        <v>689</v>
      </c>
      <c r="AC847" s="30" t="s">
        <v>890</v>
      </c>
      <c r="AD847" t="s">
        <v>891</v>
      </c>
      <c r="AE847" t="s">
        <v>892</v>
      </c>
      <c r="AF847" s="36">
        <v>175000</v>
      </c>
      <c r="AG847" s="36">
        <v>175000</v>
      </c>
      <c r="AH847" s="24"/>
      <c r="AJ847" s="34"/>
      <c r="AK847" t="s">
        <v>923</v>
      </c>
      <c r="AL847" t="s">
        <v>924</v>
      </c>
      <c r="AM847" s="34" t="s">
        <v>925</v>
      </c>
      <c r="AN847" s="34">
        <v>43032</v>
      </c>
      <c r="AO847" s="24">
        <v>5</v>
      </c>
      <c r="AP847" t="s">
        <v>985</v>
      </c>
      <c r="AR847" s="35"/>
      <c r="AS847"/>
      <c r="AT847" s="34"/>
      <c r="AV847" s="34"/>
      <c r="AX847" s="34"/>
      <c r="AY847"/>
      <c r="BA847" s="34"/>
      <c r="BB847"/>
      <c r="BC847" t="s">
        <v>895</v>
      </c>
      <c r="BD847" s="36">
        <v>175000</v>
      </c>
      <c r="BE847" s="36">
        <v>175000</v>
      </c>
      <c r="BF847">
        <v>0</v>
      </c>
      <c r="BG847" s="34">
        <v>43252</v>
      </c>
      <c r="BH847">
        <v>24</v>
      </c>
      <c r="BI847" t="s">
        <v>974</v>
      </c>
      <c r="BJ847" t="s">
        <v>975</v>
      </c>
      <c r="BK847" t="s">
        <v>234</v>
      </c>
      <c r="BL847" t="s">
        <v>194</v>
      </c>
      <c r="BM847" s="8" t="s">
        <v>192</v>
      </c>
      <c r="BN847" t="s">
        <v>189</v>
      </c>
      <c r="BO847" t="s">
        <v>190</v>
      </c>
      <c r="BP847" s="35" t="s">
        <v>880</v>
      </c>
      <c r="BQ847"/>
      <c r="BU847" s="35"/>
      <c r="BV847" s="35"/>
      <c r="BX847"/>
      <c r="CA847" s="35"/>
      <c r="CB847" s="35"/>
      <c r="CC847"/>
      <c r="CG847" s="35"/>
      <c r="CH847" s="35"/>
      <c r="CK847"/>
      <c r="CM847" s="35"/>
      <c r="CN847" s="35"/>
      <c r="CQ847"/>
      <c r="CS847" s="35"/>
      <c r="CT847" s="35"/>
      <c r="CX847"/>
      <c r="CZ847" s="35"/>
      <c r="DD847" s="34"/>
      <c r="DG847" t="s">
        <v>893</v>
      </c>
      <c r="DH847" t="s">
        <v>986</v>
      </c>
      <c r="DI847" t="s">
        <v>798</v>
      </c>
      <c r="DL847" t="s">
        <v>689</v>
      </c>
      <c r="DM847">
        <v>4</v>
      </c>
      <c r="DN847">
        <v>7</v>
      </c>
      <c r="DO847" t="s">
        <v>894</v>
      </c>
      <c r="DQ847" t="s">
        <v>927</v>
      </c>
      <c r="DR847">
        <v>14</v>
      </c>
      <c r="DS847">
        <v>0</v>
      </c>
      <c r="DU847">
        <v>14</v>
      </c>
      <c r="DV847">
        <v>0</v>
      </c>
      <c r="DX847">
        <v>14</v>
      </c>
      <c r="DY847">
        <v>0</v>
      </c>
      <c r="DZ847" t="s">
        <v>246</v>
      </c>
      <c r="EA847" t="s">
        <v>929</v>
      </c>
    </row>
    <row r="848" spans="1:131" x14ac:dyDescent="0.4">
      <c r="A848" s="34">
        <v>43067.305104166669</v>
      </c>
      <c r="B848" s="25">
        <v>42956.697222222225</v>
      </c>
      <c r="D848" s="34"/>
      <c r="E848" s="34" t="s">
        <v>193</v>
      </c>
      <c r="F848" s="34" t="s">
        <v>191</v>
      </c>
      <c r="G848" s="34" t="s">
        <v>100</v>
      </c>
      <c r="H848" t="s">
        <v>856</v>
      </c>
      <c r="I848" t="s">
        <v>243</v>
      </c>
      <c r="J848" t="s">
        <v>857</v>
      </c>
      <c r="K848" t="s">
        <v>713</v>
      </c>
      <c r="L848" t="s">
        <v>855</v>
      </c>
      <c r="M848" s="30">
        <v>4.05</v>
      </c>
      <c r="N848">
        <v>5.333333333333333</v>
      </c>
      <c r="P848" s="24" t="str">
        <f>IFERROR(MID(RADataTable[[#This Row],[RATemplate]],1,LEN(RADataTable[[#This Row],[RATemplate]])-8),"RA") &amp; " " &amp; RADataTable[[#This Row],[prop_id0]] &amp; " " &amp; RADataTable[[#This Row],[last0]]</f>
        <v>RA 1755954 Hajimirza</v>
      </c>
      <c r="T848">
        <v>3</v>
      </c>
      <c r="U848">
        <v>3</v>
      </c>
      <c r="V848" s="34">
        <v>43032.675694444442</v>
      </c>
      <c r="W848">
        <v>1</v>
      </c>
      <c r="X848" s="15" t="str">
        <f>HYPERLINK("https://www.ejacket.nsf.gov/ej/showProposal.do?Continue=Y&amp;ID="&amp;RADataTable[[#This Row],[prop_id0]],"eJ")</f>
        <v>eJ</v>
      </c>
      <c r="Y848" s="15" t="str">
        <f>HYPERLINK("mailto:"&amp;RADataTable[[#This Row],[email]]&amp;"&amp;subject=Your NSF Proposal:  "&amp;RADataTable[[#This Row],[Div]]&amp;" "&amp;RADataTable[[#This Row],[prop_id0]], RADataTable[[#This Row],[email]])</f>
        <v>shima.hm@tamu.edu</v>
      </c>
      <c r="Z848" s="15" t="str">
        <f>HYPERLINK("mailto:"&amp;RADataTable[[#This Row],[allPIemail]]&amp;"&amp;subject=NSF Proposal:  "&amp;RADataTable[[#This Row],[Div]]&amp;" "&amp;RADataTable[[#This Row],[prop_id0]], "PIs@")</f>
        <v>PIs@</v>
      </c>
      <c r="AA848" t="s">
        <v>245</v>
      </c>
      <c r="AB848" t="s">
        <v>689</v>
      </c>
      <c r="AC848" s="30" t="s">
        <v>890</v>
      </c>
      <c r="AD848" t="s">
        <v>891</v>
      </c>
      <c r="AE848" t="s">
        <v>892</v>
      </c>
      <c r="AF848" s="36">
        <v>175000</v>
      </c>
      <c r="AG848" s="36">
        <v>175000</v>
      </c>
      <c r="AH848" s="24"/>
      <c r="AJ848" s="34"/>
      <c r="AK848" t="s">
        <v>923</v>
      </c>
      <c r="AL848" t="s">
        <v>924</v>
      </c>
      <c r="AM848" s="34" t="s">
        <v>925</v>
      </c>
      <c r="AN848" s="34">
        <v>43032</v>
      </c>
      <c r="AO848" s="24">
        <v>5</v>
      </c>
      <c r="AP848" t="s">
        <v>985</v>
      </c>
      <c r="AR848" s="35"/>
      <c r="AS848"/>
      <c r="AT848" s="34"/>
      <c r="AV848" s="34"/>
      <c r="AX848" s="34"/>
      <c r="AY848"/>
      <c r="BA848" s="34"/>
      <c r="BB848"/>
      <c r="BC848" t="s">
        <v>895</v>
      </c>
      <c r="BD848" s="36">
        <v>175000</v>
      </c>
      <c r="BE848" s="36">
        <v>175000</v>
      </c>
      <c r="BF848">
        <v>0</v>
      </c>
      <c r="BG848" s="34">
        <v>43252</v>
      </c>
      <c r="BH848">
        <v>24</v>
      </c>
      <c r="BI848" t="s">
        <v>974</v>
      </c>
      <c r="BJ848" t="s">
        <v>975</v>
      </c>
      <c r="BK848" t="s">
        <v>234</v>
      </c>
      <c r="BL848" t="s">
        <v>194</v>
      </c>
      <c r="BM848" s="8" t="s">
        <v>192</v>
      </c>
      <c r="BN848" t="s">
        <v>189</v>
      </c>
      <c r="BO848" t="s">
        <v>190</v>
      </c>
      <c r="BP848" s="35" t="s">
        <v>880</v>
      </c>
      <c r="BQ848"/>
      <c r="BU848" s="35"/>
      <c r="BV848" s="35"/>
      <c r="BX848"/>
      <c r="CA848" s="35"/>
      <c r="CB848" s="35"/>
      <c r="CC848"/>
      <c r="CG848" s="35"/>
      <c r="CH848" s="35"/>
      <c r="CK848"/>
      <c r="CM848" s="35"/>
      <c r="CN848" s="35"/>
      <c r="CQ848"/>
      <c r="CS848" s="35"/>
      <c r="CT848" s="35"/>
      <c r="CX848"/>
      <c r="CZ848" s="35"/>
      <c r="DD848" s="34"/>
      <c r="DG848" t="s">
        <v>893</v>
      </c>
      <c r="DH848" t="s">
        <v>986</v>
      </c>
      <c r="DI848" t="s">
        <v>798</v>
      </c>
      <c r="DL848" t="s">
        <v>689</v>
      </c>
      <c r="DM848">
        <v>4</v>
      </c>
      <c r="DN848">
        <v>7</v>
      </c>
      <c r="DO848" t="s">
        <v>894</v>
      </c>
      <c r="DQ848" t="s">
        <v>927</v>
      </c>
      <c r="DR848">
        <v>14</v>
      </c>
      <c r="DS848">
        <v>0</v>
      </c>
      <c r="DU848">
        <v>14</v>
      </c>
      <c r="DV848">
        <v>0</v>
      </c>
      <c r="DX848">
        <v>14</v>
      </c>
      <c r="DY848">
        <v>0</v>
      </c>
      <c r="DZ848" t="s">
        <v>246</v>
      </c>
      <c r="EA848" t="s">
        <v>929</v>
      </c>
    </row>
    <row r="849" spans="1:131" x14ac:dyDescent="0.4">
      <c r="A849" s="34">
        <v>43067.305104166669</v>
      </c>
      <c r="B849" s="25">
        <v>42956.697222222225</v>
      </c>
      <c r="D849" s="34"/>
      <c r="E849" s="34" t="s">
        <v>193</v>
      </c>
      <c r="F849" s="34" t="s">
        <v>191</v>
      </c>
      <c r="G849" s="34" t="s">
        <v>100</v>
      </c>
      <c r="H849" t="s">
        <v>856</v>
      </c>
      <c r="I849" t="s">
        <v>243</v>
      </c>
      <c r="J849" t="s">
        <v>857</v>
      </c>
      <c r="K849" t="s">
        <v>713</v>
      </c>
      <c r="L849" t="s">
        <v>855</v>
      </c>
      <c r="M849" s="30">
        <v>4.05</v>
      </c>
      <c r="N849">
        <v>5.333333333333333</v>
      </c>
      <c r="P849" s="24" t="str">
        <f>IFERROR(MID(RADataTable[[#This Row],[RATemplate]],1,LEN(RADataTable[[#This Row],[RATemplate]])-8),"RA") &amp; " " &amp; RADataTable[[#This Row],[prop_id0]] &amp; " " &amp; RADataTable[[#This Row],[last0]]</f>
        <v>RA 1755954 Hajimirza</v>
      </c>
      <c r="T849">
        <v>3</v>
      </c>
      <c r="U849">
        <v>3</v>
      </c>
      <c r="V849" s="34">
        <v>43032.675694444442</v>
      </c>
      <c r="W849">
        <v>1</v>
      </c>
      <c r="X849" s="15" t="str">
        <f>HYPERLINK("https://www.ejacket.nsf.gov/ej/showProposal.do?Continue=Y&amp;ID="&amp;RADataTable[[#This Row],[prop_id0]],"eJ")</f>
        <v>eJ</v>
      </c>
      <c r="Y849" s="15" t="str">
        <f>HYPERLINK("mailto:"&amp;RADataTable[[#This Row],[email]]&amp;"&amp;subject=Your NSF Proposal:  "&amp;RADataTable[[#This Row],[Div]]&amp;" "&amp;RADataTable[[#This Row],[prop_id0]], RADataTable[[#This Row],[email]])</f>
        <v>shima.hm@tamu.edu</v>
      </c>
      <c r="Z849" s="15" t="str">
        <f>HYPERLINK("mailto:"&amp;RADataTable[[#This Row],[allPIemail]]&amp;"&amp;subject=NSF Proposal:  "&amp;RADataTable[[#This Row],[Div]]&amp;" "&amp;RADataTable[[#This Row],[prop_id0]], "PIs@")</f>
        <v>PIs@</v>
      </c>
      <c r="AA849" t="s">
        <v>245</v>
      </c>
      <c r="AB849" t="s">
        <v>689</v>
      </c>
      <c r="AC849" s="30" t="s">
        <v>890</v>
      </c>
      <c r="AD849" t="s">
        <v>891</v>
      </c>
      <c r="AE849" t="s">
        <v>892</v>
      </c>
      <c r="AF849" s="36">
        <v>175000</v>
      </c>
      <c r="AG849" s="36">
        <v>175000</v>
      </c>
      <c r="AH849" s="24"/>
      <c r="AJ849" s="34"/>
      <c r="AK849" t="s">
        <v>923</v>
      </c>
      <c r="AL849" t="s">
        <v>924</v>
      </c>
      <c r="AM849" s="34" t="s">
        <v>925</v>
      </c>
      <c r="AN849" s="34">
        <v>43032</v>
      </c>
      <c r="AO849" s="24">
        <v>5</v>
      </c>
      <c r="AP849" t="s">
        <v>985</v>
      </c>
      <c r="AR849" s="35"/>
      <c r="AS849"/>
      <c r="AT849" s="34"/>
      <c r="AV849" s="34"/>
      <c r="AX849" s="34"/>
      <c r="AY849"/>
      <c r="BA849" s="34"/>
      <c r="BB849"/>
      <c r="BC849" t="s">
        <v>895</v>
      </c>
      <c r="BD849" s="36">
        <v>175000</v>
      </c>
      <c r="BE849" s="36">
        <v>175000</v>
      </c>
      <c r="BF849">
        <v>0</v>
      </c>
      <c r="BG849" s="34">
        <v>43252</v>
      </c>
      <c r="BH849">
        <v>24</v>
      </c>
      <c r="BI849" t="s">
        <v>974</v>
      </c>
      <c r="BJ849" t="s">
        <v>975</v>
      </c>
      <c r="BK849" t="s">
        <v>234</v>
      </c>
      <c r="BL849" t="s">
        <v>194</v>
      </c>
      <c r="BM849" s="8" t="s">
        <v>192</v>
      </c>
      <c r="BN849" t="s">
        <v>189</v>
      </c>
      <c r="BO849" t="s">
        <v>190</v>
      </c>
      <c r="BP849" s="35" t="s">
        <v>880</v>
      </c>
      <c r="BQ849"/>
      <c r="BU849" s="35"/>
      <c r="BV849" s="35"/>
      <c r="BX849"/>
      <c r="CA849" s="35"/>
      <c r="CB849" s="35"/>
      <c r="CC849"/>
      <c r="CG849" s="35"/>
      <c r="CH849" s="35"/>
      <c r="CK849"/>
      <c r="CM849" s="35"/>
      <c r="CN849" s="35"/>
      <c r="CQ849"/>
      <c r="CS849" s="35"/>
      <c r="CT849" s="35"/>
      <c r="CX849"/>
      <c r="CZ849" s="35"/>
      <c r="DD849" s="34"/>
      <c r="DG849" t="s">
        <v>893</v>
      </c>
      <c r="DH849" t="s">
        <v>986</v>
      </c>
      <c r="DI849" t="s">
        <v>798</v>
      </c>
      <c r="DL849" t="s">
        <v>689</v>
      </c>
      <c r="DM849">
        <v>4</v>
      </c>
      <c r="DN849">
        <v>7</v>
      </c>
      <c r="DO849" t="s">
        <v>894</v>
      </c>
      <c r="DQ849" t="s">
        <v>927</v>
      </c>
      <c r="DR849">
        <v>14</v>
      </c>
      <c r="DS849">
        <v>0</v>
      </c>
      <c r="DU849">
        <v>14</v>
      </c>
      <c r="DV849">
        <v>0</v>
      </c>
      <c r="DX849">
        <v>14</v>
      </c>
      <c r="DY849">
        <v>0</v>
      </c>
      <c r="DZ849" t="s">
        <v>246</v>
      </c>
      <c r="EA849" t="s">
        <v>929</v>
      </c>
    </row>
    <row r="850" spans="1:131" x14ac:dyDescent="0.4">
      <c r="A850" s="34">
        <v>43067.305104166669</v>
      </c>
      <c r="B850" s="25">
        <v>42956.697222222225</v>
      </c>
      <c r="D850" s="34"/>
      <c r="E850" s="34" t="s">
        <v>193</v>
      </c>
      <c r="F850" s="34" t="s">
        <v>191</v>
      </c>
      <c r="G850" s="34" t="s">
        <v>100</v>
      </c>
      <c r="H850" t="s">
        <v>856</v>
      </c>
      <c r="I850" t="s">
        <v>243</v>
      </c>
      <c r="J850" t="s">
        <v>857</v>
      </c>
      <c r="K850" t="s">
        <v>713</v>
      </c>
      <c r="L850" t="s">
        <v>855</v>
      </c>
      <c r="M850" s="30">
        <v>4.05</v>
      </c>
      <c r="N850">
        <v>5.333333333333333</v>
      </c>
      <c r="P850" s="24" t="str">
        <f>IFERROR(MID(RADataTable[[#This Row],[RATemplate]],1,LEN(RADataTable[[#This Row],[RATemplate]])-8),"RA") &amp; " " &amp; RADataTable[[#This Row],[prop_id0]] &amp; " " &amp; RADataTable[[#This Row],[last0]]</f>
        <v>RA 1755954 Hajimirza</v>
      </c>
      <c r="T850">
        <v>3</v>
      </c>
      <c r="U850">
        <v>3</v>
      </c>
      <c r="V850" s="34">
        <v>43032.675694444442</v>
      </c>
      <c r="W850">
        <v>1</v>
      </c>
      <c r="X850" s="15" t="str">
        <f>HYPERLINK("https://www.ejacket.nsf.gov/ej/showProposal.do?Continue=Y&amp;ID="&amp;RADataTable[[#This Row],[prop_id0]],"eJ")</f>
        <v>eJ</v>
      </c>
      <c r="Y850" s="15" t="str">
        <f>HYPERLINK("mailto:"&amp;RADataTable[[#This Row],[email]]&amp;"&amp;subject=Your NSF Proposal:  "&amp;RADataTable[[#This Row],[Div]]&amp;" "&amp;RADataTable[[#This Row],[prop_id0]], RADataTable[[#This Row],[email]])</f>
        <v>shima.hm@tamu.edu</v>
      </c>
      <c r="Z850" s="15" t="str">
        <f>HYPERLINK("mailto:"&amp;RADataTable[[#This Row],[allPIemail]]&amp;"&amp;subject=NSF Proposal:  "&amp;RADataTable[[#This Row],[Div]]&amp;" "&amp;RADataTable[[#This Row],[prop_id0]], "PIs@")</f>
        <v>PIs@</v>
      </c>
      <c r="AA850" t="s">
        <v>245</v>
      </c>
      <c r="AB850" t="s">
        <v>689</v>
      </c>
      <c r="AC850" s="30" t="s">
        <v>890</v>
      </c>
      <c r="AD850" t="s">
        <v>891</v>
      </c>
      <c r="AE850" t="s">
        <v>892</v>
      </c>
      <c r="AF850" s="36">
        <v>175000</v>
      </c>
      <c r="AG850" s="36">
        <v>175000</v>
      </c>
      <c r="AH850" s="24"/>
      <c r="AJ850" s="34"/>
      <c r="AK850" t="s">
        <v>923</v>
      </c>
      <c r="AL850" t="s">
        <v>924</v>
      </c>
      <c r="AM850" s="34" t="s">
        <v>925</v>
      </c>
      <c r="AN850" s="34">
        <v>43032</v>
      </c>
      <c r="AO850" s="24">
        <v>5</v>
      </c>
      <c r="AP850" t="s">
        <v>985</v>
      </c>
      <c r="AR850" s="35"/>
      <c r="AS850"/>
      <c r="AT850" s="34"/>
      <c r="AV850" s="34"/>
      <c r="AX850" s="34"/>
      <c r="AY850"/>
      <c r="BA850" s="34"/>
      <c r="BB850"/>
      <c r="BC850" t="s">
        <v>895</v>
      </c>
      <c r="BD850" s="36">
        <v>175000</v>
      </c>
      <c r="BE850" s="36">
        <v>175000</v>
      </c>
      <c r="BF850">
        <v>0</v>
      </c>
      <c r="BG850" s="34">
        <v>43252</v>
      </c>
      <c r="BH850">
        <v>24</v>
      </c>
      <c r="BI850" t="s">
        <v>974</v>
      </c>
      <c r="BJ850" t="s">
        <v>975</v>
      </c>
      <c r="BK850" t="s">
        <v>234</v>
      </c>
      <c r="BL850" t="s">
        <v>194</v>
      </c>
      <c r="BM850" s="8" t="s">
        <v>192</v>
      </c>
      <c r="BN850" t="s">
        <v>189</v>
      </c>
      <c r="BO850" t="s">
        <v>190</v>
      </c>
      <c r="BP850" s="35" t="s">
        <v>880</v>
      </c>
      <c r="BQ850"/>
      <c r="BU850" s="35"/>
      <c r="BV850" s="35"/>
      <c r="BX850"/>
      <c r="CA850" s="35"/>
      <c r="CB850" s="35"/>
      <c r="CC850"/>
      <c r="CG850" s="35"/>
      <c r="CH850" s="35"/>
      <c r="CK850"/>
      <c r="CM850" s="35"/>
      <c r="CN850" s="35"/>
      <c r="CQ850"/>
      <c r="CS850" s="35"/>
      <c r="CT850" s="35"/>
      <c r="CX850"/>
      <c r="CZ850" s="35"/>
      <c r="DD850" s="34"/>
      <c r="DG850" t="s">
        <v>893</v>
      </c>
      <c r="DH850" t="s">
        <v>986</v>
      </c>
      <c r="DI850" t="s">
        <v>798</v>
      </c>
      <c r="DL850" t="s">
        <v>689</v>
      </c>
      <c r="DM850">
        <v>4</v>
      </c>
      <c r="DN850">
        <v>7</v>
      </c>
      <c r="DO850" t="s">
        <v>894</v>
      </c>
      <c r="DQ850" t="s">
        <v>927</v>
      </c>
      <c r="DR850">
        <v>14</v>
      </c>
      <c r="DS850">
        <v>0</v>
      </c>
      <c r="DU850">
        <v>14</v>
      </c>
      <c r="DV850">
        <v>0</v>
      </c>
      <c r="DX850">
        <v>14</v>
      </c>
      <c r="DY850">
        <v>0</v>
      </c>
      <c r="DZ850" t="s">
        <v>246</v>
      </c>
      <c r="EA850" t="s">
        <v>929</v>
      </c>
    </row>
    <row r="851" spans="1:131" x14ac:dyDescent="0.4">
      <c r="A851" s="34">
        <v>43067.305104166669</v>
      </c>
      <c r="B851" s="25">
        <v>42956.697222222225</v>
      </c>
      <c r="D851" s="34"/>
      <c r="E851" s="34" t="s">
        <v>193</v>
      </c>
      <c r="F851" s="34" t="s">
        <v>191</v>
      </c>
      <c r="G851" s="34" t="s">
        <v>100</v>
      </c>
      <c r="H851" t="s">
        <v>856</v>
      </c>
      <c r="I851" t="s">
        <v>243</v>
      </c>
      <c r="J851" t="s">
        <v>857</v>
      </c>
      <c r="K851" t="s">
        <v>713</v>
      </c>
      <c r="L851" t="s">
        <v>855</v>
      </c>
      <c r="M851" s="30">
        <v>4.05</v>
      </c>
      <c r="N851">
        <v>5.333333333333333</v>
      </c>
      <c r="P851" s="24" t="str">
        <f>IFERROR(MID(RADataTable[[#This Row],[RATemplate]],1,LEN(RADataTable[[#This Row],[RATemplate]])-8),"RA") &amp; " " &amp; RADataTable[[#This Row],[prop_id0]] &amp; " " &amp; RADataTable[[#This Row],[last0]]</f>
        <v>RA 1755954 Hajimirza</v>
      </c>
      <c r="T851">
        <v>3</v>
      </c>
      <c r="U851">
        <v>3</v>
      </c>
      <c r="V851" s="34">
        <v>43032.675694444442</v>
      </c>
      <c r="W851">
        <v>1</v>
      </c>
      <c r="X851" s="15" t="str">
        <f>HYPERLINK("https://www.ejacket.nsf.gov/ej/showProposal.do?Continue=Y&amp;ID="&amp;RADataTable[[#This Row],[prop_id0]],"eJ")</f>
        <v>eJ</v>
      </c>
      <c r="Y851" s="15" t="str">
        <f>HYPERLINK("mailto:"&amp;RADataTable[[#This Row],[email]]&amp;"&amp;subject=Your NSF Proposal:  "&amp;RADataTable[[#This Row],[Div]]&amp;" "&amp;RADataTable[[#This Row],[prop_id0]], RADataTable[[#This Row],[email]])</f>
        <v>shima.hm@tamu.edu</v>
      </c>
      <c r="Z851" s="15" t="str">
        <f>HYPERLINK("mailto:"&amp;RADataTable[[#This Row],[allPIemail]]&amp;"&amp;subject=NSF Proposal:  "&amp;RADataTable[[#This Row],[Div]]&amp;" "&amp;RADataTable[[#This Row],[prop_id0]], "PIs@")</f>
        <v>PIs@</v>
      </c>
      <c r="AA851" t="s">
        <v>245</v>
      </c>
      <c r="AB851" t="s">
        <v>689</v>
      </c>
      <c r="AC851" s="30" t="s">
        <v>890</v>
      </c>
      <c r="AD851" t="s">
        <v>891</v>
      </c>
      <c r="AE851" t="s">
        <v>892</v>
      </c>
      <c r="AF851" s="36">
        <v>175000</v>
      </c>
      <c r="AG851" s="36">
        <v>175000</v>
      </c>
      <c r="AH851" s="24"/>
      <c r="AJ851" s="34"/>
      <c r="AK851" t="s">
        <v>923</v>
      </c>
      <c r="AL851" t="s">
        <v>924</v>
      </c>
      <c r="AM851" s="34" t="s">
        <v>925</v>
      </c>
      <c r="AN851" s="34">
        <v>43032</v>
      </c>
      <c r="AO851" s="24">
        <v>5</v>
      </c>
      <c r="AP851" t="s">
        <v>985</v>
      </c>
      <c r="AR851" s="35"/>
      <c r="AS851"/>
      <c r="AT851" s="34"/>
      <c r="AV851" s="34"/>
      <c r="AX851" s="34"/>
      <c r="AY851"/>
      <c r="BA851" s="34"/>
      <c r="BB851"/>
      <c r="BC851" t="s">
        <v>895</v>
      </c>
      <c r="BD851" s="36">
        <v>175000</v>
      </c>
      <c r="BE851" s="36">
        <v>175000</v>
      </c>
      <c r="BF851">
        <v>0</v>
      </c>
      <c r="BG851" s="34">
        <v>43252</v>
      </c>
      <c r="BH851">
        <v>24</v>
      </c>
      <c r="BI851" t="s">
        <v>974</v>
      </c>
      <c r="BJ851" t="s">
        <v>975</v>
      </c>
      <c r="BK851" t="s">
        <v>234</v>
      </c>
      <c r="BL851" t="s">
        <v>194</v>
      </c>
      <c r="BM851" s="8" t="s">
        <v>192</v>
      </c>
      <c r="BN851" t="s">
        <v>189</v>
      </c>
      <c r="BO851" t="s">
        <v>190</v>
      </c>
      <c r="BP851" s="35" t="s">
        <v>880</v>
      </c>
      <c r="BQ851"/>
      <c r="BU851" s="35"/>
      <c r="BV851" s="35"/>
      <c r="BX851"/>
      <c r="CA851" s="35"/>
      <c r="CB851" s="35"/>
      <c r="CC851"/>
      <c r="CG851" s="35"/>
      <c r="CH851" s="35"/>
      <c r="CK851"/>
      <c r="CM851" s="35"/>
      <c r="CN851" s="35"/>
      <c r="CQ851"/>
      <c r="CS851" s="35"/>
      <c r="CT851" s="35"/>
      <c r="CX851"/>
      <c r="CZ851" s="35"/>
      <c r="DD851" s="34"/>
      <c r="DG851" t="s">
        <v>893</v>
      </c>
      <c r="DH851" t="s">
        <v>986</v>
      </c>
      <c r="DI851" t="s">
        <v>798</v>
      </c>
      <c r="DL851" t="s">
        <v>689</v>
      </c>
      <c r="DM851">
        <v>4</v>
      </c>
      <c r="DN851">
        <v>7</v>
      </c>
      <c r="DO851" t="s">
        <v>894</v>
      </c>
      <c r="DQ851" t="s">
        <v>927</v>
      </c>
      <c r="DR851">
        <v>14</v>
      </c>
      <c r="DS851">
        <v>0</v>
      </c>
      <c r="DU851">
        <v>14</v>
      </c>
      <c r="DV851">
        <v>0</v>
      </c>
      <c r="DX851">
        <v>14</v>
      </c>
      <c r="DY851">
        <v>0</v>
      </c>
      <c r="DZ851" t="s">
        <v>246</v>
      </c>
      <c r="EA851" t="s">
        <v>929</v>
      </c>
    </row>
    <row r="852" spans="1:131" x14ac:dyDescent="0.4">
      <c r="A852" s="34">
        <v>43067.305104166669</v>
      </c>
      <c r="B852" s="25">
        <v>42956.697222222225</v>
      </c>
      <c r="D852" s="34"/>
      <c r="E852" s="34" t="s">
        <v>193</v>
      </c>
      <c r="F852" s="34" t="s">
        <v>191</v>
      </c>
      <c r="G852" s="34" t="s">
        <v>100</v>
      </c>
      <c r="H852" t="s">
        <v>856</v>
      </c>
      <c r="I852" t="s">
        <v>243</v>
      </c>
      <c r="J852" t="s">
        <v>857</v>
      </c>
      <c r="K852" t="s">
        <v>713</v>
      </c>
      <c r="L852" t="s">
        <v>855</v>
      </c>
      <c r="M852" s="30">
        <v>4.05</v>
      </c>
      <c r="N852">
        <v>5.333333333333333</v>
      </c>
      <c r="P852" s="24" t="str">
        <f>IFERROR(MID(RADataTable[[#This Row],[RATemplate]],1,LEN(RADataTable[[#This Row],[RATemplate]])-8),"RA") &amp; " " &amp; RADataTable[[#This Row],[prop_id0]] &amp; " " &amp; RADataTable[[#This Row],[last0]]</f>
        <v>RA 1755954 Hajimirza</v>
      </c>
      <c r="T852">
        <v>3</v>
      </c>
      <c r="U852">
        <v>3</v>
      </c>
      <c r="V852" s="34">
        <v>43032.675694444442</v>
      </c>
      <c r="W852">
        <v>1</v>
      </c>
      <c r="X852" s="15" t="str">
        <f>HYPERLINK("https://www.ejacket.nsf.gov/ej/showProposal.do?Continue=Y&amp;ID="&amp;RADataTable[[#This Row],[prop_id0]],"eJ")</f>
        <v>eJ</v>
      </c>
      <c r="Y852" s="15" t="str">
        <f>HYPERLINK("mailto:"&amp;RADataTable[[#This Row],[email]]&amp;"&amp;subject=Your NSF Proposal:  "&amp;RADataTable[[#This Row],[Div]]&amp;" "&amp;RADataTable[[#This Row],[prop_id0]], RADataTable[[#This Row],[email]])</f>
        <v>shima.hm@tamu.edu</v>
      </c>
      <c r="Z852" s="15" t="str">
        <f>HYPERLINK("mailto:"&amp;RADataTable[[#This Row],[allPIemail]]&amp;"&amp;subject=NSF Proposal:  "&amp;RADataTable[[#This Row],[Div]]&amp;" "&amp;RADataTable[[#This Row],[prop_id0]], "PIs@")</f>
        <v>PIs@</v>
      </c>
      <c r="AA852" t="s">
        <v>245</v>
      </c>
      <c r="AB852" t="s">
        <v>689</v>
      </c>
      <c r="AC852" s="30" t="s">
        <v>890</v>
      </c>
      <c r="AD852" t="s">
        <v>891</v>
      </c>
      <c r="AE852" t="s">
        <v>892</v>
      </c>
      <c r="AF852" s="36">
        <v>175000</v>
      </c>
      <c r="AG852" s="36">
        <v>175000</v>
      </c>
      <c r="AH852" s="24"/>
      <c r="AJ852" s="34"/>
      <c r="AK852" t="s">
        <v>923</v>
      </c>
      <c r="AL852" t="s">
        <v>924</v>
      </c>
      <c r="AM852" s="34" t="s">
        <v>925</v>
      </c>
      <c r="AN852" s="34">
        <v>43032</v>
      </c>
      <c r="AO852" s="24">
        <v>5</v>
      </c>
      <c r="AP852" t="s">
        <v>985</v>
      </c>
      <c r="AR852" s="35"/>
      <c r="AS852"/>
      <c r="AT852" s="34"/>
      <c r="AV852" s="34"/>
      <c r="AX852" s="34"/>
      <c r="AY852"/>
      <c r="BA852" s="34"/>
      <c r="BB852"/>
      <c r="BC852" t="s">
        <v>895</v>
      </c>
      <c r="BD852" s="36">
        <v>175000</v>
      </c>
      <c r="BE852" s="36">
        <v>175000</v>
      </c>
      <c r="BF852">
        <v>0</v>
      </c>
      <c r="BG852" s="34">
        <v>43252</v>
      </c>
      <c r="BH852">
        <v>24</v>
      </c>
      <c r="BI852" t="s">
        <v>974</v>
      </c>
      <c r="BJ852" t="s">
        <v>975</v>
      </c>
      <c r="BK852" t="s">
        <v>234</v>
      </c>
      <c r="BL852" t="s">
        <v>194</v>
      </c>
      <c r="BM852" s="8" t="s">
        <v>192</v>
      </c>
      <c r="BN852" t="s">
        <v>189</v>
      </c>
      <c r="BO852" t="s">
        <v>190</v>
      </c>
      <c r="BP852" s="35" t="s">
        <v>880</v>
      </c>
      <c r="BQ852"/>
      <c r="BU852" s="35"/>
      <c r="BV852" s="35"/>
      <c r="BX852"/>
      <c r="CA852" s="35"/>
      <c r="CB852" s="35"/>
      <c r="CC852"/>
      <c r="CG852" s="35"/>
      <c r="CH852" s="35"/>
      <c r="CK852"/>
      <c r="CM852" s="35"/>
      <c r="CN852" s="35"/>
      <c r="CQ852"/>
      <c r="CS852" s="35"/>
      <c r="CT852" s="35"/>
      <c r="CX852"/>
      <c r="CZ852" s="35"/>
      <c r="DD852" s="34"/>
      <c r="DG852" t="s">
        <v>893</v>
      </c>
      <c r="DH852" t="s">
        <v>986</v>
      </c>
      <c r="DI852" t="s">
        <v>798</v>
      </c>
      <c r="DL852" t="s">
        <v>689</v>
      </c>
      <c r="DM852">
        <v>4</v>
      </c>
      <c r="DN852">
        <v>7</v>
      </c>
      <c r="DO852" t="s">
        <v>894</v>
      </c>
      <c r="DQ852" t="s">
        <v>927</v>
      </c>
      <c r="DR852">
        <v>14</v>
      </c>
      <c r="DS852">
        <v>0</v>
      </c>
      <c r="DU852">
        <v>14</v>
      </c>
      <c r="DV852">
        <v>0</v>
      </c>
      <c r="DX852">
        <v>14</v>
      </c>
      <c r="DY852">
        <v>0</v>
      </c>
      <c r="DZ852" t="s">
        <v>246</v>
      </c>
      <c r="EA852" t="s">
        <v>929</v>
      </c>
    </row>
    <row r="853" spans="1:131" x14ac:dyDescent="0.4">
      <c r="A853" s="34">
        <v>43067.305104166669</v>
      </c>
      <c r="B853" s="25">
        <v>42956.697222222225</v>
      </c>
      <c r="D853" s="34"/>
      <c r="E853" s="34" t="s">
        <v>193</v>
      </c>
      <c r="F853" s="34" t="s">
        <v>191</v>
      </c>
      <c r="G853" s="34" t="s">
        <v>100</v>
      </c>
      <c r="H853" t="s">
        <v>856</v>
      </c>
      <c r="I853" t="s">
        <v>243</v>
      </c>
      <c r="J853" t="s">
        <v>857</v>
      </c>
      <c r="K853" t="s">
        <v>713</v>
      </c>
      <c r="L853" t="s">
        <v>855</v>
      </c>
      <c r="M853" s="30">
        <v>4.05</v>
      </c>
      <c r="N853">
        <v>5.333333333333333</v>
      </c>
      <c r="P853" s="24" t="str">
        <f>IFERROR(MID(RADataTable[[#This Row],[RATemplate]],1,LEN(RADataTable[[#This Row],[RATemplate]])-8),"RA") &amp; " " &amp; RADataTable[[#This Row],[prop_id0]] &amp; " " &amp; RADataTable[[#This Row],[last0]]</f>
        <v>RA 1755954 Hajimirza</v>
      </c>
      <c r="T853">
        <v>3</v>
      </c>
      <c r="U853">
        <v>3</v>
      </c>
      <c r="V853" s="34">
        <v>43032.675694444442</v>
      </c>
      <c r="W853">
        <v>1</v>
      </c>
      <c r="X853" s="15" t="str">
        <f>HYPERLINK("https://www.ejacket.nsf.gov/ej/showProposal.do?Continue=Y&amp;ID="&amp;RADataTable[[#This Row],[prop_id0]],"eJ")</f>
        <v>eJ</v>
      </c>
      <c r="Y853" s="15" t="str">
        <f>HYPERLINK("mailto:"&amp;RADataTable[[#This Row],[email]]&amp;"&amp;subject=Your NSF Proposal:  "&amp;RADataTable[[#This Row],[Div]]&amp;" "&amp;RADataTable[[#This Row],[prop_id0]], RADataTable[[#This Row],[email]])</f>
        <v>shima.hm@tamu.edu</v>
      </c>
      <c r="Z853" s="15" t="str">
        <f>HYPERLINK("mailto:"&amp;RADataTable[[#This Row],[allPIemail]]&amp;"&amp;subject=NSF Proposal:  "&amp;RADataTable[[#This Row],[Div]]&amp;" "&amp;RADataTable[[#This Row],[prop_id0]], "PIs@")</f>
        <v>PIs@</v>
      </c>
      <c r="AA853" t="s">
        <v>245</v>
      </c>
      <c r="AB853" t="s">
        <v>689</v>
      </c>
      <c r="AC853" s="30" t="s">
        <v>890</v>
      </c>
      <c r="AD853" t="s">
        <v>891</v>
      </c>
      <c r="AE853" t="s">
        <v>892</v>
      </c>
      <c r="AF853" s="36">
        <v>175000</v>
      </c>
      <c r="AG853" s="36">
        <v>175000</v>
      </c>
      <c r="AH853" s="24"/>
      <c r="AJ853" s="34"/>
      <c r="AK853" t="s">
        <v>923</v>
      </c>
      <c r="AL853" t="s">
        <v>924</v>
      </c>
      <c r="AM853" s="34" t="s">
        <v>925</v>
      </c>
      <c r="AN853" s="34">
        <v>43032</v>
      </c>
      <c r="AO853" s="24">
        <v>5</v>
      </c>
      <c r="AP853" t="s">
        <v>985</v>
      </c>
      <c r="AR853" s="35"/>
      <c r="AS853"/>
      <c r="AT853" s="34"/>
      <c r="AV853" s="34"/>
      <c r="AX853" s="34"/>
      <c r="AY853"/>
      <c r="BA853" s="34"/>
      <c r="BB853"/>
      <c r="BC853" t="s">
        <v>895</v>
      </c>
      <c r="BD853" s="36">
        <v>175000</v>
      </c>
      <c r="BE853" s="36">
        <v>175000</v>
      </c>
      <c r="BF853">
        <v>0</v>
      </c>
      <c r="BG853" s="34">
        <v>43252</v>
      </c>
      <c r="BH853">
        <v>24</v>
      </c>
      <c r="BI853" t="s">
        <v>974</v>
      </c>
      <c r="BJ853" t="s">
        <v>975</v>
      </c>
      <c r="BK853" t="s">
        <v>234</v>
      </c>
      <c r="BL853" t="s">
        <v>194</v>
      </c>
      <c r="BM853" s="8" t="s">
        <v>192</v>
      </c>
      <c r="BN853" t="s">
        <v>189</v>
      </c>
      <c r="BO853" t="s">
        <v>190</v>
      </c>
      <c r="BP853" s="35" t="s">
        <v>880</v>
      </c>
      <c r="BQ853"/>
      <c r="BU853" s="35"/>
      <c r="BV853" s="35"/>
      <c r="BX853"/>
      <c r="CA853" s="35"/>
      <c r="CB853" s="35"/>
      <c r="CC853"/>
      <c r="CG853" s="35"/>
      <c r="CH853" s="35"/>
      <c r="CK853"/>
      <c r="CM853" s="35"/>
      <c r="CN853" s="35"/>
      <c r="CQ853"/>
      <c r="CS853" s="35"/>
      <c r="CT853" s="35"/>
      <c r="CX853"/>
      <c r="CZ853" s="35"/>
      <c r="DD853" s="34"/>
      <c r="DG853" t="s">
        <v>893</v>
      </c>
      <c r="DH853" t="s">
        <v>986</v>
      </c>
      <c r="DI853" t="s">
        <v>798</v>
      </c>
      <c r="DL853" t="s">
        <v>689</v>
      </c>
      <c r="DM853">
        <v>4</v>
      </c>
      <c r="DN853">
        <v>7</v>
      </c>
      <c r="DO853" t="s">
        <v>894</v>
      </c>
      <c r="DQ853" t="s">
        <v>927</v>
      </c>
      <c r="DR853">
        <v>14</v>
      </c>
      <c r="DS853">
        <v>0</v>
      </c>
      <c r="DU853">
        <v>14</v>
      </c>
      <c r="DV853">
        <v>0</v>
      </c>
      <c r="DX853">
        <v>14</v>
      </c>
      <c r="DY853">
        <v>0</v>
      </c>
      <c r="DZ853" t="s">
        <v>246</v>
      </c>
      <c r="EA853" t="s">
        <v>929</v>
      </c>
    </row>
    <row r="854" spans="1:131" x14ac:dyDescent="0.4">
      <c r="A854" s="34">
        <v>43067.305104166669</v>
      </c>
      <c r="B854" s="25">
        <v>42956.697222222225</v>
      </c>
      <c r="D854" s="34"/>
      <c r="E854" s="34" t="s">
        <v>193</v>
      </c>
      <c r="F854" s="34" t="s">
        <v>191</v>
      </c>
      <c r="G854" s="34" t="s">
        <v>100</v>
      </c>
      <c r="H854" t="s">
        <v>856</v>
      </c>
      <c r="I854" t="s">
        <v>243</v>
      </c>
      <c r="J854" t="s">
        <v>857</v>
      </c>
      <c r="K854" t="s">
        <v>713</v>
      </c>
      <c r="L854" t="s">
        <v>855</v>
      </c>
      <c r="M854" s="30">
        <v>4.05</v>
      </c>
      <c r="N854">
        <v>5.333333333333333</v>
      </c>
      <c r="P854" s="24" t="str">
        <f>IFERROR(MID(RADataTable[[#This Row],[RATemplate]],1,LEN(RADataTable[[#This Row],[RATemplate]])-8),"RA") &amp; " " &amp; RADataTable[[#This Row],[prop_id0]] &amp; " " &amp; RADataTable[[#This Row],[last0]]</f>
        <v>RA 1755954 Hajimirza</v>
      </c>
      <c r="T854">
        <v>3</v>
      </c>
      <c r="U854">
        <v>3</v>
      </c>
      <c r="V854" s="34">
        <v>43032.675694444442</v>
      </c>
      <c r="W854">
        <v>1</v>
      </c>
      <c r="X854" s="15" t="str">
        <f>HYPERLINK("https://www.ejacket.nsf.gov/ej/showProposal.do?Continue=Y&amp;ID="&amp;RADataTable[[#This Row],[prop_id0]],"eJ")</f>
        <v>eJ</v>
      </c>
      <c r="Y854" s="15" t="str">
        <f>HYPERLINK("mailto:"&amp;RADataTable[[#This Row],[email]]&amp;"&amp;subject=Your NSF Proposal:  "&amp;RADataTable[[#This Row],[Div]]&amp;" "&amp;RADataTable[[#This Row],[prop_id0]], RADataTable[[#This Row],[email]])</f>
        <v>shima.hm@tamu.edu</v>
      </c>
      <c r="Z854" s="15" t="str">
        <f>HYPERLINK("mailto:"&amp;RADataTable[[#This Row],[allPIemail]]&amp;"&amp;subject=NSF Proposal:  "&amp;RADataTable[[#This Row],[Div]]&amp;" "&amp;RADataTable[[#This Row],[prop_id0]], "PIs@")</f>
        <v>PIs@</v>
      </c>
      <c r="AA854" t="s">
        <v>245</v>
      </c>
      <c r="AB854" t="s">
        <v>689</v>
      </c>
      <c r="AC854" s="30" t="s">
        <v>890</v>
      </c>
      <c r="AD854" t="s">
        <v>891</v>
      </c>
      <c r="AE854" t="s">
        <v>892</v>
      </c>
      <c r="AF854" s="36">
        <v>175000</v>
      </c>
      <c r="AG854" s="36">
        <v>175000</v>
      </c>
      <c r="AH854" s="24"/>
      <c r="AJ854" s="34"/>
      <c r="AK854" t="s">
        <v>923</v>
      </c>
      <c r="AL854" t="s">
        <v>924</v>
      </c>
      <c r="AM854" s="34" t="s">
        <v>925</v>
      </c>
      <c r="AN854" s="34">
        <v>43032</v>
      </c>
      <c r="AO854" s="24">
        <v>5</v>
      </c>
      <c r="AP854" t="s">
        <v>985</v>
      </c>
      <c r="AR854" s="35"/>
      <c r="AS854"/>
      <c r="AT854" s="34"/>
      <c r="AV854" s="34"/>
      <c r="AX854" s="34"/>
      <c r="AY854"/>
      <c r="BA854" s="34"/>
      <c r="BB854"/>
      <c r="BC854" t="s">
        <v>895</v>
      </c>
      <c r="BD854" s="36">
        <v>175000</v>
      </c>
      <c r="BE854" s="36">
        <v>175000</v>
      </c>
      <c r="BF854">
        <v>0</v>
      </c>
      <c r="BG854" s="34">
        <v>43252</v>
      </c>
      <c r="BH854">
        <v>24</v>
      </c>
      <c r="BI854" t="s">
        <v>974</v>
      </c>
      <c r="BJ854" t="s">
        <v>975</v>
      </c>
      <c r="BK854" t="s">
        <v>234</v>
      </c>
      <c r="BL854" t="s">
        <v>194</v>
      </c>
      <c r="BM854" s="8" t="s">
        <v>192</v>
      </c>
      <c r="BN854" t="s">
        <v>189</v>
      </c>
      <c r="BO854" t="s">
        <v>190</v>
      </c>
      <c r="BP854" s="35" t="s">
        <v>880</v>
      </c>
      <c r="BQ854"/>
      <c r="BU854" s="35"/>
      <c r="BV854" s="35"/>
      <c r="BX854"/>
      <c r="CA854" s="35"/>
      <c r="CB854" s="35"/>
      <c r="CC854"/>
      <c r="CG854" s="35"/>
      <c r="CH854" s="35"/>
      <c r="CK854"/>
      <c r="CM854" s="35"/>
      <c r="CN854" s="35"/>
      <c r="CQ854"/>
      <c r="CS854" s="35"/>
      <c r="CT854" s="35"/>
      <c r="CX854"/>
      <c r="CZ854" s="35"/>
      <c r="DD854" s="34"/>
      <c r="DG854" t="s">
        <v>893</v>
      </c>
      <c r="DH854" t="s">
        <v>986</v>
      </c>
      <c r="DI854" t="s">
        <v>798</v>
      </c>
      <c r="DL854" t="s">
        <v>689</v>
      </c>
      <c r="DM854">
        <v>4</v>
      </c>
      <c r="DN854">
        <v>7</v>
      </c>
      <c r="DO854" t="s">
        <v>894</v>
      </c>
      <c r="DQ854" t="s">
        <v>927</v>
      </c>
      <c r="DR854">
        <v>14</v>
      </c>
      <c r="DS854">
        <v>0</v>
      </c>
      <c r="DU854">
        <v>14</v>
      </c>
      <c r="DV854">
        <v>0</v>
      </c>
      <c r="DX854">
        <v>14</v>
      </c>
      <c r="DY854">
        <v>0</v>
      </c>
      <c r="DZ854" t="s">
        <v>246</v>
      </c>
      <c r="EA854" t="s">
        <v>929</v>
      </c>
    </row>
    <row r="855" spans="1:131" x14ac:dyDescent="0.4">
      <c r="A855" s="34">
        <v>43067.305104166669</v>
      </c>
      <c r="B855" s="25">
        <v>42956.697222222225</v>
      </c>
      <c r="D855" s="34"/>
      <c r="E855" s="34" t="s">
        <v>193</v>
      </c>
      <c r="F855" s="34" t="s">
        <v>191</v>
      </c>
      <c r="G855" s="34" t="s">
        <v>100</v>
      </c>
      <c r="H855" t="s">
        <v>856</v>
      </c>
      <c r="I855" t="s">
        <v>243</v>
      </c>
      <c r="J855" t="s">
        <v>857</v>
      </c>
      <c r="K855" t="s">
        <v>713</v>
      </c>
      <c r="L855" t="s">
        <v>855</v>
      </c>
      <c r="M855" s="30">
        <v>4.05</v>
      </c>
      <c r="N855">
        <v>5.333333333333333</v>
      </c>
      <c r="P855" s="24" t="str">
        <f>IFERROR(MID(RADataTable[[#This Row],[RATemplate]],1,LEN(RADataTable[[#This Row],[RATemplate]])-8),"RA") &amp; " " &amp; RADataTable[[#This Row],[prop_id0]] &amp; " " &amp; RADataTable[[#This Row],[last0]]</f>
        <v>RA 1755954 Hajimirza</v>
      </c>
      <c r="T855">
        <v>3</v>
      </c>
      <c r="U855">
        <v>3</v>
      </c>
      <c r="V855" s="34">
        <v>43032.675694444442</v>
      </c>
      <c r="W855">
        <v>1</v>
      </c>
      <c r="X855" s="15" t="str">
        <f>HYPERLINK("https://www.ejacket.nsf.gov/ej/showProposal.do?Continue=Y&amp;ID="&amp;RADataTable[[#This Row],[prop_id0]],"eJ")</f>
        <v>eJ</v>
      </c>
      <c r="Y855" s="15" t="str">
        <f>HYPERLINK("mailto:"&amp;RADataTable[[#This Row],[email]]&amp;"&amp;subject=Your NSF Proposal:  "&amp;RADataTable[[#This Row],[Div]]&amp;" "&amp;RADataTable[[#This Row],[prop_id0]], RADataTable[[#This Row],[email]])</f>
        <v>shima.hm@tamu.edu</v>
      </c>
      <c r="Z855" s="15" t="str">
        <f>HYPERLINK("mailto:"&amp;RADataTable[[#This Row],[allPIemail]]&amp;"&amp;subject=NSF Proposal:  "&amp;RADataTable[[#This Row],[Div]]&amp;" "&amp;RADataTable[[#This Row],[prop_id0]], "PIs@")</f>
        <v>PIs@</v>
      </c>
      <c r="AA855" t="s">
        <v>245</v>
      </c>
      <c r="AB855" t="s">
        <v>689</v>
      </c>
      <c r="AC855" s="30" t="s">
        <v>890</v>
      </c>
      <c r="AD855" t="s">
        <v>891</v>
      </c>
      <c r="AE855" t="s">
        <v>892</v>
      </c>
      <c r="AF855" s="36">
        <v>175000</v>
      </c>
      <c r="AG855" s="36">
        <v>175000</v>
      </c>
      <c r="AH855" s="24"/>
      <c r="AJ855" s="34"/>
      <c r="AK855" t="s">
        <v>923</v>
      </c>
      <c r="AL855" t="s">
        <v>924</v>
      </c>
      <c r="AM855" s="34" t="s">
        <v>925</v>
      </c>
      <c r="AN855" s="34">
        <v>43032</v>
      </c>
      <c r="AO855" s="24">
        <v>5</v>
      </c>
      <c r="AP855" t="s">
        <v>985</v>
      </c>
      <c r="AR855" s="35"/>
      <c r="AS855"/>
      <c r="AT855" s="34"/>
      <c r="AV855" s="34"/>
      <c r="AX855" s="34"/>
      <c r="AY855"/>
      <c r="BA855" s="34"/>
      <c r="BB855"/>
      <c r="BC855" t="s">
        <v>895</v>
      </c>
      <c r="BD855" s="36">
        <v>175000</v>
      </c>
      <c r="BE855" s="36">
        <v>175000</v>
      </c>
      <c r="BF855">
        <v>0</v>
      </c>
      <c r="BG855" s="34">
        <v>43252</v>
      </c>
      <c r="BH855">
        <v>24</v>
      </c>
      <c r="BI855" t="s">
        <v>974</v>
      </c>
      <c r="BJ855" t="s">
        <v>975</v>
      </c>
      <c r="BK855" t="s">
        <v>234</v>
      </c>
      <c r="BL855" t="s">
        <v>194</v>
      </c>
      <c r="BM855" s="8" t="s">
        <v>192</v>
      </c>
      <c r="BN855" t="s">
        <v>189</v>
      </c>
      <c r="BO855" t="s">
        <v>190</v>
      </c>
      <c r="BP855" s="35" t="s">
        <v>880</v>
      </c>
      <c r="BQ855"/>
      <c r="BU855" s="35"/>
      <c r="BV855" s="35"/>
      <c r="BX855"/>
      <c r="CA855" s="35"/>
      <c r="CB855" s="35"/>
      <c r="CC855"/>
      <c r="CG855" s="35"/>
      <c r="CH855" s="35"/>
      <c r="CK855"/>
      <c r="CM855" s="35"/>
      <c r="CN855" s="35"/>
      <c r="CQ855"/>
      <c r="CS855" s="35"/>
      <c r="CT855" s="35"/>
      <c r="CX855"/>
      <c r="CZ855" s="35"/>
      <c r="DD855" s="34"/>
      <c r="DG855" t="s">
        <v>893</v>
      </c>
      <c r="DH855" t="s">
        <v>986</v>
      </c>
      <c r="DI855" t="s">
        <v>798</v>
      </c>
      <c r="DL855" t="s">
        <v>689</v>
      </c>
      <c r="DM855">
        <v>4</v>
      </c>
      <c r="DN855">
        <v>7</v>
      </c>
      <c r="DO855" t="s">
        <v>894</v>
      </c>
      <c r="DQ855" t="s">
        <v>927</v>
      </c>
      <c r="DR855">
        <v>14</v>
      </c>
      <c r="DS855">
        <v>0</v>
      </c>
      <c r="DU855">
        <v>14</v>
      </c>
      <c r="DV855">
        <v>0</v>
      </c>
      <c r="DX855">
        <v>14</v>
      </c>
      <c r="DY855">
        <v>0</v>
      </c>
      <c r="DZ855" t="s">
        <v>246</v>
      </c>
      <c r="EA855" t="s">
        <v>929</v>
      </c>
    </row>
    <row r="856" spans="1:131" x14ac:dyDescent="0.4">
      <c r="A856" s="34">
        <v>43067.305104166669</v>
      </c>
      <c r="B856" s="25">
        <v>42956.697222222225</v>
      </c>
      <c r="D856" s="34"/>
      <c r="E856" s="34" t="s">
        <v>193</v>
      </c>
      <c r="F856" s="34" t="s">
        <v>191</v>
      </c>
      <c r="G856" s="34" t="s">
        <v>100</v>
      </c>
      <c r="H856" t="s">
        <v>856</v>
      </c>
      <c r="I856" t="s">
        <v>243</v>
      </c>
      <c r="J856" t="s">
        <v>857</v>
      </c>
      <c r="K856" t="s">
        <v>713</v>
      </c>
      <c r="L856" t="s">
        <v>855</v>
      </c>
      <c r="M856" s="30">
        <v>4.05</v>
      </c>
      <c r="N856">
        <v>5.333333333333333</v>
      </c>
      <c r="P856" s="24" t="str">
        <f>IFERROR(MID(RADataTable[[#This Row],[RATemplate]],1,LEN(RADataTable[[#This Row],[RATemplate]])-8),"RA") &amp; " " &amp; RADataTable[[#This Row],[prop_id0]] &amp; " " &amp; RADataTable[[#This Row],[last0]]</f>
        <v>RA 1755954 Hajimirza</v>
      </c>
      <c r="T856">
        <v>3</v>
      </c>
      <c r="U856">
        <v>3</v>
      </c>
      <c r="V856" s="34">
        <v>43032.675694444442</v>
      </c>
      <c r="W856">
        <v>1</v>
      </c>
      <c r="X856" s="15" t="str">
        <f>HYPERLINK("https://www.ejacket.nsf.gov/ej/showProposal.do?Continue=Y&amp;ID="&amp;RADataTable[[#This Row],[prop_id0]],"eJ")</f>
        <v>eJ</v>
      </c>
      <c r="Y856" s="15" t="str">
        <f>HYPERLINK("mailto:"&amp;RADataTable[[#This Row],[email]]&amp;"&amp;subject=Your NSF Proposal:  "&amp;RADataTable[[#This Row],[Div]]&amp;" "&amp;RADataTable[[#This Row],[prop_id0]], RADataTable[[#This Row],[email]])</f>
        <v>shima.hm@tamu.edu</v>
      </c>
      <c r="Z856" s="15" t="str">
        <f>HYPERLINK("mailto:"&amp;RADataTable[[#This Row],[allPIemail]]&amp;"&amp;subject=NSF Proposal:  "&amp;RADataTable[[#This Row],[Div]]&amp;" "&amp;RADataTable[[#This Row],[prop_id0]], "PIs@")</f>
        <v>PIs@</v>
      </c>
      <c r="AA856" t="s">
        <v>245</v>
      </c>
      <c r="AB856" t="s">
        <v>689</v>
      </c>
      <c r="AC856" s="30" t="s">
        <v>890</v>
      </c>
      <c r="AD856" t="s">
        <v>891</v>
      </c>
      <c r="AE856" t="s">
        <v>892</v>
      </c>
      <c r="AF856" s="36">
        <v>175000</v>
      </c>
      <c r="AG856" s="36">
        <v>175000</v>
      </c>
      <c r="AH856" s="24"/>
      <c r="AJ856" s="34"/>
      <c r="AK856" t="s">
        <v>923</v>
      </c>
      <c r="AL856" t="s">
        <v>924</v>
      </c>
      <c r="AM856" s="34" t="s">
        <v>925</v>
      </c>
      <c r="AN856" s="34">
        <v>43032</v>
      </c>
      <c r="AO856" s="24">
        <v>5</v>
      </c>
      <c r="AP856" t="s">
        <v>985</v>
      </c>
      <c r="AR856" s="35"/>
      <c r="AS856"/>
      <c r="AT856" s="34"/>
      <c r="AV856" s="34"/>
      <c r="AX856" s="34"/>
      <c r="AY856"/>
      <c r="BA856" s="34"/>
      <c r="BB856"/>
      <c r="BC856" t="s">
        <v>895</v>
      </c>
      <c r="BD856" s="36">
        <v>175000</v>
      </c>
      <c r="BE856" s="36">
        <v>175000</v>
      </c>
      <c r="BF856">
        <v>0</v>
      </c>
      <c r="BG856" s="34">
        <v>43252</v>
      </c>
      <c r="BH856">
        <v>24</v>
      </c>
      <c r="BI856" t="s">
        <v>974</v>
      </c>
      <c r="BJ856" t="s">
        <v>975</v>
      </c>
      <c r="BK856" t="s">
        <v>234</v>
      </c>
      <c r="BL856" t="s">
        <v>194</v>
      </c>
      <c r="BM856" s="8" t="s">
        <v>192</v>
      </c>
      <c r="BN856" t="s">
        <v>189</v>
      </c>
      <c r="BO856" t="s">
        <v>190</v>
      </c>
      <c r="BP856" s="35" t="s">
        <v>880</v>
      </c>
      <c r="BQ856"/>
      <c r="BU856" s="35"/>
      <c r="BV856" s="35"/>
      <c r="BX856"/>
      <c r="CA856" s="35"/>
      <c r="CB856" s="35"/>
      <c r="CC856"/>
      <c r="CG856" s="35"/>
      <c r="CH856" s="35"/>
      <c r="CK856"/>
      <c r="CM856" s="35"/>
      <c r="CN856" s="35"/>
      <c r="CQ856"/>
      <c r="CS856" s="35"/>
      <c r="CT856" s="35"/>
      <c r="CX856"/>
      <c r="CZ856" s="35"/>
      <c r="DD856" s="34"/>
      <c r="DG856" t="s">
        <v>893</v>
      </c>
      <c r="DH856" t="s">
        <v>986</v>
      </c>
      <c r="DI856" t="s">
        <v>798</v>
      </c>
      <c r="DL856" t="s">
        <v>689</v>
      </c>
      <c r="DM856">
        <v>4</v>
      </c>
      <c r="DN856">
        <v>7</v>
      </c>
      <c r="DO856" t="s">
        <v>894</v>
      </c>
      <c r="DQ856" t="s">
        <v>927</v>
      </c>
      <c r="DR856">
        <v>14</v>
      </c>
      <c r="DS856">
        <v>0</v>
      </c>
      <c r="DU856">
        <v>14</v>
      </c>
      <c r="DV856">
        <v>0</v>
      </c>
      <c r="DX856">
        <v>14</v>
      </c>
      <c r="DY856">
        <v>0</v>
      </c>
      <c r="DZ856" t="s">
        <v>246</v>
      </c>
      <c r="EA856" t="s">
        <v>929</v>
      </c>
    </row>
    <row r="857" spans="1:131" x14ac:dyDescent="0.4">
      <c r="A857" s="34">
        <v>43067.305104166669</v>
      </c>
      <c r="B857" s="25">
        <v>42956.697222222225</v>
      </c>
      <c r="D857" s="34"/>
      <c r="E857" s="34" t="s">
        <v>193</v>
      </c>
      <c r="F857" s="34" t="s">
        <v>191</v>
      </c>
      <c r="G857" s="34" t="s">
        <v>100</v>
      </c>
      <c r="H857" t="s">
        <v>856</v>
      </c>
      <c r="I857" t="s">
        <v>243</v>
      </c>
      <c r="J857" t="s">
        <v>857</v>
      </c>
      <c r="K857" t="s">
        <v>713</v>
      </c>
      <c r="L857" t="s">
        <v>855</v>
      </c>
      <c r="M857" s="30">
        <v>4.05</v>
      </c>
      <c r="N857">
        <v>5.333333333333333</v>
      </c>
      <c r="P857" s="24" t="str">
        <f>IFERROR(MID(RADataTable[[#This Row],[RATemplate]],1,LEN(RADataTable[[#This Row],[RATemplate]])-8),"RA") &amp; " " &amp; RADataTable[[#This Row],[prop_id0]] &amp; " " &amp; RADataTable[[#This Row],[last0]]</f>
        <v>RA 1755954 Hajimirza</v>
      </c>
      <c r="T857">
        <v>3</v>
      </c>
      <c r="U857">
        <v>3</v>
      </c>
      <c r="V857" s="34">
        <v>43032.675694444442</v>
      </c>
      <c r="W857">
        <v>1</v>
      </c>
      <c r="X857" s="15" t="str">
        <f>HYPERLINK("https://www.ejacket.nsf.gov/ej/showProposal.do?Continue=Y&amp;ID="&amp;RADataTable[[#This Row],[prop_id0]],"eJ")</f>
        <v>eJ</v>
      </c>
      <c r="Y857" s="15" t="str">
        <f>HYPERLINK("mailto:"&amp;RADataTable[[#This Row],[email]]&amp;"&amp;subject=Your NSF Proposal:  "&amp;RADataTable[[#This Row],[Div]]&amp;" "&amp;RADataTable[[#This Row],[prop_id0]], RADataTable[[#This Row],[email]])</f>
        <v>shima.hm@tamu.edu</v>
      </c>
      <c r="Z857" s="15" t="str">
        <f>HYPERLINK("mailto:"&amp;RADataTable[[#This Row],[allPIemail]]&amp;"&amp;subject=NSF Proposal:  "&amp;RADataTable[[#This Row],[Div]]&amp;" "&amp;RADataTable[[#This Row],[prop_id0]], "PIs@")</f>
        <v>PIs@</v>
      </c>
      <c r="AA857" t="s">
        <v>245</v>
      </c>
      <c r="AB857" t="s">
        <v>689</v>
      </c>
      <c r="AC857" s="30" t="s">
        <v>890</v>
      </c>
      <c r="AD857" t="s">
        <v>891</v>
      </c>
      <c r="AE857" t="s">
        <v>892</v>
      </c>
      <c r="AF857" s="36">
        <v>175000</v>
      </c>
      <c r="AG857" s="36">
        <v>175000</v>
      </c>
      <c r="AH857" s="24"/>
      <c r="AJ857" s="34"/>
      <c r="AK857" t="s">
        <v>923</v>
      </c>
      <c r="AL857" t="s">
        <v>924</v>
      </c>
      <c r="AM857" s="34" t="s">
        <v>925</v>
      </c>
      <c r="AN857" s="34">
        <v>43032</v>
      </c>
      <c r="AO857" s="24">
        <v>5</v>
      </c>
      <c r="AP857" t="s">
        <v>985</v>
      </c>
      <c r="AR857" s="35"/>
      <c r="AS857"/>
      <c r="AT857" s="34"/>
      <c r="AV857" s="34"/>
      <c r="AX857" s="34"/>
      <c r="AY857"/>
      <c r="BA857" s="34"/>
      <c r="BB857"/>
      <c r="BC857" t="s">
        <v>895</v>
      </c>
      <c r="BD857" s="36">
        <v>175000</v>
      </c>
      <c r="BE857" s="36">
        <v>175000</v>
      </c>
      <c r="BF857">
        <v>0</v>
      </c>
      <c r="BG857" s="34">
        <v>43252</v>
      </c>
      <c r="BH857">
        <v>24</v>
      </c>
      <c r="BI857" t="s">
        <v>974</v>
      </c>
      <c r="BJ857" t="s">
        <v>975</v>
      </c>
      <c r="BK857" t="s">
        <v>234</v>
      </c>
      <c r="BL857" t="s">
        <v>194</v>
      </c>
      <c r="BM857" s="8" t="s">
        <v>192</v>
      </c>
      <c r="BN857" t="s">
        <v>189</v>
      </c>
      <c r="BO857" t="s">
        <v>190</v>
      </c>
      <c r="BP857" s="35" t="s">
        <v>880</v>
      </c>
      <c r="BQ857"/>
      <c r="BU857" s="35"/>
      <c r="BV857" s="35"/>
      <c r="BX857"/>
      <c r="CA857" s="35"/>
      <c r="CB857" s="35"/>
      <c r="CC857"/>
      <c r="CG857" s="35"/>
      <c r="CH857" s="35"/>
      <c r="CK857"/>
      <c r="CM857" s="35"/>
      <c r="CN857" s="35"/>
      <c r="CQ857"/>
      <c r="CS857" s="35"/>
      <c r="CT857" s="35"/>
      <c r="CX857"/>
      <c r="CZ857" s="35"/>
      <c r="DD857" s="34"/>
      <c r="DG857" t="s">
        <v>893</v>
      </c>
      <c r="DH857" t="s">
        <v>986</v>
      </c>
      <c r="DI857" t="s">
        <v>798</v>
      </c>
      <c r="DL857" t="s">
        <v>689</v>
      </c>
      <c r="DM857">
        <v>4</v>
      </c>
      <c r="DN857">
        <v>7</v>
      </c>
      <c r="DO857" t="s">
        <v>894</v>
      </c>
      <c r="DQ857" t="s">
        <v>927</v>
      </c>
      <c r="DR857">
        <v>14</v>
      </c>
      <c r="DS857">
        <v>0</v>
      </c>
      <c r="DU857">
        <v>14</v>
      </c>
      <c r="DV857">
        <v>0</v>
      </c>
      <c r="DX857">
        <v>14</v>
      </c>
      <c r="DY857">
        <v>0</v>
      </c>
      <c r="DZ857" t="s">
        <v>246</v>
      </c>
      <c r="EA857" t="s">
        <v>929</v>
      </c>
    </row>
    <row r="858" spans="1:131" x14ac:dyDescent="0.4">
      <c r="A858" s="34">
        <v>43067.305104166669</v>
      </c>
      <c r="B858" s="25">
        <v>42956.697222222225</v>
      </c>
      <c r="D858" s="34"/>
      <c r="E858" s="34" t="s">
        <v>193</v>
      </c>
      <c r="F858" s="34" t="s">
        <v>191</v>
      </c>
      <c r="G858" s="34" t="s">
        <v>100</v>
      </c>
      <c r="H858" t="s">
        <v>856</v>
      </c>
      <c r="I858" t="s">
        <v>243</v>
      </c>
      <c r="J858" t="s">
        <v>857</v>
      </c>
      <c r="K858" t="s">
        <v>713</v>
      </c>
      <c r="L858" t="s">
        <v>855</v>
      </c>
      <c r="M858" s="30">
        <v>4.05</v>
      </c>
      <c r="N858">
        <v>5.333333333333333</v>
      </c>
      <c r="P858" s="24" t="str">
        <f>IFERROR(MID(RADataTable[[#This Row],[RATemplate]],1,LEN(RADataTable[[#This Row],[RATemplate]])-8),"RA") &amp; " " &amp; RADataTable[[#This Row],[prop_id0]] &amp; " " &amp; RADataTable[[#This Row],[last0]]</f>
        <v>RA 1755954 Hajimirza</v>
      </c>
      <c r="T858">
        <v>3</v>
      </c>
      <c r="U858">
        <v>3</v>
      </c>
      <c r="V858" s="34">
        <v>43032.675694444442</v>
      </c>
      <c r="W858">
        <v>1</v>
      </c>
      <c r="X858" s="15" t="str">
        <f>HYPERLINK("https://www.ejacket.nsf.gov/ej/showProposal.do?Continue=Y&amp;ID="&amp;RADataTable[[#This Row],[prop_id0]],"eJ")</f>
        <v>eJ</v>
      </c>
      <c r="Y858" s="15" t="str">
        <f>HYPERLINK("mailto:"&amp;RADataTable[[#This Row],[email]]&amp;"&amp;subject=Your NSF Proposal:  "&amp;RADataTable[[#This Row],[Div]]&amp;" "&amp;RADataTable[[#This Row],[prop_id0]], RADataTable[[#This Row],[email]])</f>
        <v>shima.hm@tamu.edu</v>
      </c>
      <c r="Z858" s="15" t="str">
        <f>HYPERLINK("mailto:"&amp;RADataTable[[#This Row],[allPIemail]]&amp;"&amp;subject=NSF Proposal:  "&amp;RADataTable[[#This Row],[Div]]&amp;" "&amp;RADataTable[[#This Row],[prop_id0]], "PIs@")</f>
        <v>PIs@</v>
      </c>
      <c r="AA858" t="s">
        <v>245</v>
      </c>
      <c r="AB858" t="s">
        <v>689</v>
      </c>
      <c r="AC858" s="30" t="s">
        <v>890</v>
      </c>
      <c r="AD858" t="s">
        <v>891</v>
      </c>
      <c r="AE858" t="s">
        <v>892</v>
      </c>
      <c r="AF858" s="36">
        <v>175000</v>
      </c>
      <c r="AG858" s="36">
        <v>175000</v>
      </c>
      <c r="AH858" s="24"/>
      <c r="AJ858" s="34"/>
      <c r="AK858" t="s">
        <v>923</v>
      </c>
      <c r="AL858" t="s">
        <v>924</v>
      </c>
      <c r="AM858" s="34" t="s">
        <v>925</v>
      </c>
      <c r="AN858" s="34">
        <v>43032</v>
      </c>
      <c r="AO858" s="24">
        <v>5</v>
      </c>
      <c r="AP858" t="s">
        <v>985</v>
      </c>
      <c r="AR858" s="35"/>
      <c r="AS858"/>
      <c r="AT858" s="34"/>
      <c r="AV858" s="34"/>
      <c r="AX858" s="34"/>
      <c r="AY858"/>
      <c r="BA858" s="34"/>
      <c r="BB858"/>
      <c r="BC858" t="s">
        <v>895</v>
      </c>
      <c r="BD858" s="36">
        <v>175000</v>
      </c>
      <c r="BE858" s="36">
        <v>175000</v>
      </c>
      <c r="BF858">
        <v>0</v>
      </c>
      <c r="BG858" s="34">
        <v>43252</v>
      </c>
      <c r="BH858">
        <v>24</v>
      </c>
      <c r="BI858" t="s">
        <v>974</v>
      </c>
      <c r="BJ858" t="s">
        <v>975</v>
      </c>
      <c r="BK858" t="s">
        <v>234</v>
      </c>
      <c r="BL858" t="s">
        <v>194</v>
      </c>
      <c r="BM858" s="8" t="s">
        <v>192</v>
      </c>
      <c r="BN858" t="s">
        <v>189</v>
      </c>
      <c r="BO858" t="s">
        <v>190</v>
      </c>
      <c r="BP858" s="35" t="s">
        <v>880</v>
      </c>
      <c r="BQ858"/>
      <c r="BU858" s="35"/>
      <c r="BV858" s="35"/>
      <c r="BX858"/>
      <c r="CA858" s="35"/>
      <c r="CB858" s="35"/>
      <c r="CC858"/>
      <c r="CG858" s="35"/>
      <c r="CH858" s="35"/>
      <c r="CK858"/>
      <c r="CM858" s="35"/>
      <c r="CN858" s="35"/>
      <c r="CQ858"/>
      <c r="CS858" s="35"/>
      <c r="CT858" s="35"/>
      <c r="CX858"/>
      <c r="CZ858" s="35"/>
      <c r="DD858" s="34"/>
      <c r="DG858" t="s">
        <v>893</v>
      </c>
      <c r="DH858" t="s">
        <v>986</v>
      </c>
      <c r="DI858" t="s">
        <v>798</v>
      </c>
      <c r="DL858" t="s">
        <v>689</v>
      </c>
      <c r="DM858">
        <v>4</v>
      </c>
      <c r="DN858">
        <v>7</v>
      </c>
      <c r="DO858" t="s">
        <v>894</v>
      </c>
      <c r="DQ858" t="s">
        <v>927</v>
      </c>
      <c r="DR858">
        <v>14</v>
      </c>
      <c r="DS858">
        <v>0</v>
      </c>
      <c r="DU858">
        <v>14</v>
      </c>
      <c r="DV858">
        <v>0</v>
      </c>
      <c r="DX858">
        <v>14</v>
      </c>
      <c r="DY858">
        <v>0</v>
      </c>
      <c r="DZ858" t="s">
        <v>246</v>
      </c>
      <c r="EA858" t="s">
        <v>929</v>
      </c>
    </row>
    <row r="859" spans="1:131" x14ac:dyDescent="0.4">
      <c r="A859" s="34">
        <v>43067.305104166669</v>
      </c>
      <c r="B859" s="25">
        <v>42956.697222222225</v>
      </c>
      <c r="D859" s="34"/>
      <c r="E859" s="34" t="s">
        <v>193</v>
      </c>
      <c r="F859" s="34" t="s">
        <v>191</v>
      </c>
      <c r="G859" s="34" t="s">
        <v>100</v>
      </c>
      <c r="H859" t="s">
        <v>856</v>
      </c>
      <c r="I859" t="s">
        <v>243</v>
      </c>
      <c r="J859" t="s">
        <v>857</v>
      </c>
      <c r="K859" t="s">
        <v>713</v>
      </c>
      <c r="L859" t="s">
        <v>855</v>
      </c>
      <c r="M859" s="30">
        <v>4.05</v>
      </c>
      <c r="N859">
        <v>5.333333333333333</v>
      </c>
      <c r="P859" s="24" t="str">
        <f>IFERROR(MID(RADataTable[[#This Row],[RATemplate]],1,LEN(RADataTable[[#This Row],[RATemplate]])-8),"RA") &amp; " " &amp; RADataTable[[#This Row],[prop_id0]] &amp; " " &amp; RADataTable[[#This Row],[last0]]</f>
        <v>RA 1755954 Hajimirza</v>
      </c>
      <c r="T859">
        <v>3</v>
      </c>
      <c r="U859">
        <v>3</v>
      </c>
      <c r="V859" s="34">
        <v>43032.675694444442</v>
      </c>
      <c r="W859">
        <v>1</v>
      </c>
      <c r="X859" s="15" t="str">
        <f>HYPERLINK("https://www.ejacket.nsf.gov/ej/showProposal.do?Continue=Y&amp;ID="&amp;RADataTable[[#This Row],[prop_id0]],"eJ")</f>
        <v>eJ</v>
      </c>
      <c r="Y859" s="15" t="str">
        <f>HYPERLINK("mailto:"&amp;RADataTable[[#This Row],[email]]&amp;"&amp;subject=Your NSF Proposal:  "&amp;RADataTable[[#This Row],[Div]]&amp;" "&amp;RADataTable[[#This Row],[prop_id0]], RADataTable[[#This Row],[email]])</f>
        <v>shima.hm@tamu.edu</v>
      </c>
      <c r="Z859" s="15" t="str">
        <f>HYPERLINK("mailto:"&amp;RADataTable[[#This Row],[allPIemail]]&amp;"&amp;subject=NSF Proposal:  "&amp;RADataTable[[#This Row],[Div]]&amp;" "&amp;RADataTable[[#This Row],[prop_id0]], "PIs@")</f>
        <v>PIs@</v>
      </c>
      <c r="AA859" t="s">
        <v>245</v>
      </c>
      <c r="AB859" t="s">
        <v>689</v>
      </c>
      <c r="AC859" s="30" t="s">
        <v>890</v>
      </c>
      <c r="AD859" t="s">
        <v>891</v>
      </c>
      <c r="AE859" t="s">
        <v>892</v>
      </c>
      <c r="AF859" s="36">
        <v>175000</v>
      </c>
      <c r="AG859" s="36">
        <v>175000</v>
      </c>
      <c r="AH859" s="24"/>
      <c r="AJ859" s="34"/>
      <c r="AK859" t="s">
        <v>923</v>
      </c>
      <c r="AL859" t="s">
        <v>924</v>
      </c>
      <c r="AM859" s="34" t="s">
        <v>925</v>
      </c>
      <c r="AN859" s="34">
        <v>43032</v>
      </c>
      <c r="AO859" s="24">
        <v>5</v>
      </c>
      <c r="AP859" t="s">
        <v>985</v>
      </c>
      <c r="AR859" s="35"/>
      <c r="AS859"/>
      <c r="AT859" s="34"/>
      <c r="AV859" s="34"/>
      <c r="AX859" s="34"/>
      <c r="AY859"/>
      <c r="BA859" s="34"/>
      <c r="BB859"/>
      <c r="BC859" t="s">
        <v>895</v>
      </c>
      <c r="BD859" s="36">
        <v>175000</v>
      </c>
      <c r="BE859" s="36">
        <v>175000</v>
      </c>
      <c r="BF859">
        <v>0</v>
      </c>
      <c r="BG859" s="34">
        <v>43252</v>
      </c>
      <c r="BH859">
        <v>24</v>
      </c>
      <c r="BI859" t="s">
        <v>974</v>
      </c>
      <c r="BJ859" t="s">
        <v>975</v>
      </c>
      <c r="BK859" t="s">
        <v>234</v>
      </c>
      <c r="BL859" t="s">
        <v>194</v>
      </c>
      <c r="BM859" s="8" t="s">
        <v>192</v>
      </c>
      <c r="BN859" t="s">
        <v>189</v>
      </c>
      <c r="BO859" t="s">
        <v>190</v>
      </c>
      <c r="BP859" s="35" t="s">
        <v>880</v>
      </c>
      <c r="BQ859"/>
      <c r="BU859" s="35"/>
      <c r="BV859" s="35"/>
      <c r="BX859"/>
      <c r="CA859" s="35"/>
      <c r="CB859" s="35"/>
      <c r="CC859"/>
      <c r="CG859" s="35"/>
      <c r="CH859" s="35"/>
      <c r="CK859"/>
      <c r="CM859" s="35"/>
      <c r="CN859" s="35"/>
      <c r="CQ859"/>
      <c r="CS859" s="35"/>
      <c r="CT859" s="35"/>
      <c r="CX859"/>
      <c r="CZ859" s="35"/>
      <c r="DD859" s="34"/>
      <c r="DG859" t="s">
        <v>893</v>
      </c>
      <c r="DH859" t="s">
        <v>986</v>
      </c>
      <c r="DI859" t="s">
        <v>798</v>
      </c>
      <c r="DL859" t="s">
        <v>689</v>
      </c>
      <c r="DM859">
        <v>4</v>
      </c>
      <c r="DN859">
        <v>7</v>
      </c>
      <c r="DO859" t="s">
        <v>894</v>
      </c>
      <c r="DQ859" t="s">
        <v>927</v>
      </c>
      <c r="DR859">
        <v>14</v>
      </c>
      <c r="DS859">
        <v>0</v>
      </c>
      <c r="DU859">
        <v>14</v>
      </c>
      <c r="DV859">
        <v>0</v>
      </c>
      <c r="DX859">
        <v>14</v>
      </c>
      <c r="DY859">
        <v>0</v>
      </c>
      <c r="DZ859" t="s">
        <v>246</v>
      </c>
      <c r="EA859" t="s">
        <v>929</v>
      </c>
    </row>
    <row r="860" spans="1:131" x14ac:dyDescent="0.4">
      <c r="A860" s="34">
        <v>43067.305104166669</v>
      </c>
      <c r="B860" s="25">
        <v>42956.697222222225</v>
      </c>
      <c r="D860" s="34"/>
      <c r="E860" s="34" t="s">
        <v>193</v>
      </c>
      <c r="F860" s="34" t="s">
        <v>191</v>
      </c>
      <c r="G860" s="34" t="s">
        <v>100</v>
      </c>
      <c r="H860" t="s">
        <v>856</v>
      </c>
      <c r="I860" t="s">
        <v>243</v>
      </c>
      <c r="J860" t="s">
        <v>857</v>
      </c>
      <c r="K860" t="s">
        <v>713</v>
      </c>
      <c r="L860" t="s">
        <v>855</v>
      </c>
      <c r="M860" s="30">
        <v>4.05</v>
      </c>
      <c r="N860">
        <v>5.333333333333333</v>
      </c>
      <c r="P860" s="24" t="str">
        <f>IFERROR(MID(RADataTable[[#This Row],[RATemplate]],1,LEN(RADataTable[[#This Row],[RATemplate]])-8),"RA") &amp; " " &amp; RADataTable[[#This Row],[prop_id0]] &amp; " " &amp; RADataTable[[#This Row],[last0]]</f>
        <v>RA 1755954 Hajimirza</v>
      </c>
      <c r="T860">
        <v>3</v>
      </c>
      <c r="U860">
        <v>3</v>
      </c>
      <c r="V860" s="34">
        <v>43032.675694444442</v>
      </c>
      <c r="W860">
        <v>1</v>
      </c>
      <c r="X860" s="15" t="str">
        <f>HYPERLINK("https://www.ejacket.nsf.gov/ej/showProposal.do?Continue=Y&amp;ID="&amp;RADataTable[[#This Row],[prop_id0]],"eJ")</f>
        <v>eJ</v>
      </c>
      <c r="Y860" s="15" t="str">
        <f>HYPERLINK("mailto:"&amp;RADataTable[[#This Row],[email]]&amp;"&amp;subject=Your NSF Proposal:  "&amp;RADataTable[[#This Row],[Div]]&amp;" "&amp;RADataTable[[#This Row],[prop_id0]], RADataTable[[#This Row],[email]])</f>
        <v>shima.hm@tamu.edu</v>
      </c>
      <c r="Z860" s="15" t="str">
        <f>HYPERLINK("mailto:"&amp;RADataTable[[#This Row],[allPIemail]]&amp;"&amp;subject=NSF Proposal:  "&amp;RADataTable[[#This Row],[Div]]&amp;" "&amp;RADataTable[[#This Row],[prop_id0]], "PIs@")</f>
        <v>PIs@</v>
      </c>
      <c r="AA860" t="s">
        <v>245</v>
      </c>
      <c r="AB860" t="s">
        <v>689</v>
      </c>
      <c r="AC860" s="30" t="s">
        <v>890</v>
      </c>
      <c r="AD860" t="s">
        <v>891</v>
      </c>
      <c r="AE860" t="s">
        <v>892</v>
      </c>
      <c r="AF860" s="36">
        <v>175000</v>
      </c>
      <c r="AG860" s="36">
        <v>175000</v>
      </c>
      <c r="AH860" s="24"/>
      <c r="AJ860" s="34"/>
      <c r="AK860" t="s">
        <v>923</v>
      </c>
      <c r="AL860" t="s">
        <v>924</v>
      </c>
      <c r="AM860" s="34" t="s">
        <v>925</v>
      </c>
      <c r="AN860" s="34">
        <v>43032</v>
      </c>
      <c r="AO860" s="24">
        <v>5</v>
      </c>
      <c r="AP860" t="s">
        <v>985</v>
      </c>
      <c r="AR860" s="35"/>
      <c r="AS860"/>
      <c r="AT860" s="34"/>
      <c r="AV860" s="34"/>
      <c r="AX860" s="34"/>
      <c r="AY860"/>
      <c r="BA860" s="34"/>
      <c r="BB860"/>
      <c r="BC860" t="s">
        <v>895</v>
      </c>
      <c r="BD860" s="36">
        <v>175000</v>
      </c>
      <c r="BE860" s="36">
        <v>175000</v>
      </c>
      <c r="BF860">
        <v>0</v>
      </c>
      <c r="BG860" s="34">
        <v>43252</v>
      </c>
      <c r="BH860">
        <v>24</v>
      </c>
      <c r="BI860" t="s">
        <v>974</v>
      </c>
      <c r="BJ860" t="s">
        <v>975</v>
      </c>
      <c r="BK860" t="s">
        <v>234</v>
      </c>
      <c r="BL860" t="s">
        <v>194</v>
      </c>
      <c r="BM860" s="8" t="s">
        <v>192</v>
      </c>
      <c r="BN860" t="s">
        <v>189</v>
      </c>
      <c r="BO860" t="s">
        <v>190</v>
      </c>
      <c r="BP860" s="35" t="s">
        <v>880</v>
      </c>
      <c r="BQ860"/>
      <c r="BU860" s="35"/>
      <c r="BV860" s="35"/>
      <c r="BX860"/>
      <c r="CA860" s="35"/>
      <c r="CB860" s="35"/>
      <c r="CC860"/>
      <c r="CG860" s="35"/>
      <c r="CH860" s="35"/>
      <c r="CK860"/>
      <c r="CM860" s="35"/>
      <c r="CN860" s="35"/>
      <c r="CQ860"/>
      <c r="CS860" s="35"/>
      <c r="CT860" s="35"/>
      <c r="CX860"/>
      <c r="CZ860" s="35"/>
      <c r="DD860" s="34"/>
      <c r="DG860" t="s">
        <v>893</v>
      </c>
      <c r="DH860" t="s">
        <v>986</v>
      </c>
      <c r="DI860" t="s">
        <v>798</v>
      </c>
      <c r="DL860" t="s">
        <v>689</v>
      </c>
      <c r="DM860">
        <v>4</v>
      </c>
      <c r="DN860">
        <v>7</v>
      </c>
      <c r="DO860" t="s">
        <v>894</v>
      </c>
      <c r="DQ860" t="s">
        <v>927</v>
      </c>
      <c r="DR860">
        <v>14</v>
      </c>
      <c r="DS860">
        <v>0</v>
      </c>
      <c r="DU860">
        <v>14</v>
      </c>
      <c r="DV860">
        <v>0</v>
      </c>
      <c r="DX860">
        <v>14</v>
      </c>
      <c r="DY860">
        <v>0</v>
      </c>
      <c r="DZ860" t="s">
        <v>246</v>
      </c>
      <c r="EA860" t="s">
        <v>929</v>
      </c>
    </row>
    <row r="861" spans="1:131" x14ac:dyDescent="0.4">
      <c r="A861" s="34">
        <v>43067.305104166669</v>
      </c>
      <c r="B861" s="25">
        <v>42956.697222222225</v>
      </c>
      <c r="D861" s="34"/>
      <c r="E861" s="34" t="s">
        <v>193</v>
      </c>
      <c r="F861" s="34" t="s">
        <v>191</v>
      </c>
      <c r="G861" s="34" t="s">
        <v>100</v>
      </c>
      <c r="H861" t="s">
        <v>856</v>
      </c>
      <c r="I861" t="s">
        <v>243</v>
      </c>
      <c r="J861" t="s">
        <v>857</v>
      </c>
      <c r="K861" t="s">
        <v>713</v>
      </c>
      <c r="L861" t="s">
        <v>855</v>
      </c>
      <c r="M861" s="30">
        <v>4.05</v>
      </c>
      <c r="N861">
        <v>5.333333333333333</v>
      </c>
      <c r="P861" s="24" t="str">
        <f>IFERROR(MID(RADataTable[[#This Row],[RATemplate]],1,LEN(RADataTable[[#This Row],[RATemplate]])-8),"RA") &amp; " " &amp; RADataTable[[#This Row],[prop_id0]] &amp; " " &amp; RADataTable[[#This Row],[last0]]</f>
        <v>RA 1755954 Hajimirza</v>
      </c>
      <c r="T861">
        <v>3</v>
      </c>
      <c r="U861">
        <v>3</v>
      </c>
      <c r="V861" s="34">
        <v>43032.675694444442</v>
      </c>
      <c r="W861">
        <v>1</v>
      </c>
      <c r="X861" s="15" t="str">
        <f>HYPERLINK("https://www.ejacket.nsf.gov/ej/showProposal.do?Continue=Y&amp;ID="&amp;RADataTable[[#This Row],[prop_id0]],"eJ")</f>
        <v>eJ</v>
      </c>
      <c r="Y861" s="15" t="str">
        <f>HYPERLINK("mailto:"&amp;RADataTable[[#This Row],[email]]&amp;"&amp;subject=Your NSF Proposal:  "&amp;RADataTable[[#This Row],[Div]]&amp;" "&amp;RADataTable[[#This Row],[prop_id0]], RADataTable[[#This Row],[email]])</f>
        <v>shima.hm@tamu.edu</v>
      </c>
      <c r="Z861" s="15" t="str">
        <f>HYPERLINK("mailto:"&amp;RADataTable[[#This Row],[allPIemail]]&amp;"&amp;subject=NSF Proposal:  "&amp;RADataTable[[#This Row],[Div]]&amp;" "&amp;RADataTable[[#This Row],[prop_id0]], "PIs@")</f>
        <v>PIs@</v>
      </c>
      <c r="AA861" t="s">
        <v>245</v>
      </c>
      <c r="AB861" t="s">
        <v>689</v>
      </c>
      <c r="AC861" s="30" t="s">
        <v>890</v>
      </c>
      <c r="AD861" t="s">
        <v>891</v>
      </c>
      <c r="AE861" t="s">
        <v>892</v>
      </c>
      <c r="AF861" s="36">
        <v>175000</v>
      </c>
      <c r="AG861" s="36">
        <v>175000</v>
      </c>
      <c r="AH861" s="24"/>
      <c r="AJ861" s="34"/>
      <c r="AK861" t="s">
        <v>923</v>
      </c>
      <c r="AL861" t="s">
        <v>924</v>
      </c>
      <c r="AM861" s="34" t="s">
        <v>925</v>
      </c>
      <c r="AN861" s="34">
        <v>43032</v>
      </c>
      <c r="AO861" s="24">
        <v>5</v>
      </c>
      <c r="AP861" t="s">
        <v>985</v>
      </c>
      <c r="AR861" s="35"/>
      <c r="AS861"/>
      <c r="AT861" s="34"/>
      <c r="AV861" s="34"/>
      <c r="AX861" s="34"/>
      <c r="AY861"/>
      <c r="BA861" s="34"/>
      <c r="BB861"/>
      <c r="BC861" t="s">
        <v>895</v>
      </c>
      <c r="BD861" s="36">
        <v>175000</v>
      </c>
      <c r="BE861" s="36">
        <v>175000</v>
      </c>
      <c r="BF861">
        <v>0</v>
      </c>
      <c r="BG861" s="34">
        <v>43252</v>
      </c>
      <c r="BH861">
        <v>24</v>
      </c>
      <c r="BI861" t="s">
        <v>974</v>
      </c>
      <c r="BJ861" t="s">
        <v>975</v>
      </c>
      <c r="BK861" t="s">
        <v>234</v>
      </c>
      <c r="BL861" t="s">
        <v>194</v>
      </c>
      <c r="BM861" s="8" t="s">
        <v>192</v>
      </c>
      <c r="BN861" t="s">
        <v>189</v>
      </c>
      <c r="BO861" t="s">
        <v>190</v>
      </c>
      <c r="BP861" s="35" t="s">
        <v>880</v>
      </c>
      <c r="BQ861"/>
      <c r="BU861" s="35"/>
      <c r="BV861" s="35"/>
      <c r="BX861"/>
      <c r="CA861" s="35"/>
      <c r="CB861" s="35"/>
      <c r="CC861"/>
      <c r="CG861" s="35"/>
      <c r="CH861" s="35"/>
      <c r="CK861"/>
      <c r="CM861" s="35"/>
      <c r="CN861" s="35"/>
      <c r="CQ861"/>
      <c r="CS861" s="35"/>
      <c r="CT861" s="35"/>
      <c r="CX861"/>
      <c r="CZ861" s="35"/>
      <c r="DD861" s="34"/>
      <c r="DG861" t="s">
        <v>893</v>
      </c>
      <c r="DH861" t="s">
        <v>986</v>
      </c>
      <c r="DI861" t="s">
        <v>798</v>
      </c>
      <c r="DL861" t="s">
        <v>689</v>
      </c>
      <c r="DM861">
        <v>4</v>
      </c>
      <c r="DN861">
        <v>7</v>
      </c>
      <c r="DO861" t="s">
        <v>894</v>
      </c>
      <c r="DQ861" t="s">
        <v>927</v>
      </c>
      <c r="DR861">
        <v>14</v>
      </c>
      <c r="DS861">
        <v>0</v>
      </c>
      <c r="DU861">
        <v>14</v>
      </c>
      <c r="DV861">
        <v>0</v>
      </c>
      <c r="DX861">
        <v>14</v>
      </c>
      <c r="DY861">
        <v>0</v>
      </c>
      <c r="DZ861" t="s">
        <v>246</v>
      </c>
      <c r="EA861" t="s">
        <v>929</v>
      </c>
    </row>
    <row r="862" spans="1:131" x14ac:dyDescent="0.4">
      <c r="A862" s="34">
        <v>43067.305104166669</v>
      </c>
      <c r="B862" s="25">
        <v>42956.697222222225</v>
      </c>
      <c r="D862" s="34"/>
      <c r="E862" s="34" t="s">
        <v>193</v>
      </c>
      <c r="F862" s="34" t="s">
        <v>191</v>
      </c>
      <c r="G862" s="34" t="s">
        <v>100</v>
      </c>
      <c r="H862" t="s">
        <v>856</v>
      </c>
      <c r="I862" t="s">
        <v>243</v>
      </c>
      <c r="J862" t="s">
        <v>857</v>
      </c>
      <c r="K862" t="s">
        <v>713</v>
      </c>
      <c r="L862" t="s">
        <v>855</v>
      </c>
      <c r="M862" s="30">
        <v>4.05</v>
      </c>
      <c r="N862">
        <v>5.333333333333333</v>
      </c>
      <c r="P862" s="24" t="str">
        <f>IFERROR(MID(RADataTable[[#This Row],[RATemplate]],1,LEN(RADataTable[[#This Row],[RATemplate]])-8),"RA") &amp; " " &amp; RADataTable[[#This Row],[prop_id0]] &amp; " " &amp; RADataTable[[#This Row],[last0]]</f>
        <v>RA 1755954 Hajimirza</v>
      </c>
      <c r="T862">
        <v>3</v>
      </c>
      <c r="U862">
        <v>3</v>
      </c>
      <c r="V862" s="34">
        <v>43032.675694444442</v>
      </c>
      <c r="W862">
        <v>1</v>
      </c>
      <c r="X862" s="15" t="str">
        <f>HYPERLINK("https://www.ejacket.nsf.gov/ej/showProposal.do?Continue=Y&amp;ID="&amp;RADataTable[[#This Row],[prop_id0]],"eJ")</f>
        <v>eJ</v>
      </c>
      <c r="Y862" s="15" t="str">
        <f>HYPERLINK("mailto:"&amp;RADataTable[[#This Row],[email]]&amp;"&amp;subject=Your NSF Proposal:  "&amp;RADataTable[[#This Row],[Div]]&amp;" "&amp;RADataTable[[#This Row],[prop_id0]], RADataTable[[#This Row],[email]])</f>
        <v>shima.hm@tamu.edu</v>
      </c>
      <c r="Z862" s="15" t="str">
        <f>HYPERLINK("mailto:"&amp;RADataTable[[#This Row],[allPIemail]]&amp;"&amp;subject=NSF Proposal:  "&amp;RADataTable[[#This Row],[Div]]&amp;" "&amp;RADataTable[[#This Row],[prop_id0]], "PIs@")</f>
        <v>PIs@</v>
      </c>
      <c r="AA862" t="s">
        <v>245</v>
      </c>
      <c r="AB862" t="s">
        <v>689</v>
      </c>
      <c r="AC862" s="30" t="s">
        <v>890</v>
      </c>
      <c r="AD862" t="s">
        <v>891</v>
      </c>
      <c r="AE862" t="s">
        <v>892</v>
      </c>
      <c r="AF862" s="36">
        <v>175000</v>
      </c>
      <c r="AG862" s="36">
        <v>175000</v>
      </c>
      <c r="AH862" s="24"/>
      <c r="AJ862" s="34"/>
      <c r="AK862" t="s">
        <v>923</v>
      </c>
      <c r="AL862" t="s">
        <v>924</v>
      </c>
      <c r="AM862" s="34" t="s">
        <v>925</v>
      </c>
      <c r="AN862" s="34">
        <v>43032</v>
      </c>
      <c r="AO862" s="24">
        <v>5</v>
      </c>
      <c r="AP862" t="s">
        <v>985</v>
      </c>
      <c r="AR862" s="35"/>
      <c r="AS862"/>
      <c r="AT862" s="34"/>
      <c r="AV862" s="34"/>
      <c r="AX862" s="34"/>
      <c r="AY862"/>
      <c r="BA862" s="34"/>
      <c r="BB862"/>
      <c r="BC862" t="s">
        <v>895</v>
      </c>
      <c r="BD862" s="36">
        <v>175000</v>
      </c>
      <c r="BE862" s="36">
        <v>175000</v>
      </c>
      <c r="BF862">
        <v>0</v>
      </c>
      <c r="BG862" s="34">
        <v>43252</v>
      </c>
      <c r="BH862">
        <v>24</v>
      </c>
      <c r="BI862" t="s">
        <v>974</v>
      </c>
      <c r="BJ862" t="s">
        <v>975</v>
      </c>
      <c r="BK862" t="s">
        <v>234</v>
      </c>
      <c r="BL862" t="s">
        <v>194</v>
      </c>
      <c r="BM862" s="8" t="s">
        <v>192</v>
      </c>
      <c r="BN862" t="s">
        <v>189</v>
      </c>
      <c r="BO862" t="s">
        <v>190</v>
      </c>
      <c r="BP862" s="35" t="s">
        <v>880</v>
      </c>
      <c r="BQ862"/>
      <c r="BU862" s="35"/>
      <c r="BV862" s="35"/>
      <c r="BX862"/>
      <c r="CA862" s="35"/>
      <c r="CB862" s="35"/>
      <c r="CC862"/>
      <c r="CG862" s="35"/>
      <c r="CH862" s="35"/>
      <c r="CK862"/>
      <c r="CM862" s="35"/>
      <c r="CN862" s="35"/>
      <c r="CQ862"/>
      <c r="CS862" s="35"/>
      <c r="CT862" s="35"/>
      <c r="CX862"/>
      <c r="CZ862" s="35"/>
      <c r="DD862" s="34"/>
      <c r="DG862" t="s">
        <v>893</v>
      </c>
      <c r="DH862" t="s">
        <v>986</v>
      </c>
      <c r="DI862" t="s">
        <v>798</v>
      </c>
      <c r="DL862" t="s">
        <v>689</v>
      </c>
      <c r="DM862">
        <v>4</v>
      </c>
      <c r="DN862">
        <v>7</v>
      </c>
      <c r="DO862" t="s">
        <v>894</v>
      </c>
      <c r="DQ862" t="s">
        <v>927</v>
      </c>
      <c r="DR862">
        <v>14</v>
      </c>
      <c r="DS862">
        <v>0</v>
      </c>
      <c r="DU862">
        <v>14</v>
      </c>
      <c r="DV862">
        <v>0</v>
      </c>
      <c r="DX862">
        <v>14</v>
      </c>
      <c r="DY862">
        <v>0</v>
      </c>
      <c r="DZ862" t="s">
        <v>246</v>
      </c>
      <c r="EA862" t="s">
        <v>929</v>
      </c>
    </row>
    <row r="863" spans="1:131" x14ac:dyDescent="0.4">
      <c r="A863" s="34">
        <v>43067.305104166669</v>
      </c>
      <c r="B863" s="25">
        <v>42956.697222222225</v>
      </c>
      <c r="D863" s="34"/>
      <c r="E863" s="34" t="s">
        <v>193</v>
      </c>
      <c r="F863" s="34" t="s">
        <v>191</v>
      </c>
      <c r="G863" s="34" t="s">
        <v>100</v>
      </c>
      <c r="H863" t="s">
        <v>856</v>
      </c>
      <c r="I863" t="s">
        <v>243</v>
      </c>
      <c r="J863" t="s">
        <v>857</v>
      </c>
      <c r="K863" t="s">
        <v>713</v>
      </c>
      <c r="L863" t="s">
        <v>855</v>
      </c>
      <c r="M863" s="30">
        <v>4.05</v>
      </c>
      <c r="N863">
        <v>5.333333333333333</v>
      </c>
      <c r="P863" s="24" t="str">
        <f>IFERROR(MID(RADataTable[[#This Row],[RATemplate]],1,LEN(RADataTable[[#This Row],[RATemplate]])-8),"RA") &amp; " " &amp; RADataTable[[#This Row],[prop_id0]] &amp; " " &amp; RADataTable[[#This Row],[last0]]</f>
        <v>RA 1755954 Hajimirza</v>
      </c>
      <c r="T863">
        <v>3</v>
      </c>
      <c r="U863">
        <v>3</v>
      </c>
      <c r="V863" s="34">
        <v>43032.675694444442</v>
      </c>
      <c r="W863">
        <v>1</v>
      </c>
      <c r="X863" s="15" t="str">
        <f>HYPERLINK("https://www.ejacket.nsf.gov/ej/showProposal.do?Continue=Y&amp;ID="&amp;RADataTable[[#This Row],[prop_id0]],"eJ")</f>
        <v>eJ</v>
      </c>
      <c r="Y863" s="15" t="str">
        <f>HYPERLINK("mailto:"&amp;RADataTable[[#This Row],[email]]&amp;"&amp;subject=Your NSF Proposal:  "&amp;RADataTable[[#This Row],[Div]]&amp;" "&amp;RADataTable[[#This Row],[prop_id0]], RADataTable[[#This Row],[email]])</f>
        <v>shima.hm@tamu.edu</v>
      </c>
      <c r="Z863" s="15" t="str">
        <f>HYPERLINK("mailto:"&amp;RADataTable[[#This Row],[allPIemail]]&amp;"&amp;subject=NSF Proposal:  "&amp;RADataTable[[#This Row],[Div]]&amp;" "&amp;RADataTable[[#This Row],[prop_id0]], "PIs@")</f>
        <v>PIs@</v>
      </c>
      <c r="AA863" t="s">
        <v>245</v>
      </c>
      <c r="AB863" t="s">
        <v>689</v>
      </c>
      <c r="AC863" s="30" t="s">
        <v>890</v>
      </c>
      <c r="AD863" t="s">
        <v>891</v>
      </c>
      <c r="AE863" t="s">
        <v>892</v>
      </c>
      <c r="AF863" s="36">
        <v>175000</v>
      </c>
      <c r="AG863" s="36">
        <v>175000</v>
      </c>
      <c r="AH863" s="24"/>
      <c r="AJ863" s="34"/>
      <c r="AK863" t="s">
        <v>923</v>
      </c>
      <c r="AL863" t="s">
        <v>924</v>
      </c>
      <c r="AM863" s="34" t="s">
        <v>925</v>
      </c>
      <c r="AN863" s="34">
        <v>43032</v>
      </c>
      <c r="AO863" s="24">
        <v>5</v>
      </c>
      <c r="AP863" t="s">
        <v>985</v>
      </c>
      <c r="AR863" s="35"/>
      <c r="AS863"/>
      <c r="AT863" s="34"/>
      <c r="AV863" s="34"/>
      <c r="AX863" s="34"/>
      <c r="AY863"/>
      <c r="BA863" s="34"/>
      <c r="BB863"/>
      <c r="BC863" t="s">
        <v>895</v>
      </c>
      <c r="BD863" s="36">
        <v>175000</v>
      </c>
      <c r="BE863" s="36">
        <v>175000</v>
      </c>
      <c r="BF863">
        <v>0</v>
      </c>
      <c r="BG863" s="34">
        <v>43252</v>
      </c>
      <c r="BH863">
        <v>24</v>
      </c>
      <c r="BI863" t="s">
        <v>974</v>
      </c>
      <c r="BJ863" t="s">
        <v>975</v>
      </c>
      <c r="BK863" t="s">
        <v>234</v>
      </c>
      <c r="BL863" t="s">
        <v>194</v>
      </c>
      <c r="BM863" s="8" t="s">
        <v>192</v>
      </c>
      <c r="BN863" t="s">
        <v>189</v>
      </c>
      <c r="BO863" t="s">
        <v>190</v>
      </c>
      <c r="BP863" s="35" t="s">
        <v>880</v>
      </c>
      <c r="BQ863"/>
      <c r="BU863" s="35"/>
      <c r="BV863" s="35"/>
      <c r="BX863"/>
      <c r="CA863" s="35"/>
      <c r="CB863" s="35"/>
      <c r="CC863"/>
      <c r="CG863" s="35"/>
      <c r="CH863" s="35"/>
      <c r="CK863"/>
      <c r="CM863" s="35"/>
      <c r="CN863" s="35"/>
      <c r="CQ863"/>
      <c r="CS863" s="35"/>
      <c r="CT863" s="35"/>
      <c r="CX863"/>
      <c r="CZ863" s="35"/>
      <c r="DD863" s="34"/>
      <c r="DG863" t="s">
        <v>893</v>
      </c>
      <c r="DH863" t="s">
        <v>986</v>
      </c>
      <c r="DI863" t="s">
        <v>798</v>
      </c>
      <c r="DL863" t="s">
        <v>689</v>
      </c>
      <c r="DM863">
        <v>4</v>
      </c>
      <c r="DN863">
        <v>7</v>
      </c>
      <c r="DO863" t="s">
        <v>894</v>
      </c>
      <c r="DQ863" t="s">
        <v>927</v>
      </c>
      <c r="DR863">
        <v>14</v>
      </c>
      <c r="DS863">
        <v>0</v>
      </c>
      <c r="DU863">
        <v>14</v>
      </c>
      <c r="DV863">
        <v>0</v>
      </c>
      <c r="DX863">
        <v>14</v>
      </c>
      <c r="DY863">
        <v>0</v>
      </c>
      <c r="DZ863" t="s">
        <v>246</v>
      </c>
      <c r="EA863" t="s">
        <v>929</v>
      </c>
    </row>
    <row r="864" spans="1:131" x14ac:dyDescent="0.4">
      <c r="A864" s="34">
        <v>43067.305104166669</v>
      </c>
      <c r="B864" s="25">
        <v>42956.697222222225</v>
      </c>
      <c r="D864" s="34"/>
      <c r="E864" s="34" t="s">
        <v>193</v>
      </c>
      <c r="F864" s="34" t="s">
        <v>191</v>
      </c>
      <c r="G864" s="34" t="s">
        <v>100</v>
      </c>
      <c r="H864" t="s">
        <v>856</v>
      </c>
      <c r="I864" t="s">
        <v>243</v>
      </c>
      <c r="J864" t="s">
        <v>857</v>
      </c>
      <c r="K864" t="s">
        <v>713</v>
      </c>
      <c r="L864" t="s">
        <v>855</v>
      </c>
      <c r="M864" s="30">
        <v>4.05</v>
      </c>
      <c r="N864">
        <v>5.333333333333333</v>
      </c>
      <c r="P864" s="24" t="str">
        <f>IFERROR(MID(RADataTable[[#This Row],[RATemplate]],1,LEN(RADataTable[[#This Row],[RATemplate]])-8),"RA") &amp; " " &amp; RADataTable[[#This Row],[prop_id0]] &amp; " " &amp; RADataTable[[#This Row],[last0]]</f>
        <v>RA 1755954 Hajimirza</v>
      </c>
      <c r="T864">
        <v>3</v>
      </c>
      <c r="U864">
        <v>3</v>
      </c>
      <c r="V864" s="34">
        <v>43032.675694444442</v>
      </c>
      <c r="W864">
        <v>1</v>
      </c>
      <c r="X864" s="15" t="str">
        <f>HYPERLINK("https://www.ejacket.nsf.gov/ej/showProposal.do?Continue=Y&amp;ID="&amp;RADataTable[[#This Row],[prop_id0]],"eJ")</f>
        <v>eJ</v>
      </c>
      <c r="Y864" s="15" t="str">
        <f>HYPERLINK("mailto:"&amp;RADataTable[[#This Row],[email]]&amp;"&amp;subject=Your NSF Proposal:  "&amp;RADataTable[[#This Row],[Div]]&amp;" "&amp;RADataTable[[#This Row],[prop_id0]], RADataTable[[#This Row],[email]])</f>
        <v>shima.hm@tamu.edu</v>
      </c>
      <c r="Z864" s="15" t="str">
        <f>HYPERLINK("mailto:"&amp;RADataTable[[#This Row],[allPIemail]]&amp;"&amp;subject=NSF Proposal:  "&amp;RADataTable[[#This Row],[Div]]&amp;" "&amp;RADataTable[[#This Row],[prop_id0]], "PIs@")</f>
        <v>PIs@</v>
      </c>
      <c r="AA864" t="s">
        <v>245</v>
      </c>
      <c r="AB864" t="s">
        <v>689</v>
      </c>
      <c r="AC864" s="30" t="s">
        <v>890</v>
      </c>
      <c r="AD864" t="s">
        <v>891</v>
      </c>
      <c r="AE864" t="s">
        <v>892</v>
      </c>
      <c r="AF864" s="36">
        <v>175000</v>
      </c>
      <c r="AG864" s="36">
        <v>175000</v>
      </c>
      <c r="AH864" s="24"/>
      <c r="AJ864" s="34"/>
      <c r="AK864" t="s">
        <v>923</v>
      </c>
      <c r="AL864" t="s">
        <v>924</v>
      </c>
      <c r="AM864" s="34" t="s">
        <v>925</v>
      </c>
      <c r="AN864" s="34">
        <v>43032</v>
      </c>
      <c r="AO864" s="24">
        <v>5</v>
      </c>
      <c r="AP864" t="s">
        <v>985</v>
      </c>
      <c r="AR864" s="35"/>
      <c r="AS864"/>
      <c r="AT864" s="34"/>
      <c r="AV864" s="34"/>
      <c r="AX864" s="34"/>
      <c r="AY864"/>
      <c r="BA864" s="34"/>
      <c r="BB864"/>
      <c r="BC864" t="s">
        <v>895</v>
      </c>
      <c r="BD864" s="36">
        <v>175000</v>
      </c>
      <c r="BE864" s="36">
        <v>175000</v>
      </c>
      <c r="BF864">
        <v>0</v>
      </c>
      <c r="BG864" s="34">
        <v>43252</v>
      </c>
      <c r="BH864">
        <v>24</v>
      </c>
      <c r="BI864" t="s">
        <v>974</v>
      </c>
      <c r="BJ864" t="s">
        <v>975</v>
      </c>
      <c r="BK864" t="s">
        <v>234</v>
      </c>
      <c r="BL864" t="s">
        <v>194</v>
      </c>
      <c r="BM864" s="8" t="s">
        <v>192</v>
      </c>
      <c r="BN864" t="s">
        <v>189</v>
      </c>
      <c r="BO864" t="s">
        <v>190</v>
      </c>
      <c r="BP864" s="35" t="s">
        <v>880</v>
      </c>
      <c r="BQ864"/>
      <c r="BU864" s="35"/>
      <c r="BV864" s="35"/>
      <c r="BX864"/>
      <c r="CA864" s="35"/>
      <c r="CB864" s="35"/>
      <c r="CC864"/>
      <c r="CG864" s="35"/>
      <c r="CH864" s="35"/>
      <c r="CK864"/>
      <c r="CM864" s="35"/>
      <c r="CN864" s="35"/>
      <c r="CQ864"/>
      <c r="CS864" s="35"/>
      <c r="CT864" s="35"/>
      <c r="CX864"/>
      <c r="CZ864" s="35"/>
      <c r="DD864" s="34"/>
      <c r="DG864" t="s">
        <v>893</v>
      </c>
      <c r="DH864" t="s">
        <v>986</v>
      </c>
      <c r="DI864" t="s">
        <v>798</v>
      </c>
      <c r="DL864" t="s">
        <v>689</v>
      </c>
      <c r="DM864">
        <v>4</v>
      </c>
      <c r="DN864">
        <v>7</v>
      </c>
      <c r="DO864" t="s">
        <v>894</v>
      </c>
      <c r="DQ864" t="s">
        <v>927</v>
      </c>
      <c r="DR864">
        <v>14</v>
      </c>
      <c r="DS864">
        <v>0</v>
      </c>
      <c r="DU864">
        <v>14</v>
      </c>
      <c r="DV864">
        <v>0</v>
      </c>
      <c r="DX864">
        <v>14</v>
      </c>
      <c r="DY864">
        <v>0</v>
      </c>
      <c r="DZ864" t="s">
        <v>246</v>
      </c>
      <c r="EA864" t="s">
        <v>929</v>
      </c>
    </row>
    <row r="865" spans="1:131" x14ac:dyDescent="0.4">
      <c r="A865" s="34">
        <v>43067.305104166669</v>
      </c>
      <c r="B865" s="25">
        <v>42956.697222222225</v>
      </c>
      <c r="D865" s="34"/>
      <c r="E865" s="34" t="s">
        <v>193</v>
      </c>
      <c r="F865" s="34" t="s">
        <v>191</v>
      </c>
      <c r="G865" s="34" t="s">
        <v>100</v>
      </c>
      <c r="H865" t="s">
        <v>856</v>
      </c>
      <c r="I865" t="s">
        <v>243</v>
      </c>
      <c r="J865" t="s">
        <v>857</v>
      </c>
      <c r="K865" t="s">
        <v>713</v>
      </c>
      <c r="L865" t="s">
        <v>855</v>
      </c>
      <c r="M865" s="30">
        <v>4.05</v>
      </c>
      <c r="N865">
        <v>5.333333333333333</v>
      </c>
      <c r="P865" s="24" t="str">
        <f>IFERROR(MID(RADataTable[[#This Row],[RATemplate]],1,LEN(RADataTable[[#This Row],[RATemplate]])-8),"RA") &amp; " " &amp; RADataTable[[#This Row],[prop_id0]] &amp; " " &amp; RADataTable[[#This Row],[last0]]</f>
        <v>RA 1755954 Hajimirza</v>
      </c>
      <c r="T865">
        <v>3</v>
      </c>
      <c r="U865">
        <v>3</v>
      </c>
      <c r="V865" s="34">
        <v>43032.675694444442</v>
      </c>
      <c r="W865">
        <v>1</v>
      </c>
      <c r="X865" s="15" t="str">
        <f>HYPERLINK("https://www.ejacket.nsf.gov/ej/showProposal.do?Continue=Y&amp;ID="&amp;RADataTable[[#This Row],[prop_id0]],"eJ")</f>
        <v>eJ</v>
      </c>
      <c r="Y865" s="15" t="str">
        <f>HYPERLINK("mailto:"&amp;RADataTable[[#This Row],[email]]&amp;"&amp;subject=Your NSF Proposal:  "&amp;RADataTable[[#This Row],[Div]]&amp;" "&amp;RADataTable[[#This Row],[prop_id0]], RADataTable[[#This Row],[email]])</f>
        <v>shima.hm@tamu.edu</v>
      </c>
      <c r="Z865" s="15" t="str">
        <f>HYPERLINK("mailto:"&amp;RADataTable[[#This Row],[allPIemail]]&amp;"&amp;subject=NSF Proposal:  "&amp;RADataTable[[#This Row],[Div]]&amp;" "&amp;RADataTable[[#This Row],[prop_id0]], "PIs@")</f>
        <v>PIs@</v>
      </c>
      <c r="AA865" t="s">
        <v>245</v>
      </c>
      <c r="AB865" t="s">
        <v>689</v>
      </c>
      <c r="AC865" s="30" t="s">
        <v>890</v>
      </c>
      <c r="AD865" t="s">
        <v>891</v>
      </c>
      <c r="AE865" t="s">
        <v>892</v>
      </c>
      <c r="AF865" s="36">
        <v>175000</v>
      </c>
      <c r="AG865" s="36">
        <v>175000</v>
      </c>
      <c r="AH865" s="24"/>
      <c r="AJ865" s="34"/>
      <c r="AK865" t="s">
        <v>923</v>
      </c>
      <c r="AL865" t="s">
        <v>924</v>
      </c>
      <c r="AM865" s="34" t="s">
        <v>925</v>
      </c>
      <c r="AN865" s="34">
        <v>43032</v>
      </c>
      <c r="AO865" s="24">
        <v>5</v>
      </c>
      <c r="AP865" t="s">
        <v>985</v>
      </c>
      <c r="AR865" s="35"/>
      <c r="AS865"/>
      <c r="AT865" s="34"/>
      <c r="AV865" s="34"/>
      <c r="AX865" s="34"/>
      <c r="AY865"/>
      <c r="BA865" s="34"/>
      <c r="BB865"/>
      <c r="BC865" t="s">
        <v>895</v>
      </c>
      <c r="BD865" s="36">
        <v>175000</v>
      </c>
      <c r="BE865" s="36">
        <v>175000</v>
      </c>
      <c r="BF865">
        <v>0</v>
      </c>
      <c r="BG865" s="34">
        <v>43252</v>
      </c>
      <c r="BH865">
        <v>24</v>
      </c>
      <c r="BI865" t="s">
        <v>974</v>
      </c>
      <c r="BJ865" t="s">
        <v>975</v>
      </c>
      <c r="BK865" t="s">
        <v>234</v>
      </c>
      <c r="BL865" t="s">
        <v>194</v>
      </c>
      <c r="BM865" s="8" t="s">
        <v>192</v>
      </c>
      <c r="BN865" t="s">
        <v>189</v>
      </c>
      <c r="BO865" t="s">
        <v>190</v>
      </c>
      <c r="BP865" s="35" t="s">
        <v>880</v>
      </c>
      <c r="BQ865"/>
      <c r="BU865" s="35"/>
      <c r="BV865" s="35"/>
      <c r="BX865"/>
      <c r="CA865" s="35"/>
      <c r="CB865" s="35"/>
      <c r="CC865"/>
      <c r="CG865" s="35"/>
      <c r="CH865" s="35"/>
      <c r="CK865"/>
      <c r="CM865" s="35"/>
      <c r="CN865" s="35"/>
      <c r="CQ865"/>
      <c r="CS865" s="35"/>
      <c r="CT865" s="35"/>
      <c r="CX865"/>
      <c r="CZ865" s="35"/>
      <c r="DD865" s="34"/>
      <c r="DG865" t="s">
        <v>893</v>
      </c>
      <c r="DH865" t="s">
        <v>986</v>
      </c>
      <c r="DI865" t="s">
        <v>798</v>
      </c>
      <c r="DL865" t="s">
        <v>689</v>
      </c>
      <c r="DM865">
        <v>4</v>
      </c>
      <c r="DN865">
        <v>7</v>
      </c>
      <c r="DO865" t="s">
        <v>894</v>
      </c>
      <c r="DQ865" t="s">
        <v>927</v>
      </c>
      <c r="DR865">
        <v>14</v>
      </c>
      <c r="DS865">
        <v>0</v>
      </c>
      <c r="DU865">
        <v>14</v>
      </c>
      <c r="DV865">
        <v>0</v>
      </c>
      <c r="DX865">
        <v>14</v>
      </c>
      <c r="DY865">
        <v>0</v>
      </c>
      <c r="DZ865" t="s">
        <v>246</v>
      </c>
      <c r="EA865" t="s">
        <v>929</v>
      </c>
    </row>
    <row r="866" spans="1:131" x14ac:dyDescent="0.4">
      <c r="A866" s="34">
        <v>43067.305104166669</v>
      </c>
      <c r="B866" s="25">
        <v>42956.697222222225</v>
      </c>
      <c r="D866" s="34"/>
      <c r="E866" s="34" t="s">
        <v>193</v>
      </c>
      <c r="F866" s="34" t="s">
        <v>191</v>
      </c>
      <c r="G866" s="34" t="s">
        <v>100</v>
      </c>
      <c r="H866" t="s">
        <v>856</v>
      </c>
      <c r="I866" t="s">
        <v>243</v>
      </c>
      <c r="J866" t="s">
        <v>857</v>
      </c>
      <c r="K866" t="s">
        <v>713</v>
      </c>
      <c r="L866" t="s">
        <v>855</v>
      </c>
      <c r="M866" s="30">
        <v>4.05</v>
      </c>
      <c r="N866">
        <v>5.333333333333333</v>
      </c>
      <c r="P866" s="24" t="str">
        <f>IFERROR(MID(RADataTable[[#This Row],[RATemplate]],1,LEN(RADataTable[[#This Row],[RATemplate]])-8),"RA") &amp; " " &amp; RADataTable[[#This Row],[prop_id0]] &amp; " " &amp; RADataTable[[#This Row],[last0]]</f>
        <v>RA 1755954 Hajimirza</v>
      </c>
      <c r="T866">
        <v>3</v>
      </c>
      <c r="U866">
        <v>3</v>
      </c>
      <c r="V866" s="34">
        <v>43032.675694444442</v>
      </c>
      <c r="W866">
        <v>1</v>
      </c>
      <c r="X866" s="15" t="str">
        <f>HYPERLINK("https://www.ejacket.nsf.gov/ej/showProposal.do?Continue=Y&amp;ID="&amp;RADataTable[[#This Row],[prop_id0]],"eJ")</f>
        <v>eJ</v>
      </c>
      <c r="Y866" s="15" t="str">
        <f>HYPERLINK("mailto:"&amp;RADataTable[[#This Row],[email]]&amp;"&amp;subject=Your NSF Proposal:  "&amp;RADataTable[[#This Row],[Div]]&amp;" "&amp;RADataTable[[#This Row],[prop_id0]], RADataTable[[#This Row],[email]])</f>
        <v>shima.hm@tamu.edu</v>
      </c>
      <c r="Z866" s="15" t="str">
        <f>HYPERLINK("mailto:"&amp;RADataTable[[#This Row],[allPIemail]]&amp;"&amp;subject=NSF Proposal:  "&amp;RADataTable[[#This Row],[Div]]&amp;" "&amp;RADataTable[[#This Row],[prop_id0]], "PIs@")</f>
        <v>PIs@</v>
      </c>
      <c r="AA866" t="s">
        <v>245</v>
      </c>
      <c r="AB866" t="s">
        <v>689</v>
      </c>
      <c r="AC866" s="30" t="s">
        <v>890</v>
      </c>
      <c r="AD866" t="s">
        <v>891</v>
      </c>
      <c r="AE866" t="s">
        <v>892</v>
      </c>
      <c r="AF866" s="36">
        <v>175000</v>
      </c>
      <c r="AG866" s="36">
        <v>175000</v>
      </c>
      <c r="AH866" s="24"/>
      <c r="AJ866" s="34"/>
      <c r="AK866" t="s">
        <v>923</v>
      </c>
      <c r="AL866" t="s">
        <v>924</v>
      </c>
      <c r="AM866" s="34" t="s">
        <v>925</v>
      </c>
      <c r="AN866" s="34">
        <v>43032</v>
      </c>
      <c r="AO866" s="24">
        <v>5</v>
      </c>
      <c r="AP866" t="s">
        <v>985</v>
      </c>
      <c r="AR866" s="35"/>
      <c r="AS866"/>
      <c r="AT866" s="34"/>
      <c r="AV866" s="34"/>
      <c r="AX866" s="34"/>
      <c r="AY866"/>
      <c r="BA866" s="34"/>
      <c r="BB866"/>
      <c r="BC866" t="s">
        <v>895</v>
      </c>
      <c r="BD866" s="36">
        <v>175000</v>
      </c>
      <c r="BE866" s="36">
        <v>175000</v>
      </c>
      <c r="BF866">
        <v>0</v>
      </c>
      <c r="BG866" s="34">
        <v>43252</v>
      </c>
      <c r="BH866">
        <v>24</v>
      </c>
      <c r="BI866" t="s">
        <v>974</v>
      </c>
      <c r="BJ866" t="s">
        <v>975</v>
      </c>
      <c r="BK866" t="s">
        <v>234</v>
      </c>
      <c r="BL866" t="s">
        <v>194</v>
      </c>
      <c r="BM866" s="8" t="s">
        <v>192</v>
      </c>
      <c r="BN866" t="s">
        <v>189</v>
      </c>
      <c r="BO866" t="s">
        <v>190</v>
      </c>
      <c r="BP866" s="35" t="s">
        <v>880</v>
      </c>
      <c r="BQ866"/>
      <c r="BU866" s="35"/>
      <c r="BV866" s="35"/>
      <c r="BX866"/>
      <c r="CA866" s="35"/>
      <c r="CB866" s="35"/>
      <c r="CC866"/>
      <c r="CG866" s="35"/>
      <c r="CH866" s="35"/>
      <c r="CK866"/>
      <c r="CM866" s="35"/>
      <c r="CN866" s="35"/>
      <c r="CQ866"/>
      <c r="CS866" s="35"/>
      <c r="CT866" s="35"/>
      <c r="CX866"/>
      <c r="CZ866" s="35"/>
      <c r="DD866" s="34"/>
      <c r="DG866" t="s">
        <v>893</v>
      </c>
      <c r="DH866" t="s">
        <v>986</v>
      </c>
      <c r="DI866" t="s">
        <v>798</v>
      </c>
      <c r="DL866" t="s">
        <v>689</v>
      </c>
      <c r="DM866">
        <v>4</v>
      </c>
      <c r="DN866">
        <v>7</v>
      </c>
      <c r="DO866" t="s">
        <v>894</v>
      </c>
      <c r="DQ866" t="s">
        <v>927</v>
      </c>
      <c r="DR866">
        <v>14</v>
      </c>
      <c r="DS866">
        <v>0</v>
      </c>
      <c r="DU866">
        <v>14</v>
      </c>
      <c r="DV866">
        <v>0</v>
      </c>
      <c r="DX866">
        <v>14</v>
      </c>
      <c r="DY866">
        <v>0</v>
      </c>
      <c r="DZ866" t="s">
        <v>246</v>
      </c>
      <c r="EA866" t="s">
        <v>929</v>
      </c>
    </row>
    <row r="867" spans="1:131" x14ac:dyDescent="0.4">
      <c r="A867" s="34">
        <v>43067.305104166669</v>
      </c>
      <c r="B867" s="25">
        <v>42956.697222222225</v>
      </c>
      <c r="D867" s="34"/>
      <c r="E867" s="34" t="s">
        <v>193</v>
      </c>
      <c r="F867" s="34" t="s">
        <v>191</v>
      </c>
      <c r="G867" s="34" t="s">
        <v>100</v>
      </c>
      <c r="H867" t="s">
        <v>856</v>
      </c>
      <c r="I867" t="s">
        <v>243</v>
      </c>
      <c r="J867" t="s">
        <v>857</v>
      </c>
      <c r="K867" t="s">
        <v>713</v>
      </c>
      <c r="L867" t="s">
        <v>855</v>
      </c>
      <c r="M867" s="30">
        <v>4.05</v>
      </c>
      <c r="N867">
        <v>5.333333333333333</v>
      </c>
      <c r="P867" s="24" t="str">
        <f>IFERROR(MID(RADataTable[[#This Row],[RATemplate]],1,LEN(RADataTable[[#This Row],[RATemplate]])-8),"RA") &amp; " " &amp; RADataTable[[#This Row],[prop_id0]] &amp; " " &amp; RADataTable[[#This Row],[last0]]</f>
        <v>RA 1755954 Hajimirza</v>
      </c>
      <c r="T867">
        <v>3</v>
      </c>
      <c r="U867">
        <v>3</v>
      </c>
      <c r="V867" s="34">
        <v>43032.675694444442</v>
      </c>
      <c r="W867">
        <v>1</v>
      </c>
      <c r="X867" s="15" t="str">
        <f>HYPERLINK("https://www.ejacket.nsf.gov/ej/showProposal.do?Continue=Y&amp;ID="&amp;RADataTable[[#This Row],[prop_id0]],"eJ")</f>
        <v>eJ</v>
      </c>
      <c r="Y867" s="15" t="str">
        <f>HYPERLINK("mailto:"&amp;RADataTable[[#This Row],[email]]&amp;"&amp;subject=Your NSF Proposal:  "&amp;RADataTable[[#This Row],[Div]]&amp;" "&amp;RADataTable[[#This Row],[prop_id0]], RADataTable[[#This Row],[email]])</f>
        <v>shima.hm@tamu.edu</v>
      </c>
      <c r="Z867" s="15" t="str">
        <f>HYPERLINK("mailto:"&amp;RADataTable[[#This Row],[allPIemail]]&amp;"&amp;subject=NSF Proposal:  "&amp;RADataTable[[#This Row],[Div]]&amp;" "&amp;RADataTable[[#This Row],[prop_id0]], "PIs@")</f>
        <v>PIs@</v>
      </c>
      <c r="AA867" t="s">
        <v>245</v>
      </c>
      <c r="AB867" t="s">
        <v>689</v>
      </c>
      <c r="AC867" s="30" t="s">
        <v>890</v>
      </c>
      <c r="AD867" t="s">
        <v>891</v>
      </c>
      <c r="AE867" t="s">
        <v>892</v>
      </c>
      <c r="AF867" s="36">
        <v>175000</v>
      </c>
      <c r="AG867" s="36">
        <v>175000</v>
      </c>
      <c r="AH867" s="24"/>
      <c r="AJ867" s="34"/>
      <c r="AK867" t="s">
        <v>923</v>
      </c>
      <c r="AL867" t="s">
        <v>924</v>
      </c>
      <c r="AM867" s="34" t="s">
        <v>925</v>
      </c>
      <c r="AN867" s="34">
        <v>43032</v>
      </c>
      <c r="AO867" s="24">
        <v>5</v>
      </c>
      <c r="AP867" t="s">
        <v>985</v>
      </c>
      <c r="AR867" s="35"/>
      <c r="AS867"/>
      <c r="AT867" s="34"/>
      <c r="AV867" s="34"/>
      <c r="AX867" s="34"/>
      <c r="AY867"/>
      <c r="BA867" s="34"/>
      <c r="BB867"/>
      <c r="BC867" t="s">
        <v>895</v>
      </c>
      <c r="BD867" s="36">
        <v>175000</v>
      </c>
      <c r="BE867" s="36">
        <v>175000</v>
      </c>
      <c r="BF867">
        <v>0</v>
      </c>
      <c r="BG867" s="34">
        <v>43252</v>
      </c>
      <c r="BH867">
        <v>24</v>
      </c>
      <c r="BI867" t="s">
        <v>974</v>
      </c>
      <c r="BJ867" t="s">
        <v>975</v>
      </c>
      <c r="BK867" t="s">
        <v>234</v>
      </c>
      <c r="BL867" t="s">
        <v>194</v>
      </c>
      <c r="BM867" s="8" t="s">
        <v>192</v>
      </c>
      <c r="BN867" t="s">
        <v>189</v>
      </c>
      <c r="BO867" t="s">
        <v>190</v>
      </c>
      <c r="BP867" s="35" t="s">
        <v>880</v>
      </c>
      <c r="BQ867"/>
      <c r="BU867" s="35"/>
      <c r="BV867" s="35"/>
      <c r="BX867"/>
      <c r="CA867" s="35"/>
      <c r="CB867" s="35"/>
      <c r="CC867"/>
      <c r="CG867" s="35"/>
      <c r="CH867" s="35"/>
      <c r="CK867"/>
      <c r="CM867" s="35"/>
      <c r="CN867" s="35"/>
      <c r="CQ867"/>
      <c r="CS867" s="35"/>
      <c r="CT867" s="35"/>
      <c r="CX867"/>
      <c r="CZ867" s="35"/>
      <c r="DD867" s="34"/>
      <c r="DG867" t="s">
        <v>893</v>
      </c>
      <c r="DH867" t="s">
        <v>986</v>
      </c>
      <c r="DI867" t="s">
        <v>798</v>
      </c>
      <c r="DL867" t="s">
        <v>689</v>
      </c>
      <c r="DM867">
        <v>4</v>
      </c>
      <c r="DN867">
        <v>7</v>
      </c>
      <c r="DO867" t="s">
        <v>894</v>
      </c>
      <c r="DQ867" t="s">
        <v>927</v>
      </c>
      <c r="DR867">
        <v>14</v>
      </c>
      <c r="DS867">
        <v>0</v>
      </c>
      <c r="DU867">
        <v>14</v>
      </c>
      <c r="DV867">
        <v>0</v>
      </c>
      <c r="DX867">
        <v>14</v>
      </c>
      <c r="DY867">
        <v>0</v>
      </c>
      <c r="DZ867" t="s">
        <v>246</v>
      </c>
      <c r="EA867" t="s">
        <v>929</v>
      </c>
    </row>
    <row r="868" spans="1:131" x14ac:dyDescent="0.4">
      <c r="A868" s="34">
        <v>43067.305104166669</v>
      </c>
      <c r="B868" s="25">
        <v>42956.697222222225</v>
      </c>
      <c r="D868" s="34"/>
      <c r="E868" s="34" t="s">
        <v>193</v>
      </c>
      <c r="F868" s="34" t="s">
        <v>191</v>
      </c>
      <c r="G868" s="34" t="s">
        <v>100</v>
      </c>
      <c r="H868" t="s">
        <v>856</v>
      </c>
      <c r="I868" t="s">
        <v>243</v>
      </c>
      <c r="J868" t="s">
        <v>857</v>
      </c>
      <c r="K868" t="s">
        <v>713</v>
      </c>
      <c r="L868" t="s">
        <v>855</v>
      </c>
      <c r="M868" s="30">
        <v>4.05</v>
      </c>
      <c r="N868">
        <v>5.333333333333333</v>
      </c>
      <c r="P868" s="24" t="str">
        <f>IFERROR(MID(RADataTable[[#This Row],[RATemplate]],1,LEN(RADataTable[[#This Row],[RATemplate]])-8),"RA") &amp; " " &amp; RADataTable[[#This Row],[prop_id0]] &amp; " " &amp; RADataTable[[#This Row],[last0]]</f>
        <v>RA 1755954 Hajimirza</v>
      </c>
      <c r="T868">
        <v>3</v>
      </c>
      <c r="U868">
        <v>3</v>
      </c>
      <c r="V868" s="34">
        <v>43032.675694444442</v>
      </c>
      <c r="W868">
        <v>1</v>
      </c>
      <c r="X868" s="15" t="str">
        <f>HYPERLINK("https://www.ejacket.nsf.gov/ej/showProposal.do?Continue=Y&amp;ID="&amp;RADataTable[[#This Row],[prop_id0]],"eJ")</f>
        <v>eJ</v>
      </c>
      <c r="Y868" s="15" t="str">
        <f>HYPERLINK("mailto:"&amp;RADataTable[[#This Row],[email]]&amp;"&amp;subject=Your NSF Proposal:  "&amp;RADataTable[[#This Row],[Div]]&amp;" "&amp;RADataTable[[#This Row],[prop_id0]], RADataTable[[#This Row],[email]])</f>
        <v>shima.hm@tamu.edu</v>
      </c>
      <c r="Z868" s="15" t="str">
        <f>HYPERLINK("mailto:"&amp;RADataTable[[#This Row],[allPIemail]]&amp;"&amp;subject=NSF Proposal:  "&amp;RADataTable[[#This Row],[Div]]&amp;" "&amp;RADataTable[[#This Row],[prop_id0]], "PIs@")</f>
        <v>PIs@</v>
      </c>
      <c r="AA868" t="s">
        <v>245</v>
      </c>
      <c r="AB868" t="s">
        <v>689</v>
      </c>
      <c r="AC868" s="30" t="s">
        <v>890</v>
      </c>
      <c r="AD868" t="s">
        <v>891</v>
      </c>
      <c r="AE868" t="s">
        <v>892</v>
      </c>
      <c r="AF868" s="36">
        <v>175000</v>
      </c>
      <c r="AG868" s="36">
        <v>175000</v>
      </c>
      <c r="AH868" s="24"/>
      <c r="AJ868" s="34"/>
      <c r="AK868" t="s">
        <v>923</v>
      </c>
      <c r="AL868" t="s">
        <v>924</v>
      </c>
      <c r="AM868" s="34" t="s">
        <v>925</v>
      </c>
      <c r="AN868" s="34">
        <v>43032</v>
      </c>
      <c r="AO868" s="24">
        <v>5</v>
      </c>
      <c r="AP868" t="s">
        <v>985</v>
      </c>
      <c r="AR868" s="35"/>
      <c r="AS868"/>
      <c r="AT868" s="34"/>
      <c r="AV868" s="34"/>
      <c r="AX868" s="34"/>
      <c r="AY868"/>
      <c r="BA868" s="34"/>
      <c r="BB868"/>
      <c r="BC868" t="s">
        <v>895</v>
      </c>
      <c r="BD868" s="36">
        <v>175000</v>
      </c>
      <c r="BE868" s="36">
        <v>175000</v>
      </c>
      <c r="BF868">
        <v>0</v>
      </c>
      <c r="BG868" s="34">
        <v>43252</v>
      </c>
      <c r="BH868">
        <v>24</v>
      </c>
      <c r="BI868" t="s">
        <v>974</v>
      </c>
      <c r="BJ868" t="s">
        <v>975</v>
      </c>
      <c r="BK868" t="s">
        <v>234</v>
      </c>
      <c r="BL868" t="s">
        <v>194</v>
      </c>
      <c r="BM868" s="8" t="s">
        <v>192</v>
      </c>
      <c r="BN868" t="s">
        <v>189</v>
      </c>
      <c r="BO868" t="s">
        <v>190</v>
      </c>
      <c r="BP868" s="35" t="s">
        <v>880</v>
      </c>
      <c r="BQ868"/>
      <c r="BU868" s="35"/>
      <c r="BV868" s="35"/>
      <c r="BX868"/>
      <c r="CA868" s="35"/>
      <c r="CB868" s="35"/>
      <c r="CC868"/>
      <c r="CG868" s="35"/>
      <c r="CH868" s="35"/>
      <c r="CK868"/>
      <c r="CM868" s="35"/>
      <c r="CN868" s="35"/>
      <c r="CQ868"/>
      <c r="CS868" s="35"/>
      <c r="CT868" s="35"/>
      <c r="CX868"/>
      <c r="CZ868" s="35"/>
      <c r="DD868" s="34"/>
      <c r="DG868" t="s">
        <v>893</v>
      </c>
      <c r="DH868" t="s">
        <v>986</v>
      </c>
      <c r="DI868" t="s">
        <v>798</v>
      </c>
      <c r="DL868" t="s">
        <v>689</v>
      </c>
      <c r="DM868">
        <v>4</v>
      </c>
      <c r="DN868">
        <v>7</v>
      </c>
      <c r="DO868" t="s">
        <v>894</v>
      </c>
      <c r="DQ868" t="s">
        <v>927</v>
      </c>
      <c r="DR868">
        <v>14</v>
      </c>
      <c r="DS868">
        <v>0</v>
      </c>
      <c r="DU868">
        <v>14</v>
      </c>
      <c r="DV868">
        <v>0</v>
      </c>
      <c r="DX868">
        <v>14</v>
      </c>
      <c r="DY868">
        <v>0</v>
      </c>
      <c r="DZ868" t="s">
        <v>246</v>
      </c>
      <c r="EA868" t="s">
        <v>929</v>
      </c>
    </row>
    <row r="869" spans="1:131" x14ac:dyDescent="0.4">
      <c r="A869" s="34">
        <v>43067.305104166669</v>
      </c>
      <c r="B869" s="25">
        <v>42956.697222222225</v>
      </c>
      <c r="D869" s="34"/>
      <c r="E869" s="34" t="s">
        <v>193</v>
      </c>
      <c r="F869" s="34" t="s">
        <v>191</v>
      </c>
      <c r="G869" s="34" t="s">
        <v>100</v>
      </c>
      <c r="H869" t="s">
        <v>856</v>
      </c>
      <c r="I869" t="s">
        <v>243</v>
      </c>
      <c r="J869" t="s">
        <v>857</v>
      </c>
      <c r="K869" t="s">
        <v>713</v>
      </c>
      <c r="L869" t="s">
        <v>855</v>
      </c>
      <c r="M869" s="30">
        <v>4.05</v>
      </c>
      <c r="N869">
        <v>5.333333333333333</v>
      </c>
      <c r="P869" s="24" t="str">
        <f>IFERROR(MID(RADataTable[[#This Row],[RATemplate]],1,LEN(RADataTable[[#This Row],[RATemplate]])-8),"RA") &amp; " " &amp; RADataTable[[#This Row],[prop_id0]] &amp; " " &amp; RADataTable[[#This Row],[last0]]</f>
        <v>RA 1755954 Hajimirza</v>
      </c>
      <c r="T869">
        <v>3</v>
      </c>
      <c r="U869">
        <v>3</v>
      </c>
      <c r="V869" s="34">
        <v>43032.675694444442</v>
      </c>
      <c r="W869">
        <v>1</v>
      </c>
      <c r="X869" s="15" t="str">
        <f>HYPERLINK("https://www.ejacket.nsf.gov/ej/showProposal.do?Continue=Y&amp;ID="&amp;RADataTable[[#This Row],[prop_id0]],"eJ")</f>
        <v>eJ</v>
      </c>
      <c r="Y869" s="15" t="str">
        <f>HYPERLINK("mailto:"&amp;RADataTable[[#This Row],[email]]&amp;"&amp;subject=Your NSF Proposal:  "&amp;RADataTable[[#This Row],[Div]]&amp;" "&amp;RADataTable[[#This Row],[prop_id0]], RADataTable[[#This Row],[email]])</f>
        <v>shima.hm@tamu.edu</v>
      </c>
      <c r="Z869" s="15" t="str">
        <f>HYPERLINK("mailto:"&amp;RADataTable[[#This Row],[allPIemail]]&amp;"&amp;subject=NSF Proposal:  "&amp;RADataTable[[#This Row],[Div]]&amp;" "&amp;RADataTable[[#This Row],[prop_id0]], "PIs@")</f>
        <v>PIs@</v>
      </c>
      <c r="AA869" t="s">
        <v>245</v>
      </c>
      <c r="AB869" t="s">
        <v>689</v>
      </c>
      <c r="AC869" s="30" t="s">
        <v>890</v>
      </c>
      <c r="AD869" t="s">
        <v>891</v>
      </c>
      <c r="AE869" t="s">
        <v>892</v>
      </c>
      <c r="AF869" s="36">
        <v>175000</v>
      </c>
      <c r="AG869" s="36">
        <v>175000</v>
      </c>
      <c r="AH869" s="24"/>
      <c r="AJ869" s="34"/>
      <c r="AK869" t="s">
        <v>923</v>
      </c>
      <c r="AL869" t="s">
        <v>924</v>
      </c>
      <c r="AM869" s="34" t="s">
        <v>925</v>
      </c>
      <c r="AN869" s="34">
        <v>43032</v>
      </c>
      <c r="AO869" s="24">
        <v>5</v>
      </c>
      <c r="AP869" t="s">
        <v>985</v>
      </c>
      <c r="AR869" s="35"/>
      <c r="AS869"/>
      <c r="AT869" s="34"/>
      <c r="AV869" s="34"/>
      <c r="AX869" s="34"/>
      <c r="AY869"/>
      <c r="BA869" s="34"/>
      <c r="BB869"/>
      <c r="BC869" t="s">
        <v>895</v>
      </c>
      <c r="BD869" s="36">
        <v>175000</v>
      </c>
      <c r="BE869" s="36">
        <v>175000</v>
      </c>
      <c r="BF869">
        <v>0</v>
      </c>
      <c r="BG869" s="34">
        <v>43252</v>
      </c>
      <c r="BH869">
        <v>24</v>
      </c>
      <c r="BI869" t="s">
        <v>974</v>
      </c>
      <c r="BJ869" t="s">
        <v>975</v>
      </c>
      <c r="BK869" t="s">
        <v>234</v>
      </c>
      <c r="BL869" t="s">
        <v>194</v>
      </c>
      <c r="BM869" s="8" t="s">
        <v>192</v>
      </c>
      <c r="BN869" t="s">
        <v>189</v>
      </c>
      <c r="BO869" t="s">
        <v>190</v>
      </c>
      <c r="BP869" s="35" t="s">
        <v>880</v>
      </c>
      <c r="BQ869"/>
      <c r="BU869" s="35"/>
      <c r="BV869" s="35"/>
      <c r="BX869"/>
      <c r="CA869" s="35"/>
      <c r="CB869" s="35"/>
      <c r="CC869"/>
      <c r="CG869" s="35"/>
      <c r="CH869" s="35"/>
      <c r="CK869"/>
      <c r="CM869" s="35"/>
      <c r="CN869" s="35"/>
      <c r="CQ869"/>
      <c r="CS869" s="35"/>
      <c r="CT869" s="35"/>
      <c r="CX869"/>
      <c r="CZ869" s="35"/>
      <c r="DD869" s="34"/>
      <c r="DG869" t="s">
        <v>893</v>
      </c>
      <c r="DH869" t="s">
        <v>986</v>
      </c>
      <c r="DI869" t="s">
        <v>798</v>
      </c>
      <c r="DL869" t="s">
        <v>689</v>
      </c>
      <c r="DM869">
        <v>4</v>
      </c>
      <c r="DN869">
        <v>7</v>
      </c>
      <c r="DO869" t="s">
        <v>894</v>
      </c>
      <c r="DQ869" t="s">
        <v>927</v>
      </c>
      <c r="DR869">
        <v>14</v>
      </c>
      <c r="DS869">
        <v>0</v>
      </c>
      <c r="DU869">
        <v>14</v>
      </c>
      <c r="DV869">
        <v>0</v>
      </c>
      <c r="DX869">
        <v>14</v>
      </c>
      <c r="DY869">
        <v>0</v>
      </c>
      <c r="DZ869" t="s">
        <v>246</v>
      </c>
      <c r="EA869" t="s">
        <v>929</v>
      </c>
    </row>
    <row r="870" spans="1:131" x14ac:dyDescent="0.4">
      <c r="A870" s="34">
        <v>43067.305104166669</v>
      </c>
      <c r="B870" s="25">
        <v>42956.697222222225</v>
      </c>
      <c r="D870" s="34"/>
      <c r="E870" s="34" t="s">
        <v>193</v>
      </c>
      <c r="F870" s="34" t="s">
        <v>191</v>
      </c>
      <c r="G870" s="34" t="s">
        <v>100</v>
      </c>
      <c r="H870" t="s">
        <v>856</v>
      </c>
      <c r="I870" t="s">
        <v>243</v>
      </c>
      <c r="J870" t="s">
        <v>857</v>
      </c>
      <c r="K870" t="s">
        <v>713</v>
      </c>
      <c r="L870" t="s">
        <v>855</v>
      </c>
      <c r="M870" s="30">
        <v>4.05</v>
      </c>
      <c r="N870">
        <v>5.333333333333333</v>
      </c>
      <c r="P870" s="24" t="str">
        <f>IFERROR(MID(RADataTable[[#This Row],[RATemplate]],1,LEN(RADataTable[[#This Row],[RATemplate]])-8),"RA") &amp; " " &amp; RADataTable[[#This Row],[prop_id0]] &amp; " " &amp; RADataTable[[#This Row],[last0]]</f>
        <v>RA 1755954 Hajimirza</v>
      </c>
      <c r="T870">
        <v>3</v>
      </c>
      <c r="U870">
        <v>3</v>
      </c>
      <c r="V870" s="34">
        <v>43032.675694444442</v>
      </c>
      <c r="W870">
        <v>1</v>
      </c>
      <c r="X870" s="15" t="str">
        <f>HYPERLINK("https://www.ejacket.nsf.gov/ej/showProposal.do?Continue=Y&amp;ID="&amp;RADataTable[[#This Row],[prop_id0]],"eJ")</f>
        <v>eJ</v>
      </c>
      <c r="Y870" s="15" t="str">
        <f>HYPERLINK("mailto:"&amp;RADataTable[[#This Row],[email]]&amp;"&amp;subject=Your NSF Proposal:  "&amp;RADataTable[[#This Row],[Div]]&amp;" "&amp;RADataTable[[#This Row],[prop_id0]], RADataTable[[#This Row],[email]])</f>
        <v>shima.hm@tamu.edu</v>
      </c>
      <c r="Z870" s="15" t="str">
        <f>HYPERLINK("mailto:"&amp;RADataTable[[#This Row],[allPIemail]]&amp;"&amp;subject=NSF Proposal:  "&amp;RADataTable[[#This Row],[Div]]&amp;" "&amp;RADataTable[[#This Row],[prop_id0]], "PIs@")</f>
        <v>PIs@</v>
      </c>
      <c r="AA870" t="s">
        <v>245</v>
      </c>
      <c r="AB870" t="s">
        <v>689</v>
      </c>
      <c r="AC870" s="30" t="s">
        <v>890</v>
      </c>
      <c r="AD870" t="s">
        <v>891</v>
      </c>
      <c r="AE870" t="s">
        <v>892</v>
      </c>
      <c r="AF870" s="36">
        <v>175000</v>
      </c>
      <c r="AG870" s="36">
        <v>175000</v>
      </c>
      <c r="AH870" s="24"/>
      <c r="AJ870" s="34"/>
      <c r="AK870" t="s">
        <v>923</v>
      </c>
      <c r="AL870" t="s">
        <v>924</v>
      </c>
      <c r="AM870" s="34" t="s">
        <v>925</v>
      </c>
      <c r="AN870" s="34">
        <v>43032</v>
      </c>
      <c r="AO870" s="24">
        <v>5</v>
      </c>
      <c r="AP870" t="s">
        <v>985</v>
      </c>
      <c r="AR870" s="35"/>
      <c r="AS870"/>
      <c r="AT870" s="34"/>
      <c r="AV870" s="34"/>
      <c r="AX870" s="34"/>
      <c r="AY870"/>
      <c r="BA870" s="34"/>
      <c r="BB870"/>
      <c r="BC870" t="s">
        <v>895</v>
      </c>
      <c r="BD870" s="36">
        <v>175000</v>
      </c>
      <c r="BE870" s="36">
        <v>175000</v>
      </c>
      <c r="BF870">
        <v>0</v>
      </c>
      <c r="BG870" s="34">
        <v>43252</v>
      </c>
      <c r="BH870">
        <v>24</v>
      </c>
      <c r="BI870" t="s">
        <v>974</v>
      </c>
      <c r="BJ870" t="s">
        <v>975</v>
      </c>
      <c r="BK870" t="s">
        <v>234</v>
      </c>
      <c r="BL870" t="s">
        <v>194</v>
      </c>
      <c r="BM870" s="8" t="s">
        <v>192</v>
      </c>
      <c r="BN870" t="s">
        <v>189</v>
      </c>
      <c r="BO870" t="s">
        <v>190</v>
      </c>
      <c r="BP870" s="35" t="s">
        <v>880</v>
      </c>
      <c r="BQ870"/>
      <c r="BU870" s="35"/>
      <c r="BV870" s="35"/>
      <c r="BX870"/>
      <c r="CA870" s="35"/>
      <c r="CB870" s="35"/>
      <c r="CC870"/>
      <c r="CG870" s="35"/>
      <c r="CH870" s="35"/>
      <c r="CK870"/>
      <c r="CM870" s="35"/>
      <c r="CN870" s="35"/>
      <c r="CQ870"/>
      <c r="CS870" s="35"/>
      <c r="CT870" s="35"/>
      <c r="CX870"/>
      <c r="CZ870" s="35"/>
      <c r="DD870" s="34"/>
      <c r="DG870" t="s">
        <v>893</v>
      </c>
      <c r="DH870" t="s">
        <v>986</v>
      </c>
      <c r="DI870" t="s">
        <v>798</v>
      </c>
      <c r="DL870" t="s">
        <v>689</v>
      </c>
      <c r="DM870">
        <v>4</v>
      </c>
      <c r="DN870">
        <v>7</v>
      </c>
      <c r="DO870" t="s">
        <v>894</v>
      </c>
      <c r="DQ870" t="s">
        <v>927</v>
      </c>
      <c r="DR870">
        <v>14</v>
      </c>
      <c r="DS870">
        <v>0</v>
      </c>
      <c r="DU870">
        <v>14</v>
      </c>
      <c r="DV870">
        <v>0</v>
      </c>
      <c r="DX870">
        <v>14</v>
      </c>
      <c r="DY870">
        <v>0</v>
      </c>
      <c r="DZ870" t="s">
        <v>246</v>
      </c>
      <c r="EA870" t="s">
        <v>929</v>
      </c>
    </row>
    <row r="871" spans="1:131" x14ac:dyDescent="0.4">
      <c r="A871" s="34">
        <v>43067.305104166669</v>
      </c>
      <c r="B871" s="25">
        <v>42956.717361111114</v>
      </c>
      <c r="D871" s="34"/>
      <c r="E871" s="34" t="s">
        <v>193</v>
      </c>
      <c r="F871" s="34" t="s">
        <v>191</v>
      </c>
      <c r="G871" s="34" t="s">
        <v>100</v>
      </c>
      <c r="H871" t="s">
        <v>856</v>
      </c>
      <c r="I871" t="s">
        <v>243</v>
      </c>
      <c r="J871" t="s">
        <v>857</v>
      </c>
      <c r="K871" t="s">
        <v>713</v>
      </c>
      <c r="L871" t="s">
        <v>855</v>
      </c>
      <c r="M871" s="30">
        <v>4.05</v>
      </c>
      <c r="N871">
        <v>4.666666666666667</v>
      </c>
      <c r="P871" s="24" t="str">
        <f>IFERROR(MID(RADataTable[[#This Row],[RATemplate]],1,LEN(RADataTable[[#This Row],[RATemplate]])-8),"RA") &amp; " " &amp; RADataTable[[#This Row],[prop_id0]] &amp; " " &amp; RADataTable[[#This Row],[last0]]</f>
        <v>RA 1755978 Gangammanavar</v>
      </c>
      <c r="T871">
        <v>3</v>
      </c>
      <c r="U871">
        <v>3</v>
      </c>
      <c r="V871" s="34">
        <v>43031.75</v>
      </c>
      <c r="W871">
        <v>1</v>
      </c>
      <c r="X871" s="15" t="str">
        <f>HYPERLINK("https://www.ejacket.nsf.gov/ej/showProposal.do?Continue=Y&amp;ID="&amp;RADataTable[[#This Row],[prop_id0]],"eJ")</f>
        <v>eJ</v>
      </c>
      <c r="Y871" s="15" t="str">
        <f>HYPERLINK("mailto:"&amp;RADataTable[[#This Row],[email]]&amp;"&amp;subject=Your NSF Proposal:  "&amp;RADataTable[[#This Row],[Div]]&amp;" "&amp;RADataTable[[#This Row],[prop_id0]], RADataTable[[#This Row],[email]])</f>
        <v>harsha@smu.edu</v>
      </c>
      <c r="Z871" s="15" t="str">
        <f>HYPERLINK("mailto:"&amp;RADataTable[[#This Row],[allPIemail]]&amp;"&amp;subject=NSF Proposal:  "&amp;RADataTable[[#This Row],[Div]]&amp;" "&amp;RADataTable[[#This Row],[prop_id0]], "PIs@")</f>
        <v>PIs@</v>
      </c>
      <c r="AA871" t="s">
        <v>245</v>
      </c>
      <c r="AB871" t="s">
        <v>690</v>
      </c>
      <c r="AC871" s="30" t="s">
        <v>896</v>
      </c>
      <c r="AD871" t="s">
        <v>897</v>
      </c>
      <c r="AE871" t="s">
        <v>898</v>
      </c>
      <c r="AF871" s="36">
        <v>175000</v>
      </c>
      <c r="AG871" s="36">
        <v>175000</v>
      </c>
      <c r="AH871" s="24"/>
      <c r="AJ871" s="34"/>
      <c r="AK871" t="s">
        <v>923</v>
      </c>
      <c r="AL871" t="s">
        <v>924</v>
      </c>
      <c r="AM871" s="34" t="s">
        <v>925</v>
      </c>
      <c r="AN871" s="34">
        <v>43032</v>
      </c>
      <c r="AO871" s="24">
        <v>5</v>
      </c>
      <c r="AP871" t="s">
        <v>987</v>
      </c>
      <c r="AR871" s="35"/>
      <c r="AS871"/>
      <c r="AT871" s="34"/>
      <c r="AV871" s="34"/>
      <c r="AX871" s="34"/>
      <c r="AY871"/>
      <c r="BA871" s="34"/>
      <c r="BB871"/>
      <c r="BC871" t="s">
        <v>901</v>
      </c>
      <c r="BD871" s="36">
        <v>175000</v>
      </c>
      <c r="BE871" s="36">
        <v>175000</v>
      </c>
      <c r="BF871">
        <v>0</v>
      </c>
      <c r="BG871" s="34">
        <v>43101</v>
      </c>
      <c r="BH871">
        <v>24</v>
      </c>
      <c r="BI871" t="s">
        <v>974</v>
      </c>
      <c r="BJ871" t="s">
        <v>975</v>
      </c>
      <c r="BK871" t="s">
        <v>234</v>
      </c>
      <c r="BL871" t="s">
        <v>194</v>
      </c>
      <c r="BM871" s="8" t="s">
        <v>192</v>
      </c>
      <c r="BN871" t="s">
        <v>189</v>
      </c>
      <c r="BO871" t="s">
        <v>190</v>
      </c>
      <c r="BP871" s="35" t="s">
        <v>656</v>
      </c>
      <c r="BQ871"/>
      <c r="BU871" s="35"/>
      <c r="BV871" s="35"/>
      <c r="BX871"/>
      <c r="CA871" s="35"/>
      <c r="CB871" s="35"/>
      <c r="CC871"/>
      <c r="CG871" s="35"/>
      <c r="CH871" s="35"/>
      <c r="CK871"/>
      <c r="CM871" s="35"/>
      <c r="CN871" s="35"/>
      <c r="CQ871"/>
      <c r="CS871" s="35"/>
      <c r="CT871" s="35"/>
      <c r="CX871"/>
      <c r="CZ871" s="35"/>
      <c r="DD871" s="34"/>
      <c r="DG871" t="s">
        <v>899</v>
      </c>
      <c r="DH871" t="s">
        <v>988</v>
      </c>
      <c r="DI871" t="s">
        <v>798</v>
      </c>
      <c r="DL871" t="s">
        <v>690</v>
      </c>
      <c r="DM871">
        <v>3</v>
      </c>
      <c r="DN871">
        <v>6</v>
      </c>
      <c r="DO871" t="s">
        <v>900</v>
      </c>
      <c r="DQ871" t="s">
        <v>927</v>
      </c>
      <c r="DR871">
        <v>14</v>
      </c>
      <c r="DS871">
        <v>0</v>
      </c>
      <c r="DU871">
        <v>14</v>
      </c>
      <c r="DV871">
        <v>0</v>
      </c>
      <c r="DX871">
        <v>14</v>
      </c>
      <c r="DY871">
        <v>0</v>
      </c>
      <c r="DZ871" t="s">
        <v>246</v>
      </c>
      <c r="EA871" t="s">
        <v>929</v>
      </c>
    </row>
    <row r="872" spans="1:131" x14ac:dyDescent="0.4">
      <c r="A872" s="34">
        <v>43067.305104166669</v>
      </c>
      <c r="B872" s="25">
        <v>42956.717361111114</v>
      </c>
      <c r="D872" s="34"/>
      <c r="E872" s="34" t="s">
        <v>193</v>
      </c>
      <c r="F872" s="34" t="s">
        <v>191</v>
      </c>
      <c r="G872" s="34" t="s">
        <v>100</v>
      </c>
      <c r="H872" t="s">
        <v>856</v>
      </c>
      <c r="I872" t="s">
        <v>243</v>
      </c>
      <c r="J872" t="s">
        <v>857</v>
      </c>
      <c r="K872" t="s">
        <v>713</v>
      </c>
      <c r="L872" t="s">
        <v>855</v>
      </c>
      <c r="M872" s="30">
        <v>4.05</v>
      </c>
      <c r="N872">
        <v>4.666666666666667</v>
      </c>
      <c r="P872" s="24" t="str">
        <f>IFERROR(MID(RADataTable[[#This Row],[RATemplate]],1,LEN(RADataTable[[#This Row],[RATemplate]])-8),"RA") &amp; " " &amp; RADataTable[[#This Row],[prop_id0]] &amp; " " &amp; RADataTable[[#This Row],[last0]]</f>
        <v>RA 1755978 Gangammanavar</v>
      </c>
      <c r="T872">
        <v>3</v>
      </c>
      <c r="U872">
        <v>3</v>
      </c>
      <c r="V872" s="34">
        <v>43031.75</v>
      </c>
      <c r="W872">
        <v>1</v>
      </c>
      <c r="X872" s="15" t="str">
        <f>HYPERLINK("https://www.ejacket.nsf.gov/ej/showProposal.do?Continue=Y&amp;ID="&amp;RADataTable[[#This Row],[prop_id0]],"eJ")</f>
        <v>eJ</v>
      </c>
      <c r="Y872" s="15" t="str">
        <f>HYPERLINK("mailto:"&amp;RADataTable[[#This Row],[email]]&amp;"&amp;subject=Your NSF Proposal:  "&amp;RADataTable[[#This Row],[Div]]&amp;" "&amp;RADataTable[[#This Row],[prop_id0]], RADataTable[[#This Row],[email]])</f>
        <v>harsha@smu.edu</v>
      </c>
      <c r="Z872" s="15" t="str">
        <f>HYPERLINK("mailto:"&amp;RADataTable[[#This Row],[allPIemail]]&amp;"&amp;subject=NSF Proposal:  "&amp;RADataTable[[#This Row],[Div]]&amp;" "&amp;RADataTable[[#This Row],[prop_id0]], "PIs@")</f>
        <v>PIs@</v>
      </c>
      <c r="AA872" t="s">
        <v>245</v>
      </c>
      <c r="AB872" t="s">
        <v>690</v>
      </c>
      <c r="AC872" s="30" t="s">
        <v>896</v>
      </c>
      <c r="AD872" t="s">
        <v>897</v>
      </c>
      <c r="AE872" t="s">
        <v>898</v>
      </c>
      <c r="AF872" s="36">
        <v>175000</v>
      </c>
      <c r="AG872" s="36">
        <v>175000</v>
      </c>
      <c r="AH872" s="24"/>
      <c r="AJ872" s="34"/>
      <c r="AK872" t="s">
        <v>923</v>
      </c>
      <c r="AL872" t="s">
        <v>924</v>
      </c>
      <c r="AM872" s="34" t="s">
        <v>925</v>
      </c>
      <c r="AN872" s="34">
        <v>43032</v>
      </c>
      <c r="AO872" s="24">
        <v>5</v>
      </c>
      <c r="AP872" t="s">
        <v>987</v>
      </c>
      <c r="AR872" s="35"/>
      <c r="AS872"/>
      <c r="AT872" s="34"/>
      <c r="AV872" s="34"/>
      <c r="AX872" s="34"/>
      <c r="AY872"/>
      <c r="BA872" s="34"/>
      <c r="BB872"/>
      <c r="BC872" t="s">
        <v>901</v>
      </c>
      <c r="BD872" s="36">
        <v>175000</v>
      </c>
      <c r="BE872" s="36">
        <v>175000</v>
      </c>
      <c r="BF872">
        <v>0</v>
      </c>
      <c r="BG872" s="34">
        <v>43101</v>
      </c>
      <c r="BH872">
        <v>24</v>
      </c>
      <c r="BI872" t="s">
        <v>974</v>
      </c>
      <c r="BJ872" t="s">
        <v>975</v>
      </c>
      <c r="BK872" t="s">
        <v>234</v>
      </c>
      <c r="BL872" t="s">
        <v>194</v>
      </c>
      <c r="BM872" s="8" t="s">
        <v>192</v>
      </c>
      <c r="BN872" t="s">
        <v>189</v>
      </c>
      <c r="BO872" t="s">
        <v>190</v>
      </c>
      <c r="BP872" s="35" t="s">
        <v>656</v>
      </c>
      <c r="BQ872"/>
      <c r="BU872" s="35"/>
      <c r="BV872" s="35"/>
      <c r="BX872"/>
      <c r="CA872" s="35"/>
      <c r="CB872" s="35"/>
      <c r="CC872"/>
      <c r="CG872" s="35"/>
      <c r="CH872" s="35"/>
      <c r="CK872"/>
      <c r="CM872" s="35"/>
      <c r="CN872" s="35"/>
      <c r="CQ872"/>
      <c r="CS872" s="35"/>
      <c r="CT872" s="35"/>
      <c r="CX872"/>
      <c r="CZ872" s="35"/>
      <c r="DD872" s="34"/>
      <c r="DG872" t="s">
        <v>899</v>
      </c>
      <c r="DH872" t="s">
        <v>988</v>
      </c>
      <c r="DI872" t="s">
        <v>798</v>
      </c>
      <c r="DL872" t="s">
        <v>690</v>
      </c>
      <c r="DM872">
        <v>3</v>
      </c>
      <c r="DN872">
        <v>6</v>
      </c>
      <c r="DO872" t="s">
        <v>900</v>
      </c>
      <c r="DQ872" t="s">
        <v>927</v>
      </c>
      <c r="DR872">
        <v>14</v>
      </c>
      <c r="DS872">
        <v>0</v>
      </c>
      <c r="DU872">
        <v>14</v>
      </c>
      <c r="DV872">
        <v>0</v>
      </c>
      <c r="DX872">
        <v>14</v>
      </c>
      <c r="DY872">
        <v>0</v>
      </c>
      <c r="DZ872" t="s">
        <v>246</v>
      </c>
      <c r="EA872" t="s">
        <v>929</v>
      </c>
    </row>
    <row r="873" spans="1:131" x14ac:dyDescent="0.4">
      <c r="A873" s="34">
        <v>43067.305104166669</v>
      </c>
      <c r="B873" s="25">
        <v>42956.717361111114</v>
      </c>
      <c r="D873" s="34"/>
      <c r="E873" s="34" t="s">
        <v>193</v>
      </c>
      <c r="F873" s="34" t="s">
        <v>191</v>
      </c>
      <c r="G873" s="34" t="s">
        <v>100</v>
      </c>
      <c r="H873" t="s">
        <v>856</v>
      </c>
      <c r="I873" t="s">
        <v>243</v>
      </c>
      <c r="J873" t="s">
        <v>857</v>
      </c>
      <c r="K873" t="s">
        <v>713</v>
      </c>
      <c r="L873" t="s">
        <v>855</v>
      </c>
      <c r="M873" s="30">
        <v>4.05</v>
      </c>
      <c r="N873">
        <v>4.666666666666667</v>
      </c>
      <c r="P873" s="24" t="str">
        <f>IFERROR(MID(RADataTable[[#This Row],[RATemplate]],1,LEN(RADataTable[[#This Row],[RATemplate]])-8),"RA") &amp; " " &amp; RADataTable[[#This Row],[prop_id0]] &amp; " " &amp; RADataTable[[#This Row],[last0]]</f>
        <v>RA 1755978 Gangammanavar</v>
      </c>
      <c r="T873">
        <v>3</v>
      </c>
      <c r="U873">
        <v>3</v>
      </c>
      <c r="V873" s="34">
        <v>43031.75</v>
      </c>
      <c r="W873">
        <v>1</v>
      </c>
      <c r="X873" s="15" t="str">
        <f>HYPERLINK("https://www.ejacket.nsf.gov/ej/showProposal.do?Continue=Y&amp;ID="&amp;RADataTable[[#This Row],[prop_id0]],"eJ")</f>
        <v>eJ</v>
      </c>
      <c r="Y873" s="15" t="str">
        <f>HYPERLINK("mailto:"&amp;RADataTable[[#This Row],[email]]&amp;"&amp;subject=Your NSF Proposal:  "&amp;RADataTable[[#This Row],[Div]]&amp;" "&amp;RADataTable[[#This Row],[prop_id0]], RADataTable[[#This Row],[email]])</f>
        <v>harsha@smu.edu</v>
      </c>
      <c r="Z873" s="15" t="str">
        <f>HYPERLINK("mailto:"&amp;RADataTable[[#This Row],[allPIemail]]&amp;"&amp;subject=NSF Proposal:  "&amp;RADataTable[[#This Row],[Div]]&amp;" "&amp;RADataTable[[#This Row],[prop_id0]], "PIs@")</f>
        <v>PIs@</v>
      </c>
      <c r="AA873" t="s">
        <v>245</v>
      </c>
      <c r="AB873" t="s">
        <v>690</v>
      </c>
      <c r="AC873" s="30" t="s">
        <v>896</v>
      </c>
      <c r="AD873" t="s">
        <v>897</v>
      </c>
      <c r="AE873" t="s">
        <v>898</v>
      </c>
      <c r="AF873" s="36">
        <v>175000</v>
      </c>
      <c r="AG873" s="36">
        <v>175000</v>
      </c>
      <c r="AH873" s="24"/>
      <c r="AJ873" s="34"/>
      <c r="AK873" t="s">
        <v>923</v>
      </c>
      <c r="AL873" t="s">
        <v>924</v>
      </c>
      <c r="AM873" s="34" t="s">
        <v>925</v>
      </c>
      <c r="AN873" s="34">
        <v>43032</v>
      </c>
      <c r="AO873" s="24">
        <v>5</v>
      </c>
      <c r="AP873" t="s">
        <v>987</v>
      </c>
      <c r="AR873" s="35"/>
      <c r="AS873"/>
      <c r="AT873" s="34"/>
      <c r="AV873" s="34"/>
      <c r="AX873" s="34"/>
      <c r="AY873"/>
      <c r="BA873" s="34"/>
      <c r="BB873"/>
      <c r="BC873" t="s">
        <v>901</v>
      </c>
      <c r="BD873" s="36">
        <v>175000</v>
      </c>
      <c r="BE873" s="36">
        <v>175000</v>
      </c>
      <c r="BF873">
        <v>0</v>
      </c>
      <c r="BG873" s="34">
        <v>43101</v>
      </c>
      <c r="BH873">
        <v>24</v>
      </c>
      <c r="BI873" t="s">
        <v>974</v>
      </c>
      <c r="BJ873" t="s">
        <v>975</v>
      </c>
      <c r="BK873" t="s">
        <v>234</v>
      </c>
      <c r="BL873" t="s">
        <v>194</v>
      </c>
      <c r="BM873" s="8" t="s">
        <v>192</v>
      </c>
      <c r="BN873" t="s">
        <v>189</v>
      </c>
      <c r="BO873" t="s">
        <v>190</v>
      </c>
      <c r="BP873" s="35" t="s">
        <v>656</v>
      </c>
      <c r="BQ873"/>
      <c r="BU873" s="35"/>
      <c r="BV873" s="35"/>
      <c r="BX873"/>
      <c r="CA873" s="35"/>
      <c r="CB873" s="35"/>
      <c r="CC873"/>
      <c r="CG873" s="35"/>
      <c r="CH873" s="35"/>
      <c r="CK873"/>
      <c r="CM873" s="35"/>
      <c r="CN873" s="35"/>
      <c r="CQ873"/>
      <c r="CS873" s="35"/>
      <c r="CT873" s="35"/>
      <c r="CX873"/>
      <c r="CZ873" s="35"/>
      <c r="DD873" s="34"/>
      <c r="DG873" t="s">
        <v>899</v>
      </c>
      <c r="DH873" t="s">
        <v>988</v>
      </c>
      <c r="DI873" t="s">
        <v>798</v>
      </c>
      <c r="DL873" t="s">
        <v>690</v>
      </c>
      <c r="DM873">
        <v>3</v>
      </c>
      <c r="DN873">
        <v>6</v>
      </c>
      <c r="DO873" t="s">
        <v>900</v>
      </c>
      <c r="DQ873" t="s">
        <v>927</v>
      </c>
      <c r="DR873">
        <v>14</v>
      </c>
      <c r="DS873">
        <v>0</v>
      </c>
      <c r="DU873">
        <v>14</v>
      </c>
      <c r="DV873">
        <v>0</v>
      </c>
      <c r="DX873">
        <v>14</v>
      </c>
      <c r="DY873">
        <v>0</v>
      </c>
      <c r="DZ873" t="s">
        <v>246</v>
      </c>
      <c r="EA873" t="s">
        <v>929</v>
      </c>
    </row>
    <row r="874" spans="1:131" x14ac:dyDescent="0.4">
      <c r="A874" s="34">
        <v>43067.305104166669</v>
      </c>
      <c r="B874" s="25">
        <v>42956.717361111114</v>
      </c>
      <c r="D874" s="34"/>
      <c r="E874" s="34" t="s">
        <v>193</v>
      </c>
      <c r="F874" s="34" t="s">
        <v>191</v>
      </c>
      <c r="G874" s="34" t="s">
        <v>100</v>
      </c>
      <c r="H874" t="s">
        <v>856</v>
      </c>
      <c r="I874" t="s">
        <v>243</v>
      </c>
      <c r="J874" t="s">
        <v>857</v>
      </c>
      <c r="K874" t="s">
        <v>713</v>
      </c>
      <c r="L874" t="s">
        <v>855</v>
      </c>
      <c r="M874" s="30">
        <v>4.05</v>
      </c>
      <c r="N874">
        <v>4.666666666666667</v>
      </c>
      <c r="P874" s="24" t="str">
        <f>IFERROR(MID(RADataTable[[#This Row],[RATemplate]],1,LEN(RADataTable[[#This Row],[RATemplate]])-8),"RA") &amp; " " &amp; RADataTable[[#This Row],[prop_id0]] &amp; " " &amp; RADataTable[[#This Row],[last0]]</f>
        <v>RA 1755978 Gangammanavar</v>
      </c>
      <c r="T874">
        <v>3</v>
      </c>
      <c r="U874">
        <v>3</v>
      </c>
      <c r="V874" s="34">
        <v>43031.75</v>
      </c>
      <c r="W874">
        <v>1</v>
      </c>
      <c r="X874" s="15" t="str">
        <f>HYPERLINK("https://www.ejacket.nsf.gov/ej/showProposal.do?Continue=Y&amp;ID="&amp;RADataTable[[#This Row],[prop_id0]],"eJ")</f>
        <v>eJ</v>
      </c>
      <c r="Y874" s="15" t="str">
        <f>HYPERLINK("mailto:"&amp;RADataTable[[#This Row],[email]]&amp;"&amp;subject=Your NSF Proposal:  "&amp;RADataTable[[#This Row],[Div]]&amp;" "&amp;RADataTable[[#This Row],[prop_id0]], RADataTable[[#This Row],[email]])</f>
        <v>harsha@smu.edu</v>
      </c>
      <c r="Z874" s="15" t="str">
        <f>HYPERLINK("mailto:"&amp;RADataTable[[#This Row],[allPIemail]]&amp;"&amp;subject=NSF Proposal:  "&amp;RADataTable[[#This Row],[Div]]&amp;" "&amp;RADataTable[[#This Row],[prop_id0]], "PIs@")</f>
        <v>PIs@</v>
      </c>
      <c r="AA874" t="s">
        <v>245</v>
      </c>
      <c r="AB874" t="s">
        <v>690</v>
      </c>
      <c r="AC874" s="30" t="s">
        <v>896</v>
      </c>
      <c r="AD874" t="s">
        <v>897</v>
      </c>
      <c r="AE874" t="s">
        <v>898</v>
      </c>
      <c r="AF874" s="36">
        <v>175000</v>
      </c>
      <c r="AG874" s="36">
        <v>175000</v>
      </c>
      <c r="AH874" s="24"/>
      <c r="AJ874" s="34"/>
      <c r="AK874" t="s">
        <v>923</v>
      </c>
      <c r="AL874" t="s">
        <v>924</v>
      </c>
      <c r="AM874" s="34" t="s">
        <v>925</v>
      </c>
      <c r="AN874" s="34">
        <v>43032</v>
      </c>
      <c r="AO874" s="24">
        <v>5</v>
      </c>
      <c r="AP874" t="s">
        <v>987</v>
      </c>
      <c r="AR874" s="35"/>
      <c r="AS874"/>
      <c r="AT874" s="34"/>
      <c r="AV874" s="34"/>
      <c r="AX874" s="34"/>
      <c r="AY874"/>
      <c r="BA874" s="34"/>
      <c r="BB874"/>
      <c r="BC874" t="s">
        <v>901</v>
      </c>
      <c r="BD874" s="36">
        <v>175000</v>
      </c>
      <c r="BE874" s="36">
        <v>175000</v>
      </c>
      <c r="BF874">
        <v>0</v>
      </c>
      <c r="BG874" s="34">
        <v>43101</v>
      </c>
      <c r="BH874">
        <v>24</v>
      </c>
      <c r="BI874" t="s">
        <v>974</v>
      </c>
      <c r="BJ874" t="s">
        <v>975</v>
      </c>
      <c r="BK874" t="s">
        <v>234</v>
      </c>
      <c r="BL874" t="s">
        <v>194</v>
      </c>
      <c r="BM874" s="8" t="s">
        <v>192</v>
      </c>
      <c r="BN874" t="s">
        <v>189</v>
      </c>
      <c r="BO874" t="s">
        <v>190</v>
      </c>
      <c r="BP874" s="35" t="s">
        <v>656</v>
      </c>
      <c r="BQ874"/>
      <c r="BU874" s="35"/>
      <c r="BV874" s="35"/>
      <c r="BX874"/>
      <c r="CA874" s="35"/>
      <c r="CB874" s="35"/>
      <c r="CC874"/>
      <c r="CG874" s="35"/>
      <c r="CH874" s="35"/>
      <c r="CK874"/>
      <c r="CM874" s="35"/>
      <c r="CN874" s="35"/>
      <c r="CQ874"/>
      <c r="CS874" s="35"/>
      <c r="CT874" s="35"/>
      <c r="CX874"/>
      <c r="CZ874" s="35"/>
      <c r="DD874" s="34"/>
      <c r="DG874" t="s">
        <v>899</v>
      </c>
      <c r="DH874" t="s">
        <v>988</v>
      </c>
      <c r="DI874" t="s">
        <v>798</v>
      </c>
      <c r="DL874" t="s">
        <v>690</v>
      </c>
      <c r="DM874">
        <v>3</v>
      </c>
      <c r="DN874">
        <v>6</v>
      </c>
      <c r="DO874" t="s">
        <v>900</v>
      </c>
      <c r="DQ874" t="s">
        <v>927</v>
      </c>
      <c r="DR874">
        <v>14</v>
      </c>
      <c r="DS874">
        <v>0</v>
      </c>
      <c r="DU874">
        <v>14</v>
      </c>
      <c r="DV874">
        <v>0</v>
      </c>
      <c r="DX874">
        <v>14</v>
      </c>
      <c r="DY874">
        <v>0</v>
      </c>
      <c r="DZ874" t="s">
        <v>246</v>
      </c>
      <c r="EA874" t="s">
        <v>929</v>
      </c>
    </row>
    <row r="875" spans="1:131" x14ac:dyDescent="0.4">
      <c r="A875" s="34">
        <v>43067.305104166669</v>
      </c>
      <c r="B875" s="25">
        <v>42956.717361111114</v>
      </c>
      <c r="D875" s="34"/>
      <c r="E875" s="34" t="s">
        <v>193</v>
      </c>
      <c r="F875" s="34" t="s">
        <v>191</v>
      </c>
      <c r="G875" s="34" t="s">
        <v>100</v>
      </c>
      <c r="H875" t="s">
        <v>856</v>
      </c>
      <c r="I875" t="s">
        <v>243</v>
      </c>
      <c r="J875" t="s">
        <v>857</v>
      </c>
      <c r="K875" t="s">
        <v>713</v>
      </c>
      <c r="L875" t="s">
        <v>855</v>
      </c>
      <c r="M875" s="30">
        <v>4.05</v>
      </c>
      <c r="N875">
        <v>4.666666666666667</v>
      </c>
      <c r="P875" s="24" t="str">
        <f>IFERROR(MID(RADataTable[[#This Row],[RATemplate]],1,LEN(RADataTable[[#This Row],[RATemplate]])-8),"RA") &amp; " " &amp; RADataTable[[#This Row],[prop_id0]] &amp; " " &amp; RADataTable[[#This Row],[last0]]</f>
        <v>RA 1755978 Gangammanavar</v>
      </c>
      <c r="T875">
        <v>3</v>
      </c>
      <c r="U875">
        <v>3</v>
      </c>
      <c r="V875" s="34">
        <v>43031.75</v>
      </c>
      <c r="W875">
        <v>1</v>
      </c>
      <c r="X875" s="15" t="str">
        <f>HYPERLINK("https://www.ejacket.nsf.gov/ej/showProposal.do?Continue=Y&amp;ID="&amp;RADataTable[[#This Row],[prop_id0]],"eJ")</f>
        <v>eJ</v>
      </c>
      <c r="Y875" s="15" t="str">
        <f>HYPERLINK("mailto:"&amp;RADataTable[[#This Row],[email]]&amp;"&amp;subject=Your NSF Proposal:  "&amp;RADataTable[[#This Row],[Div]]&amp;" "&amp;RADataTable[[#This Row],[prop_id0]], RADataTable[[#This Row],[email]])</f>
        <v>harsha@smu.edu</v>
      </c>
      <c r="Z875" s="15" t="str">
        <f>HYPERLINK("mailto:"&amp;RADataTable[[#This Row],[allPIemail]]&amp;"&amp;subject=NSF Proposal:  "&amp;RADataTable[[#This Row],[Div]]&amp;" "&amp;RADataTable[[#This Row],[prop_id0]], "PIs@")</f>
        <v>PIs@</v>
      </c>
      <c r="AA875" t="s">
        <v>245</v>
      </c>
      <c r="AB875" t="s">
        <v>690</v>
      </c>
      <c r="AC875" s="30" t="s">
        <v>896</v>
      </c>
      <c r="AD875" t="s">
        <v>897</v>
      </c>
      <c r="AE875" t="s">
        <v>898</v>
      </c>
      <c r="AF875" s="36">
        <v>175000</v>
      </c>
      <c r="AG875" s="36">
        <v>175000</v>
      </c>
      <c r="AH875" s="24"/>
      <c r="AJ875" s="34"/>
      <c r="AK875" t="s">
        <v>923</v>
      </c>
      <c r="AL875" t="s">
        <v>924</v>
      </c>
      <c r="AM875" s="34" t="s">
        <v>925</v>
      </c>
      <c r="AN875" s="34">
        <v>43032</v>
      </c>
      <c r="AO875" s="24">
        <v>5</v>
      </c>
      <c r="AP875" t="s">
        <v>987</v>
      </c>
      <c r="AR875" s="35"/>
      <c r="AS875"/>
      <c r="AT875" s="34"/>
      <c r="AV875" s="34"/>
      <c r="AX875" s="34"/>
      <c r="AY875"/>
      <c r="BA875" s="34"/>
      <c r="BB875"/>
      <c r="BC875" t="s">
        <v>901</v>
      </c>
      <c r="BD875" s="36">
        <v>175000</v>
      </c>
      <c r="BE875" s="36">
        <v>175000</v>
      </c>
      <c r="BF875">
        <v>0</v>
      </c>
      <c r="BG875" s="34">
        <v>43101</v>
      </c>
      <c r="BH875">
        <v>24</v>
      </c>
      <c r="BI875" t="s">
        <v>974</v>
      </c>
      <c r="BJ875" t="s">
        <v>975</v>
      </c>
      <c r="BK875" t="s">
        <v>234</v>
      </c>
      <c r="BL875" t="s">
        <v>194</v>
      </c>
      <c r="BM875" s="8" t="s">
        <v>192</v>
      </c>
      <c r="BN875" t="s">
        <v>189</v>
      </c>
      <c r="BO875" t="s">
        <v>190</v>
      </c>
      <c r="BP875" s="35" t="s">
        <v>656</v>
      </c>
      <c r="BQ875"/>
      <c r="BU875" s="35"/>
      <c r="BV875" s="35"/>
      <c r="BX875"/>
      <c r="CA875" s="35"/>
      <c r="CB875" s="35"/>
      <c r="CC875"/>
      <c r="CG875" s="35"/>
      <c r="CH875" s="35"/>
      <c r="CK875"/>
      <c r="CM875" s="35"/>
      <c r="CN875" s="35"/>
      <c r="CQ875"/>
      <c r="CS875" s="35"/>
      <c r="CT875" s="35"/>
      <c r="CX875"/>
      <c r="CZ875" s="35"/>
      <c r="DD875" s="34"/>
      <c r="DG875" t="s">
        <v>899</v>
      </c>
      <c r="DH875" t="s">
        <v>988</v>
      </c>
      <c r="DI875" t="s">
        <v>798</v>
      </c>
      <c r="DL875" t="s">
        <v>690</v>
      </c>
      <c r="DM875">
        <v>3</v>
      </c>
      <c r="DN875">
        <v>6</v>
      </c>
      <c r="DO875" t="s">
        <v>900</v>
      </c>
      <c r="DQ875" t="s">
        <v>927</v>
      </c>
      <c r="DR875">
        <v>14</v>
      </c>
      <c r="DS875">
        <v>0</v>
      </c>
      <c r="DU875">
        <v>14</v>
      </c>
      <c r="DV875">
        <v>0</v>
      </c>
      <c r="DX875">
        <v>14</v>
      </c>
      <c r="DY875">
        <v>0</v>
      </c>
      <c r="DZ875" t="s">
        <v>246</v>
      </c>
      <c r="EA875" t="s">
        <v>929</v>
      </c>
    </row>
    <row r="876" spans="1:131" x14ac:dyDescent="0.4">
      <c r="A876" s="34">
        <v>43067.305104166669</v>
      </c>
      <c r="B876" s="25">
        <v>42956.717361111114</v>
      </c>
      <c r="D876" s="34"/>
      <c r="E876" s="34" t="s">
        <v>193</v>
      </c>
      <c r="F876" s="34" t="s">
        <v>191</v>
      </c>
      <c r="G876" s="34" t="s">
        <v>100</v>
      </c>
      <c r="H876" t="s">
        <v>856</v>
      </c>
      <c r="I876" t="s">
        <v>243</v>
      </c>
      <c r="J876" t="s">
        <v>857</v>
      </c>
      <c r="K876" t="s">
        <v>713</v>
      </c>
      <c r="L876" t="s">
        <v>855</v>
      </c>
      <c r="M876" s="30">
        <v>4.05</v>
      </c>
      <c r="N876">
        <v>4.666666666666667</v>
      </c>
      <c r="P876" s="24" t="str">
        <f>IFERROR(MID(RADataTable[[#This Row],[RATemplate]],1,LEN(RADataTable[[#This Row],[RATemplate]])-8),"RA") &amp; " " &amp; RADataTable[[#This Row],[prop_id0]] &amp; " " &amp; RADataTable[[#This Row],[last0]]</f>
        <v>RA 1755978 Gangammanavar</v>
      </c>
      <c r="T876">
        <v>3</v>
      </c>
      <c r="U876">
        <v>3</v>
      </c>
      <c r="V876" s="34">
        <v>43031.75</v>
      </c>
      <c r="W876">
        <v>1</v>
      </c>
      <c r="X876" s="15" t="str">
        <f>HYPERLINK("https://www.ejacket.nsf.gov/ej/showProposal.do?Continue=Y&amp;ID="&amp;RADataTable[[#This Row],[prop_id0]],"eJ")</f>
        <v>eJ</v>
      </c>
      <c r="Y876" s="15" t="str">
        <f>HYPERLINK("mailto:"&amp;RADataTable[[#This Row],[email]]&amp;"&amp;subject=Your NSF Proposal:  "&amp;RADataTable[[#This Row],[Div]]&amp;" "&amp;RADataTable[[#This Row],[prop_id0]], RADataTable[[#This Row],[email]])</f>
        <v>harsha@smu.edu</v>
      </c>
      <c r="Z876" s="15" t="str">
        <f>HYPERLINK("mailto:"&amp;RADataTable[[#This Row],[allPIemail]]&amp;"&amp;subject=NSF Proposal:  "&amp;RADataTable[[#This Row],[Div]]&amp;" "&amp;RADataTable[[#This Row],[prop_id0]], "PIs@")</f>
        <v>PIs@</v>
      </c>
      <c r="AA876" t="s">
        <v>245</v>
      </c>
      <c r="AB876" t="s">
        <v>690</v>
      </c>
      <c r="AC876" s="30" t="s">
        <v>896</v>
      </c>
      <c r="AD876" t="s">
        <v>897</v>
      </c>
      <c r="AE876" t="s">
        <v>898</v>
      </c>
      <c r="AF876" s="36">
        <v>175000</v>
      </c>
      <c r="AG876" s="36">
        <v>175000</v>
      </c>
      <c r="AH876" s="24"/>
      <c r="AJ876" s="34"/>
      <c r="AK876" t="s">
        <v>923</v>
      </c>
      <c r="AL876" t="s">
        <v>924</v>
      </c>
      <c r="AM876" s="34" t="s">
        <v>925</v>
      </c>
      <c r="AN876" s="34">
        <v>43032</v>
      </c>
      <c r="AO876" s="24">
        <v>5</v>
      </c>
      <c r="AP876" t="s">
        <v>987</v>
      </c>
      <c r="AR876" s="35"/>
      <c r="AS876"/>
      <c r="AT876" s="34"/>
      <c r="AV876" s="34"/>
      <c r="AX876" s="34"/>
      <c r="AY876"/>
      <c r="BA876" s="34"/>
      <c r="BB876"/>
      <c r="BC876" t="s">
        <v>901</v>
      </c>
      <c r="BD876" s="36">
        <v>175000</v>
      </c>
      <c r="BE876" s="36">
        <v>175000</v>
      </c>
      <c r="BF876">
        <v>0</v>
      </c>
      <c r="BG876" s="34">
        <v>43101</v>
      </c>
      <c r="BH876">
        <v>24</v>
      </c>
      <c r="BI876" t="s">
        <v>974</v>
      </c>
      <c r="BJ876" t="s">
        <v>975</v>
      </c>
      <c r="BK876" t="s">
        <v>234</v>
      </c>
      <c r="BL876" t="s">
        <v>194</v>
      </c>
      <c r="BM876" s="8" t="s">
        <v>192</v>
      </c>
      <c r="BN876" t="s">
        <v>189</v>
      </c>
      <c r="BO876" t="s">
        <v>190</v>
      </c>
      <c r="BP876" s="35" t="s">
        <v>656</v>
      </c>
      <c r="BQ876"/>
      <c r="BU876" s="35"/>
      <c r="BV876" s="35"/>
      <c r="BX876"/>
      <c r="CA876" s="35"/>
      <c r="CB876" s="35"/>
      <c r="CC876"/>
      <c r="CG876" s="35"/>
      <c r="CH876" s="35"/>
      <c r="CK876"/>
      <c r="CM876" s="35"/>
      <c r="CN876" s="35"/>
      <c r="CQ876"/>
      <c r="CS876" s="35"/>
      <c r="CT876" s="35"/>
      <c r="CX876"/>
      <c r="CZ876" s="35"/>
      <c r="DD876" s="34"/>
      <c r="DG876" t="s">
        <v>899</v>
      </c>
      <c r="DH876" t="s">
        <v>988</v>
      </c>
      <c r="DI876" t="s">
        <v>798</v>
      </c>
      <c r="DL876" t="s">
        <v>690</v>
      </c>
      <c r="DM876">
        <v>3</v>
      </c>
      <c r="DN876">
        <v>6</v>
      </c>
      <c r="DO876" t="s">
        <v>900</v>
      </c>
      <c r="DQ876" t="s">
        <v>927</v>
      </c>
      <c r="DR876">
        <v>14</v>
      </c>
      <c r="DS876">
        <v>0</v>
      </c>
      <c r="DU876">
        <v>14</v>
      </c>
      <c r="DV876">
        <v>0</v>
      </c>
      <c r="DX876">
        <v>14</v>
      </c>
      <c r="DY876">
        <v>0</v>
      </c>
      <c r="DZ876" t="s">
        <v>246</v>
      </c>
      <c r="EA876" t="s">
        <v>929</v>
      </c>
    </row>
    <row r="877" spans="1:131" x14ac:dyDescent="0.4">
      <c r="A877" s="34">
        <v>43067.305104166669</v>
      </c>
      <c r="B877" s="25">
        <v>42956.717361111114</v>
      </c>
      <c r="D877" s="34"/>
      <c r="E877" s="34" t="s">
        <v>193</v>
      </c>
      <c r="F877" s="34" t="s">
        <v>191</v>
      </c>
      <c r="G877" s="34" t="s">
        <v>100</v>
      </c>
      <c r="H877" t="s">
        <v>856</v>
      </c>
      <c r="I877" t="s">
        <v>243</v>
      </c>
      <c r="J877" t="s">
        <v>857</v>
      </c>
      <c r="K877" t="s">
        <v>713</v>
      </c>
      <c r="L877" t="s">
        <v>855</v>
      </c>
      <c r="M877" s="30">
        <v>4.05</v>
      </c>
      <c r="N877">
        <v>4.666666666666667</v>
      </c>
      <c r="P877" s="24" t="str">
        <f>IFERROR(MID(RADataTable[[#This Row],[RATemplate]],1,LEN(RADataTable[[#This Row],[RATemplate]])-8),"RA") &amp; " " &amp; RADataTable[[#This Row],[prop_id0]] &amp; " " &amp; RADataTable[[#This Row],[last0]]</f>
        <v>RA 1755978 Gangammanavar</v>
      </c>
      <c r="T877">
        <v>3</v>
      </c>
      <c r="U877">
        <v>3</v>
      </c>
      <c r="V877" s="34">
        <v>43031.75</v>
      </c>
      <c r="W877">
        <v>1</v>
      </c>
      <c r="X877" s="15" t="str">
        <f>HYPERLINK("https://www.ejacket.nsf.gov/ej/showProposal.do?Continue=Y&amp;ID="&amp;RADataTable[[#This Row],[prop_id0]],"eJ")</f>
        <v>eJ</v>
      </c>
      <c r="Y877" s="15" t="str">
        <f>HYPERLINK("mailto:"&amp;RADataTable[[#This Row],[email]]&amp;"&amp;subject=Your NSF Proposal:  "&amp;RADataTable[[#This Row],[Div]]&amp;" "&amp;RADataTable[[#This Row],[prop_id0]], RADataTable[[#This Row],[email]])</f>
        <v>harsha@smu.edu</v>
      </c>
      <c r="Z877" s="15" t="str">
        <f>HYPERLINK("mailto:"&amp;RADataTable[[#This Row],[allPIemail]]&amp;"&amp;subject=NSF Proposal:  "&amp;RADataTable[[#This Row],[Div]]&amp;" "&amp;RADataTable[[#This Row],[prop_id0]], "PIs@")</f>
        <v>PIs@</v>
      </c>
      <c r="AA877" t="s">
        <v>245</v>
      </c>
      <c r="AB877" t="s">
        <v>690</v>
      </c>
      <c r="AC877" s="30" t="s">
        <v>896</v>
      </c>
      <c r="AD877" t="s">
        <v>897</v>
      </c>
      <c r="AE877" t="s">
        <v>898</v>
      </c>
      <c r="AF877" s="36">
        <v>175000</v>
      </c>
      <c r="AG877" s="36">
        <v>175000</v>
      </c>
      <c r="AH877" s="24"/>
      <c r="AJ877" s="34"/>
      <c r="AK877" t="s">
        <v>923</v>
      </c>
      <c r="AL877" t="s">
        <v>924</v>
      </c>
      <c r="AM877" s="34" t="s">
        <v>925</v>
      </c>
      <c r="AN877" s="34">
        <v>43032</v>
      </c>
      <c r="AO877" s="24">
        <v>5</v>
      </c>
      <c r="AP877" t="s">
        <v>987</v>
      </c>
      <c r="AR877" s="35"/>
      <c r="AS877"/>
      <c r="AT877" s="34"/>
      <c r="AV877" s="34"/>
      <c r="AX877" s="34"/>
      <c r="AY877"/>
      <c r="BA877" s="34"/>
      <c r="BB877"/>
      <c r="BC877" t="s">
        <v>901</v>
      </c>
      <c r="BD877" s="36">
        <v>175000</v>
      </c>
      <c r="BE877" s="36">
        <v>175000</v>
      </c>
      <c r="BF877">
        <v>0</v>
      </c>
      <c r="BG877" s="34">
        <v>43101</v>
      </c>
      <c r="BH877">
        <v>24</v>
      </c>
      <c r="BI877" t="s">
        <v>974</v>
      </c>
      <c r="BJ877" t="s">
        <v>975</v>
      </c>
      <c r="BK877" t="s">
        <v>234</v>
      </c>
      <c r="BL877" t="s">
        <v>194</v>
      </c>
      <c r="BM877" s="8" t="s">
        <v>192</v>
      </c>
      <c r="BN877" t="s">
        <v>189</v>
      </c>
      <c r="BO877" t="s">
        <v>190</v>
      </c>
      <c r="BP877" s="35" t="s">
        <v>656</v>
      </c>
      <c r="BQ877"/>
      <c r="BU877" s="35"/>
      <c r="BV877" s="35"/>
      <c r="BX877"/>
      <c r="CA877" s="35"/>
      <c r="CB877" s="35"/>
      <c r="CC877"/>
      <c r="CG877" s="35"/>
      <c r="CH877" s="35"/>
      <c r="CK877"/>
      <c r="CM877" s="35"/>
      <c r="CN877" s="35"/>
      <c r="CQ877"/>
      <c r="CS877" s="35"/>
      <c r="CT877" s="35"/>
      <c r="CX877"/>
      <c r="CZ877" s="35"/>
      <c r="DD877" s="34"/>
      <c r="DG877" t="s">
        <v>899</v>
      </c>
      <c r="DH877" t="s">
        <v>988</v>
      </c>
      <c r="DI877" t="s">
        <v>798</v>
      </c>
      <c r="DL877" t="s">
        <v>690</v>
      </c>
      <c r="DM877">
        <v>3</v>
      </c>
      <c r="DN877">
        <v>6</v>
      </c>
      <c r="DO877" t="s">
        <v>900</v>
      </c>
      <c r="DQ877" t="s">
        <v>927</v>
      </c>
      <c r="DR877">
        <v>14</v>
      </c>
      <c r="DS877">
        <v>0</v>
      </c>
      <c r="DU877">
        <v>14</v>
      </c>
      <c r="DV877">
        <v>0</v>
      </c>
      <c r="DX877">
        <v>14</v>
      </c>
      <c r="DY877">
        <v>0</v>
      </c>
      <c r="DZ877" t="s">
        <v>246</v>
      </c>
      <c r="EA877" t="s">
        <v>929</v>
      </c>
    </row>
    <row r="878" spans="1:131" x14ac:dyDescent="0.4">
      <c r="A878" s="34">
        <v>43067.305104166669</v>
      </c>
      <c r="B878" s="25">
        <v>42956.717361111114</v>
      </c>
      <c r="D878" s="34"/>
      <c r="E878" s="34" t="s">
        <v>193</v>
      </c>
      <c r="F878" s="34" t="s">
        <v>191</v>
      </c>
      <c r="G878" s="34" t="s">
        <v>100</v>
      </c>
      <c r="H878" t="s">
        <v>856</v>
      </c>
      <c r="I878" t="s">
        <v>243</v>
      </c>
      <c r="J878" t="s">
        <v>857</v>
      </c>
      <c r="K878" t="s">
        <v>713</v>
      </c>
      <c r="L878" t="s">
        <v>855</v>
      </c>
      <c r="M878" s="30">
        <v>4.05</v>
      </c>
      <c r="N878">
        <v>4.666666666666667</v>
      </c>
      <c r="P878" s="24" t="str">
        <f>IFERROR(MID(RADataTable[[#This Row],[RATemplate]],1,LEN(RADataTable[[#This Row],[RATemplate]])-8),"RA") &amp; " " &amp; RADataTable[[#This Row],[prop_id0]] &amp; " " &amp; RADataTable[[#This Row],[last0]]</f>
        <v>RA 1755978 Gangammanavar</v>
      </c>
      <c r="T878">
        <v>3</v>
      </c>
      <c r="U878">
        <v>3</v>
      </c>
      <c r="V878" s="34">
        <v>43031.75</v>
      </c>
      <c r="W878">
        <v>1</v>
      </c>
      <c r="X878" s="15" t="str">
        <f>HYPERLINK("https://www.ejacket.nsf.gov/ej/showProposal.do?Continue=Y&amp;ID="&amp;RADataTable[[#This Row],[prop_id0]],"eJ")</f>
        <v>eJ</v>
      </c>
      <c r="Y878" s="15" t="str">
        <f>HYPERLINK("mailto:"&amp;RADataTable[[#This Row],[email]]&amp;"&amp;subject=Your NSF Proposal:  "&amp;RADataTable[[#This Row],[Div]]&amp;" "&amp;RADataTable[[#This Row],[prop_id0]], RADataTable[[#This Row],[email]])</f>
        <v>harsha@smu.edu</v>
      </c>
      <c r="Z878" s="15" t="str">
        <f>HYPERLINK("mailto:"&amp;RADataTable[[#This Row],[allPIemail]]&amp;"&amp;subject=NSF Proposal:  "&amp;RADataTable[[#This Row],[Div]]&amp;" "&amp;RADataTable[[#This Row],[prop_id0]], "PIs@")</f>
        <v>PIs@</v>
      </c>
      <c r="AA878" t="s">
        <v>245</v>
      </c>
      <c r="AB878" t="s">
        <v>690</v>
      </c>
      <c r="AC878" s="30" t="s">
        <v>896</v>
      </c>
      <c r="AD878" t="s">
        <v>897</v>
      </c>
      <c r="AE878" t="s">
        <v>898</v>
      </c>
      <c r="AF878" s="36">
        <v>175000</v>
      </c>
      <c r="AG878" s="36">
        <v>175000</v>
      </c>
      <c r="AH878" s="24"/>
      <c r="AJ878" s="34"/>
      <c r="AK878" t="s">
        <v>923</v>
      </c>
      <c r="AL878" t="s">
        <v>924</v>
      </c>
      <c r="AM878" s="34" t="s">
        <v>925</v>
      </c>
      <c r="AN878" s="34">
        <v>43032</v>
      </c>
      <c r="AO878" s="24">
        <v>5</v>
      </c>
      <c r="AP878" t="s">
        <v>987</v>
      </c>
      <c r="AR878" s="35"/>
      <c r="AS878"/>
      <c r="AT878" s="34"/>
      <c r="AV878" s="34"/>
      <c r="AX878" s="34"/>
      <c r="AY878"/>
      <c r="BA878" s="34"/>
      <c r="BB878"/>
      <c r="BC878" t="s">
        <v>901</v>
      </c>
      <c r="BD878" s="36">
        <v>175000</v>
      </c>
      <c r="BE878" s="36">
        <v>175000</v>
      </c>
      <c r="BF878">
        <v>0</v>
      </c>
      <c r="BG878" s="34">
        <v>43101</v>
      </c>
      <c r="BH878">
        <v>24</v>
      </c>
      <c r="BI878" t="s">
        <v>974</v>
      </c>
      <c r="BJ878" t="s">
        <v>975</v>
      </c>
      <c r="BK878" t="s">
        <v>234</v>
      </c>
      <c r="BL878" t="s">
        <v>194</v>
      </c>
      <c r="BM878" s="8" t="s">
        <v>192</v>
      </c>
      <c r="BN878" t="s">
        <v>189</v>
      </c>
      <c r="BO878" t="s">
        <v>190</v>
      </c>
      <c r="BP878" s="35" t="s">
        <v>656</v>
      </c>
      <c r="BQ878"/>
      <c r="BU878" s="35"/>
      <c r="BV878" s="35"/>
      <c r="BX878"/>
      <c r="CA878" s="35"/>
      <c r="CB878" s="35"/>
      <c r="CC878"/>
      <c r="CG878" s="35"/>
      <c r="CH878" s="35"/>
      <c r="CK878"/>
      <c r="CM878" s="35"/>
      <c r="CN878" s="35"/>
      <c r="CQ878"/>
      <c r="CS878" s="35"/>
      <c r="CT878" s="35"/>
      <c r="CX878"/>
      <c r="CZ878" s="35"/>
      <c r="DD878" s="34"/>
      <c r="DG878" t="s">
        <v>899</v>
      </c>
      <c r="DH878" t="s">
        <v>988</v>
      </c>
      <c r="DI878" t="s">
        <v>798</v>
      </c>
      <c r="DL878" t="s">
        <v>690</v>
      </c>
      <c r="DM878">
        <v>3</v>
      </c>
      <c r="DN878">
        <v>6</v>
      </c>
      <c r="DO878" t="s">
        <v>900</v>
      </c>
      <c r="DQ878" t="s">
        <v>927</v>
      </c>
      <c r="DR878">
        <v>14</v>
      </c>
      <c r="DS878">
        <v>0</v>
      </c>
      <c r="DU878">
        <v>14</v>
      </c>
      <c r="DV878">
        <v>0</v>
      </c>
      <c r="DX878">
        <v>14</v>
      </c>
      <c r="DY878">
        <v>0</v>
      </c>
      <c r="DZ878" t="s">
        <v>246</v>
      </c>
      <c r="EA878" t="s">
        <v>929</v>
      </c>
    </row>
    <row r="879" spans="1:131" x14ac:dyDescent="0.4">
      <c r="A879" s="34">
        <v>43067.305104166669</v>
      </c>
      <c r="B879" s="25">
        <v>42956.717361111114</v>
      </c>
      <c r="D879" s="34"/>
      <c r="E879" s="34" t="s">
        <v>193</v>
      </c>
      <c r="F879" s="34" t="s">
        <v>191</v>
      </c>
      <c r="G879" s="34" t="s">
        <v>100</v>
      </c>
      <c r="H879" t="s">
        <v>856</v>
      </c>
      <c r="I879" t="s">
        <v>243</v>
      </c>
      <c r="J879" t="s">
        <v>857</v>
      </c>
      <c r="K879" t="s">
        <v>713</v>
      </c>
      <c r="L879" t="s">
        <v>855</v>
      </c>
      <c r="M879" s="30">
        <v>4.05</v>
      </c>
      <c r="N879">
        <v>4.666666666666667</v>
      </c>
      <c r="P879" s="24" t="str">
        <f>IFERROR(MID(RADataTable[[#This Row],[RATemplate]],1,LEN(RADataTable[[#This Row],[RATemplate]])-8),"RA") &amp; " " &amp; RADataTable[[#This Row],[prop_id0]] &amp; " " &amp; RADataTable[[#This Row],[last0]]</f>
        <v>RA 1755978 Gangammanavar</v>
      </c>
      <c r="T879">
        <v>3</v>
      </c>
      <c r="U879">
        <v>3</v>
      </c>
      <c r="V879" s="34">
        <v>43031.75</v>
      </c>
      <c r="W879">
        <v>1</v>
      </c>
      <c r="X879" s="15" t="str">
        <f>HYPERLINK("https://www.ejacket.nsf.gov/ej/showProposal.do?Continue=Y&amp;ID="&amp;RADataTable[[#This Row],[prop_id0]],"eJ")</f>
        <v>eJ</v>
      </c>
      <c r="Y879" s="15" t="str">
        <f>HYPERLINK("mailto:"&amp;RADataTable[[#This Row],[email]]&amp;"&amp;subject=Your NSF Proposal:  "&amp;RADataTable[[#This Row],[Div]]&amp;" "&amp;RADataTable[[#This Row],[prop_id0]], RADataTable[[#This Row],[email]])</f>
        <v>harsha@smu.edu</v>
      </c>
      <c r="Z879" s="15" t="str">
        <f>HYPERLINK("mailto:"&amp;RADataTable[[#This Row],[allPIemail]]&amp;"&amp;subject=NSF Proposal:  "&amp;RADataTable[[#This Row],[Div]]&amp;" "&amp;RADataTable[[#This Row],[prop_id0]], "PIs@")</f>
        <v>PIs@</v>
      </c>
      <c r="AA879" t="s">
        <v>245</v>
      </c>
      <c r="AB879" t="s">
        <v>690</v>
      </c>
      <c r="AC879" s="30" t="s">
        <v>896</v>
      </c>
      <c r="AD879" t="s">
        <v>897</v>
      </c>
      <c r="AE879" t="s">
        <v>898</v>
      </c>
      <c r="AF879" s="36">
        <v>175000</v>
      </c>
      <c r="AG879" s="36">
        <v>175000</v>
      </c>
      <c r="AH879" s="24"/>
      <c r="AJ879" s="34"/>
      <c r="AK879" t="s">
        <v>923</v>
      </c>
      <c r="AL879" t="s">
        <v>924</v>
      </c>
      <c r="AM879" s="34" t="s">
        <v>925</v>
      </c>
      <c r="AN879" s="34">
        <v>43032</v>
      </c>
      <c r="AO879" s="24">
        <v>5</v>
      </c>
      <c r="AP879" t="s">
        <v>987</v>
      </c>
      <c r="AR879" s="35"/>
      <c r="AS879"/>
      <c r="AT879" s="34"/>
      <c r="AV879" s="34"/>
      <c r="AX879" s="34"/>
      <c r="AY879"/>
      <c r="BA879" s="34"/>
      <c r="BB879"/>
      <c r="BC879" t="s">
        <v>901</v>
      </c>
      <c r="BD879" s="36">
        <v>175000</v>
      </c>
      <c r="BE879" s="36">
        <v>175000</v>
      </c>
      <c r="BF879">
        <v>0</v>
      </c>
      <c r="BG879" s="34">
        <v>43101</v>
      </c>
      <c r="BH879">
        <v>24</v>
      </c>
      <c r="BI879" t="s">
        <v>974</v>
      </c>
      <c r="BJ879" t="s">
        <v>975</v>
      </c>
      <c r="BK879" t="s">
        <v>234</v>
      </c>
      <c r="BL879" t="s">
        <v>194</v>
      </c>
      <c r="BM879" s="8" t="s">
        <v>192</v>
      </c>
      <c r="BN879" t="s">
        <v>189</v>
      </c>
      <c r="BO879" t="s">
        <v>190</v>
      </c>
      <c r="BP879" s="35" t="s">
        <v>656</v>
      </c>
      <c r="BQ879"/>
      <c r="BU879" s="35"/>
      <c r="BV879" s="35"/>
      <c r="BX879"/>
      <c r="CA879" s="35"/>
      <c r="CB879" s="35"/>
      <c r="CC879"/>
      <c r="CG879" s="35"/>
      <c r="CH879" s="35"/>
      <c r="CK879"/>
      <c r="CM879" s="35"/>
      <c r="CN879" s="35"/>
      <c r="CQ879"/>
      <c r="CS879" s="35"/>
      <c r="CT879" s="35"/>
      <c r="CX879"/>
      <c r="CZ879" s="35"/>
      <c r="DD879" s="34"/>
      <c r="DG879" t="s">
        <v>899</v>
      </c>
      <c r="DH879" t="s">
        <v>988</v>
      </c>
      <c r="DI879" t="s">
        <v>798</v>
      </c>
      <c r="DL879" t="s">
        <v>690</v>
      </c>
      <c r="DM879">
        <v>3</v>
      </c>
      <c r="DN879">
        <v>6</v>
      </c>
      <c r="DO879" t="s">
        <v>900</v>
      </c>
      <c r="DQ879" t="s">
        <v>927</v>
      </c>
      <c r="DR879">
        <v>14</v>
      </c>
      <c r="DS879">
        <v>0</v>
      </c>
      <c r="DU879">
        <v>14</v>
      </c>
      <c r="DV879">
        <v>0</v>
      </c>
      <c r="DX879">
        <v>14</v>
      </c>
      <c r="DY879">
        <v>0</v>
      </c>
      <c r="DZ879" t="s">
        <v>246</v>
      </c>
      <c r="EA879" t="s">
        <v>929</v>
      </c>
    </row>
    <row r="880" spans="1:131" x14ac:dyDescent="0.4">
      <c r="A880" s="34">
        <v>43067.305104166669</v>
      </c>
      <c r="B880" s="25">
        <v>42956.717361111114</v>
      </c>
      <c r="D880" s="34"/>
      <c r="E880" s="34" t="s">
        <v>193</v>
      </c>
      <c r="F880" s="34" t="s">
        <v>191</v>
      </c>
      <c r="G880" s="34" t="s">
        <v>100</v>
      </c>
      <c r="H880" t="s">
        <v>856</v>
      </c>
      <c r="I880" t="s">
        <v>243</v>
      </c>
      <c r="J880" t="s">
        <v>857</v>
      </c>
      <c r="K880" t="s">
        <v>713</v>
      </c>
      <c r="L880" t="s">
        <v>855</v>
      </c>
      <c r="M880" s="30">
        <v>4.05</v>
      </c>
      <c r="N880">
        <v>4.666666666666667</v>
      </c>
      <c r="P880" s="24" t="str">
        <f>IFERROR(MID(RADataTable[[#This Row],[RATemplate]],1,LEN(RADataTable[[#This Row],[RATemplate]])-8),"RA") &amp; " " &amp; RADataTable[[#This Row],[prop_id0]] &amp; " " &amp; RADataTable[[#This Row],[last0]]</f>
        <v>RA 1755978 Gangammanavar</v>
      </c>
      <c r="T880">
        <v>3</v>
      </c>
      <c r="U880">
        <v>3</v>
      </c>
      <c r="V880" s="34">
        <v>43031.75</v>
      </c>
      <c r="W880">
        <v>1</v>
      </c>
      <c r="X880" s="15" t="str">
        <f>HYPERLINK("https://www.ejacket.nsf.gov/ej/showProposal.do?Continue=Y&amp;ID="&amp;RADataTable[[#This Row],[prop_id0]],"eJ")</f>
        <v>eJ</v>
      </c>
      <c r="Y880" s="15" t="str">
        <f>HYPERLINK("mailto:"&amp;RADataTable[[#This Row],[email]]&amp;"&amp;subject=Your NSF Proposal:  "&amp;RADataTable[[#This Row],[Div]]&amp;" "&amp;RADataTable[[#This Row],[prop_id0]], RADataTable[[#This Row],[email]])</f>
        <v>harsha@smu.edu</v>
      </c>
      <c r="Z880" s="15" t="str">
        <f>HYPERLINK("mailto:"&amp;RADataTable[[#This Row],[allPIemail]]&amp;"&amp;subject=NSF Proposal:  "&amp;RADataTable[[#This Row],[Div]]&amp;" "&amp;RADataTable[[#This Row],[prop_id0]], "PIs@")</f>
        <v>PIs@</v>
      </c>
      <c r="AA880" t="s">
        <v>245</v>
      </c>
      <c r="AB880" t="s">
        <v>690</v>
      </c>
      <c r="AC880" s="30" t="s">
        <v>896</v>
      </c>
      <c r="AD880" t="s">
        <v>897</v>
      </c>
      <c r="AE880" t="s">
        <v>898</v>
      </c>
      <c r="AF880" s="36">
        <v>175000</v>
      </c>
      <c r="AG880" s="36">
        <v>175000</v>
      </c>
      <c r="AH880" s="24"/>
      <c r="AJ880" s="34"/>
      <c r="AK880" t="s">
        <v>923</v>
      </c>
      <c r="AL880" t="s">
        <v>924</v>
      </c>
      <c r="AM880" s="34" t="s">
        <v>925</v>
      </c>
      <c r="AN880" s="34">
        <v>43032</v>
      </c>
      <c r="AO880" s="24">
        <v>5</v>
      </c>
      <c r="AP880" t="s">
        <v>987</v>
      </c>
      <c r="AR880" s="35"/>
      <c r="AS880"/>
      <c r="AT880" s="34"/>
      <c r="AV880" s="34"/>
      <c r="AX880" s="34"/>
      <c r="AY880"/>
      <c r="BA880" s="34"/>
      <c r="BB880"/>
      <c r="BC880" t="s">
        <v>901</v>
      </c>
      <c r="BD880" s="36">
        <v>175000</v>
      </c>
      <c r="BE880" s="36">
        <v>175000</v>
      </c>
      <c r="BF880">
        <v>0</v>
      </c>
      <c r="BG880" s="34">
        <v>43101</v>
      </c>
      <c r="BH880">
        <v>24</v>
      </c>
      <c r="BI880" t="s">
        <v>974</v>
      </c>
      <c r="BJ880" t="s">
        <v>975</v>
      </c>
      <c r="BK880" t="s">
        <v>234</v>
      </c>
      <c r="BL880" t="s">
        <v>194</v>
      </c>
      <c r="BM880" s="8" t="s">
        <v>192</v>
      </c>
      <c r="BN880" t="s">
        <v>189</v>
      </c>
      <c r="BO880" t="s">
        <v>190</v>
      </c>
      <c r="BP880" s="35" t="s">
        <v>656</v>
      </c>
      <c r="BQ880"/>
      <c r="BU880" s="35"/>
      <c r="BV880" s="35"/>
      <c r="BX880"/>
      <c r="CA880" s="35"/>
      <c r="CB880" s="35"/>
      <c r="CC880"/>
      <c r="CG880" s="35"/>
      <c r="CH880" s="35"/>
      <c r="CK880"/>
      <c r="CM880" s="35"/>
      <c r="CN880" s="35"/>
      <c r="CQ880"/>
      <c r="CS880" s="35"/>
      <c r="CT880" s="35"/>
      <c r="CX880"/>
      <c r="CZ880" s="35"/>
      <c r="DD880" s="34"/>
      <c r="DG880" t="s">
        <v>899</v>
      </c>
      <c r="DH880" t="s">
        <v>988</v>
      </c>
      <c r="DI880" t="s">
        <v>798</v>
      </c>
      <c r="DL880" t="s">
        <v>690</v>
      </c>
      <c r="DM880">
        <v>3</v>
      </c>
      <c r="DN880">
        <v>6</v>
      </c>
      <c r="DO880" t="s">
        <v>900</v>
      </c>
      <c r="DQ880" t="s">
        <v>927</v>
      </c>
      <c r="DR880">
        <v>14</v>
      </c>
      <c r="DS880">
        <v>0</v>
      </c>
      <c r="DU880">
        <v>14</v>
      </c>
      <c r="DV880">
        <v>0</v>
      </c>
      <c r="DX880">
        <v>14</v>
      </c>
      <c r="DY880">
        <v>0</v>
      </c>
      <c r="DZ880" t="s">
        <v>246</v>
      </c>
      <c r="EA880" t="s">
        <v>929</v>
      </c>
    </row>
    <row r="881" spans="1:131" x14ac:dyDescent="0.4">
      <c r="A881" s="34">
        <v>43067.305104166669</v>
      </c>
      <c r="B881" s="25">
        <v>42956.717361111114</v>
      </c>
      <c r="D881" s="34"/>
      <c r="E881" s="34" t="s">
        <v>193</v>
      </c>
      <c r="F881" s="34" t="s">
        <v>191</v>
      </c>
      <c r="G881" s="34" t="s">
        <v>100</v>
      </c>
      <c r="H881" t="s">
        <v>856</v>
      </c>
      <c r="I881" t="s">
        <v>243</v>
      </c>
      <c r="J881" t="s">
        <v>857</v>
      </c>
      <c r="K881" t="s">
        <v>713</v>
      </c>
      <c r="L881" t="s">
        <v>855</v>
      </c>
      <c r="M881" s="30">
        <v>4.05</v>
      </c>
      <c r="N881">
        <v>4.666666666666667</v>
      </c>
      <c r="P881" s="24" t="str">
        <f>IFERROR(MID(RADataTable[[#This Row],[RATemplate]],1,LEN(RADataTable[[#This Row],[RATemplate]])-8),"RA") &amp; " " &amp; RADataTable[[#This Row],[prop_id0]] &amp; " " &amp; RADataTable[[#This Row],[last0]]</f>
        <v>RA 1755978 Gangammanavar</v>
      </c>
      <c r="T881">
        <v>3</v>
      </c>
      <c r="U881">
        <v>3</v>
      </c>
      <c r="V881" s="34">
        <v>43031.75</v>
      </c>
      <c r="W881">
        <v>1</v>
      </c>
      <c r="X881" s="15" t="str">
        <f>HYPERLINK("https://www.ejacket.nsf.gov/ej/showProposal.do?Continue=Y&amp;ID="&amp;RADataTable[[#This Row],[prop_id0]],"eJ")</f>
        <v>eJ</v>
      </c>
      <c r="Y881" s="15" t="str">
        <f>HYPERLINK("mailto:"&amp;RADataTable[[#This Row],[email]]&amp;"&amp;subject=Your NSF Proposal:  "&amp;RADataTable[[#This Row],[Div]]&amp;" "&amp;RADataTable[[#This Row],[prop_id0]], RADataTable[[#This Row],[email]])</f>
        <v>harsha@smu.edu</v>
      </c>
      <c r="Z881" s="15" t="str">
        <f>HYPERLINK("mailto:"&amp;RADataTable[[#This Row],[allPIemail]]&amp;"&amp;subject=NSF Proposal:  "&amp;RADataTable[[#This Row],[Div]]&amp;" "&amp;RADataTable[[#This Row],[prop_id0]], "PIs@")</f>
        <v>PIs@</v>
      </c>
      <c r="AA881" t="s">
        <v>245</v>
      </c>
      <c r="AB881" t="s">
        <v>690</v>
      </c>
      <c r="AC881" s="30" t="s">
        <v>896</v>
      </c>
      <c r="AD881" t="s">
        <v>897</v>
      </c>
      <c r="AE881" t="s">
        <v>898</v>
      </c>
      <c r="AF881" s="36">
        <v>175000</v>
      </c>
      <c r="AG881" s="36">
        <v>175000</v>
      </c>
      <c r="AH881" s="24"/>
      <c r="AJ881" s="34"/>
      <c r="AK881" t="s">
        <v>923</v>
      </c>
      <c r="AL881" t="s">
        <v>924</v>
      </c>
      <c r="AM881" s="34" t="s">
        <v>925</v>
      </c>
      <c r="AN881" s="34">
        <v>43032</v>
      </c>
      <c r="AO881" s="24">
        <v>5</v>
      </c>
      <c r="AP881" t="s">
        <v>987</v>
      </c>
      <c r="AR881" s="35"/>
      <c r="AS881"/>
      <c r="AT881" s="34"/>
      <c r="AV881" s="34"/>
      <c r="AX881" s="34"/>
      <c r="AY881"/>
      <c r="BA881" s="34"/>
      <c r="BB881"/>
      <c r="BC881" t="s">
        <v>901</v>
      </c>
      <c r="BD881" s="36">
        <v>175000</v>
      </c>
      <c r="BE881" s="36">
        <v>175000</v>
      </c>
      <c r="BF881">
        <v>0</v>
      </c>
      <c r="BG881" s="34">
        <v>43101</v>
      </c>
      <c r="BH881">
        <v>24</v>
      </c>
      <c r="BI881" t="s">
        <v>974</v>
      </c>
      <c r="BJ881" t="s">
        <v>975</v>
      </c>
      <c r="BK881" t="s">
        <v>234</v>
      </c>
      <c r="BL881" t="s">
        <v>194</v>
      </c>
      <c r="BM881" s="8" t="s">
        <v>192</v>
      </c>
      <c r="BN881" t="s">
        <v>189</v>
      </c>
      <c r="BO881" t="s">
        <v>190</v>
      </c>
      <c r="BP881" s="35" t="s">
        <v>656</v>
      </c>
      <c r="BQ881"/>
      <c r="BU881" s="35"/>
      <c r="BV881" s="35"/>
      <c r="BX881"/>
      <c r="CA881" s="35"/>
      <c r="CB881" s="35"/>
      <c r="CC881"/>
      <c r="CG881" s="35"/>
      <c r="CH881" s="35"/>
      <c r="CK881"/>
      <c r="CM881" s="35"/>
      <c r="CN881" s="35"/>
      <c r="CQ881"/>
      <c r="CS881" s="35"/>
      <c r="CT881" s="35"/>
      <c r="CX881"/>
      <c r="CZ881" s="35"/>
      <c r="DD881" s="34"/>
      <c r="DG881" t="s">
        <v>899</v>
      </c>
      <c r="DH881" t="s">
        <v>988</v>
      </c>
      <c r="DI881" t="s">
        <v>798</v>
      </c>
      <c r="DL881" t="s">
        <v>690</v>
      </c>
      <c r="DM881">
        <v>3</v>
      </c>
      <c r="DN881">
        <v>6</v>
      </c>
      <c r="DO881" t="s">
        <v>900</v>
      </c>
      <c r="DQ881" t="s">
        <v>927</v>
      </c>
      <c r="DR881">
        <v>14</v>
      </c>
      <c r="DS881">
        <v>0</v>
      </c>
      <c r="DU881">
        <v>14</v>
      </c>
      <c r="DV881">
        <v>0</v>
      </c>
      <c r="DX881">
        <v>14</v>
      </c>
      <c r="DY881">
        <v>0</v>
      </c>
      <c r="DZ881" t="s">
        <v>246</v>
      </c>
      <c r="EA881" t="s">
        <v>929</v>
      </c>
    </row>
    <row r="882" spans="1:131" x14ac:dyDescent="0.4">
      <c r="A882" s="34">
        <v>43067.305104166669</v>
      </c>
      <c r="B882" s="25">
        <v>42956.717361111114</v>
      </c>
      <c r="D882" s="34"/>
      <c r="E882" s="34" t="s">
        <v>193</v>
      </c>
      <c r="F882" s="34" t="s">
        <v>191</v>
      </c>
      <c r="G882" s="34" t="s">
        <v>100</v>
      </c>
      <c r="H882" t="s">
        <v>856</v>
      </c>
      <c r="I882" t="s">
        <v>243</v>
      </c>
      <c r="J882" t="s">
        <v>857</v>
      </c>
      <c r="K882" t="s">
        <v>713</v>
      </c>
      <c r="L882" t="s">
        <v>855</v>
      </c>
      <c r="M882" s="30">
        <v>4.05</v>
      </c>
      <c r="N882">
        <v>4.666666666666667</v>
      </c>
      <c r="P882" s="24" t="str">
        <f>IFERROR(MID(RADataTable[[#This Row],[RATemplate]],1,LEN(RADataTable[[#This Row],[RATemplate]])-8),"RA") &amp; " " &amp; RADataTable[[#This Row],[prop_id0]] &amp; " " &amp; RADataTable[[#This Row],[last0]]</f>
        <v>RA 1755978 Gangammanavar</v>
      </c>
      <c r="T882">
        <v>3</v>
      </c>
      <c r="U882">
        <v>3</v>
      </c>
      <c r="V882" s="34">
        <v>43031.75</v>
      </c>
      <c r="W882">
        <v>1</v>
      </c>
      <c r="X882" s="15" t="str">
        <f>HYPERLINK("https://www.ejacket.nsf.gov/ej/showProposal.do?Continue=Y&amp;ID="&amp;RADataTable[[#This Row],[prop_id0]],"eJ")</f>
        <v>eJ</v>
      </c>
      <c r="Y882" s="15" t="str">
        <f>HYPERLINK("mailto:"&amp;RADataTable[[#This Row],[email]]&amp;"&amp;subject=Your NSF Proposal:  "&amp;RADataTable[[#This Row],[Div]]&amp;" "&amp;RADataTable[[#This Row],[prop_id0]], RADataTable[[#This Row],[email]])</f>
        <v>harsha@smu.edu</v>
      </c>
      <c r="Z882" s="15" t="str">
        <f>HYPERLINK("mailto:"&amp;RADataTable[[#This Row],[allPIemail]]&amp;"&amp;subject=NSF Proposal:  "&amp;RADataTable[[#This Row],[Div]]&amp;" "&amp;RADataTable[[#This Row],[prop_id0]], "PIs@")</f>
        <v>PIs@</v>
      </c>
      <c r="AA882" t="s">
        <v>245</v>
      </c>
      <c r="AB882" t="s">
        <v>690</v>
      </c>
      <c r="AC882" s="30" t="s">
        <v>896</v>
      </c>
      <c r="AD882" t="s">
        <v>897</v>
      </c>
      <c r="AE882" t="s">
        <v>898</v>
      </c>
      <c r="AF882" s="36">
        <v>175000</v>
      </c>
      <c r="AG882" s="36">
        <v>175000</v>
      </c>
      <c r="AH882" s="24"/>
      <c r="AJ882" s="34"/>
      <c r="AK882" t="s">
        <v>923</v>
      </c>
      <c r="AL882" t="s">
        <v>924</v>
      </c>
      <c r="AM882" s="34" t="s">
        <v>925</v>
      </c>
      <c r="AN882" s="34">
        <v>43032</v>
      </c>
      <c r="AO882" s="24">
        <v>5</v>
      </c>
      <c r="AP882" t="s">
        <v>987</v>
      </c>
      <c r="AR882" s="35"/>
      <c r="AS882"/>
      <c r="AT882" s="34"/>
      <c r="AV882" s="34"/>
      <c r="AX882" s="34"/>
      <c r="AY882"/>
      <c r="BA882" s="34"/>
      <c r="BB882"/>
      <c r="BC882" t="s">
        <v>901</v>
      </c>
      <c r="BD882" s="36">
        <v>175000</v>
      </c>
      <c r="BE882" s="36">
        <v>175000</v>
      </c>
      <c r="BF882">
        <v>0</v>
      </c>
      <c r="BG882" s="34">
        <v>43101</v>
      </c>
      <c r="BH882">
        <v>24</v>
      </c>
      <c r="BI882" t="s">
        <v>974</v>
      </c>
      <c r="BJ882" t="s">
        <v>975</v>
      </c>
      <c r="BK882" t="s">
        <v>234</v>
      </c>
      <c r="BL882" t="s">
        <v>194</v>
      </c>
      <c r="BM882" s="8" t="s">
        <v>192</v>
      </c>
      <c r="BN882" t="s">
        <v>189</v>
      </c>
      <c r="BO882" t="s">
        <v>190</v>
      </c>
      <c r="BP882" s="35" t="s">
        <v>656</v>
      </c>
      <c r="BQ882"/>
      <c r="BU882" s="35"/>
      <c r="BV882" s="35"/>
      <c r="BX882"/>
      <c r="CA882" s="35"/>
      <c r="CB882" s="35"/>
      <c r="CC882"/>
      <c r="CG882" s="35"/>
      <c r="CH882" s="35"/>
      <c r="CK882"/>
      <c r="CM882" s="35"/>
      <c r="CN882" s="35"/>
      <c r="CQ882"/>
      <c r="CS882" s="35"/>
      <c r="CT882" s="35"/>
      <c r="CX882"/>
      <c r="CZ882" s="35"/>
      <c r="DD882" s="34"/>
      <c r="DG882" t="s">
        <v>899</v>
      </c>
      <c r="DH882" t="s">
        <v>988</v>
      </c>
      <c r="DI882" t="s">
        <v>798</v>
      </c>
      <c r="DL882" t="s">
        <v>690</v>
      </c>
      <c r="DM882">
        <v>3</v>
      </c>
      <c r="DN882">
        <v>6</v>
      </c>
      <c r="DO882" t="s">
        <v>900</v>
      </c>
      <c r="DQ882" t="s">
        <v>927</v>
      </c>
      <c r="DR882">
        <v>14</v>
      </c>
      <c r="DS882">
        <v>0</v>
      </c>
      <c r="DU882">
        <v>14</v>
      </c>
      <c r="DV882">
        <v>0</v>
      </c>
      <c r="DX882">
        <v>14</v>
      </c>
      <c r="DY882">
        <v>0</v>
      </c>
      <c r="DZ882" t="s">
        <v>246</v>
      </c>
      <c r="EA882" t="s">
        <v>929</v>
      </c>
    </row>
    <row r="883" spans="1:131" x14ac:dyDescent="0.4">
      <c r="A883" s="34">
        <v>43067.305104166669</v>
      </c>
      <c r="B883" s="25">
        <v>42956.717361111114</v>
      </c>
      <c r="D883" s="34"/>
      <c r="E883" s="34" t="s">
        <v>193</v>
      </c>
      <c r="F883" s="34" t="s">
        <v>191</v>
      </c>
      <c r="G883" s="34" t="s">
        <v>100</v>
      </c>
      <c r="H883" t="s">
        <v>856</v>
      </c>
      <c r="I883" t="s">
        <v>243</v>
      </c>
      <c r="J883" t="s">
        <v>857</v>
      </c>
      <c r="K883" t="s">
        <v>713</v>
      </c>
      <c r="L883" t="s">
        <v>855</v>
      </c>
      <c r="M883" s="30">
        <v>4.05</v>
      </c>
      <c r="N883">
        <v>4.666666666666667</v>
      </c>
      <c r="P883" s="24" t="str">
        <f>IFERROR(MID(RADataTable[[#This Row],[RATemplate]],1,LEN(RADataTable[[#This Row],[RATemplate]])-8),"RA") &amp; " " &amp; RADataTable[[#This Row],[prop_id0]] &amp; " " &amp; RADataTable[[#This Row],[last0]]</f>
        <v>RA 1755978 Gangammanavar</v>
      </c>
      <c r="T883">
        <v>3</v>
      </c>
      <c r="U883">
        <v>3</v>
      </c>
      <c r="V883" s="34">
        <v>43031.75</v>
      </c>
      <c r="W883">
        <v>1</v>
      </c>
      <c r="X883" s="15" t="str">
        <f>HYPERLINK("https://www.ejacket.nsf.gov/ej/showProposal.do?Continue=Y&amp;ID="&amp;RADataTable[[#This Row],[prop_id0]],"eJ")</f>
        <v>eJ</v>
      </c>
      <c r="Y883" s="15" t="str">
        <f>HYPERLINK("mailto:"&amp;RADataTable[[#This Row],[email]]&amp;"&amp;subject=Your NSF Proposal:  "&amp;RADataTable[[#This Row],[Div]]&amp;" "&amp;RADataTable[[#This Row],[prop_id0]], RADataTable[[#This Row],[email]])</f>
        <v>harsha@smu.edu</v>
      </c>
      <c r="Z883" s="15" t="str">
        <f>HYPERLINK("mailto:"&amp;RADataTable[[#This Row],[allPIemail]]&amp;"&amp;subject=NSF Proposal:  "&amp;RADataTable[[#This Row],[Div]]&amp;" "&amp;RADataTable[[#This Row],[prop_id0]], "PIs@")</f>
        <v>PIs@</v>
      </c>
      <c r="AA883" t="s">
        <v>245</v>
      </c>
      <c r="AB883" t="s">
        <v>690</v>
      </c>
      <c r="AC883" s="30" t="s">
        <v>896</v>
      </c>
      <c r="AD883" t="s">
        <v>897</v>
      </c>
      <c r="AE883" t="s">
        <v>898</v>
      </c>
      <c r="AF883" s="36">
        <v>175000</v>
      </c>
      <c r="AG883" s="36">
        <v>175000</v>
      </c>
      <c r="AH883" s="24"/>
      <c r="AJ883" s="34"/>
      <c r="AK883" t="s">
        <v>923</v>
      </c>
      <c r="AL883" t="s">
        <v>924</v>
      </c>
      <c r="AM883" s="34" t="s">
        <v>925</v>
      </c>
      <c r="AN883" s="34">
        <v>43032</v>
      </c>
      <c r="AO883" s="24">
        <v>5</v>
      </c>
      <c r="AP883" t="s">
        <v>987</v>
      </c>
      <c r="AR883" s="35"/>
      <c r="AS883"/>
      <c r="AT883" s="34"/>
      <c r="AV883" s="34"/>
      <c r="AX883" s="34"/>
      <c r="AY883"/>
      <c r="BA883" s="34"/>
      <c r="BB883"/>
      <c r="BC883" t="s">
        <v>901</v>
      </c>
      <c r="BD883" s="36">
        <v>175000</v>
      </c>
      <c r="BE883" s="36">
        <v>175000</v>
      </c>
      <c r="BF883">
        <v>0</v>
      </c>
      <c r="BG883" s="34">
        <v>43101</v>
      </c>
      <c r="BH883">
        <v>24</v>
      </c>
      <c r="BI883" t="s">
        <v>974</v>
      </c>
      <c r="BJ883" t="s">
        <v>975</v>
      </c>
      <c r="BK883" t="s">
        <v>234</v>
      </c>
      <c r="BL883" t="s">
        <v>194</v>
      </c>
      <c r="BM883" s="8" t="s">
        <v>192</v>
      </c>
      <c r="BN883" t="s">
        <v>189</v>
      </c>
      <c r="BO883" t="s">
        <v>190</v>
      </c>
      <c r="BP883" s="35" t="s">
        <v>656</v>
      </c>
      <c r="BQ883"/>
      <c r="BU883" s="35"/>
      <c r="BV883" s="35"/>
      <c r="BX883"/>
      <c r="CA883" s="35"/>
      <c r="CB883" s="35"/>
      <c r="CC883"/>
      <c r="CG883" s="35"/>
      <c r="CH883" s="35"/>
      <c r="CK883"/>
      <c r="CM883" s="35"/>
      <c r="CN883" s="35"/>
      <c r="CQ883"/>
      <c r="CS883" s="35"/>
      <c r="CT883" s="35"/>
      <c r="CX883"/>
      <c r="CZ883" s="35"/>
      <c r="DD883" s="34"/>
      <c r="DG883" t="s">
        <v>899</v>
      </c>
      <c r="DH883" t="s">
        <v>988</v>
      </c>
      <c r="DI883" t="s">
        <v>798</v>
      </c>
      <c r="DL883" t="s">
        <v>690</v>
      </c>
      <c r="DM883">
        <v>3</v>
      </c>
      <c r="DN883">
        <v>6</v>
      </c>
      <c r="DO883" t="s">
        <v>900</v>
      </c>
      <c r="DQ883" t="s">
        <v>927</v>
      </c>
      <c r="DR883">
        <v>14</v>
      </c>
      <c r="DS883">
        <v>0</v>
      </c>
      <c r="DU883">
        <v>14</v>
      </c>
      <c r="DV883">
        <v>0</v>
      </c>
      <c r="DX883">
        <v>14</v>
      </c>
      <c r="DY883">
        <v>0</v>
      </c>
      <c r="DZ883" t="s">
        <v>246</v>
      </c>
      <c r="EA883" t="s">
        <v>929</v>
      </c>
    </row>
    <row r="884" spans="1:131" x14ac:dyDescent="0.4">
      <c r="A884" s="34">
        <v>43067.305104166669</v>
      </c>
      <c r="B884" s="25">
        <v>42956.717361111114</v>
      </c>
      <c r="D884" s="34"/>
      <c r="E884" s="34" t="s">
        <v>193</v>
      </c>
      <c r="F884" s="34" t="s">
        <v>191</v>
      </c>
      <c r="G884" s="34" t="s">
        <v>100</v>
      </c>
      <c r="H884" t="s">
        <v>856</v>
      </c>
      <c r="I884" t="s">
        <v>243</v>
      </c>
      <c r="J884" t="s">
        <v>857</v>
      </c>
      <c r="K884" t="s">
        <v>713</v>
      </c>
      <c r="L884" t="s">
        <v>855</v>
      </c>
      <c r="M884" s="30">
        <v>4.05</v>
      </c>
      <c r="N884">
        <v>4.666666666666667</v>
      </c>
      <c r="P884" s="24" t="str">
        <f>IFERROR(MID(RADataTable[[#This Row],[RATemplate]],1,LEN(RADataTable[[#This Row],[RATemplate]])-8),"RA") &amp; " " &amp; RADataTable[[#This Row],[prop_id0]] &amp; " " &amp; RADataTable[[#This Row],[last0]]</f>
        <v>RA 1755978 Gangammanavar</v>
      </c>
      <c r="T884">
        <v>3</v>
      </c>
      <c r="U884">
        <v>3</v>
      </c>
      <c r="V884" s="34">
        <v>43031.75</v>
      </c>
      <c r="W884">
        <v>1</v>
      </c>
      <c r="X884" s="15" t="str">
        <f>HYPERLINK("https://www.ejacket.nsf.gov/ej/showProposal.do?Continue=Y&amp;ID="&amp;RADataTable[[#This Row],[prop_id0]],"eJ")</f>
        <v>eJ</v>
      </c>
      <c r="Y884" s="15" t="str">
        <f>HYPERLINK("mailto:"&amp;RADataTable[[#This Row],[email]]&amp;"&amp;subject=Your NSF Proposal:  "&amp;RADataTable[[#This Row],[Div]]&amp;" "&amp;RADataTable[[#This Row],[prop_id0]], RADataTable[[#This Row],[email]])</f>
        <v>harsha@smu.edu</v>
      </c>
      <c r="Z884" s="15" t="str">
        <f>HYPERLINK("mailto:"&amp;RADataTable[[#This Row],[allPIemail]]&amp;"&amp;subject=NSF Proposal:  "&amp;RADataTable[[#This Row],[Div]]&amp;" "&amp;RADataTable[[#This Row],[prop_id0]], "PIs@")</f>
        <v>PIs@</v>
      </c>
      <c r="AA884" t="s">
        <v>245</v>
      </c>
      <c r="AB884" t="s">
        <v>690</v>
      </c>
      <c r="AC884" s="30" t="s">
        <v>896</v>
      </c>
      <c r="AD884" t="s">
        <v>897</v>
      </c>
      <c r="AE884" t="s">
        <v>898</v>
      </c>
      <c r="AF884" s="36">
        <v>175000</v>
      </c>
      <c r="AG884" s="36">
        <v>175000</v>
      </c>
      <c r="AH884" s="24"/>
      <c r="AJ884" s="34"/>
      <c r="AK884" t="s">
        <v>923</v>
      </c>
      <c r="AL884" t="s">
        <v>924</v>
      </c>
      <c r="AM884" s="34" t="s">
        <v>925</v>
      </c>
      <c r="AN884" s="34">
        <v>43032</v>
      </c>
      <c r="AO884" s="24">
        <v>5</v>
      </c>
      <c r="AP884" t="s">
        <v>987</v>
      </c>
      <c r="AR884" s="35"/>
      <c r="AS884"/>
      <c r="AT884" s="34"/>
      <c r="AV884" s="34"/>
      <c r="AX884" s="34"/>
      <c r="AY884"/>
      <c r="BA884" s="34"/>
      <c r="BB884"/>
      <c r="BC884" t="s">
        <v>901</v>
      </c>
      <c r="BD884" s="36">
        <v>175000</v>
      </c>
      <c r="BE884" s="36">
        <v>175000</v>
      </c>
      <c r="BF884">
        <v>0</v>
      </c>
      <c r="BG884" s="34">
        <v>43101</v>
      </c>
      <c r="BH884">
        <v>24</v>
      </c>
      <c r="BI884" t="s">
        <v>974</v>
      </c>
      <c r="BJ884" t="s">
        <v>975</v>
      </c>
      <c r="BK884" t="s">
        <v>234</v>
      </c>
      <c r="BL884" t="s">
        <v>194</v>
      </c>
      <c r="BM884" s="8" t="s">
        <v>192</v>
      </c>
      <c r="BN884" t="s">
        <v>189</v>
      </c>
      <c r="BO884" t="s">
        <v>190</v>
      </c>
      <c r="BP884" s="35" t="s">
        <v>656</v>
      </c>
      <c r="BQ884"/>
      <c r="BU884" s="35"/>
      <c r="BV884" s="35"/>
      <c r="BX884"/>
      <c r="CA884" s="35"/>
      <c r="CB884" s="35"/>
      <c r="CC884"/>
      <c r="CG884" s="35"/>
      <c r="CH884" s="35"/>
      <c r="CK884"/>
      <c r="CM884" s="35"/>
      <c r="CN884" s="35"/>
      <c r="CQ884"/>
      <c r="CS884" s="35"/>
      <c r="CT884" s="35"/>
      <c r="CX884"/>
      <c r="CZ884" s="35"/>
      <c r="DD884" s="34"/>
      <c r="DG884" t="s">
        <v>899</v>
      </c>
      <c r="DH884" t="s">
        <v>988</v>
      </c>
      <c r="DI884" t="s">
        <v>798</v>
      </c>
      <c r="DL884" t="s">
        <v>690</v>
      </c>
      <c r="DM884">
        <v>3</v>
      </c>
      <c r="DN884">
        <v>6</v>
      </c>
      <c r="DO884" t="s">
        <v>900</v>
      </c>
      <c r="DQ884" t="s">
        <v>927</v>
      </c>
      <c r="DR884">
        <v>14</v>
      </c>
      <c r="DS884">
        <v>0</v>
      </c>
      <c r="DU884">
        <v>14</v>
      </c>
      <c r="DV884">
        <v>0</v>
      </c>
      <c r="DX884">
        <v>14</v>
      </c>
      <c r="DY884">
        <v>0</v>
      </c>
      <c r="DZ884" t="s">
        <v>246</v>
      </c>
      <c r="EA884" t="s">
        <v>929</v>
      </c>
    </row>
    <row r="885" spans="1:131" x14ac:dyDescent="0.4">
      <c r="A885" s="34">
        <v>43067.305104166669</v>
      </c>
      <c r="B885" s="25">
        <v>42956.717361111114</v>
      </c>
      <c r="D885" s="34"/>
      <c r="E885" s="34" t="s">
        <v>193</v>
      </c>
      <c r="F885" s="34" t="s">
        <v>191</v>
      </c>
      <c r="G885" s="34" t="s">
        <v>100</v>
      </c>
      <c r="H885" t="s">
        <v>856</v>
      </c>
      <c r="I885" t="s">
        <v>243</v>
      </c>
      <c r="J885" t="s">
        <v>857</v>
      </c>
      <c r="K885" t="s">
        <v>713</v>
      </c>
      <c r="L885" t="s">
        <v>855</v>
      </c>
      <c r="M885" s="30">
        <v>4.05</v>
      </c>
      <c r="N885">
        <v>4.666666666666667</v>
      </c>
      <c r="P885" s="24" t="str">
        <f>IFERROR(MID(RADataTable[[#This Row],[RATemplate]],1,LEN(RADataTable[[#This Row],[RATemplate]])-8),"RA") &amp; " " &amp; RADataTable[[#This Row],[prop_id0]] &amp; " " &amp; RADataTable[[#This Row],[last0]]</f>
        <v>RA 1755978 Gangammanavar</v>
      </c>
      <c r="T885">
        <v>3</v>
      </c>
      <c r="U885">
        <v>3</v>
      </c>
      <c r="V885" s="34">
        <v>43031.75</v>
      </c>
      <c r="W885">
        <v>1</v>
      </c>
      <c r="X885" s="15" t="str">
        <f>HYPERLINK("https://www.ejacket.nsf.gov/ej/showProposal.do?Continue=Y&amp;ID="&amp;RADataTable[[#This Row],[prop_id0]],"eJ")</f>
        <v>eJ</v>
      </c>
      <c r="Y885" s="15" t="str">
        <f>HYPERLINK("mailto:"&amp;RADataTable[[#This Row],[email]]&amp;"&amp;subject=Your NSF Proposal:  "&amp;RADataTable[[#This Row],[Div]]&amp;" "&amp;RADataTable[[#This Row],[prop_id0]], RADataTable[[#This Row],[email]])</f>
        <v>harsha@smu.edu</v>
      </c>
      <c r="Z885" s="15" t="str">
        <f>HYPERLINK("mailto:"&amp;RADataTable[[#This Row],[allPIemail]]&amp;"&amp;subject=NSF Proposal:  "&amp;RADataTable[[#This Row],[Div]]&amp;" "&amp;RADataTable[[#This Row],[prop_id0]], "PIs@")</f>
        <v>PIs@</v>
      </c>
      <c r="AA885" t="s">
        <v>245</v>
      </c>
      <c r="AB885" t="s">
        <v>690</v>
      </c>
      <c r="AC885" s="30" t="s">
        <v>896</v>
      </c>
      <c r="AD885" t="s">
        <v>897</v>
      </c>
      <c r="AE885" t="s">
        <v>898</v>
      </c>
      <c r="AF885" s="36">
        <v>175000</v>
      </c>
      <c r="AG885" s="36">
        <v>175000</v>
      </c>
      <c r="AH885" s="24"/>
      <c r="AJ885" s="34"/>
      <c r="AK885" t="s">
        <v>923</v>
      </c>
      <c r="AL885" t="s">
        <v>924</v>
      </c>
      <c r="AM885" s="34" t="s">
        <v>925</v>
      </c>
      <c r="AN885" s="34">
        <v>43032</v>
      </c>
      <c r="AO885" s="24">
        <v>5</v>
      </c>
      <c r="AP885" t="s">
        <v>987</v>
      </c>
      <c r="AR885" s="35"/>
      <c r="AS885"/>
      <c r="AT885" s="34"/>
      <c r="AV885" s="34"/>
      <c r="AX885" s="34"/>
      <c r="AY885"/>
      <c r="BA885" s="34"/>
      <c r="BB885"/>
      <c r="BC885" t="s">
        <v>901</v>
      </c>
      <c r="BD885" s="36">
        <v>175000</v>
      </c>
      <c r="BE885" s="36">
        <v>175000</v>
      </c>
      <c r="BF885">
        <v>0</v>
      </c>
      <c r="BG885" s="34">
        <v>43101</v>
      </c>
      <c r="BH885">
        <v>24</v>
      </c>
      <c r="BI885" t="s">
        <v>974</v>
      </c>
      <c r="BJ885" t="s">
        <v>975</v>
      </c>
      <c r="BK885" t="s">
        <v>234</v>
      </c>
      <c r="BL885" t="s">
        <v>194</v>
      </c>
      <c r="BM885" s="8" t="s">
        <v>192</v>
      </c>
      <c r="BN885" t="s">
        <v>189</v>
      </c>
      <c r="BO885" t="s">
        <v>190</v>
      </c>
      <c r="BP885" s="35" t="s">
        <v>656</v>
      </c>
      <c r="BQ885"/>
      <c r="BU885" s="35"/>
      <c r="BV885" s="35"/>
      <c r="BX885"/>
      <c r="CA885" s="35"/>
      <c r="CB885" s="35"/>
      <c r="CC885"/>
      <c r="CG885" s="35"/>
      <c r="CH885" s="35"/>
      <c r="CK885"/>
      <c r="CM885" s="35"/>
      <c r="CN885" s="35"/>
      <c r="CQ885"/>
      <c r="CS885" s="35"/>
      <c r="CT885" s="35"/>
      <c r="CX885"/>
      <c r="CZ885" s="35"/>
      <c r="DD885" s="34"/>
      <c r="DG885" t="s">
        <v>899</v>
      </c>
      <c r="DH885" t="s">
        <v>988</v>
      </c>
      <c r="DI885" t="s">
        <v>798</v>
      </c>
      <c r="DL885" t="s">
        <v>690</v>
      </c>
      <c r="DM885">
        <v>3</v>
      </c>
      <c r="DN885">
        <v>6</v>
      </c>
      <c r="DO885" t="s">
        <v>900</v>
      </c>
      <c r="DQ885" t="s">
        <v>927</v>
      </c>
      <c r="DR885">
        <v>14</v>
      </c>
      <c r="DS885">
        <v>0</v>
      </c>
      <c r="DU885">
        <v>14</v>
      </c>
      <c r="DV885">
        <v>0</v>
      </c>
      <c r="DX885">
        <v>14</v>
      </c>
      <c r="DY885">
        <v>0</v>
      </c>
      <c r="DZ885" t="s">
        <v>246</v>
      </c>
      <c r="EA885" t="s">
        <v>929</v>
      </c>
    </row>
    <row r="886" spans="1:131" x14ac:dyDescent="0.4">
      <c r="A886" s="34">
        <v>43067.305104166669</v>
      </c>
      <c r="B886" s="25">
        <v>42956.717361111114</v>
      </c>
      <c r="D886" s="34"/>
      <c r="E886" s="34" t="s">
        <v>193</v>
      </c>
      <c r="F886" s="34" t="s">
        <v>191</v>
      </c>
      <c r="G886" s="34" t="s">
        <v>100</v>
      </c>
      <c r="H886" t="s">
        <v>856</v>
      </c>
      <c r="I886" t="s">
        <v>243</v>
      </c>
      <c r="J886" t="s">
        <v>857</v>
      </c>
      <c r="K886" t="s">
        <v>713</v>
      </c>
      <c r="L886" t="s">
        <v>855</v>
      </c>
      <c r="M886" s="30">
        <v>4.05</v>
      </c>
      <c r="N886">
        <v>4.666666666666667</v>
      </c>
      <c r="P886" s="24" t="str">
        <f>IFERROR(MID(RADataTable[[#This Row],[RATemplate]],1,LEN(RADataTable[[#This Row],[RATemplate]])-8),"RA") &amp; " " &amp; RADataTable[[#This Row],[prop_id0]] &amp; " " &amp; RADataTable[[#This Row],[last0]]</f>
        <v>RA 1755978 Gangammanavar</v>
      </c>
      <c r="T886">
        <v>3</v>
      </c>
      <c r="U886">
        <v>3</v>
      </c>
      <c r="V886" s="34">
        <v>43031.75</v>
      </c>
      <c r="W886">
        <v>1</v>
      </c>
      <c r="X886" s="15" t="str">
        <f>HYPERLINK("https://www.ejacket.nsf.gov/ej/showProposal.do?Continue=Y&amp;ID="&amp;RADataTable[[#This Row],[prop_id0]],"eJ")</f>
        <v>eJ</v>
      </c>
      <c r="Y886" s="15" t="str">
        <f>HYPERLINK("mailto:"&amp;RADataTable[[#This Row],[email]]&amp;"&amp;subject=Your NSF Proposal:  "&amp;RADataTable[[#This Row],[Div]]&amp;" "&amp;RADataTable[[#This Row],[prop_id0]], RADataTable[[#This Row],[email]])</f>
        <v>harsha@smu.edu</v>
      </c>
      <c r="Z886" s="15" t="str">
        <f>HYPERLINK("mailto:"&amp;RADataTable[[#This Row],[allPIemail]]&amp;"&amp;subject=NSF Proposal:  "&amp;RADataTable[[#This Row],[Div]]&amp;" "&amp;RADataTable[[#This Row],[prop_id0]], "PIs@")</f>
        <v>PIs@</v>
      </c>
      <c r="AA886" t="s">
        <v>245</v>
      </c>
      <c r="AB886" t="s">
        <v>690</v>
      </c>
      <c r="AC886" s="30" t="s">
        <v>896</v>
      </c>
      <c r="AD886" t="s">
        <v>897</v>
      </c>
      <c r="AE886" t="s">
        <v>898</v>
      </c>
      <c r="AF886" s="36">
        <v>175000</v>
      </c>
      <c r="AG886" s="36">
        <v>175000</v>
      </c>
      <c r="AH886" s="24"/>
      <c r="AJ886" s="34"/>
      <c r="AK886" t="s">
        <v>923</v>
      </c>
      <c r="AL886" t="s">
        <v>924</v>
      </c>
      <c r="AM886" s="34" t="s">
        <v>925</v>
      </c>
      <c r="AN886" s="34">
        <v>43032</v>
      </c>
      <c r="AO886" s="24">
        <v>5</v>
      </c>
      <c r="AP886" t="s">
        <v>987</v>
      </c>
      <c r="AR886" s="35"/>
      <c r="AS886"/>
      <c r="AT886" s="34"/>
      <c r="AV886" s="34"/>
      <c r="AX886" s="34"/>
      <c r="AY886"/>
      <c r="BA886" s="34"/>
      <c r="BB886"/>
      <c r="BC886" t="s">
        <v>901</v>
      </c>
      <c r="BD886" s="36">
        <v>175000</v>
      </c>
      <c r="BE886" s="36">
        <v>175000</v>
      </c>
      <c r="BF886">
        <v>0</v>
      </c>
      <c r="BG886" s="34">
        <v>43101</v>
      </c>
      <c r="BH886">
        <v>24</v>
      </c>
      <c r="BI886" t="s">
        <v>974</v>
      </c>
      <c r="BJ886" t="s">
        <v>975</v>
      </c>
      <c r="BK886" t="s">
        <v>234</v>
      </c>
      <c r="BL886" t="s">
        <v>194</v>
      </c>
      <c r="BM886" s="8" t="s">
        <v>192</v>
      </c>
      <c r="BN886" t="s">
        <v>189</v>
      </c>
      <c r="BO886" t="s">
        <v>190</v>
      </c>
      <c r="BP886" s="35" t="s">
        <v>656</v>
      </c>
      <c r="BQ886"/>
      <c r="BU886" s="35"/>
      <c r="BV886" s="35"/>
      <c r="BX886"/>
      <c r="CA886" s="35"/>
      <c r="CB886" s="35"/>
      <c r="CC886"/>
      <c r="CG886" s="35"/>
      <c r="CH886" s="35"/>
      <c r="CK886"/>
      <c r="CM886" s="35"/>
      <c r="CN886" s="35"/>
      <c r="CQ886"/>
      <c r="CS886" s="35"/>
      <c r="CT886" s="35"/>
      <c r="CX886"/>
      <c r="CZ886" s="35"/>
      <c r="DD886" s="34"/>
      <c r="DG886" t="s">
        <v>899</v>
      </c>
      <c r="DH886" t="s">
        <v>988</v>
      </c>
      <c r="DI886" t="s">
        <v>798</v>
      </c>
      <c r="DL886" t="s">
        <v>690</v>
      </c>
      <c r="DM886">
        <v>3</v>
      </c>
      <c r="DN886">
        <v>6</v>
      </c>
      <c r="DO886" t="s">
        <v>900</v>
      </c>
      <c r="DQ886" t="s">
        <v>927</v>
      </c>
      <c r="DR886">
        <v>14</v>
      </c>
      <c r="DS886">
        <v>0</v>
      </c>
      <c r="DU886">
        <v>14</v>
      </c>
      <c r="DV886">
        <v>0</v>
      </c>
      <c r="DX886">
        <v>14</v>
      </c>
      <c r="DY886">
        <v>0</v>
      </c>
      <c r="DZ886" t="s">
        <v>246</v>
      </c>
      <c r="EA886" t="s">
        <v>929</v>
      </c>
    </row>
    <row r="887" spans="1:131" x14ac:dyDescent="0.4">
      <c r="A887" s="34">
        <v>43067.305104166669</v>
      </c>
      <c r="B887" s="25">
        <v>42956.717361111114</v>
      </c>
      <c r="D887" s="34"/>
      <c r="E887" s="34" t="s">
        <v>193</v>
      </c>
      <c r="F887" s="34" t="s">
        <v>191</v>
      </c>
      <c r="G887" s="34" t="s">
        <v>100</v>
      </c>
      <c r="H887" t="s">
        <v>856</v>
      </c>
      <c r="I887" t="s">
        <v>243</v>
      </c>
      <c r="J887" t="s">
        <v>857</v>
      </c>
      <c r="K887" t="s">
        <v>713</v>
      </c>
      <c r="L887" t="s">
        <v>855</v>
      </c>
      <c r="M887" s="30">
        <v>4.05</v>
      </c>
      <c r="N887">
        <v>4.666666666666667</v>
      </c>
      <c r="P887" s="24" t="str">
        <f>IFERROR(MID(RADataTable[[#This Row],[RATemplate]],1,LEN(RADataTable[[#This Row],[RATemplate]])-8),"RA") &amp; " " &amp; RADataTable[[#This Row],[prop_id0]] &amp; " " &amp; RADataTable[[#This Row],[last0]]</f>
        <v>RA 1755978 Gangammanavar</v>
      </c>
      <c r="T887">
        <v>3</v>
      </c>
      <c r="U887">
        <v>3</v>
      </c>
      <c r="V887" s="34">
        <v>43031.75</v>
      </c>
      <c r="W887">
        <v>1</v>
      </c>
      <c r="X887" s="15" t="str">
        <f>HYPERLINK("https://www.ejacket.nsf.gov/ej/showProposal.do?Continue=Y&amp;ID="&amp;RADataTable[[#This Row],[prop_id0]],"eJ")</f>
        <v>eJ</v>
      </c>
      <c r="Y887" s="15" t="str">
        <f>HYPERLINK("mailto:"&amp;RADataTable[[#This Row],[email]]&amp;"&amp;subject=Your NSF Proposal:  "&amp;RADataTable[[#This Row],[Div]]&amp;" "&amp;RADataTable[[#This Row],[prop_id0]], RADataTable[[#This Row],[email]])</f>
        <v>harsha@smu.edu</v>
      </c>
      <c r="Z887" s="15" t="str">
        <f>HYPERLINK("mailto:"&amp;RADataTable[[#This Row],[allPIemail]]&amp;"&amp;subject=NSF Proposal:  "&amp;RADataTable[[#This Row],[Div]]&amp;" "&amp;RADataTable[[#This Row],[prop_id0]], "PIs@")</f>
        <v>PIs@</v>
      </c>
      <c r="AA887" t="s">
        <v>245</v>
      </c>
      <c r="AB887" t="s">
        <v>690</v>
      </c>
      <c r="AC887" s="30" t="s">
        <v>896</v>
      </c>
      <c r="AD887" t="s">
        <v>897</v>
      </c>
      <c r="AE887" t="s">
        <v>898</v>
      </c>
      <c r="AF887" s="36">
        <v>175000</v>
      </c>
      <c r="AG887" s="36">
        <v>175000</v>
      </c>
      <c r="AH887" s="24"/>
      <c r="AJ887" s="34"/>
      <c r="AK887" t="s">
        <v>923</v>
      </c>
      <c r="AL887" t="s">
        <v>924</v>
      </c>
      <c r="AM887" s="34" t="s">
        <v>925</v>
      </c>
      <c r="AN887" s="34">
        <v>43032</v>
      </c>
      <c r="AO887" s="24">
        <v>5</v>
      </c>
      <c r="AP887" t="s">
        <v>987</v>
      </c>
      <c r="AR887" s="35"/>
      <c r="AS887"/>
      <c r="AT887" s="34"/>
      <c r="AV887" s="34"/>
      <c r="AX887" s="34"/>
      <c r="AY887"/>
      <c r="BA887" s="34"/>
      <c r="BB887"/>
      <c r="BC887" t="s">
        <v>901</v>
      </c>
      <c r="BD887" s="36">
        <v>175000</v>
      </c>
      <c r="BE887" s="36">
        <v>175000</v>
      </c>
      <c r="BF887">
        <v>0</v>
      </c>
      <c r="BG887" s="34">
        <v>43101</v>
      </c>
      <c r="BH887">
        <v>24</v>
      </c>
      <c r="BI887" t="s">
        <v>974</v>
      </c>
      <c r="BJ887" t="s">
        <v>975</v>
      </c>
      <c r="BK887" t="s">
        <v>234</v>
      </c>
      <c r="BL887" t="s">
        <v>194</v>
      </c>
      <c r="BM887" s="8" t="s">
        <v>192</v>
      </c>
      <c r="BN887" t="s">
        <v>189</v>
      </c>
      <c r="BO887" t="s">
        <v>190</v>
      </c>
      <c r="BP887" s="35" t="s">
        <v>656</v>
      </c>
      <c r="BQ887"/>
      <c r="BU887" s="35"/>
      <c r="BV887" s="35"/>
      <c r="BX887"/>
      <c r="CA887" s="35"/>
      <c r="CB887" s="35"/>
      <c r="CC887"/>
      <c r="CG887" s="35"/>
      <c r="CH887" s="35"/>
      <c r="CK887"/>
      <c r="CM887" s="35"/>
      <c r="CN887" s="35"/>
      <c r="CQ887"/>
      <c r="CS887" s="35"/>
      <c r="CT887" s="35"/>
      <c r="CX887"/>
      <c r="CZ887" s="35"/>
      <c r="DD887" s="34"/>
      <c r="DG887" t="s">
        <v>899</v>
      </c>
      <c r="DH887" t="s">
        <v>988</v>
      </c>
      <c r="DI887" t="s">
        <v>798</v>
      </c>
      <c r="DL887" t="s">
        <v>690</v>
      </c>
      <c r="DM887">
        <v>3</v>
      </c>
      <c r="DN887">
        <v>6</v>
      </c>
      <c r="DO887" t="s">
        <v>900</v>
      </c>
      <c r="DQ887" t="s">
        <v>927</v>
      </c>
      <c r="DR887">
        <v>14</v>
      </c>
      <c r="DS887">
        <v>0</v>
      </c>
      <c r="DU887">
        <v>14</v>
      </c>
      <c r="DV887">
        <v>0</v>
      </c>
      <c r="DX887">
        <v>14</v>
      </c>
      <c r="DY887">
        <v>0</v>
      </c>
      <c r="DZ887" t="s">
        <v>246</v>
      </c>
      <c r="EA887" t="s">
        <v>929</v>
      </c>
    </row>
    <row r="888" spans="1:131" x14ac:dyDescent="0.4">
      <c r="A888" s="34">
        <v>43067.305104166669</v>
      </c>
      <c r="B888" s="25">
        <v>42956.717361111114</v>
      </c>
      <c r="D888" s="34"/>
      <c r="E888" s="34" t="s">
        <v>193</v>
      </c>
      <c r="F888" s="34" t="s">
        <v>191</v>
      </c>
      <c r="G888" s="34" t="s">
        <v>100</v>
      </c>
      <c r="H888" t="s">
        <v>856</v>
      </c>
      <c r="I888" t="s">
        <v>243</v>
      </c>
      <c r="J888" t="s">
        <v>857</v>
      </c>
      <c r="K888" t="s">
        <v>713</v>
      </c>
      <c r="L888" t="s">
        <v>855</v>
      </c>
      <c r="M888" s="30">
        <v>4.05</v>
      </c>
      <c r="N888">
        <v>4.666666666666667</v>
      </c>
      <c r="P888" s="24" t="str">
        <f>IFERROR(MID(RADataTable[[#This Row],[RATemplate]],1,LEN(RADataTable[[#This Row],[RATemplate]])-8),"RA") &amp; " " &amp; RADataTable[[#This Row],[prop_id0]] &amp; " " &amp; RADataTable[[#This Row],[last0]]</f>
        <v>RA 1755978 Gangammanavar</v>
      </c>
      <c r="T888">
        <v>3</v>
      </c>
      <c r="U888">
        <v>3</v>
      </c>
      <c r="V888" s="34">
        <v>43031.75</v>
      </c>
      <c r="W888">
        <v>1</v>
      </c>
      <c r="X888" s="15" t="str">
        <f>HYPERLINK("https://www.ejacket.nsf.gov/ej/showProposal.do?Continue=Y&amp;ID="&amp;RADataTable[[#This Row],[prop_id0]],"eJ")</f>
        <v>eJ</v>
      </c>
      <c r="Y888" s="15" t="str">
        <f>HYPERLINK("mailto:"&amp;RADataTable[[#This Row],[email]]&amp;"&amp;subject=Your NSF Proposal:  "&amp;RADataTable[[#This Row],[Div]]&amp;" "&amp;RADataTable[[#This Row],[prop_id0]], RADataTable[[#This Row],[email]])</f>
        <v>harsha@smu.edu</v>
      </c>
      <c r="Z888" s="15" t="str">
        <f>HYPERLINK("mailto:"&amp;RADataTable[[#This Row],[allPIemail]]&amp;"&amp;subject=NSF Proposal:  "&amp;RADataTable[[#This Row],[Div]]&amp;" "&amp;RADataTable[[#This Row],[prop_id0]], "PIs@")</f>
        <v>PIs@</v>
      </c>
      <c r="AA888" t="s">
        <v>245</v>
      </c>
      <c r="AB888" t="s">
        <v>690</v>
      </c>
      <c r="AC888" s="30" t="s">
        <v>896</v>
      </c>
      <c r="AD888" t="s">
        <v>897</v>
      </c>
      <c r="AE888" t="s">
        <v>898</v>
      </c>
      <c r="AF888" s="36">
        <v>175000</v>
      </c>
      <c r="AG888" s="36">
        <v>175000</v>
      </c>
      <c r="AH888" s="24"/>
      <c r="AJ888" s="34"/>
      <c r="AK888" t="s">
        <v>923</v>
      </c>
      <c r="AL888" t="s">
        <v>924</v>
      </c>
      <c r="AM888" s="34" t="s">
        <v>925</v>
      </c>
      <c r="AN888" s="34">
        <v>43032</v>
      </c>
      <c r="AO888" s="24">
        <v>5</v>
      </c>
      <c r="AP888" t="s">
        <v>987</v>
      </c>
      <c r="AR888" s="35"/>
      <c r="AS888"/>
      <c r="AT888" s="34"/>
      <c r="AV888" s="34"/>
      <c r="AX888" s="34"/>
      <c r="AY888"/>
      <c r="BA888" s="34"/>
      <c r="BB888"/>
      <c r="BC888" t="s">
        <v>901</v>
      </c>
      <c r="BD888" s="36">
        <v>175000</v>
      </c>
      <c r="BE888" s="36">
        <v>175000</v>
      </c>
      <c r="BF888">
        <v>0</v>
      </c>
      <c r="BG888" s="34">
        <v>43101</v>
      </c>
      <c r="BH888">
        <v>24</v>
      </c>
      <c r="BI888" t="s">
        <v>974</v>
      </c>
      <c r="BJ888" t="s">
        <v>975</v>
      </c>
      <c r="BK888" t="s">
        <v>234</v>
      </c>
      <c r="BL888" t="s">
        <v>194</v>
      </c>
      <c r="BM888" s="8" t="s">
        <v>192</v>
      </c>
      <c r="BN888" t="s">
        <v>189</v>
      </c>
      <c r="BO888" t="s">
        <v>190</v>
      </c>
      <c r="BP888" s="35" t="s">
        <v>656</v>
      </c>
      <c r="BQ888"/>
      <c r="BU888" s="35"/>
      <c r="BV888" s="35"/>
      <c r="BX888"/>
      <c r="CA888" s="35"/>
      <c r="CB888" s="35"/>
      <c r="CC888"/>
      <c r="CG888" s="35"/>
      <c r="CH888" s="35"/>
      <c r="CK888"/>
      <c r="CM888" s="35"/>
      <c r="CN888" s="35"/>
      <c r="CQ888"/>
      <c r="CS888" s="35"/>
      <c r="CT888" s="35"/>
      <c r="CX888"/>
      <c r="CZ888" s="35"/>
      <c r="DD888" s="34"/>
      <c r="DG888" t="s">
        <v>899</v>
      </c>
      <c r="DH888" t="s">
        <v>988</v>
      </c>
      <c r="DI888" t="s">
        <v>798</v>
      </c>
      <c r="DL888" t="s">
        <v>690</v>
      </c>
      <c r="DM888">
        <v>3</v>
      </c>
      <c r="DN888">
        <v>6</v>
      </c>
      <c r="DO888" t="s">
        <v>900</v>
      </c>
      <c r="DQ888" t="s">
        <v>927</v>
      </c>
      <c r="DR888">
        <v>14</v>
      </c>
      <c r="DS888">
        <v>0</v>
      </c>
      <c r="DU888">
        <v>14</v>
      </c>
      <c r="DV888">
        <v>0</v>
      </c>
      <c r="DX888">
        <v>14</v>
      </c>
      <c r="DY888">
        <v>0</v>
      </c>
      <c r="DZ888" t="s">
        <v>246</v>
      </c>
      <c r="EA888" t="s">
        <v>929</v>
      </c>
    </row>
    <row r="889" spans="1:131" x14ac:dyDescent="0.4">
      <c r="A889" s="34">
        <v>43067.305104166669</v>
      </c>
      <c r="B889" s="25">
        <v>42956.717361111114</v>
      </c>
      <c r="D889" s="34"/>
      <c r="E889" s="34" t="s">
        <v>193</v>
      </c>
      <c r="F889" s="34" t="s">
        <v>191</v>
      </c>
      <c r="G889" s="34" t="s">
        <v>100</v>
      </c>
      <c r="H889" t="s">
        <v>856</v>
      </c>
      <c r="I889" t="s">
        <v>243</v>
      </c>
      <c r="J889" t="s">
        <v>857</v>
      </c>
      <c r="K889" t="s">
        <v>713</v>
      </c>
      <c r="L889" t="s">
        <v>855</v>
      </c>
      <c r="M889" s="30">
        <v>4.05</v>
      </c>
      <c r="N889">
        <v>4.666666666666667</v>
      </c>
      <c r="P889" s="24" t="str">
        <f>IFERROR(MID(RADataTable[[#This Row],[RATemplate]],1,LEN(RADataTable[[#This Row],[RATemplate]])-8),"RA") &amp; " " &amp; RADataTable[[#This Row],[prop_id0]] &amp; " " &amp; RADataTable[[#This Row],[last0]]</f>
        <v>RA 1755978 Gangammanavar</v>
      </c>
      <c r="T889">
        <v>3</v>
      </c>
      <c r="U889">
        <v>3</v>
      </c>
      <c r="V889" s="34">
        <v>43031.75</v>
      </c>
      <c r="W889">
        <v>1</v>
      </c>
      <c r="X889" s="15" t="str">
        <f>HYPERLINK("https://www.ejacket.nsf.gov/ej/showProposal.do?Continue=Y&amp;ID="&amp;RADataTable[[#This Row],[prop_id0]],"eJ")</f>
        <v>eJ</v>
      </c>
      <c r="Y889" s="15" t="str">
        <f>HYPERLINK("mailto:"&amp;RADataTable[[#This Row],[email]]&amp;"&amp;subject=Your NSF Proposal:  "&amp;RADataTable[[#This Row],[Div]]&amp;" "&amp;RADataTable[[#This Row],[prop_id0]], RADataTable[[#This Row],[email]])</f>
        <v>harsha@smu.edu</v>
      </c>
      <c r="Z889" s="15" t="str">
        <f>HYPERLINK("mailto:"&amp;RADataTable[[#This Row],[allPIemail]]&amp;"&amp;subject=NSF Proposal:  "&amp;RADataTable[[#This Row],[Div]]&amp;" "&amp;RADataTable[[#This Row],[prop_id0]], "PIs@")</f>
        <v>PIs@</v>
      </c>
      <c r="AA889" t="s">
        <v>245</v>
      </c>
      <c r="AB889" t="s">
        <v>690</v>
      </c>
      <c r="AC889" s="30" t="s">
        <v>896</v>
      </c>
      <c r="AD889" t="s">
        <v>897</v>
      </c>
      <c r="AE889" t="s">
        <v>898</v>
      </c>
      <c r="AF889" s="36">
        <v>175000</v>
      </c>
      <c r="AG889" s="36">
        <v>175000</v>
      </c>
      <c r="AH889" s="24"/>
      <c r="AJ889" s="34"/>
      <c r="AK889" t="s">
        <v>923</v>
      </c>
      <c r="AL889" t="s">
        <v>924</v>
      </c>
      <c r="AM889" s="34" t="s">
        <v>925</v>
      </c>
      <c r="AN889" s="34">
        <v>43032</v>
      </c>
      <c r="AO889" s="24">
        <v>5</v>
      </c>
      <c r="AP889" t="s">
        <v>987</v>
      </c>
      <c r="AR889" s="35"/>
      <c r="AS889"/>
      <c r="AT889" s="34"/>
      <c r="AV889" s="34"/>
      <c r="AX889" s="34"/>
      <c r="AY889"/>
      <c r="BA889" s="34"/>
      <c r="BB889"/>
      <c r="BC889" t="s">
        <v>901</v>
      </c>
      <c r="BD889" s="36">
        <v>175000</v>
      </c>
      <c r="BE889" s="36">
        <v>175000</v>
      </c>
      <c r="BF889">
        <v>0</v>
      </c>
      <c r="BG889" s="34">
        <v>43101</v>
      </c>
      <c r="BH889">
        <v>24</v>
      </c>
      <c r="BI889" t="s">
        <v>974</v>
      </c>
      <c r="BJ889" t="s">
        <v>975</v>
      </c>
      <c r="BK889" t="s">
        <v>234</v>
      </c>
      <c r="BL889" t="s">
        <v>194</v>
      </c>
      <c r="BM889" s="8" t="s">
        <v>192</v>
      </c>
      <c r="BN889" t="s">
        <v>189</v>
      </c>
      <c r="BO889" t="s">
        <v>190</v>
      </c>
      <c r="BP889" s="35" t="s">
        <v>656</v>
      </c>
      <c r="BQ889"/>
      <c r="BU889" s="35"/>
      <c r="BV889" s="35"/>
      <c r="BX889"/>
      <c r="CA889" s="35"/>
      <c r="CB889" s="35"/>
      <c r="CC889"/>
      <c r="CG889" s="35"/>
      <c r="CH889" s="35"/>
      <c r="CK889"/>
      <c r="CM889" s="35"/>
      <c r="CN889" s="35"/>
      <c r="CQ889"/>
      <c r="CS889" s="35"/>
      <c r="CT889" s="35"/>
      <c r="CX889"/>
      <c r="CZ889" s="35"/>
      <c r="DD889" s="34"/>
      <c r="DG889" t="s">
        <v>899</v>
      </c>
      <c r="DH889" t="s">
        <v>988</v>
      </c>
      <c r="DI889" t="s">
        <v>798</v>
      </c>
      <c r="DL889" t="s">
        <v>690</v>
      </c>
      <c r="DM889">
        <v>3</v>
      </c>
      <c r="DN889">
        <v>6</v>
      </c>
      <c r="DO889" t="s">
        <v>900</v>
      </c>
      <c r="DQ889" t="s">
        <v>927</v>
      </c>
      <c r="DR889">
        <v>14</v>
      </c>
      <c r="DS889">
        <v>0</v>
      </c>
      <c r="DU889">
        <v>14</v>
      </c>
      <c r="DV889">
        <v>0</v>
      </c>
      <c r="DX889">
        <v>14</v>
      </c>
      <c r="DY889">
        <v>0</v>
      </c>
      <c r="DZ889" t="s">
        <v>246</v>
      </c>
      <c r="EA889" t="s">
        <v>929</v>
      </c>
    </row>
    <row r="890" spans="1:131" x14ac:dyDescent="0.4">
      <c r="A890" s="34">
        <v>43067.305104166669</v>
      </c>
      <c r="B890" s="25">
        <v>42956.717361111114</v>
      </c>
      <c r="D890" s="34"/>
      <c r="E890" s="34" t="s">
        <v>193</v>
      </c>
      <c r="F890" s="34" t="s">
        <v>191</v>
      </c>
      <c r="G890" s="34" t="s">
        <v>100</v>
      </c>
      <c r="H890" t="s">
        <v>856</v>
      </c>
      <c r="I890" t="s">
        <v>243</v>
      </c>
      <c r="J890" t="s">
        <v>857</v>
      </c>
      <c r="K890" t="s">
        <v>713</v>
      </c>
      <c r="L890" t="s">
        <v>855</v>
      </c>
      <c r="M890" s="30">
        <v>4.05</v>
      </c>
      <c r="N890">
        <v>4.666666666666667</v>
      </c>
      <c r="P890" s="24" t="str">
        <f>IFERROR(MID(RADataTable[[#This Row],[RATemplate]],1,LEN(RADataTable[[#This Row],[RATemplate]])-8),"RA") &amp; " " &amp; RADataTable[[#This Row],[prop_id0]] &amp; " " &amp; RADataTable[[#This Row],[last0]]</f>
        <v>RA 1755978 Gangammanavar</v>
      </c>
      <c r="T890">
        <v>3</v>
      </c>
      <c r="U890">
        <v>3</v>
      </c>
      <c r="V890" s="34">
        <v>43031.75</v>
      </c>
      <c r="W890">
        <v>1</v>
      </c>
      <c r="X890" s="15" t="str">
        <f>HYPERLINK("https://www.ejacket.nsf.gov/ej/showProposal.do?Continue=Y&amp;ID="&amp;RADataTable[[#This Row],[prop_id0]],"eJ")</f>
        <v>eJ</v>
      </c>
      <c r="Y890" s="15" t="str">
        <f>HYPERLINK("mailto:"&amp;RADataTable[[#This Row],[email]]&amp;"&amp;subject=Your NSF Proposal:  "&amp;RADataTable[[#This Row],[Div]]&amp;" "&amp;RADataTable[[#This Row],[prop_id0]], RADataTable[[#This Row],[email]])</f>
        <v>harsha@smu.edu</v>
      </c>
      <c r="Z890" s="15" t="str">
        <f>HYPERLINK("mailto:"&amp;RADataTable[[#This Row],[allPIemail]]&amp;"&amp;subject=NSF Proposal:  "&amp;RADataTable[[#This Row],[Div]]&amp;" "&amp;RADataTable[[#This Row],[prop_id0]], "PIs@")</f>
        <v>PIs@</v>
      </c>
      <c r="AA890" t="s">
        <v>245</v>
      </c>
      <c r="AB890" t="s">
        <v>690</v>
      </c>
      <c r="AC890" s="30" t="s">
        <v>896</v>
      </c>
      <c r="AD890" t="s">
        <v>897</v>
      </c>
      <c r="AE890" t="s">
        <v>898</v>
      </c>
      <c r="AF890" s="36">
        <v>175000</v>
      </c>
      <c r="AG890" s="36">
        <v>175000</v>
      </c>
      <c r="AH890" s="24"/>
      <c r="AJ890" s="34"/>
      <c r="AK890" t="s">
        <v>923</v>
      </c>
      <c r="AL890" t="s">
        <v>924</v>
      </c>
      <c r="AM890" s="34" t="s">
        <v>925</v>
      </c>
      <c r="AN890" s="34">
        <v>43032</v>
      </c>
      <c r="AO890" s="24">
        <v>5</v>
      </c>
      <c r="AP890" t="s">
        <v>987</v>
      </c>
      <c r="AR890" s="35"/>
      <c r="AS890"/>
      <c r="AT890" s="34"/>
      <c r="AV890" s="34"/>
      <c r="AX890" s="34"/>
      <c r="AY890"/>
      <c r="BA890" s="34"/>
      <c r="BB890"/>
      <c r="BC890" t="s">
        <v>901</v>
      </c>
      <c r="BD890" s="36">
        <v>175000</v>
      </c>
      <c r="BE890" s="36">
        <v>175000</v>
      </c>
      <c r="BF890">
        <v>0</v>
      </c>
      <c r="BG890" s="34">
        <v>43101</v>
      </c>
      <c r="BH890">
        <v>24</v>
      </c>
      <c r="BI890" t="s">
        <v>974</v>
      </c>
      <c r="BJ890" t="s">
        <v>975</v>
      </c>
      <c r="BK890" t="s">
        <v>234</v>
      </c>
      <c r="BL890" t="s">
        <v>194</v>
      </c>
      <c r="BM890" s="8" t="s">
        <v>192</v>
      </c>
      <c r="BN890" t="s">
        <v>189</v>
      </c>
      <c r="BO890" t="s">
        <v>190</v>
      </c>
      <c r="BP890" s="35" t="s">
        <v>656</v>
      </c>
      <c r="BQ890"/>
      <c r="BU890" s="35"/>
      <c r="BV890" s="35"/>
      <c r="BX890"/>
      <c r="CA890" s="35"/>
      <c r="CB890" s="35"/>
      <c r="CC890"/>
      <c r="CG890" s="35"/>
      <c r="CH890" s="35"/>
      <c r="CK890"/>
      <c r="CM890" s="35"/>
      <c r="CN890" s="35"/>
      <c r="CQ890"/>
      <c r="CS890" s="35"/>
      <c r="CT890" s="35"/>
      <c r="CX890"/>
      <c r="CZ890" s="35"/>
      <c r="DD890" s="34"/>
      <c r="DG890" t="s">
        <v>899</v>
      </c>
      <c r="DH890" t="s">
        <v>988</v>
      </c>
      <c r="DI890" t="s">
        <v>798</v>
      </c>
      <c r="DL890" t="s">
        <v>690</v>
      </c>
      <c r="DM890">
        <v>3</v>
      </c>
      <c r="DN890">
        <v>6</v>
      </c>
      <c r="DO890" t="s">
        <v>900</v>
      </c>
      <c r="DQ890" t="s">
        <v>927</v>
      </c>
      <c r="DR890">
        <v>14</v>
      </c>
      <c r="DS890">
        <v>0</v>
      </c>
      <c r="DU890">
        <v>14</v>
      </c>
      <c r="DV890">
        <v>0</v>
      </c>
      <c r="DX890">
        <v>14</v>
      </c>
      <c r="DY890">
        <v>0</v>
      </c>
      <c r="DZ890" t="s">
        <v>246</v>
      </c>
      <c r="EA890" t="s">
        <v>929</v>
      </c>
    </row>
    <row r="891" spans="1:131" x14ac:dyDescent="0.4">
      <c r="A891" s="34">
        <v>43067.305104166669</v>
      </c>
      <c r="B891" s="25">
        <v>42956.717361111114</v>
      </c>
      <c r="D891" s="34"/>
      <c r="E891" s="34" t="s">
        <v>193</v>
      </c>
      <c r="F891" s="34" t="s">
        <v>191</v>
      </c>
      <c r="G891" s="34" t="s">
        <v>100</v>
      </c>
      <c r="H891" t="s">
        <v>856</v>
      </c>
      <c r="I891" t="s">
        <v>243</v>
      </c>
      <c r="J891" t="s">
        <v>857</v>
      </c>
      <c r="K891" t="s">
        <v>713</v>
      </c>
      <c r="L891" t="s">
        <v>855</v>
      </c>
      <c r="M891" s="30">
        <v>4.05</v>
      </c>
      <c r="N891">
        <v>4.666666666666667</v>
      </c>
      <c r="P891" s="24" t="str">
        <f>IFERROR(MID(RADataTable[[#This Row],[RATemplate]],1,LEN(RADataTable[[#This Row],[RATemplate]])-8),"RA") &amp; " " &amp; RADataTable[[#This Row],[prop_id0]] &amp; " " &amp; RADataTable[[#This Row],[last0]]</f>
        <v>RA 1755978 Gangammanavar</v>
      </c>
      <c r="T891">
        <v>3</v>
      </c>
      <c r="U891">
        <v>3</v>
      </c>
      <c r="V891" s="34">
        <v>43031.75</v>
      </c>
      <c r="W891">
        <v>1</v>
      </c>
      <c r="X891" s="15" t="str">
        <f>HYPERLINK("https://www.ejacket.nsf.gov/ej/showProposal.do?Continue=Y&amp;ID="&amp;RADataTable[[#This Row],[prop_id0]],"eJ")</f>
        <v>eJ</v>
      </c>
      <c r="Y891" s="15" t="str">
        <f>HYPERLINK("mailto:"&amp;RADataTable[[#This Row],[email]]&amp;"&amp;subject=Your NSF Proposal:  "&amp;RADataTable[[#This Row],[Div]]&amp;" "&amp;RADataTable[[#This Row],[prop_id0]], RADataTable[[#This Row],[email]])</f>
        <v>harsha@smu.edu</v>
      </c>
      <c r="Z891" s="15" t="str">
        <f>HYPERLINK("mailto:"&amp;RADataTable[[#This Row],[allPIemail]]&amp;"&amp;subject=NSF Proposal:  "&amp;RADataTable[[#This Row],[Div]]&amp;" "&amp;RADataTable[[#This Row],[prop_id0]], "PIs@")</f>
        <v>PIs@</v>
      </c>
      <c r="AA891" t="s">
        <v>245</v>
      </c>
      <c r="AB891" t="s">
        <v>690</v>
      </c>
      <c r="AC891" s="30" t="s">
        <v>896</v>
      </c>
      <c r="AD891" t="s">
        <v>897</v>
      </c>
      <c r="AE891" t="s">
        <v>898</v>
      </c>
      <c r="AF891" s="36">
        <v>175000</v>
      </c>
      <c r="AG891" s="36">
        <v>175000</v>
      </c>
      <c r="AH891" s="24"/>
      <c r="AJ891" s="34"/>
      <c r="AK891" t="s">
        <v>923</v>
      </c>
      <c r="AL891" t="s">
        <v>924</v>
      </c>
      <c r="AM891" s="34" t="s">
        <v>925</v>
      </c>
      <c r="AN891" s="34">
        <v>43032</v>
      </c>
      <c r="AO891" s="24">
        <v>5</v>
      </c>
      <c r="AP891" t="s">
        <v>987</v>
      </c>
      <c r="AR891" s="35"/>
      <c r="AS891"/>
      <c r="AT891" s="34"/>
      <c r="AV891" s="34"/>
      <c r="AX891" s="34"/>
      <c r="AY891"/>
      <c r="BA891" s="34"/>
      <c r="BB891"/>
      <c r="BC891" t="s">
        <v>901</v>
      </c>
      <c r="BD891" s="36">
        <v>175000</v>
      </c>
      <c r="BE891" s="36">
        <v>175000</v>
      </c>
      <c r="BF891">
        <v>0</v>
      </c>
      <c r="BG891" s="34">
        <v>43101</v>
      </c>
      <c r="BH891">
        <v>24</v>
      </c>
      <c r="BI891" t="s">
        <v>974</v>
      </c>
      <c r="BJ891" t="s">
        <v>975</v>
      </c>
      <c r="BK891" t="s">
        <v>234</v>
      </c>
      <c r="BL891" t="s">
        <v>194</v>
      </c>
      <c r="BM891" s="8" t="s">
        <v>192</v>
      </c>
      <c r="BN891" t="s">
        <v>189</v>
      </c>
      <c r="BO891" t="s">
        <v>190</v>
      </c>
      <c r="BP891" s="35" t="s">
        <v>656</v>
      </c>
      <c r="BQ891"/>
      <c r="BU891" s="35"/>
      <c r="BV891" s="35"/>
      <c r="BX891"/>
      <c r="CA891" s="35"/>
      <c r="CB891" s="35"/>
      <c r="CC891"/>
      <c r="CG891" s="35"/>
      <c r="CH891" s="35"/>
      <c r="CK891"/>
      <c r="CM891" s="35"/>
      <c r="CN891" s="35"/>
      <c r="CQ891"/>
      <c r="CS891" s="35"/>
      <c r="CT891" s="35"/>
      <c r="CX891"/>
      <c r="CZ891" s="35"/>
      <c r="DD891" s="34"/>
      <c r="DG891" t="s">
        <v>899</v>
      </c>
      <c r="DH891" t="s">
        <v>988</v>
      </c>
      <c r="DI891" t="s">
        <v>798</v>
      </c>
      <c r="DL891" t="s">
        <v>690</v>
      </c>
      <c r="DM891">
        <v>3</v>
      </c>
      <c r="DN891">
        <v>6</v>
      </c>
      <c r="DO891" t="s">
        <v>900</v>
      </c>
      <c r="DQ891" t="s">
        <v>927</v>
      </c>
      <c r="DR891">
        <v>14</v>
      </c>
      <c r="DS891">
        <v>0</v>
      </c>
      <c r="DU891">
        <v>14</v>
      </c>
      <c r="DV891">
        <v>0</v>
      </c>
      <c r="DX891">
        <v>14</v>
      </c>
      <c r="DY891">
        <v>0</v>
      </c>
      <c r="DZ891" t="s">
        <v>246</v>
      </c>
      <c r="EA891" t="s">
        <v>929</v>
      </c>
    </row>
    <row r="892" spans="1:131" x14ac:dyDescent="0.4">
      <c r="A892" s="34">
        <v>43067.305104166669</v>
      </c>
      <c r="B892" s="25">
        <v>42956.717361111114</v>
      </c>
      <c r="D892" s="34"/>
      <c r="E892" s="34" t="s">
        <v>193</v>
      </c>
      <c r="F892" s="34" t="s">
        <v>191</v>
      </c>
      <c r="G892" s="34" t="s">
        <v>100</v>
      </c>
      <c r="H892" t="s">
        <v>856</v>
      </c>
      <c r="I892" t="s">
        <v>243</v>
      </c>
      <c r="J892" t="s">
        <v>857</v>
      </c>
      <c r="K892" t="s">
        <v>713</v>
      </c>
      <c r="L892" t="s">
        <v>855</v>
      </c>
      <c r="M892" s="30">
        <v>4.05</v>
      </c>
      <c r="N892">
        <v>4.666666666666667</v>
      </c>
      <c r="P892" s="24" t="str">
        <f>IFERROR(MID(RADataTable[[#This Row],[RATemplate]],1,LEN(RADataTable[[#This Row],[RATemplate]])-8),"RA") &amp; " " &amp; RADataTable[[#This Row],[prop_id0]] &amp; " " &amp; RADataTable[[#This Row],[last0]]</f>
        <v>RA 1755978 Gangammanavar</v>
      </c>
      <c r="T892">
        <v>3</v>
      </c>
      <c r="U892">
        <v>3</v>
      </c>
      <c r="V892" s="34">
        <v>43031.75</v>
      </c>
      <c r="W892">
        <v>1</v>
      </c>
      <c r="X892" s="15" t="str">
        <f>HYPERLINK("https://www.ejacket.nsf.gov/ej/showProposal.do?Continue=Y&amp;ID="&amp;RADataTable[[#This Row],[prop_id0]],"eJ")</f>
        <v>eJ</v>
      </c>
      <c r="Y892" s="15" t="str">
        <f>HYPERLINK("mailto:"&amp;RADataTable[[#This Row],[email]]&amp;"&amp;subject=Your NSF Proposal:  "&amp;RADataTable[[#This Row],[Div]]&amp;" "&amp;RADataTable[[#This Row],[prop_id0]], RADataTable[[#This Row],[email]])</f>
        <v>harsha@smu.edu</v>
      </c>
      <c r="Z892" s="15" t="str">
        <f>HYPERLINK("mailto:"&amp;RADataTable[[#This Row],[allPIemail]]&amp;"&amp;subject=NSF Proposal:  "&amp;RADataTable[[#This Row],[Div]]&amp;" "&amp;RADataTable[[#This Row],[prop_id0]], "PIs@")</f>
        <v>PIs@</v>
      </c>
      <c r="AA892" t="s">
        <v>245</v>
      </c>
      <c r="AB892" t="s">
        <v>690</v>
      </c>
      <c r="AC892" s="30" t="s">
        <v>896</v>
      </c>
      <c r="AD892" t="s">
        <v>897</v>
      </c>
      <c r="AE892" t="s">
        <v>898</v>
      </c>
      <c r="AF892" s="36">
        <v>175000</v>
      </c>
      <c r="AG892" s="36">
        <v>175000</v>
      </c>
      <c r="AH892" s="24"/>
      <c r="AJ892" s="34"/>
      <c r="AK892" t="s">
        <v>923</v>
      </c>
      <c r="AL892" t="s">
        <v>924</v>
      </c>
      <c r="AM892" s="34" t="s">
        <v>925</v>
      </c>
      <c r="AN892" s="34">
        <v>43032</v>
      </c>
      <c r="AO892" s="24">
        <v>5</v>
      </c>
      <c r="AP892" t="s">
        <v>987</v>
      </c>
      <c r="AR892" s="35"/>
      <c r="AS892"/>
      <c r="AT892" s="34"/>
      <c r="AV892" s="34"/>
      <c r="AX892" s="34"/>
      <c r="AY892"/>
      <c r="BA892" s="34"/>
      <c r="BB892"/>
      <c r="BC892" t="s">
        <v>901</v>
      </c>
      <c r="BD892" s="36">
        <v>175000</v>
      </c>
      <c r="BE892" s="36">
        <v>175000</v>
      </c>
      <c r="BF892">
        <v>0</v>
      </c>
      <c r="BG892" s="34">
        <v>43101</v>
      </c>
      <c r="BH892">
        <v>24</v>
      </c>
      <c r="BI892" t="s">
        <v>974</v>
      </c>
      <c r="BJ892" t="s">
        <v>975</v>
      </c>
      <c r="BK892" t="s">
        <v>234</v>
      </c>
      <c r="BL892" t="s">
        <v>194</v>
      </c>
      <c r="BM892" s="8" t="s">
        <v>192</v>
      </c>
      <c r="BN892" t="s">
        <v>189</v>
      </c>
      <c r="BO892" t="s">
        <v>190</v>
      </c>
      <c r="BP892" s="35" t="s">
        <v>656</v>
      </c>
      <c r="BQ892"/>
      <c r="BU892" s="35"/>
      <c r="BV892" s="35"/>
      <c r="BX892"/>
      <c r="CA892" s="35"/>
      <c r="CB892" s="35"/>
      <c r="CC892"/>
      <c r="CG892" s="35"/>
      <c r="CH892" s="35"/>
      <c r="CK892"/>
      <c r="CM892" s="35"/>
      <c r="CN892" s="35"/>
      <c r="CQ892"/>
      <c r="CS892" s="35"/>
      <c r="CT892" s="35"/>
      <c r="CX892"/>
      <c r="CZ892" s="35"/>
      <c r="DD892" s="34"/>
      <c r="DG892" t="s">
        <v>899</v>
      </c>
      <c r="DH892" t="s">
        <v>988</v>
      </c>
      <c r="DI892" t="s">
        <v>798</v>
      </c>
      <c r="DL892" t="s">
        <v>690</v>
      </c>
      <c r="DM892">
        <v>3</v>
      </c>
      <c r="DN892">
        <v>6</v>
      </c>
      <c r="DO892" t="s">
        <v>900</v>
      </c>
      <c r="DQ892" t="s">
        <v>927</v>
      </c>
      <c r="DR892">
        <v>14</v>
      </c>
      <c r="DS892">
        <v>0</v>
      </c>
      <c r="DU892">
        <v>14</v>
      </c>
      <c r="DV892">
        <v>0</v>
      </c>
      <c r="DX892">
        <v>14</v>
      </c>
      <c r="DY892">
        <v>0</v>
      </c>
      <c r="DZ892" t="s">
        <v>246</v>
      </c>
      <c r="EA892" t="s">
        <v>929</v>
      </c>
    </row>
    <row r="893" spans="1:131" x14ac:dyDescent="0.4">
      <c r="A893" s="34">
        <v>43067.305104166669</v>
      </c>
      <c r="B893" s="25">
        <v>42956.717361111114</v>
      </c>
      <c r="D893" s="34"/>
      <c r="E893" s="34" t="s">
        <v>193</v>
      </c>
      <c r="F893" s="34" t="s">
        <v>191</v>
      </c>
      <c r="G893" s="34" t="s">
        <v>100</v>
      </c>
      <c r="H893" t="s">
        <v>856</v>
      </c>
      <c r="I893" t="s">
        <v>243</v>
      </c>
      <c r="J893" t="s">
        <v>857</v>
      </c>
      <c r="K893" t="s">
        <v>713</v>
      </c>
      <c r="L893" t="s">
        <v>855</v>
      </c>
      <c r="M893" s="30">
        <v>4.05</v>
      </c>
      <c r="N893">
        <v>4.666666666666667</v>
      </c>
      <c r="P893" s="24" t="str">
        <f>IFERROR(MID(RADataTable[[#This Row],[RATemplate]],1,LEN(RADataTable[[#This Row],[RATemplate]])-8),"RA") &amp; " " &amp; RADataTable[[#This Row],[prop_id0]] &amp; " " &amp; RADataTable[[#This Row],[last0]]</f>
        <v>RA 1755978 Gangammanavar</v>
      </c>
      <c r="T893">
        <v>3</v>
      </c>
      <c r="U893">
        <v>3</v>
      </c>
      <c r="V893" s="34">
        <v>43031.75</v>
      </c>
      <c r="W893">
        <v>1</v>
      </c>
      <c r="X893" s="15" t="str">
        <f>HYPERLINK("https://www.ejacket.nsf.gov/ej/showProposal.do?Continue=Y&amp;ID="&amp;RADataTable[[#This Row],[prop_id0]],"eJ")</f>
        <v>eJ</v>
      </c>
      <c r="Y893" s="15" t="str">
        <f>HYPERLINK("mailto:"&amp;RADataTable[[#This Row],[email]]&amp;"&amp;subject=Your NSF Proposal:  "&amp;RADataTable[[#This Row],[Div]]&amp;" "&amp;RADataTable[[#This Row],[prop_id0]], RADataTable[[#This Row],[email]])</f>
        <v>harsha@smu.edu</v>
      </c>
      <c r="Z893" s="15" t="str">
        <f>HYPERLINK("mailto:"&amp;RADataTable[[#This Row],[allPIemail]]&amp;"&amp;subject=NSF Proposal:  "&amp;RADataTable[[#This Row],[Div]]&amp;" "&amp;RADataTable[[#This Row],[prop_id0]], "PIs@")</f>
        <v>PIs@</v>
      </c>
      <c r="AA893" t="s">
        <v>245</v>
      </c>
      <c r="AB893" t="s">
        <v>690</v>
      </c>
      <c r="AC893" s="30" t="s">
        <v>896</v>
      </c>
      <c r="AD893" t="s">
        <v>897</v>
      </c>
      <c r="AE893" t="s">
        <v>898</v>
      </c>
      <c r="AF893" s="36">
        <v>175000</v>
      </c>
      <c r="AG893" s="36">
        <v>175000</v>
      </c>
      <c r="AH893" s="24"/>
      <c r="AJ893" s="34"/>
      <c r="AK893" t="s">
        <v>923</v>
      </c>
      <c r="AL893" t="s">
        <v>924</v>
      </c>
      <c r="AM893" s="34" t="s">
        <v>925</v>
      </c>
      <c r="AN893" s="34">
        <v>43032</v>
      </c>
      <c r="AO893" s="24">
        <v>5</v>
      </c>
      <c r="AP893" t="s">
        <v>987</v>
      </c>
      <c r="AR893" s="35"/>
      <c r="AS893"/>
      <c r="AT893" s="34"/>
      <c r="AV893" s="34"/>
      <c r="AX893" s="34"/>
      <c r="AY893"/>
      <c r="BA893" s="34"/>
      <c r="BB893"/>
      <c r="BC893" t="s">
        <v>901</v>
      </c>
      <c r="BD893" s="36">
        <v>175000</v>
      </c>
      <c r="BE893" s="36">
        <v>175000</v>
      </c>
      <c r="BF893">
        <v>0</v>
      </c>
      <c r="BG893" s="34">
        <v>43101</v>
      </c>
      <c r="BH893">
        <v>24</v>
      </c>
      <c r="BI893" t="s">
        <v>974</v>
      </c>
      <c r="BJ893" t="s">
        <v>975</v>
      </c>
      <c r="BK893" t="s">
        <v>234</v>
      </c>
      <c r="BL893" t="s">
        <v>194</v>
      </c>
      <c r="BM893" s="8" t="s">
        <v>192</v>
      </c>
      <c r="BN893" t="s">
        <v>189</v>
      </c>
      <c r="BO893" t="s">
        <v>190</v>
      </c>
      <c r="BP893" s="35" t="s">
        <v>656</v>
      </c>
      <c r="BQ893"/>
      <c r="BU893" s="35"/>
      <c r="BV893" s="35"/>
      <c r="BX893"/>
      <c r="CA893" s="35"/>
      <c r="CB893" s="35"/>
      <c r="CC893"/>
      <c r="CG893" s="35"/>
      <c r="CH893" s="35"/>
      <c r="CK893"/>
      <c r="CM893" s="35"/>
      <c r="CN893" s="35"/>
      <c r="CQ893"/>
      <c r="CS893" s="35"/>
      <c r="CT893" s="35"/>
      <c r="CX893"/>
      <c r="CZ893" s="35"/>
      <c r="DD893" s="34"/>
      <c r="DG893" t="s">
        <v>899</v>
      </c>
      <c r="DH893" t="s">
        <v>988</v>
      </c>
      <c r="DI893" t="s">
        <v>798</v>
      </c>
      <c r="DL893" t="s">
        <v>690</v>
      </c>
      <c r="DM893">
        <v>3</v>
      </c>
      <c r="DN893">
        <v>6</v>
      </c>
      <c r="DO893" t="s">
        <v>900</v>
      </c>
      <c r="DQ893" t="s">
        <v>927</v>
      </c>
      <c r="DR893">
        <v>14</v>
      </c>
      <c r="DS893">
        <v>0</v>
      </c>
      <c r="DU893">
        <v>14</v>
      </c>
      <c r="DV893">
        <v>0</v>
      </c>
      <c r="DX893">
        <v>14</v>
      </c>
      <c r="DY893">
        <v>0</v>
      </c>
      <c r="DZ893" t="s">
        <v>246</v>
      </c>
      <c r="EA893" t="s">
        <v>929</v>
      </c>
    </row>
    <row r="894" spans="1:131" x14ac:dyDescent="0.4">
      <c r="A894" s="34">
        <v>43067.305104166669</v>
      </c>
      <c r="B894" s="25">
        <v>42956.717361111114</v>
      </c>
      <c r="D894" s="34"/>
      <c r="E894" s="34" t="s">
        <v>193</v>
      </c>
      <c r="F894" s="34" t="s">
        <v>191</v>
      </c>
      <c r="G894" s="34" t="s">
        <v>100</v>
      </c>
      <c r="H894" t="s">
        <v>856</v>
      </c>
      <c r="I894" t="s">
        <v>243</v>
      </c>
      <c r="J894" t="s">
        <v>857</v>
      </c>
      <c r="K894" t="s">
        <v>713</v>
      </c>
      <c r="L894" t="s">
        <v>855</v>
      </c>
      <c r="M894" s="30">
        <v>4.05</v>
      </c>
      <c r="N894">
        <v>4.666666666666667</v>
      </c>
      <c r="P894" s="24" t="str">
        <f>IFERROR(MID(RADataTable[[#This Row],[RATemplate]],1,LEN(RADataTable[[#This Row],[RATemplate]])-8),"RA") &amp; " " &amp; RADataTable[[#This Row],[prop_id0]] &amp; " " &amp; RADataTable[[#This Row],[last0]]</f>
        <v>RA 1755978 Gangammanavar</v>
      </c>
      <c r="T894">
        <v>3</v>
      </c>
      <c r="U894">
        <v>3</v>
      </c>
      <c r="V894" s="34">
        <v>43031.75</v>
      </c>
      <c r="W894">
        <v>1</v>
      </c>
      <c r="X894" s="15" t="str">
        <f>HYPERLINK("https://www.ejacket.nsf.gov/ej/showProposal.do?Continue=Y&amp;ID="&amp;RADataTable[[#This Row],[prop_id0]],"eJ")</f>
        <v>eJ</v>
      </c>
      <c r="Y894" s="15" t="str">
        <f>HYPERLINK("mailto:"&amp;RADataTable[[#This Row],[email]]&amp;"&amp;subject=Your NSF Proposal:  "&amp;RADataTable[[#This Row],[Div]]&amp;" "&amp;RADataTable[[#This Row],[prop_id0]], RADataTable[[#This Row],[email]])</f>
        <v>harsha@smu.edu</v>
      </c>
      <c r="Z894" s="15" t="str">
        <f>HYPERLINK("mailto:"&amp;RADataTable[[#This Row],[allPIemail]]&amp;"&amp;subject=NSF Proposal:  "&amp;RADataTable[[#This Row],[Div]]&amp;" "&amp;RADataTable[[#This Row],[prop_id0]], "PIs@")</f>
        <v>PIs@</v>
      </c>
      <c r="AA894" t="s">
        <v>245</v>
      </c>
      <c r="AB894" t="s">
        <v>690</v>
      </c>
      <c r="AC894" s="30" t="s">
        <v>896</v>
      </c>
      <c r="AD894" t="s">
        <v>897</v>
      </c>
      <c r="AE894" t="s">
        <v>898</v>
      </c>
      <c r="AF894" s="36">
        <v>175000</v>
      </c>
      <c r="AG894" s="36">
        <v>175000</v>
      </c>
      <c r="AH894" s="24"/>
      <c r="AJ894" s="34"/>
      <c r="AK894" t="s">
        <v>923</v>
      </c>
      <c r="AL894" t="s">
        <v>924</v>
      </c>
      <c r="AM894" s="34" t="s">
        <v>925</v>
      </c>
      <c r="AN894" s="34">
        <v>43032</v>
      </c>
      <c r="AO894" s="24">
        <v>5</v>
      </c>
      <c r="AP894" t="s">
        <v>987</v>
      </c>
      <c r="AR894" s="35"/>
      <c r="AS894"/>
      <c r="AT894" s="34"/>
      <c r="AV894" s="34"/>
      <c r="AX894" s="34"/>
      <c r="AY894"/>
      <c r="BA894" s="34"/>
      <c r="BB894"/>
      <c r="BC894" t="s">
        <v>901</v>
      </c>
      <c r="BD894" s="36">
        <v>175000</v>
      </c>
      <c r="BE894" s="36">
        <v>175000</v>
      </c>
      <c r="BF894">
        <v>0</v>
      </c>
      <c r="BG894" s="34">
        <v>43101</v>
      </c>
      <c r="BH894">
        <v>24</v>
      </c>
      <c r="BI894" t="s">
        <v>974</v>
      </c>
      <c r="BJ894" t="s">
        <v>975</v>
      </c>
      <c r="BK894" t="s">
        <v>234</v>
      </c>
      <c r="BL894" t="s">
        <v>194</v>
      </c>
      <c r="BM894" s="8" t="s">
        <v>192</v>
      </c>
      <c r="BN894" t="s">
        <v>189</v>
      </c>
      <c r="BO894" t="s">
        <v>190</v>
      </c>
      <c r="BP894" s="35" t="s">
        <v>656</v>
      </c>
      <c r="BQ894"/>
      <c r="BU894" s="35"/>
      <c r="BV894" s="35"/>
      <c r="BX894"/>
      <c r="CA894" s="35"/>
      <c r="CB894" s="35"/>
      <c r="CC894"/>
      <c r="CG894" s="35"/>
      <c r="CH894" s="35"/>
      <c r="CK894"/>
      <c r="CM894" s="35"/>
      <c r="CN894" s="35"/>
      <c r="CQ894"/>
      <c r="CS894" s="35"/>
      <c r="CT894" s="35"/>
      <c r="CX894"/>
      <c r="CZ894" s="35"/>
      <c r="DD894" s="34"/>
      <c r="DG894" t="s">
        <v>899</v>
      </c>
      <c r="DH894" t="s">
        <v>988</v>
      </c>
      <c r="DI894" t="s">
        <v>798</v>
      </c>
      <c r="DL894" t="s">
        <v>690</v>
      </c>
      <c r="DM894">
        <v>3</v>
      </c>
      <c r="DN894">
        <v>6</v>
      </c>
      <c r="DO894" t="s">
        <v>900</v>
      </c>
      <c r="DQ894" t="s">
        <v>927</v>
      </c>
      <c r="DR894">
        <v>14</v>
      </c>
      <c r="DS894">
        <v>0</v>
      </c>
      <c r="DU894">
        <v>14</v>
      </c>
      <c r="DV894">
        <v>0</v>
      </c>
      <c r="DX894">
        <v>14</v>
      </c>
      <c r="DY894">
        <v>0</v>
      </c>
      <c r="DZ894" t="s">
        <v>246</v>
      </c>
      <c r="EA894" t="s">
        <v>929</v>
      </c>
    </row>
    <row r="895" spans="1:131" x14ac:dyDescent="0.4">
      <c r="A895" s="34">
        <v>43067.305104166669</v>
      </c>
      <c r="B895" s="25">
        <v>42956.717361111114</v>
      </c>
      <c r="D895" s="34"/>
      <c r="E895" s="34" t="s">
        <v>193</v>
      </c>
      <c r="F895" s="34" t="s">
        <v>191</v>
      </c>
      <c r="G895" s="34" t="s">
        <v>100</v>
      </c>
      <c r="H895" t="s">
        <v>856</v>
      </c>
      <c r="I895" t="s">
        <v>243</v>
      </c>
      <c r="J895" t="s">
        <v>857</v>
      </c>
      <c r="K895" t="s">
        <v>713</v>
      </c>
      <c r="L895" t="s">
        <v>855</v>
      </c>
      <c r="M895" s="30">
        <v>4.05</v>
      </c>
      <c r="N895">
        <v>4.666666666666667</v>
      </c>
      <c r="P895" s="24" t="str">
        <f>IFERROR(MID(RADataTable[[#This Row],[RATemplate]],1,LEN(RADataTable[[#This Row],[RATemplate]])-8),"RA") &amp; " " &amp; RADataTable[[#This Row],[prop_id0]] &amp; " " &amp; RADataTable[[#This Row],[last0]]</f>
        <v>RA 1755978 Gangammanavar</v>
      </c>
      <c r="T895">
        <v>3</v>
      </c>
      <c r="U895">
        <v>3</v>
      </c>
      <c r="V895" s="34">
        <v>43031.75</v>
      </c>
      <c r="W895">
        <v>1</v>
      </c>
      <c r="X895" s="15" t="str">
        <f>HYPERLINK("https://www.ejacket.nsf.gov/ej/showProposal.do?Continue=Y&amp;ID="&amp;RADataTable[[#This Row],[prop_id0]],"eJ")</f>
        <v>eJ</v>
      </c>
      <c r="Y895" s="15" t="str">
        <f>HYPERLINK("mailto:"&amp;RADataTable[[#This Row],[email]]&amp;"&amp;subject=Your NSF Proposal:  "&amp;RADataTable[[#This Row],[Div]]&amp;" "&amp;RADataTable[[#This Row],[prop_id0]], RADataTable[[#This Row],[email]])</f>
        <v>harsha@smu.edu</v>
      </c>
      <c r="Z895" s="15" t="str">
        <f>HYPERLINK("mailto:"&amp;RADataTable[[#This Row],[allPIemail]]&amp;"&amp;subject=NSF Proposal:  "&amp;RADataTable[[#This Row],[Div]]&amp;" "&amp;RADataTable[[#This Row],[prop_id0]], "PIs@")</f>
        <v>PIs@</v>
      </c>
      <c r="AA895" t="s">
        <v>245</v>
      </c>
      <c r="AB895" t="s">
        <v>690</v>
      </c>
      <c r="AC895" s="30" t="s">
        <v>896</v>
      </c>
      <c r="AD895" t="s">
        <v>897</v>
      </c>
      <c r="AE895" t="s">
        <v>898</v>
      </c>
      <c r="AF895" s="36">
        <v>175000</v>
      </c>
      <c r="AG895" s="36">
        <v>175000</v>
      </c>
      <c r="AH895" s="24"/>
      <c r="AJ895" s="34"/>
      <c r="AK895" t="s">
        <v>923</v>
      </c>
      <c r="AL895" t="s">
        <v>924</v>
      </c>
      <c r="AM895" s="34" t="s">
        <v>925</v>
      </c>
      <c r="AN895" s="34">
        <v>43032</v>
      </c>
      <c r="AO895" s="24">
        <v>5</v>
      </c>
      <c r="AP895" t="s">
        <v>987</v>
      </c>
      <c r="AR895" s="35"/>
      <c r="AS895"/>
      <c r="AT895" s="34"/>
      <c r="AV895" s="34"/>
      <c r="AX895" s="34"/>
      <c r="AY895"/>
      <c r="BA895" s="34"/>
      <c r="BB895"/>
      <c r="BC895" t="s">
        <v>901</v>
      </c>
      <c r="BD895" s="36">
        <v>175000</v>
      </c>
      <c r="BE895" s="36">
        <v>175000</v>
      </c>
      <c r="BF895">
        <v>0</v>
      </c>
      <c r="BG895" s="34">
        <v>43101</v>
      </c>
      <c r="BH895">
        <v>24</v>
      </c>
      <c r="BI895" t="s">
        <v>974</v>
      </c>
      <c r="BJ895" t="s">
        <v>975</v>
      </c>
      <c r="BK895" t="s">
        <v>234</v>
      </c>
      <c r="BL895" t="s">
        <v>194</v>
      </c>
      <c r="BM895" s="8" t="s">
        <v>192</v>
      </c>
      <c r="BN895" t="s">
        <v>189</v>
      </c>
      <c r="BO895" t="s">
        <v>190</v>
      </c>
      <c r="BP895" s="35" t="s">
        <v>656</v>
      </c>
      <c r="BQ895"/>
      <c r="BU895" s="35"/>
      <c r="BV895" s="35"/>
      <c r="BX895"/>
      <c r="CA895" s="35"/>
      <c r="CB895" s="35"/>
      <c r="CC895"/>
      <c r="CG895" s="35"/>
      <c r="CH895" s="35"/>
      <c r="CK895"/>
      <c r="CM895" s="35"/>
      <c r="CN895" s="35"/>
      <c r="CQ895"/>
      <c r="CS895" s="35"/>
      <c r="CT895" s="35"/>
      <c r="CX895"/>
      <c r="CZ895" s="35"/>
      <c r="DD895" s="34"/>
      <c r="DG895" t="s">
        <v>899</v>
      </c>
      <c r="DH895" t="s">
        <v>988</v>
      </c>
      <c r="DI895" t="s">
        <v>798</v>
      </c>
      <c r="DL895" t="s">
        <v>690</v>
      </c>
      <c r="DM895">
        <v>3</v>
      </c>
      <c r="DN895">
        <v>6</v>
      </c>
      <c r="DO895" t="s">
        <v>900</v>
      </c>
      <c r="DQ895" t="s">
        <v>927</v>
      </c>
      <c r="DR895">
        <v>14</v>
      </c>
      <c r="DS895">
        <v>0</v>
      </c>
      <c r="DU895">
        <v>14</v>
      </c>
      <c r="DV895">
        <v>0</v>
      </c>
      <c r="DX895">
        <v>14</v>
      </c>
      <c r="DY895">
        <v>0</v>
      </c>
      <c r="DZ895" t="s">
        <v>246</v>
      </c>
      <c r="EA895" t="s">
        <v>929</v>
      </c>
    </row>
    <row r="896" spans="1:131" x14ac:dyDescent="0.4">
      <c r="A896" s="34">
        <v>43067.305104166669</v>
      </c>
      <c r="B896" s="25">
        <v>42956.717361111114</v>
      </c>
      <c r="D896" s="34"/>
      <c r="E896" s="34" t="s">
        <v>193</v>
      </c>
      <c r="F896" s="34" t="s">
        <v>191</v>
      </c>
      <c r="G896" s="34" t="s">
        <v>100</v>
      </c>
      <c r="H896" t="s">
        <v>856</v>
      </c>
      <c r="I896" t="s">
        <v>243</v>
      </c>
      <c r="J896" t="s">
        <v>857</v>
      </c>
      <c r="K896" t="s">
        <v>713</v>
      </c>
      <c r="L896" t="s">
        <v>855</v>
      </c>
      <c r="M896" s="30">
        <v>4.05</v>
      </c>
      <c r="N896">
        <v>4.666666666666667</v>
      </c>
      <c r="P896" s="24" t="str">
        <f>IFERROR(MID(RADataTable[[#This Row],[RATemplate]],1,LEN(RADataTable[[#This Row],[RATemplate]])-8),"RA") &amp; " " &amp; RADataTable[[#This Row],[prop_id0]] &amp; " " &amp; RADataTable[[#This Row],[last0]]</f>
        <v>RA 1755978 Gangammanavar</v>
      </c>
      <c r="T896">
        <v>3</v>
      </c>
      <c r="U896">
        <v>3</v>
      </c>
      <c r="V896" s="34">
        <v>43031.75</v>
      </c>
      <c r="W896">
        <v>1</v>
      </c>
      <c r="X896" s="15" t="str">
        <f>HYPERLINK("https://www.ejacket.nsf.gov/ej/showProposal.do?Continue=Y&amp;ID="&amp;RADataTable[[#This Row],[prop_id0]],"eJ")</f>
        <v>eJ</v>
      </c>
      <c r="Y896" s="15" t="str">
        <f>HYPERLINK("mailto:"&amp;RADataTable[[#This Row],[email]]&amp;"&amp;subject=Your NSF Proposal:  "&amp;RADataTable[[#This Row],[Div]]&amp;" "&amp;RADataTable[[#This Row],[prop_id0]], RADataTable[[#This Row],[email]])</f>
        <v>harsha@smu.edu</v>
      </c>
      <c r="Z896" s="15" t="str">
        <f>HYPERLINK("mailto:"&amp;RADataTable[[#This Row],[allPIemail]]&amp;"&amp;subject=NSF Proposal:  "&amp;RADataTable[[#This Row],[Div]]&amp;" "&amp;RADataTable[[#This Row],[prop_id0]], "PIs@")</f>
        <v>PIs@</v>
      </c>
      <c r="AA896" t="s">
        <v>245</v>
      </c>
      <c r="AB896" t="s">
        <v>690</v>
      </c>
      <c r="AC896" s="30" t="s">
        <v>896</v>
      </c>
      <c r="AD896" t="s">
        <v>897</v>
      </c>
      <c r="AE896" t="s">
        <v>898</v>
      </c>
      <c r="AF896" s="36">
        <v>175000</v>
      </c>
      <c r="AG896" s="36">
        <v>175000</v>
      </c>
      <c r="AH896" s="24"/>
      <c r="AJ896" s="34"/>
      <c r="AK896" t="s">
        <v>923</v>
      </c>
      <c r="AL896" t="s">
        <v>924</v>
      </c>
      <c r="AM896" s="34" t="s">
        <v>925</v>
      </c>
      <c r="AN896" s="34">
        <v>43032</v>
      </c>
      <c r="AO896" s="24">
        <v>5</v>
      </c>
      <c r="AP896" t="s">
        <v>987</v>
      </c>
      <c r="AR896" s="35"/>
      <c r="AS896"/>
      <c r="AT896" s="34"/>
      <c r="AV896" s="34"/>
      <c r="AX896" s="34"/>
      <c r="AY896"/>
      <c r="BA896" s="34"/>
      <c r="BB896"/>
      <c r="BC896" t="s">
        <v>901</v>
      </c>
      <c r="BD896" s="36">
        <v>175000</v>
      </c>
      <c r="BE896" s="36">
        <v>175000</v>
      </c>
      <c r="BF896">
        <v>0</v>
      </c>
      <c r="BG896" s="34">
        <v>43101</v>
      </c>
      <c r="BH896">
        <v>24</v>
      </c>
      <c r="BI896" t="s">
        <v>974</v>
      </c>
      <c r="BJ896" t="s">
        <v>975</v>
      </c>
      <c r="BK896" t="s">
        <v>234</v>
      </c>
      <c r="BL896" t="s">
        <v>194</v>
      </c>
      <c r="BM896" s="8" t="s">
        <v>192</v>
      </c>
      <c r="BN896" t="s">
        <v>189</v>
      </c>
      <c r="BO896" t="s">
        <v>190</v>
      </c>
      <c r="BP896" s="35" t="s">
        <v>656</v>
      </c>
      <c r="BQ896"/>
      <c r="BU896" s="35"/>
      <c r="BV896" s="35"/>
      <c r="BX896"/>
      <c r="CA896" s="35"/>
      <c r="CB896" s="35"/>
      <c r="CC896"/>
      <c r="CG896" s="35"/>
      <c r="CH896" s="35"/>
      <c r="CK896"/>
      <c r="CM896" s="35"/>
      <c r="CN896" s="35"/>
      <c r="CQ896"/>
      <c r="CS896" s="35"/>
      <c r="CT896" s="35"/>
      <c r="CX896"/>
      <c r="CZ896" s="35"/>
      <c r="DD896" s="34"/>
      <c r="DG896" t="s">
        <v>899</v>
      </c>
      <c r="DH896" t="s">
        <v>988</v>
      </c>
      <c r="DI896" t="s">
        <v>798</v>
      </c>
      <c r="DL896" t="s">
        <v>690</v>
      </c>
      <c r="DM896">
        <v>3</v>
      </c>
      <c r="DN896">
        <v>6</v>
      </c>
      <c r="DO896" t="s">
        <v>900</v>
      </c>
      <c r="DQ896" t="s">
        <v>927</v>
      </c>
      <c r="DR896">
        <v>14</v>
      </c>
      <c r="DS896">
        <v>0</v>
      </c>
      <c r="DU896">
        <v>14</v>
      </c>
      <c r="DV896">
        <v>0</v>
      </c>
      <c r="DX896">
        <v>14</v>
      </c>
      <c r="DY896">
        <v>0</v>
      </c>
      <c r="DZ896" t="s">
        <v>246</v>
      </c>
      <c r="EA896" t="s">
        <v>929</v>
      </c>
    </row>
    <row r="897" spans="1:131" x14ac:dyDescent="0.4">
      <c r="A897" s="34">
        <v>43067.305104166669</v>
      </c>
      <c r="B897" s="25">
        <v>42956.717361111114</v>
      </c>
      <c r="D897" s="34"/>
      <c r="E897" s="34" t="s">
        <v>193</v>
      </c>
      <c r="F897" s="34" t="s">
        <v>191</v>
      </c>
      <c r="G897" s="34" t="s">
        <v>100</v>
      </c>
      <c r="H897" t="s">
        <v>856</v>
      </c>
      <c r="I897" t="s">
        <v>243</v>
      </c>
      <c r="J897" t="s">
        <v>857</v>
      </c>
      <c r="K897" t="s">
        <v>713</v>
      </c>
      <c r="L897" t="s">
        <v>855</v>
      </c>
      <c r="M897" s="30">
        <v>4.05</v>
      </c>
      <c r="N897">
        <v>4.666666666666667</v>
      </c>
      <c r="P897" s="24" t="str">
        <f>IFERROR(MID(RADataTable[[#This Row],[RATemplate]],1,LEN(RADataTable[[#This Row],[RATemplate]])-8),"RA") &amp; " " &amp; RADataTable[[#This Row],[prop_id0]] &amp; " " &amp; RADataTable[[#This Row],[last0]]</f>
        <v>RA 1755978 Gangammanavar</v>
      </c>
      <c r="T897">
        <v>3</v>
      </c>
      <c r="U897">
        <v>3</v>
      </c>
      <c r="V897" s="34">
        <v>43031.75</v>
      </c>
      <c r="W897">
        <v>1</v>
      </c>
      <c r="X897" s="15" t="str">
        <f>HYPERLINK("https://www.ejacket.nsf.gov/ej/showProposal.do?Continue=Y&amp;ID="&amp;RADataTable[[#This Row],[prop_id0]],"eJ")</f>
        <v>eJ</v>
      </c>
      <c r="Y897" s="15" t="str">
        <f>HYPERLINK("mailto:"&amp;RADataTable[[#This Row],[email]]&amp;"&amp;subject=Your NSF Proposal:  "&amp;RADataTable[[#This Row],[Div]]&amp;" "&amp;RADataTable[[#This Row],[prop_id0]], RADataTable[[#This Row],[email]])</f>
        <v>harsha@smu.edu</v>
      </c>
      <c r="Z897" s="15" t="str">
        <f>HYPERLINK("mailto:"&amp;RADataTable[[#This Row],[allPIemail]]&amp;"&amp;subject=NSF Proposal:  "&amp;RADataTable[[#This Row],[Div]]&amp;" "&amp;RADataTable[[#This Row],[prop_id0]], "PIs@")</f>
        <v>PIs@</v>
      </c>
      <c r="AA897" t="s">
        <v>245</v>
      </c>
      <c r="AB897" t="s">
        <v>690</v>
      </c>
      <c r="AC897" s="30" t="s">
        <v>896</v>
      </c>
      <c r="AD897" t="s">
        <v>897</v>
      </c>
      <c r="AE897" t="s">
        <v>898</v>
      </c>
      <c r="AF897" s="36">
        <v>175000</v>
      </c>
      <c r="AG897" s="36">
        <v>175000</v>
      </c>
      <c r="AH897" s="24"/>
      <c r="AJ897" s="34"/>
      <c r="AK897" t="s">
        <v>923</v>
      </c>
      <c r="AL897" t="s">
        <v>924</v>
      </c>
      <c r="AM897" s="34" t="s">
        <v>925</v>
      </c>
      <c r="AN897" s="34">
        <v>43032</v>
      </c>
      <c r="AO897" s="24">
        <v>5</v>
      </c>
      <c r="AP897" t="s">
        <v>987</v>
      </c>
      <c r="AR897" s="35"/>
      <c r="AS897"/>
      <c r="AT897" s="34"/>
      <c r="AV897" s="34"/>
      <c r="AX897" s="34"/>
      <c r="AY897"/>
      <c r="BA897" s="34"/>
      <c r="BB897"/>
      <c r="BC897" t="s">
        <v>901</v>
      </c>
      <c r="BD897" s="36">
        <v>175000</v>
      </c>
      <c r="BE897" s="36">
        <v>175000</v>
      </c>
      <c r="BF897">
        <v>0</v>
      </c>
      <c r="BG897" s="34">
        <v>43101</v>
      </c>
      <c r="BH897">
        <v>24</v>
      </c>
      <c r="BI897" t="s">
        <v>974</v>
      </c>
      <c r="BJ897" t="s">
        <v>975</v>
      </c>
      <c r="BK897" t="s">
        <v>234</v>
      </c>
      <c r="BL897" t="s">
        <v>194</v>
      </c>
      <c r="BM897" s="8" t="s">
        <v>192</v>
      </c>
      <c r="BN897" t="s">
        <v>189</v>
      </c>
      <c r="BO897" t="s">
        <v>190</v>
      </c>
      <c r="BP897" s="35" t="s">
        <v>656</v>
      </c>
      <c r="BQ897"/>
      <c r="BU897" s="35"/>
      <c r="BV897" s="35"/>
      <c r="BX897"/>
      <c r="CA897" s="35"/>
      <c r="CB897" s="35"/>
      <c r="CC897"/>
      <c r="CG897" s="35"/>
      <c r="CH897" s="35"/>
      <c r="CK897"/>
      <c r="CM897" s="35"/>
      <c r="CN897" s="35"/>
      <c r="CQ897"/>
      <c r="CS897" s="35"/>
      <c r="CT897" s="35"/>
      <c r="CX897"/>
      <c r="CZ897" s="35"/>
      <c r="DD897" s="34"/>
      <c r="DG897" t="s">
        <v>899</v>
      </c>
      <c r="DH897" t="s">
        <v>988</v>
      </c>
      <c r="DI897" t="s">
        <v>798</v>
      </c>
      <c r="DL897" t="s">
        <v>690</v>
      </c>
      <c r="DM897">
        <v>3</v>
      </c>
      <c r="DN897">
        <v>6</v>
      </c>
      <c r="DO897" t="s">
        <v>900</v>
      </c>
      <c r="DQ897" t="s">
        <v>927</v>
      </c>
      <c r="DR897">
        <v>14</v>
      </c>
      <c r="DS897">
        <v>0</v>
      </c>
      <c r="DU897">
        <v>14</v>
      </c>
      <c r="DV897">
        <v>0</v>
      </c>
      <c r="DX897">
        <v>14</v>
      </c>
      <c r="DY897">
        <v>0</v>
      </c>
      <c r="DZ897" t="s">
        <v>246</v>
      </c>
      <c r="EA897" t="s">
        <v>929</v>
      </c>
    </row>
    <row r="898" spans="1:131" x14ac:dyDescent="0.4">
      <c r="A898" s="34">
        <v>43067.305104166669</v>
      </c>
      <c r="B898" s="25">
        <v>42956.717361111114</v>
      </c>
      <c r="D898" s="34"/>
      <c r="E898" s="34" t="s">
        <v>193</v>
      </c>
      <c r="F898" s="34" t="s">
        <v>191</v>
      </c>
      <c r="G898" s="34" t="s">
        <v>100</v>
      </c>
      <c r="H898" t="s">
        <v>856</v>
      </c>
      <c r="I898" t="s">
        <v>243</v>
      </c>
      <c r="J898" t="s">
        <v>857</v>
      </c>
      <c r="K898" t="s">
        <v>713</v>
      </c>
      <c r="L898" t="s">
        <v>855</v>
      </c>
      <c r="M898" s="30">
        <v>4.05</v>
      </c>
      <c r="N898">
        <v>4.666666666666667</v>
      </c>
      <c r="P898" s="24" t="str">
        <f>IFERROR(MID(RADataTable[[#This Row],[RATemplate]],1,LEN(RADataTable[[#This Row],[RATemplate]])-8),"RA") &amp; " " &amp; RADataTable[[#This Row],[prop_id0]] &amp; " " &amp; RADataTable[[#This Row],[last0]]</f>
        <v>RA 1755978 Gangammanavar</v>
      </c>
      <c r="T898">
        <v>3</v>
      </c>
      <c r="U898">
        <v>3</v>
      </c>
      <c r="V898" s="34">
        <v>43031.75</v>
      </c>
      <c r="W898">
        <v>1</v>
      </c>
      <c r="X898" s="15" t="str">
        <f>HYPERLINK("https://www.ejacket.nsf.gov/ej/showProposal.do?Continue=Y&amp;ID="&amp;RADataTable[[#This Row],[prop_id0]],"eJ")</f>
        <v>eJ</v>
      </c>
      <c r="Y898" s="15" t="str">
        <f>HYPERLINK("mailto:"&amp;RADataTable[[#This Row],[email]]&amp;"&amp;subject=Your NSF Proposal:  "&amp;RADataTable[[#This Row],[Div]]&amp;" "&amp;RADataTable[[#This Row],[prop_id0]], RADataTable[[#This Row],[email]])</f>
        <v>harsha@smu.edu</v>
      </c>
      <c r="Z898" s="15" t="str">
        <f>HYPERLINK("mailto:"&amp;RADataTable[[#This Row],[allPIemail]]&amp;"&amp;subject=NSF Proposal:  "&amp;RADataTable[[#This Row],[Div]]&amp;" "&amp;RADataTable[[#This Row],[prop_id0]], "PIs@")</f>
        <v>PIs@</v>
      </c>
      <c r="AA898" t="s">
        <v>245</v>
      </c>
      <c r="AB898" t="s">
        <v>690</v>
      </c>
      <c r="AC898" s="30" t="s">
        <v>896</v>
      </c>
      <c r="AD898" t="s">
        <v>897</v>
      </c>
      <c r="AE898" t="s">
        <v>898</v>
      </c>
      <c r="AF898" s="36">
        <v>175000</v>
      </c>
      <c r="AG898" s="36">
        <v>175000</v>
      </c>
      <c r="AH898" s="24"/>
      <c r="AJ898" s="34"/>
      <c r="AK898" t="s">
        <v>923</v>
      </c>
      <c r="AL898" t="s">
        <v>924</v>
      </c>
      <c r="AM898" s="34" t="s">
        <v>925</v>
      </c>
      <c r="AN898" s="34">
        <v>43032</v>
      </c>
      <c r="AO898" s="24">
        <v>5</v>
      </c>
      <c r="AP898" t="s">
        <v>987</v>
      </c>
      <c r="AR898" s="35"/>
      <c r="AS898"/>
      <c r="AT898" s="34"/>
      <c r="AV898" s="34"/>
      <c r="AX898" s="34"/>
      <c r="AY898"/>
      <c r="BA898" s="34"/>
      <c r="BB898"/>
      <c r="BC898" t="s">
        <v>901</v>
      </c>
      <c r="BD898" s="36">
        <v>175000</v>
      </c>
      <c r="BE898" s="36">
        <v>175000</v>
      </c>
      <c r="BF898">
        <v>0</v>
      </c>
      <c r="BG898" s="34">
        <v>43101</v>
      </c>
      <c r="BH898">
        <v>24</v>
      </c>
      <c r="BI898" t="s">
        <v>974</v>
      </c>
      <c r="BJ898" t="s">
        <v>975</v>
      </c>
      <c r="BK898" t="s">
        <v>234</v>
      </c>
      <c r="BL898" t="s">
        <v>194</v>
      </c>
      <c r="BM898" s="8" t="s">
        <v>192</v>
      </c>
      <c r="BN898" t="s">
        <v>189</v>
      </c>
      <c r="BO898" t="s">
        <v>190</v>
      </c>
      <c r="BP898" s="35" t="s">
        <v>656</v>
      </c>
      <c r="BQ898"/>
      <c r="BU898" s="35"/>
      <c r="BV898" s="35"/>
      <c r="BX898"/>
      <c r="CA898" s="35"/>
      <c r="CB898" s="35"/>
      <c r="CC898"/>
      <c r="CG898" s="35"/>
      <c r="CH898" s="35"/>
      <c r="CK898"/>
      <c r="CM898" s="35"/>
      <c r="CN898" s="35"/>
      <c r="CQ898"/>
      <c r="CS898" s="35"/>
      <c r="CT898" s="35"/>
      <c r="CX898"/>
      <c r="CZ898" s="35"/>
      <c r="DD898" s="34"/>
      <c r="DG898" t="s">
        <v>899</v>
      </c>
      <c r="DH898" t="s">
        <v>988</v>
      </c>
      <c r="DI898" t="s">
        <v>798</v>
      </c>
      <c r="DL898" t="s">
        <v>690</v>
      </c>
      <c r="DM898">
        <v>3</v>
      </c>
      <c r="DN898">
        <v>6</v>
      </c>
      <c r="DO898" t="s">
        <v>900</v>
      </c>
      <c r="DQ898" t="s">
        <v>927</v>
      </c>
      <c r="DR898">
        <v>14</v>
      </c>
      <c r="DS898">
        <v>0</v>
      </c>
      <c r="DU898">
        <v>14</v>
      </c>
      <c r="DV898">
        <v>0</v>
      </c>
      <c r="DX898">
        <v>14</v>
      </c>
      <c r="DY898">
        <v>0</v>
      </c>
      <c r="DZ898" t="s">
        <v>246</v>
      </c>
      <c r="EA898" t="s">
        <v>929</v>
      </c>
    </row>
    <row r="899" spans="1:131" x14ac:dyDescent="0.4">
      <c r="A899" s="34">
        <v>43067.305104166669</v>
      </c>
      <c r="B899" s="25">
        <v>42956.717361111114</v>
      </c>
      <c r="D899" s="34"/>
      <c r="E899" s="34" t="s">
        <v>193</v>
      </c>
      <c r="F899" s="34" t="s">
        <v>191</v>
      </c>
      <c r="G899" s="34" t="s">
        <v>100</v>
      </c>
      <c r="H899" t="s">
        <v>856</v>
      </c>
      <c r="I899" t="s">
        <v>243</v>
      </c>
      <c r="J899" t="s">
        <v>857</v>
      </c>
      <c r="K899" t="s">
        <v>713</v>
      </c>
      <c r="L899" t="s">
        <v>855</v>
      </c>
      <c r="M899" s="30">
        <v>4.05</v>
      </c>
      <c r="N899">
        <v>4.666666666666667</v>
      </c>
      <c r="P899" s="24" t="str">
        <f>IFERROR(MID(RADataTable[[#This Row],[RATemplate]],1,LEN(RADataTable[[#This Row],[RATemplate]])-8),"RA") &amp; " " &amp; RADataTable[[#This Row],[prop_id0]] &amp; " " &amp; RADataTable[[#This Row],[last0]]</f>
        <v>RA 1755978 Gangammanavar</v>
      </c>
      <c r="T899">
        <v>3</v>
      </c>
      <c r="U899">
        <v>3</v>
      </c>
      <c r="V899" s="34">
        <v>43031.75</v>
      </c>
      <c r="W899">
        <v>1</v>
      </c>
      <c r="X899" s="15" t="str">
        <f>HYPERLINK("https://www.ejacket.nsf.gov/ej/showProposal.do?Continue=Y&amp;ID="&amp;RADataTable[[#This Row],[prop_id0]],"eJ")</f>
        <v>eJ</v>
      </c>
      <c r="Y899" s="15" t="str">
        <f>HYPERLINK("mailto:"&amp;RADataTable[[#This Row],[email]]&amp;"&amp;subject=Your NSF Proposal:  "&amp;RADataTable[[#This Row],[Div]]&amp;" "&amp;RADataTable[[#This Row],[prop_id0]], RADataTable[[#This Row],[email]])</f>
        <v>harsha@smu.edu</v>
      </c>
      <c r="Z899" s="15" t="str">
        <f>HYPERLINK("mailto:"&amp;RADataTable[[#This Row],[allPIemail]]&amp;"&amp;subject=NSF Proposal:  "&amp;RADataTable[[#This Row],[Div]]&amp;" "&amp;RADataTable[[#This Row],[prop_id0]], "PIs@")</f>
        <v>PIs@</v>
      </c>
      <c r="AA899" t="s">
        <v>245</v>
      </c>
      <c r="AB899" t="s">
        <v>690</v>
      </c>
      <c r="AC899" s="30" t="s">
        <v>896</v>
      </c>
      <c r="AD899" t="s">
        <v>897</v>
      </c>
      <c r="AE899" t="s">
        <v>898</v>
      </c>
      <c r="AF899" s="36">
        <v>175000</v>
      </c>
      <c r="AG899" s="36">
        <v>175000</v>
      </c>
      <c r="AH899" s="24"/>
      <c r="AJ899" s="34"/>
      <c r="AK899" t="s">
        <v>923</v>
      </c>
      <c r="AL899" t="s">
        <v>924</v>
      </c>
      <c r="AM899" s="34" t="s">
        <v>925</v>
      </c>
      <c r="AN899" s="34">
        <v>43032</v>
      </c>
      <c r="AO899" s="24">
        <v>5</v>
      </c>
      <c r="AP899" t="s">
        <v>987</v>
      </c>
      <c r="AR899" s="35"/>
      <c r="AS899"/>
      <c r="AT899" s="34"/>
      <c r="AV899" s="34"/>
      <c r="AX899" s="34"/>
      <c r="AY899"/>
      <c r="BA899" s="34"/>
      <c r="BB899"/>
      <c r="BC899" t="s">
        <v>901</v>
      </c>
      <c r="BD899" s="36">
        <v>175000</v>
      </c>
      <c r="BE899" s="36">
        <v>175000</v>
      </c>
      <c r="BF899">
        <v>0</v>
      </c>
      <c r="BG899" s="34">
        <v>43101</v>
      </c>
      <c r="BH899">
        <v>24</v>
      </c>
      <c r="BI899" t="s">
        <v>974</v>
      </c>
      <c r="BJ899" t="s">
        <v>975</v>
      </c>
      <c r="BK899" t="s">
        <v>234</v>
      </c>
      <c r="BL899" t="s">
        <v>194</v>
      </c>
      <c r="BM899" s="8" t="s">
        <v>192</v>
      </c>
      <c r="BN899" t="s">
        <v>189</v>
      </c>
      <c r="BO899" t="s">
        <v>190</v>
      </c>
      <c r="BP899" s="35" t="s">
        <v>656</v>
      </c>
      <c r="BQ899"/>
      <c r="BU899" s="35"/>
      <c r="BV899" s="35"/>
      <c r="BX899"/>
      <c r="CA899" s="35"/>
      <c r="CB899" s="35"/>
      <c r="CC899"/>
      <c r="CG899" s="35"/>
      <c r="CH899" s="35"/>
      <c r="CK899"/>
      <c r="CM899" s="35"/>
      <c r="CN899" s="35"/>
      <c r="CQ899"/>
      <c r="CS899" s="35"/>
      <c r="CT899" s="35"/>
      <c r="CX899"/>
      <c r="CZ899" s="35"/>
      <c r="DD899" s="34"/>
      <c r="DG899" t="s">
        <v>899</v>
      </c>
      <c r="DH899" t="s">
        <v>988</v>
      </c>
      <c r="DI899" t="s">
        <v>798</v>
      </c>
      <c r="DL899" t="s">
        <v>690</v>
      </c>
      <c r="DM899">
        <v>3</v>
      </c>
      <c r="DN899">
        <v>6</v>
      </c>
      <c r="DO899" t="s">
        <v>900</v>
      </c>
      <c r="DQ899" t="s">
        <v>927</v>
      </c>
      <c r="DR899">
        <v>14</v>
      </c>
      <c r="DS899">
        <v>0</v>
      </c>
      <c r="DU899">
        <v>14</v>
      </c>
      <c r="DV899">
        <v>0</v>
      </c>
      <c r="DX899">
        <v>14</v>
      </c>
      <c r="DY899">
        <v>0</v>
      </c>
      <c r="DZ899" t="s">
        <v>246</v>
      </c>
      <c r="EA899" t="s">
        <v>929</v>
      </c>
    </row>
    <row r="900" spans="1:131" x14ac:dyDescent="0.4">
      <c r="A900" s="34">
        <v>43067.305104166669</v>
      </c>
      <c r="B900" s="25">
        <v>42956.717361111114</v>
      </c>
      <c r="D900" s="34"/>
      <c r="E900" s="34" t="s">
        <v>193</v>
      </c>
      <c r="F900" s="34" t="s">
        <v>191</v>
      </c>
      <c r="G900" s="34" t="s">
        <v>100</v>
      </c>
      <c r="H900" t="s">
        <v>856</v>
      </c>
      <c r="I900" t="s">
        <v>243</v>
      </c>
      <c r="J900" t="s">
        <v>857</v>
      </c>
      <c r="K900" t="s">
        <v>713</v>
      </c>
      <c r="L900" t="s">
        <v>855</v>
      </c>
      <c r="M900" s="30">
        <v>4.05</v>
      </c>
      <c r="N900">
        <v>4.666666666666667</v>
      </c>
      <c r="P900" s="24" t="str">
        <f>IFERROR(MID(RADataTable[[#This Row],[RATemplate]],1,LEN(RADataTable[[#This Row],[RATemplate]])-8),"RA") &amp; " " &amp; RADataTable[[#This Row],[prop_id0]] &amp; " " &amp; RADataTable[[#This Row],[last0]]</f>
        <v>RA 1755978 Gangammanavar</v>
      </c>
      <c r="T900">
        <v>3</v>
      </c>
      <c r="U900">
        <v>3</v>
      </c>
      <c r="V900" s="34">
        <v>43031.75</v>
      </c>
      <c r="W900">
        <v>1</v>
      </c>
      <c r="X900" s="15" t="str">
        <f>HYPERLINK("https://www.ejacket.nsf.gov/ej/showProposal.do?Continue=Y&amp;ID="&amp;RADataTable[[#This Row],[prop_id0]],"eJ")</f>
        <v>eJ</v>
      </c>
      <c r="Y900" s="15" t="str">
        <f>HYPERLINK("mailto:"&amp;RADataTable[[#This Row],[email]]&amp;"&amp;subject=Your NSF Proposal:  "&amp;RADataTable[[#This Row],[Div]]&amp;" "&amp;RADataTable[[#This Row],[prop_id0]], RADataTable[[#This Row],[email]])</f>
        <v>harsha@smu.edu</v>
      </c>
      <c r="Z900" s="15" t="str">
        <f>HYPERLINK("mailto:"&amp;RADataTable[[#This Row],[allPIemail]]&amp;"&amp;subject=NSF Proposal:  "&amp;RADataTable[[#This Row],[Div]]&amp;" "&amp;RADataTable[[#This Row],[prop_id0]], "PIs@")</f>
        <v>PIs@</v>
      </c>
      <c r="AA900" t="s">
        <v>245</v>
      </c>
      <c r="AB900" t="s">
        <v>690</v>
      </c>
      <c r="AC900" s="30" t="s">
        <v>896</v>
      </c>
      <c r="AD900" t="s">
        <v>897</v>
      </c>
      <c r="AE900" t="s">
        <v>898</v>
      </c>
      <c r="AF900" s="36">
        <v>175000</v>
      </c>
      <c r="AG900" s="36">
        <v>175000</v>
      </c>
      <c r="AH900" s="24"/>
      <c r="AJ900" s="34"/>
      <c r="AK900" t="s">
        <v>923</v>
      </c>
      <c r="AL900" t="s">
        <v>924</v>
      </c>
      <c r="AM900" s="34" t="s">
        <v>925</v>
      </c>
      <c r="AN900" s="34">
        <v>43032</v>
      </c>
      <c r="AO900" s="24">
        <v>5</v>
      </c>
      <c r="AP900" t="s">
        <v>987</v>
      </c>
      <c r="AR900" s="35"/>
      <c r="AS900"/>
      <c r="AT900" s="34"/>
      <c r="AV900" s="34"/>
      <c r="AX900" s="34"/>
      <c r="AY900"/>
      <c r="BA900" s="34"/>
      <c r="BB900"/>
      <c r="BC900" t="s">
        <v>901</v>
      </c>
      <c r="BD900" s="36">
        <v>175000</v>
      </c>
      <c r="BE900" s="36">
        <v>175000</v>
      </c>
      <c r="BF900">
        <v>0</v>
      </c>
      <c r="BG900" s="34">
        <v>43101</v>
      </c>
      <c r="BH900">
        <v>24</v>
      </c>
      <c r="BI900" t="s">
        <v>974</v>
      </c>
      <c r="BJ900" t="s">
        <v>975</v>
      </c>
      <c r="BK900" t="s">
        <v>234</v>
      </c>
      <c r="BL900" t="s">
        <v>194</v>
      </c>
      <c r="BM900" s="8" t="s">
        <v>192</v>
      </c>
      <c r="BN900" t="s">
        <v>189</v>
      </c>
      <c r="BO900" t="s">
        <v>190</v>
      </c>
      <c r="BP900" s="35" t="s">
        <v>656</v>
      </c>
      <c r="BQ900"/>
      <c r="BU900" s="35"/>
      <c r="BV900" s="35"/>
      <c r="BX900"/>
      <c r="CA900" s="35"/>
      <c r="CB900" s="35"/>
      <c r="CC900"/>
      <c r="CG900" s="35"/>
      <c r="CH900" s="35"/>
      <c r="CK900"/>
      <c r="CM900" s="35"/>
      <c r="CN900" s="35"/>
      <c r="CQ900"/>
      <c r="CS900" s="35"/>
      <c r="CT900" s="35"/>
      <c r="CX900"/>
      <c r="CZ900" s="35"/>
      <c r="DD900" s="34"/>
      <c r="DG900" t="s">
        <v>899</v>
      </c>
      <c r="DH900" t="s">
        <v>988</v>
      </c>
      <c r="DI900" t="s">
        <v>798</v>
      </c>
      <c r="DL900" t="s">
        <v>690</v>
      </c>
      <c r="DM900">
        <v>3</v>
      </c>
      <c r="DN900">
        <v>6</v>
      </c>
      <c r="DO900" t="s">
        <v>900</v>
      </c>
      <c r="DQ900" t="s">
        <v>927</v>
      </c>
      <c r="DR900">
        <v>14</v>
      </c>
      <c r="DS900">
        <v>0</v>
      </c>
      <c r="DU900">
        <v>14</v>
      </c>
      <c r="DV900">
        <v>0</v>
      </c>
      <c r="DX900">
        <v>14</v>
      </c>
      <c r="DY900">
        <v>0</v>
      </c>
      <c r="DZ900" t="s">
        <v>246</v>
      </c>
      <c r="EA900" t="s">
        <v>929</v>
      </c>
    </row>
    <row r="901" spans="1:131" x14ac:dyDescent="0.4">
      <c r="A901" s="34">
        <v>43067.305104166669</v>
      </c>
      <c r="B901" s="25">
        <v>42956.717361111114</v>
      </c>
      <c r="D901" s="34"/>
      <c r="E901" s="34" t="s">
        <v>193</v>
      </c>
      <c r="F901" s="34" t="s">
        <v>191</v>
      </c>
      <c r="G901" s="34" t="s">
        <v>100</v>
      </c>
      <c r="H901" t="s">
        <v>856</v>
      </c>
      <c r="I901" t="s">
        <v>243</v>
      </c>
      <c r="J901" t="s">
        <v>857</v>
      </c>
      <c r="K901" t="s">
        <v>713</v>
      </c>
      <c r="L901" t="s">
        <v>855</v>
      </c>
      <c r="M901" s="30">
        <v>4.05</v>
      </c>
      <c r="N901">
        <v>4.666666666666667</v>
      </c>
      <c r="P901" s="24" t="str">
        <f>IFERROR(MID(RADataTable[[#This Row],[RATemplate]],1,LEN(RADataTable[[#This Row],[RATemplate]])-8),"RA") &amp; " " &amp; RADataTable[[#This Row],[prop_id0]] &amp; " " &amp; RADataTable[[#This Row],[last0]]</f>
        <v>RA 1755978 Gangammanavar</v>
      </c>
      <c r="T901">
        <v>3</v>
      </c>
      <c r="U901">
        <v>3</v>
      </c>
      <c r="V901" s="34">
        <v>43031.75</v>
      </c>
      <c r="W901">
        <v>1</v>
      </c>
      <c r="X901" s="15" t="str">
        <f>HYPERLINK("https://www.ejacket.nsf.gov/ej/showProposal.do?Continue=Y&amp;ID="&amp;RADataTable[[#This Row],[prop_id0]],"eJ")</f>
        <v>eJ</v>
      </c>
      <c r="Y901" s="15" t="str">
        <f>HYPERLINK("mailto:"&amp;RADataTable[[#This Row],[email]]&amp;"&amp;subject=Your NSF Proposal:  "&amp;RADataTable[[#This Row],[Div]]&amp;" "&amp;RADataTable[[#This Row],[prop_id0]], RADataTable[[#This Row],[email]])</f>
        <v>harsha@smu.edu</v>
      </c>
      <c r="Z901" s="15" t="str">
        <f>HYPERLINK("mailto:"&amp;RADataTable[[#This Row],[allPIemail]]&amp;"&amp;subject=NSF Proposal:  "&amp;RADataTable[[#This Row],[Div]]&amp;" "&amp;RADataTable[[#This Row],[prop_id0]], "PIs@")</f>
        <v>PIs@</v>
      </c>
      <c r="AA901" t="s">
        <v>245</v>
      </c>
      <c r="AB901" t="s">
        <v>690</v>
      </c>
      <c r="AC901" s="30" t="s">
        <v>896</v>
      </c>
      <c r="AD901" t="s">
        <v>897</v>
      </c>
      <c r="AE901" t="s">
        <v>898</v>
      </c>
      <c r="AF901" s="36">
        <v>175000</v>
      </c>
      <c r="AG901" s="36">
        <v>175000</v>
      </c>
      <c r="AH901" s="24"/>
      <c r="AJ901" s="34"/>
      <c r="AK901" t="s">
        <v>923</v>
      </c>
      <c r="AL901" t="s">
        <v>924</v>
      </c>
      <c r="AM901" s="34" t="s">
        <v>925</v>
      </c>
      <c r="AN901" s="34">
        <v>43032</v>
      </c>
      <c r="AO901" s="24">
        <v>5</v>
      </c>
      <c r="AP901" t="s">
        <v>987</v>
      </c>
      <c r="AR901" s="35"/>
      <c r="AS901"/>
      <c r="AT901" s="34"/>
      <c r="AV901" s="34"/>
      <c r="AX901" s="34"/>
      <c r="AY901"/>
      <c r="BA901" s="34"/>
      <c r="BB901"/>
      <c r="BC901" t="s">
        <v>901</v>
      </c>
      <c r="BD901" s="36">
        <v>175000</v>
      </c>
      <c r="BE901" s="36">
        <v>175000</v>
      </c>
      <c r="BF901">
        <v>0</v>
      </c>
      <c r="BG901" s="34">
        <v>43101</v>
      </c>
      <c r="BH901">
        <v>24</v>
      </c>
      <c r="BI901" t="s">
        <v>974</v>
      </c>
      <c r="BJ901" t="s">
        <v>975</v>
      </c>
      <c r="BK901" t="s">
        <v>234</v>
      </c>
      <c r="BL901" t="s">
        <v>194</v>
      </c>
      <c r="BM901" s="8" t="s">
        <v>192</v>
      </c>
      <c r="BN901" t="s">
        <v>189</v>
      </c>
      <c r="BO901" t="s">
        <v>190</v>
      </c>
      <c r="BP901" s="35" t="s">
        <v>656</v>
      </c>
      <c r="BQ901"/>
      <c r="BU901" s="35"/>
      <c r="BV901" s="35"/>
      <c r="BX901"/>
      <c r="CA901" s="35"/>
      <c r="CB901" s="35"/>
      <c r="CC901"/>
      <c r="CG901" s="35"/>
      <c r="CH901" s="35"/>
      <c r="CK901"/>
      <c r="CM901" s="35"/>
      <c r="CN901" s="35"/>
      <c r="CQ901"/>
      <c r="CS901" s="35"/>
      <c r="CT901" s="35"/>
      <c r="CX901"/>
      <c r="CZ901" s="35"/>
      <c r="DD901" s="34"/>
      <c r="DG901" t="s">
        <v>899</v>
      </c>
      <c r="DH901" t="s">
        <v>988</v>
      </c>
      <c r="DI901" t="s">
        <v>798</v>
      </c>
      <c r="DL901" t="s">
        <v>690</v>
      </c>
      <c r="DM901">
        <v>3</v>
      </c>
      <c r="DN901">
        <v>6</v>
      </c>
      <c r="DO901" t="s">
        <v>900</v>
      </c>
      <c r="DQ901" t="s">
        <v>927</v>
      </c>
      <c r="DR901">
        <v>14</v>
      </c>
      <c r="DS901">
        <v>0</v>
      </c>
      <c r="DU901">
        <v>14</v>
      </c>
      <c r="DV901">
        <v>0</v>
      </c>
      <c r="DX901">
        <v>14</v>
      </c>
      <c r="DY901">
        <v>0</v>
      </c>
      <c r="DZ901" t="s">
        <v>246</v>
      </c>
      <c r="EA901" t="s">
        <v>929</v>
      </c>
    </row>
    <row r="902" spans="1:131" x14ac:dyDescent="0.4">
      <c r="A902" s="34">
        <v>43067.305104166669</v>
      </c>
      <c r="B902" s="25">
        <v>42930.554166666669</v>
      </c>
      <c r="D902" s="34"/>
      <c r="E902" s="34" t="s">
        <v>193</v>
      </c>
      <c r="F902" s="34" t="s">
        <v>191</v>
      </c>
      <c r="G902" s="34" t="s">
        <v>100</v>
      </c>
      <c r="H902" t="s">
        <v>279</v>
      </c>
      <c r="I902" t="s">
        <v>243</v>
      </c>
      <c r="J902" t="s">
        <v>712</v>
      </c>
      <c r="K902" t="s">
        <v>713</v>
      </c>
      <c r="L902" t="s">
        <v>711</v>
      </c>
      <c r="M902" s="30">
        <v>4.22</v>
      </c>
      <c r="N902">
        <v>3.75</v>
      </c>
      <c r="P902" s="24" t="str">
        <f>IFERROR(MID(RADataTable[[#This Row],[RATemplate]],1,LEN(RADataTable[[#This Row],[RATemplate]])-8),"RA") &amp; " " &amp; RADataTable[[#This Row],[prop_id0]] &amp; " " &amp; RADataTable[[#This Row],[last0]]</f>
        <v>RA 1749173 Borgwardt</v>
      </c>
      <c r="T902">
        <v>4</v>
      </c>
      <c r="U902">
        <v>4</v>
      </c>
      <c r="V902" s="34">
        <v>43031.583333333336</v>
      </c>
      <c r="W902">
        <v>1</v>
      </c>
      <c r="X902" s="15" t="str">
        <f>HYPERLINK("https://www.ejacket.nsf.gov/ej/showProposal.do?Continue=Y&amp;ID="&amp;RADataTable[[#This Row],[prop_id0]],"eJ")</f>
        <v>eJ</v>
      </c>
      <c r="Y902" s="15" t="str">
        <f>HYPERLINK("mailto:"&amp;RADataTable[[#This Row],[email]]&amp;"&amp;subject=Your NSF Proposal:  "&amp;RADataTable[[#This Row],[Div]]&amp;" "&amp;RADataTable[[#This Row],[prop_id0]], RADataTable[[#This Row],[email]])</f>
        <v>steffen.borgwardt@ucdenver.edu</v>
      </c>
      <c r="Z902" s="15" t="str">
        <f>HYPERLINK("mailto:"&amp;RADataTable[[#This Row],[allPIemail]]&amp;"&amp;subject=NSF Proposal:  "&amp;RADataTable[[#This Row],[Div]]&amp;" "&amp;RADataTable[[#This Row],[prop_id0]], "PIs@")</f>
        <v>PIs@</v>
      </c>
      <c r="AA902" t="s">
        <v>245</v>
      </c>
      <c r="AB902" t="s">
        <v>661</v>
      </c>
      <c r="AC902" s="30" t="s">
        <v>714</v>
      </c>
      <c r="AD902" t="s">
        <v>715</v>
      </c>
      <c r="AE902" t="s">
        <v>716</v>
      </c>
      <c r="AF902" s="36">
        <v>470400</v>
      </c>
      <c r="AG902" s="36">
        <v>470400</v>
      </c>
      <c r="AH902" s="24"/>
      <c r="AJ902" s="34"/>
      <c r="AK902" t="s">
        <v>923</v>
      </c>
      <c r="AL902" t="s">
        <v>924</v>
      </c>
      <c r="AM902" s="34" t="s">
        <v>925</v>
      </c>
      <c r="AN902" s="34">
        <v>43032</v>
      </c>
      <c r="AO902" s="24">
        <v>22</v>
      </c>
      <c r="AP902" t="s">
        <v>926</v>
      </c>
      <c r="AR902" s="35"/>
      <c r="AS902"/>
      <c r="AT902" s="34"/>
      <c r="AV902" s="34"/>
      <c r="AX902" s="34"/>
      <c r="AY902"/>
      <c r="BA902" s="34"/>
      <c r="BB902"/>
      <c r="BC902" t="s">
        <v>720</v>
      </c>
      <c r="BD902" s="36">
        <v>470400</v>
      </c>
      <c r="BE902" s="36">
        <v>470400</v>
      </c>
      <c r="BF902">
        <v>0</v>
      </c>
      <c r="BG902" s="34">
        <v>43101</v>
      </c>
      <c r="BH902">
        <v>60</v>
      </c>
      <c r="BI902" t="s">
        <v>283</v>
      </c>
      <c r="BJ902" t="s">
        <v>928</v>
      </c>
      <c r="BK902" t="s">
        <v>234</v>
      </c>
      <c r="BL902" t="s">
        <v>194</v>
      </c>
      <c r="BM902" s="8" t="s">
        <v>192</v>
      </c>
      <c r="BN902" t="s">
        <v>189</v>
      </c>
      <c r="BO902" t="s">
        <v>190</v>
      </c>
      <c r="BP902" s="35" t="s">
        <v>718</v>
      </c>
      <c r="BQ902"/>
      <c r="BU902" s="35"/>
      <c r="BV902" s="35"/>
      <c r="BX902"/>
      <c r="CA902" s="35"/>
      <c r="CB902" s="35"/>
      <c r="CC902"/>
      <c r="CG902" s="35"/>
      <c r="CH902" s="35"/>
      <c r="CK902"/>
      <c r="CM902" s="35"/>
      <c r="CN902" s="35"/>
      <c r="CQ902"/>
      <c r="CS902" s="35"/>
      <c r="CT902" s="35"/>
      <c r="CX902"/>
      <c r="CZ902" s="35"/>
      <c r="DD902" s="34"/>
      <c r="DG902" t="s">
        <v>717</v>
      </c>
      <c r="DH902" t="s">
        <v>930</v>
      </c>
      <c r="DI902" t="s">
        <v>798</v>
      </c>
      <c r="DL902" t="s">
        <v>661</v>
      </c>
      <c r="DM902">
        <v>2</v>
      </c>
      <c r="DN902">
        <v>7</v>
      </c>
      <c r="DO902" t="s">
        <v>719</v>
      </c>
      <c r="DQ902" t="s">
        <v>927</v>
      </c>
      <c r="DR902">
        <v>14</v>
      </c>
      <c r="DS902">
        <v>0</v>
      </c>
      <c r="DU902">
        <v>14</v>
      </c>
      <c r="DV902">
        <v>0</v>
      </c>
      <c r="DX902">
        <v>14</v>
      </c>
      <c r="DY902">
        <v>0</v>
      </c>
      <c r="DZ902" t="s">
        <v>246</v>
      </c>
      <c r="EA902" t="s">
        <v>929</v>
      </c>
    </row>
    <row r="903" spans="1:131" x14ac:dyDescent="0.4">
      <c r="A903" s="34">
        <v>43067.305104166669</v>
      </c>
      <c r="B903" s="25">
        <v>42930.554166666669</v>
      </c>
      <c r="D903" s="34"/>
      <c r="E903" s="34" t="s">
        <v>193</v>
      </c>
      <c r="F903" s="34" t="s">
        <v>191</v>
      </c>
      <c r="G903" s="34" t="s">
        <v>100</v>
      </c>
      <c r="H903" t="s">
        <v>279</v>
      </c>
      <c r="I903" t="s">
        <v>243</v>
      </c>
      <c r="J903" t="s">
        <v>712</v>
      </c>
      <c r="K903" t="s">
        <v>713</v>
      </c>
      <c r="L903" t="s">
        <v>711</v>
      </c>
      <c r="M903" s="30">
        <v>4.22</v>
      </c>
      <c r="N903">
        <v>3.75</v>
      </c>
      <c r="P903" s="24" t="str">
        <f>IFERROR(MID(RADataTable[[#This Row],[RATemplate]],1,LEN(RADataTable[[#This Row],[RATemplate]])-8),"RA") &amp; " " &amp; RADataTable[[#This Row],[prop_id0]] &amp; " " &amp; RADataTable[[#This Row],[last0]]</f>
        <v>RA 1749173 Borgwardt</v>
      </c>
      <c r="T903">
        <v>4</v>
      </c>
      <c r="U903">
        <v>4</v>
      </c>
      <c r="V903" s="34">
        <v>43031.583333333336</v>
      </c>
      <c r="W903">
        <v>1</v>
      </c>
      <c r="X903" s="15" t="str">
        <f>HYPERLINK("https://www.ejacket.nsf.gov/ej/showProposal.do?Continue=Y&amp;ID="&amp;RADataTable[[#This Row],[prop_id0]],"eJ")</f>
        <v>eJ</v>
      </c>
      <c r="Y903" s="15" t="str">
        <f>HYPERLINK("mailto:"&amp;RADataTable[[#This Row],[email]]&amp;"&amp;subject=Your NSF Proposal:  "&amp;RADataTable[[#This Row],[Div]]&amp;" "&amp;RADataTable[[#This Row],[prop_id0]], RADataTable[[#This Row],[email]])</f>
        <v>steffen.borgwardt@ucdenver.edu</v>
      </c>
      <c r="Z903" s="15" t="str">
        <f>HYPERLINK("mailto:"&amp;RADataTable[[#This Row],[allPIemail]]&amp;"&amp;subject=NSF Proposal:  "&amp;RADataTable[[#This Row],[Div]]&amp;" "&amp;RADataTable[[#This Row],[prop_id0]], "PIs@")</f>
        <v>PIs@</v>
      </c>
      <c r="AA903" t="s">
        <v>245</v>
      </c>
      <c r="AB903" t="s">
        <v>661</v>
      </c>
      <c r="AC903" s="30" t="s">
        <v>714</v>
      </c>
      <c r="AD903" t="s">
        <v>715</v>
      </c>
      <c r="AE903" t="s">
        <v>716</v>
      </c>
      <c r="AF903" s="36">
        <v>470400</v>
      </c>
      <c r="AG903" s="36">
        <v>470400</v>
      </c>
      <c r="AH903" s="24"/>
      <c r="AJ903" s="34"/>
      <c r="AK903" t="s">
        <v>923</v>
      </c>
      <c r="AL903" t="s">
        <v>924</v>
      </c>
      <c r="AM903" s="34" t="s">
        <v>925</v>
      </c>
      <c r="AN903" s="34">
        <v>43032</v>
      </c>
      <c r="AO903" s="24">
        <v>22</v>
      </c>
      <c r="AP903" t="s">
        <v>926</v>
      </c>
      <c r="AR903" s="35"/>
      <c r="AS903"/>
      <c r="AT903" s="34"/>
      <c r="AV903" s="34"/>
      <c r="AX903" s="34"/>
      <c r="AY903"/>
      <c r="BA903" s="34"/>
      <c r="BB903"/>
      <c r="BC903" t="s">
        <v>720</v>
      </c>
      <c r="BD903" s="36">
        <v>470400</v>
      </c>
      <c r="BE903" s="36">
        <v>470400</v>
      </c>
      <c r="BF903">
        <v>0</v>
      </c>
      <c r="BG903" s="34">
        <v>43101</v>
      </c>
      <c r="BH903">
        <v>60</v>
      </c>
      <c r="BI903" t="s">
        <v>283</v>
      </c>
      <c r="BJ903" t="s">
        <v>928</v>
      </c>
      <c r="BK903" t="s">
        <v>234</v>
      </c>
      <c r="BL903" t="s">
        <v>194</v>
      </c>
      <c r="BM903" s="8" t="s">
        <v>192</v>
      </c>
      <c r="BN903" t="s">
        <v>189</v>
      </c>
      <c r="BO903" t="s">
        <v>190</v>
      </c>
      <c r="BP903" s="35" t="s">
        <v>718</v>
      </c>
      <c r="BQ903"/>
      <c r="BU903" s="35"/>
      <c r="BV903" s="35"/>
      <c r="BX903"/>
      <c r="CA903" s="35"/>
      <c r="CB903" s="35"/>
      <c r="CC903"/>
      <c r="CG903" s="35"/>
      <c r="CH903" s="35"/>
      <c r="CK903"/>
      <c r="CM903" s="35"/>
      <c r="CN903" s="35"/>
      <c r="CQ903"/>
      <c r="CS903" s="35"/>
      <c r="CT903" s="35"/>
      <c r="CX903"/>
      <c r="CZ903" s="35"/>
      <c r="DD903" s="34"/>
      <c r="DG903" t="s">
        <v>717</v>
      </c>
      <c r="DH903" t="s">
        <v>930</v>
      </c>
      <c r="DI903" t="s">
        <v>798</v>
      </c>
      <c r="DL903" t="s">
        <v>661</v>
      </c>
      <c r="DM903">
        <v>2</v>
      </c>
      <c r="DN903">
        <v>7</v>
      </c>
      <c r="DO903" t="s">
        <v>719</v>
      </c>
      <c r="DQ903" t="s">
        <v>927</v>
      </c>
      <c r="DR903">
        <v>14</v>
      </c>
      <c r="DS903">
        <v>0</v>
      </c>
      <c r="DU903">
        <v>14</v>
      </c>
      <c r="DV903">
        <v>0</v>
      </c>
      <c r="DX903">
        <v>14</v>
      </c>
      <c r="DY903">
        <v>0</v>
      </c>
      <c r="DZ903" t="s">
        <v>246</v>
      </c>
      <c r="EA903" t="s">
        <v>929</v>
      </c>
    </row>
    <row r="904" spans="1:131" x14ac:dyDescent="0.4">
      <c r="A904" s="34">
        <v>43067.305104166669</v>
      </c>
      <c r="B904" s="25">
        <v>42930.554166666669</v>
      </c>
      <c r="D904" s="34"/>
      <c r="E904" s="34" t="s">
        <v>193</v>
      </c>
      <c r="F904" s="34" t="s">
        <v>191</v>
      </c>
      <c r="G904" s="34" t="s">
        <v>100</v>
      </c>
      <c r="H904" t="s">
        <v>279</v>
      </c>
      <c r="I904" t="s">
        <v>243</v>
      </c>
      <c r="J904" t="s">
        <v>712</v>
      </c>
      <c r="K904" t="s">
        <v>713</v>
      </c>
      <c r="L904" t="s">
        <v>711</v>
      </c>
      <c r="M904" s="30">
        <v>4.22</v>
      </c>
      <c r="N904">
        <v>3.75</v>
      </c>
      <c r="P904" s="24" t="str">
        <f>IFERROR(MID(RADataTable[[#This Row],[RATemplate]],1,LEN(RADataTable[[#This Row],[RATemplate]])-8),"RA") &amp; " " &amp; RADataTable[[#This Row],[prop_id0]] &amp; " " &amp; RADataTable[[#This Row],[last0]]</f>
        <v>RA 1749173 Borgwardt</v>
      </c>
      <c r="T904">
        <v>4</v>
      </c>
      <c r="U904">
        <v>4</v>
      </c>
      <c r="V904" s="34">
        <v>43031.583333333336</v>
      </c>
      <c r="W904">
        <v>1</v>
      </c>
      <c r="X904" s="15" t="str">
        <f>HYPERLINK("https://www.ejacket.nsf.gov/ej/showProposal.do?Continue=Y&amp;ID="&amp;RADataTable[[#This Row],[prop_id0]],"eJ")</f>
        <v>eJ</v>
      </c>
      <c r="Y904" s="15" t="str">
        <f>HYPERLINK("mailto:"&amp;RADataTable[[#This Row],[email]]&amp;"&amp;subject=Your NSF Proposal:  "&amp;RADataTable[[#This Row],[Div]]&amp;" "&amp;RADataTable[[#This Row],[prop_id0]], RADataTable[[#This Row],[email]])</f>
        <v>steffen.borgwardt@ucdenver.edu</v>
      </c>
      <c r="Z904" s="15" t="str">
        <f>HYPERLINK("mailto:"&amp;RADataTable[[#This Row],[allPIemail]]&amp;"&amp;subject=NSF Proposal:  "&amp;RADataTable[[#This Row],[Div]]&amp;" "&amp;RADataTable[[#This Row],[prop_id0]], "PIs@")</f>
        <v>PIs@</v>
      </c>
      <c r="AA904" t="s">
        <v>245</v>
      </c>
      <c r="AB904" t="s">
        <v>661</v>
      </c>
      <c r="AC904" s="30" t="s">
        <v>714</v>
      </c>
      <c r="AD904" t="s">
        <v>715</v>
      </c>
      <c r="AE904" t="s">
        <v>716</v>
      </c>
      <c r="AF904" s="36">
        <v>470400</v>
      </c>
      <c r="AG904" s="36">
        <v>470400</v>
      </c>
      <c r="AH904" s="24"/>
      <c r="AJ904" s="34"/>
      <c r="AK904" t="s">
        <v>923</v>
      </c>
      <c r="AL904" t="s">
        <v>924</v>
      </c>
      <c r="AM904" s="34" t="s">
        <v>925</v>
      </c>
      <c r="AN904" s="34">
        <v>43032</v>
      </c>
      <c r="AO904" s="24">
        <v>22</v>
      </c>
      <c r="AP904" t="s">
        <v>926</v>
      </c>
      <c r="AR904" s="35"/>
      <c r="AS904"/>
      <c r="AT904" s="34"/>
      <c r="AV904" s="34"/>
      <c r="AX904" s="34"/>
      <c r="AY904"/>
      <c r="BA904" s="34"/>
      <c r="BB904"/>
      <c r="BC904" t="s">
        <v>720</v>
      </c>
      <c r="BD904" s="36">
        <v>470400</v>
      </c>
      <c r="BE904" s="36">
        <v>470400</v>
      </c>
      <c r="BF904">
        <v>0</v>
      </c>
      <c r="BG904" s="34">
        <v>43101</v>
      </c>
      <c r="BH904">
        <v>60</v>
      </c>
      <c r="BI904" t="s">
        <v>283</v>
      </c>
      <c r="BJ904" t="s">
        <v>928</v>
      </c>
      <c r="BK904" t="s">
        <v>234</v>
      </c>
      <c r="BL904" t="s">
        <v>194</v>
      </c>
      <c r="BM904" s="8" t="s">
        <v>192</v>
      </c>
      <c r="BN904" t="s">
        <v>189</v>
      </c>
      <c r="BO904" t="s">
        <v>190</v>
      </c>
      <c r="BP904" s="35" t="s">
        <v>718</v>
      </c>
      <c r="BQ904"/>
      <c r="BU904" s="35"/>
      <c r="BV904" s="35"/>
      <c r="BX904"/>
      <c r="CA904" s="35"/>
      <c r="CB904" s="35"/>
      <c r="CC904"/>
      <c r="CG904" s="35"/>
      <c r="CH904" s="35"/>
      <c r="CK904"/>
      <c r="CM904" s="35"/>
      <c r="CN904" s="35"/>
      <c r="CQ904"/>
      <c r="CS904" s="35"/>
      <c r="CT904" s="35"/>
      <c r="CX904"/>
      <c r="CZ904" s="35"/>
      <c r="DD904" s="34"/>
      <c r="DG904" t="s">
        <v>717</v>
      </c>
      <c r="DH904" t="s">
        <v>930</v>
      </c>
      <c r="DI904" t="s">
        <v>798</v>
      </c>
      <c r="DL904" t="s">
        <v>661</v>
      </c>
      <c r="DM904">
        <v>2</v>
      </c>
      <c r="DN904">
        <v>7</v>
      </c>
      <c r="DO904" t="s">
        <v>719</v>
      </c>
      <c r="DQ904" t="s">
        <v>927</v>
      </c>
      <c r="DR904">
        <v>14</v>
      </c>
      <c r="DS904">
        <v>0</v>
      </c>
      <c r="DU904">
        <v>14</v>
      </c>
      <c r="DV904">
        <v>0</v>
      </c>
      <c r="DX904">
        <v>14</v>
      </c>
      <c r="DY904">
        <v>0</v>
      </c>
      <c r="DZ904" t="s">
        <v>246</v>
      </c>
      <c r="EA904" t="s">
        <v>929</v>
      </c>
    </row>
    <row r="905" spans="1:131" x14ac:dyDescent="0.4">
      <c r="A905" s="34">
        <v>43067.305104166669</v>
      </c>
      <c r="B905" s="25">
        <v>42930.554166666669</v>
      </c>
      <c r="D905" s="34"/>
      <c r="E905" s="34" t="s">
        <v>193</v>
      </c>
      <c r="F905" s="34" t="s">
        <v>191</v>
      </c>
      <c r="G905" s="34" t="s">
        <v>100</v>
      </c>
      <c r="H905" t="s">
        <v>279</v>
      </c>
      <c r="I905" t="s">
        <v>243</v>
      </c>
      <c r="J905" t="s">
        <v>712</v>
      </c>
      <c r="K905" t="s">
        <v>713</v>
      </c>
      <c r="L905" t="s">
        <v>711</v>
      </c>
      <c r="M905" s="30">
        <v>4.22</v>
      </c>
      <c r="N905">
        <v>3.75</v>
      </c>
      <c r="P905" s="24" t="str">
        <f>IFERROR(MID(RADataTable[[#This Row],[RATemplate]],1,LEN(RADataTable[[#This Row],[RATemplate]])-8),"RA") &amp; " " &amp; RADataTable[[#This Row],[prop_id0]] &amp; " " &amp; RADataTable[[#This Row],[last0]]</f>
        <v>RA 1749173 Borgwardt</v>
      </c>
      <c r="T905">
        <v>4</v>
      </c>
      <c r="U905">
        <v>4</v>
      </c>
      <c r="V905" s="34">
        <v>43031.583333333336</v>
      </c>
      <c r="W905">
        <v>1</v>
      </c>
      <c r="X905" s="15" t="str">
        <f>HYPERLINK("https://www.ejacket.nsf.gov/ej/showProposal.do?Continue=Y&amp;ID="&amp;RADataTable[[#This Row],[prop_id0]],"eJ")</f>
        <v>eJ</v>
      </c>
      <c r="Y905" s="15" t="str">
        <f>HYPERLINK("mailto:"&amp;RADataTable[[#This Row],[email]]&amp;"&amp;subject=Your NSF Proposal:  "&amp;RADataTable[[#This Row],[Div]]&amp;" "&amp;RADataTable[[#This Row],[prop_id0]], RADataTable[[#This Row],[email]])</f>
        <v>steffen.borgwardt@ucdenver.edu</v>
      </c>
      <c r="Z905" s="15" t="str">
        <f>HYPERLINK("mailto:"&amp;RADataTable[[#This Row],[allPIemail]]&amp;"&amp;subject=NSF Proposal:  "&amp;RADataTable[[#This Row],[Div]]&amp;" "&amp;RADataTable[[#This Row],[prop_id0]], "PIs@")</f>
        <v>PIs@</v>
      </c>
      <c r="AA905" t="s">
        <v>245</v>
      </c>
      <c r="AB905" t="s">
        <v>661</v>
      </c>
      <c r="AC905" s="30" t="s">
        <v>714</v>
      </c>
      <c r="AD905" t="s">
        <v>715</v>
      </c>
      <c r="AE905" t="s">
        <v>716</v>
      </c>
      <c r="AF905" s="36">
        <v>470400</v>
      </c>
      <c r="AG905" s="36">
        <v>470400</v>
      </c>
      <c r="AH905" s="24"/>
      <c r="AJ905" s="34"/>
      <c r="AK905" t="s">
        <v>923</v>
      </c>
      <c r="AL905" t="s">
        <v>924</v>
      </c>
      <c r="AM905" s="34" t="s">
        <v>925</v>
      </c>
      <c r="AN905" s="34">
        <v>43032</v>
      </c>
      <c r="AO905" s="24">
        <v>22</v>
      </c>
      <c r="AP905" t="s">
        <v>926</v>
      </c>
      <c r="AR905" s="35"/>
      <c r="AS905"/>
      <c r="AT905" s="34"/>
      <c r="AV905" s="34"/>
      <c r="AX905" s="34"/>
      <c r="AY905"/>
      <c r="BA905" s="34"/>
      <c r="BB905"/>
      <c r="BC905" t="s">
        <v>720</v>
      </c>
      <c r="BD905" s="36">
        <v>470400</v>
      </c>
      <c r="BE905" s="36">
        <v>470400</v>
      </c>
      <c r="BF905">
        <v>0</v>
      </c>
      <c r="BG905" s="34">
        <v>43101</v>
      </c>
      <c r="BH905">
        <v>60</v>
      </c>
      <c r="BI905" t="s">
        <v>283</v>
      </c>
      <c r="BJ905" t="s">
        <v>928</v>
      </c>
      <c r="BK905" t="s">
        <v>234</v>
      </c>
      <c r="BL905" t="s">
        <v>194</v>
      </c>
      <c r="BM905" s="8" t="s">
        <v>192</v>
      </c>
      <c r="BN905" t="s">
        <v>189</v>
      </c>
      <c r="BO905" t="s">
        <v>190</v>
      </c>
      <c r="BP905" s="35" t="s">
        <v>718</v>
      </c>
      <c r="BQ905"/>
      <c r="BU905" s="35"/>
      <c r="BV905" s="35"/>
      <c r="BX905"/>
      <c r="CA905" s="35"/>
      <c r="CB905" s="35"/>
      <c r="CC905"/>
      <c r="CG905" s="35"/>
      <c r="CH905" s="35"/>
      <c r="CK905"/>
      <c r="CM905" s="35"/>
      <c r="CN905" s="35"/>
      <c r="CQ905"/>
      <c r="CS905" s="35"/>
      <c r="CT905" s="35"/>
      <c r="CX905"/>
      <c r="CZ905" s="35"/>
      <c r="DD905" s="34"/>
      <c r="DG905" t="s">
        <v>717</v>
      </c>
      <c r="DH905" t="s">
        <v>930</v>
      </c>
      <c r="DI905" t="s">
        <v>798</v>
      </c>
      <c r="DL905" t="s">
        <v>661</v>
      </c>
      <c r="DM905">
        <v>2</v>
      </c>
      <c r="DN905">
        <v>7</v>
      </c>
      <c r="DO905" t="s">
        <v>719</v>
      </c>
      <c r="DQ905" t="s">
        <v>927</v>
      </c>
      <c r="DR905">
        <v>14</v>
      </c>
      <c r="DS905">
        <v>0</v>
      </c>
      <c r="DU905">
        <v>14</v>
      </c>
      <c r="DV905">
        <v>0</v>
      </c>
      <c r="DX905">
        <v>14</v>
      </c>
      <c r="DY905">
        <v>0</v>
      </c>
      <c r="DZ905" t="s">
        <v>246</v>
      </c>
      <c r="EA905" t="s">
        <v>929</v>
      </c>
    </row>
    <row r="906" spans="1:131" x14ac:dyDescent="0.4">
      <c r="A906" s="34">
        <v>43067.305104166669</v>
      </c>
      <c r="B906" s="25">
        <v>42930.554166666669</v>
      </c>
      <c r="D906" s="34"/>
      <c r="E906" s="34" t="s">
        <v>193</v>
      </c>
      <c r="F906" s="34" t="s">
        <v>191</v>
      </c>
      <c r="G906" s="34" t="s">
        <v>100</v>
      </c>
      <c r="H906" t="s">
        <v>279</v>
      </c>
      <c r="I906" t="s">
        <v>243</v>
      </c>
      <c r="J906" t="s">
        <v>712</v>
      </c>
      <c r="K906" t="s">
        <v>713</v>
      </c>
      <c r="L906" t="s">
        <v>711</v>
      </c>
      <c r="M906" s="30">
        <v>4.22</v>
      </c>
      <c r="N906">
        <v>3.75</v>
      </c>
      <c r="P906" s="24" t="str">
        <f>IFERROR(MID(RADataTable[[#This Row],[RATemplate]],1,LEN(RADataTable[[#This Row],[RATemplate]])-8),"RA") &amp; " " &amp; RADataTable[[#This Row],[prop_id0]] &amp; " " &amp; RADataTable[[#This Row],[last0]]</f>
        <v>RA 1749173 Borgwardt</v>
      </c>
      <c r="T906">
        <v>4</v>
      </c>
      <c r="U906">
        <v>4</v>
      </c>
      <c r="V906" s="34">
        <v>43031.583333333336</v>
      </c>
      <c r="W906">
        <v>1</v>
      </c>
      <c r="X906" s="15" t="str">
        <f>HYPERLINK("https://www.ejacket.nsf.gov/ej/showProposal.do?Continue=Y&amp;ID="&amp;RADataTable[[#This Row],[prop_id0]],"eJ")</f>
        <v>eJ</v>
      </c>
      <c r="Y906" s="15" t="str">
        <f>HYPERLINK("mailto:"&amp;RADataTable[[#This Row],[email]]&amp;"&amp;subject=Your NSF Proposal:  "&amp;RADataTable[[#This Row],[Div]]&amp;" "&amp;RADataTable[[#This Row],[prop_id0]], RADataTable[[#This Row],[email]])</f>
        <v>steffen.borgwardt@ucdenver.edu</v>
      </c>
      <c r="Z906" s="15" t="str">
        <f>HYPERLINK("mailto:"&amp;RADataTable[[#This Row],[allPIemail]]&amp;"&amp;subject=NSF Proposal:  "&amp;RADataTable[[#This Row],[Div]]&amp;" "&amp;RADataTable[[#This Row],[prop_id0]], "PIs@")</f>
        <v>PIs@</v>
      </c>
      <c r="AA906" t="s">
        <v>245</v>
      </c>
      <c r="AB906" t="s">
        <v>661</v>
      </c>
      <c r="AC906" s="30" t="s">
        <v>714</v>
      </c>
      <c r="AD906" t="s">
        <v>715</v>
      </c>
      <c r="AE906" t="s">
        <v>716</v>
      </c>
      <c r="AF906" s="36">
        <v>470400</v>
      </c>
      <c r="AG906" s="36">
        <v>470400</v>
      </c>
      <c r="AH906" s="24"/>
      <c r="AJ906" s="34"/>
      <c r="AK906" t="s">
        <v>923</v>
      </c>
      <c r="AL906" t="s">
        <v>924</v>
      </c>
      <c r="AM906" s="34" t="s">
        <v>925</v>
      </c>
      <c r="AN906" s="34">
        <v>43032</v>
      </c>
      <c r="AO906" s="24">
        <v>22</v>
      </c>
      <c r="AP906" t="s">
        <v>926</v>
      </c>
      <c r="AR906" s="35"/>
      <c r="AS906"/>
      <c r="AT906" s="34"/>
      <c r="AV906" s="34"/>
      <c r="AX906" s="34"/>
      <c r="AY906"/>
      <c r="BA906" s="34"/>
      <c r="BB906"/>
      <c r="BC906" t="s">
        <v>720</v>
      </c>
      <c r="BD906" s="36">
        <v>470400</v>
      </c>
      <c r="BE906" s="36">
        <v>470400</v>
      </c>
      <c r="BF906">
        <v>0</v>
      </c>
      <c r="BG906" s="34">
        <v>43101</v>
      </c>
      <c r="BH906">
        <v>60</v>
      </c>
      <c r="BI906" t="s">
        <v>283</v>
      </c>
      <c r="BJ906" t="s">
        <v>928</v>
      </c>
      <c r="BK906" t="s">
        <v>234</v>
      </c>
      <c r="BL906" t="s">
        <v>194</v>
      </c>
      <c r="BM906" s="8" t="s">
        <v>192</v>
      </c>
      <c r="BN906" t="s">
        <v>189</v>
      </c>
      <c r="BO906" t="s">
        <v>190</v>
      </c>
      <c r="BP906" s="35" t="s">
        <v>718</v>
      </c>
      <c r="BQ906"/>
      <c r="BU906" s="35"/>
      <c r="BV906" s="35"/>
      <c r="BX906"/>
      <c r="CA906" s="35"/>
      <c r="CB906" s="35"/>
      <c r="CC906"/>
      <c r="CG906" s="35"/>
      <c r="CH906" s="35"/>
      <c r="CK906"/>
      <c r="CM906" s="35"/>
      <c r="CN906" s="35"/>
      <c r="CQ906"/>
      <c r="CS906" s="35"/>
      <c r="CT906" s="35"/>
      <c r="CX906"/>
      <c r="CZ906" s="35"/>
      <c r="DD906" s="34"/>
      <c r="DG906" t="s">
        <v>717</v>
      </c>
      <c r="DH906" t="s">
        <v>930</v>
      </c>
      <c r="DI906" t="s">
        <v>798</v>
      </c>
      <c r="DL906" t="s">
        <v>661</v>
      </c>
      <c r="DM906">
        <v>2</v>
      </c>
      <c r="DN906">
        <v>7</v>
      </c>
      <c r="DO906" t="s">
        <v>719</v>
      </c>
      <c r="DQ906" t="s">
        <v>927</v>
      </c>
      <c r="DR906">
        <v>14</v>
      </c>
      <c r="DS906">
        <v>0</v>
      </c>
      <c r="DU906">
        <v>14</v>
      </c>
      <c r="DV906">
        <v>0</v>
      </c>
      <c r="DX906">
        <v>14</v>
      </c>
      <c r="DY906">
        <v>0</v>
      </c>
      <c r="DZ906" t="s">
        <v>246</v>
      </c>
      <c r="EA906" t="s">
        <v>929</v>
      </c>
    </row>
    <row r="907" spans="1:131" x14ac:dyDescent="0.4">
      <c r="A907" s="34">
        <v>43067.305104166669</v>
      </c>
      <c r="B907" s="25">
        <v>42930.554166666669</v>
      </c>
      <c r="D907" s="34"/>
      <c r="E907" s="34" t="s">
        <v>193</v>
      </c>
      <c r="F907" s="34" t="s">
        <v>191</v>
      </c>
      <c r="G907" s="34" t="s">
        <v>100</v>
      </c>
      <c r="H907" t="s">
        <v>279</v>
      </c>
      <c r="I907" t="s">
        <v>243</v>
      </c>
      <c r="J907" t="s">
        <v>712</v>
      </c>
      <c r="K907" t="s">
        <v>713</v>
      </c>
      <c r="L907" t="s">
        <v>711</v>
      </c>
      <c r="M907" s="30">
        <v>4.22</v>
      </c>
      <c r="N907">
        <v>3.75</v>
      </c>
      <c r="P907" s="24" t="str">
        <f>IFERROR(MID(RADataTable[[#This Row],[RATemplate]],1,LEN(RADataTable[[#This Row],[RATemplate]])-8),"RA") &amp; " " &amp; RADataTable[[#This Row],[prop_id0]] &amp; " " &amp; RADataTable[[#This Row],[last0]]</f>
        <v>RA 1749173 Borgwardt</v>
      </c>
      <c r="T907">
        <v>4</v>
      </c>
      <c r="U907">
        <v>4</v>
      </c>
      <c r="V907" s="34">
        <v>43031.583333333336</v>
      </c>
      <c r="W907">
        <v>1</v>
      </c>
      <c r="X907" s="15" t="str">
        <f>HYPERLINK("https://www.ejacket.nsf.gov/ej/showProposal.do?Continue=Y&amp;ID="&amp;RADataTable[[#This Row],[prop_id0]],"eJ")</f>
        <v>eJ</v>
      </c>
      <c r="Y907" s="15" t="str">
        <f>HYPERLINK("mailto:"&amp;RADataTable[[#This Row],[email]]&amp;"&amp;subject=Your NSF Proposal:  "&amp;RADataTable[[#This Row],[Div]]&amp;" "&amp;RADataTable[[#This Row],[prop_id0]], RADataTable[[#This Row],[email]])</f>
        <v>steffen.borgwardt@ucdenver.edu</v>
      </c>
      <c r="Z907" s="15" t="str">
        <f>HYPERLINK("mailto:"&amp;RADataTable[[#This Row],[allPIemail]]&amp;"&amp;subject=NSF Proposal:  "&amp;RADataTable[[#This Row],[Div]]&amp;" "&amp;RADataTable[[#This Row],[prop_id0]], "PIs@")</f>
        <v>PIs@</v>
      </c>
      <c r="AA907" t="s">
        <v>245</v>
      </c>
      <c r="AB907" t="s">
        <v>661</v>
      </c>
      <c r="AC907" s="30" t="s">
        <v>714</v>
      </c>
      <c r="AD907" t="s">
        <v>715</v>
      </c>
      <c r="AE907" t="s">
        <v>716</v>
      </c>
      <c r="AF907" s="36">
        <v>470400</v>
      </c>
      <c r="AG907" s="36">
        <v>470400</v>
      </c>
      <c r="AH907" s="24"/>
      <c r="AJ907" s="34"/>
      <c r="AK907" t="s">
        <v>923</v>
      </c>
      <c r="AL907" t="s">
        <v>924</v>
      </c>
      <c r="AM907" s="34" t="s">
        <v>925</v>
      </c>
      <c r="AN907" s="34">
        <v>43032</v>
      </c>
      <c r="AO907" s="24">
        <v>22</v>
      </c>
      <c r="AP907" t="s">
        <v>926</v>
      </c>
      <c r="AR907" s="35"/>
      <c r="AS907"/>
      <c r="AT907" s="34"/>
      <c r="AV907" s="34"/>
      <c r="AX907" s="34"/>
      <c r="AY907"/>
      <c r="BA907" s="34"/>
      <c r="BB907"/>
      <c r="BC907" t="s">
        <v>720</v>
      </c>
      <c r="BD907" s="36">
        <v>470400</v>
      </c>
      <c r="BE907" s="36">
        <v>470400</v>
      </c>
      <c r="BF907">
        <v>0</v>
      </c>
      <c r="BG907" s="34">
        <v>43101</v>
      </c>
      <c r="BH907">
        <v>60</v>
      </c>
      <c r="BI907" t="s">
        <v>283</v>
      </c>
      <c r="BJ907" t="s">
        <v>928</v>
      </c>
      <c r="BK907" t="s">
        <v>234</v>
      </c>
      <c r="BL907" t="s">
        <v>194</v>
      </c>
      <c r="BM907" s="8" t="s">
        <v>192</v>
      </c>
      <c r="BN907" t="s">
        <v>189</v>
      </c>
      <c r="BO907" t="s">
        <v>190</v>
      </c>
      <c r="BP907" s="35" t="s">
        <v>718</v>
      </c>
      <c r="BQ907"/>
      <c r="BU907" s="35"/>
      <c r="BV907" s="35"/>
      <c r="BX907"/>
      <c r="CA907" s="35"/>
      <c r="CB907" s="35"/>
      <c r="CC907"/>
      <c r="CG907" s="35"/>
      <c r="CH907" s="35"/>
      <c r="CK907"/>
      <c r="CM907" s="35"/>
      <c r="CN907" s="35"/>
      <c r="CQ907"/>
      <c r="CS907" s="35"/>
      <c r="CT907" s="35"/>
      <c r="CX907"/>
      <c r="CZ907" s="35"/>
      <c r="DD907" s="34"/>
      <c r="DG907" t="s">
        <v>717</v>
      </c>
      <c r="DH907" t="s">
        <v>930</v>
      </c>
      <c r="DI907" t="s">
        <v>798</v>
      </c>
      <c r="DL907" t="s">
        <v>661</v>
      </c>
      <c r="DM907">
        <v>2</v>
      </c>
      <c r="DN907">
        <v>7</v>
      </c>
      <c r="DO907" t="s">
        <v>719</v>
      </c>
      <c r="DQ907" t="s">
        <v>927</v>
      </c>
      <c r="DR907">
        <v>14</v>
      </c>
      <c r="DS907">
        <v>0</v>
      </c>
      <c r="DU907">
        <v>14</v>
      </c>
      <c r="DV907">
        <v>0</v>
      </c>
      <c r="DX907">
        <v>14</v>
      </c>
      <c r="DY907">
        <v>0</v>
      </c>
      <c r="DZ907" t="s">
        <v>246</v>
      </c>
      <c r="EA907" t="s">
        <v>929</v>
      </c>
    </row>
    <row r="908" spans="1:131" x14ac:dyDescent="0.4">
      <c r="A908" s="34">
        <v>43067.305104166669</v>
      </c>
      <c r="B908" s="25">
        <v>42930.554166666669</v>
      </c>
      <c r="D908" s="34"/>
      <c r="E908" s="34" t="s">
        <v>193</v>
      </c>
      <c r="F908" s="34" t="s">
        <v>191</v>
      </c>
      <c r="G908" s="34" t="s">
        <v>100</v>
      </c>
      <c r="H908" t="s">
        <v>279</v>
      </c>
      <c r="I908" t="s">
        <v>243</v>
      </c>
      <c r="J908" t="s">
        <v>712</v>
      </c>
      <c r="K908" t="s">
        <v>713</v>
      </c>
      <c r="L908" t="s">
        <v>711</v>
      </c>
      <c r="M908" s="30">
        <v>4.22</v>
      </c>
      <c r="N908">
        <v>3.75</v>
      </c>
      <c r="P908" s="24" t="str">
        <f>IFERROR(MID(RADataTable[[#This Row],[RATemplate]],1,LEN(RADataTable[[#This Row],[RATemplate]])-8),"RA") &amp; " " &amp; RADataTable[[#This Row],[prop_id0]] &amp; " " &amp; RADataTable[[#This Row],[last0]]</f>
        <v>RA 1749173 Borgwardt</v>
      </c>
      <c r="T908">
        <v>4</v>
      </c>
      <c r="U908">
        <v>4</v>
      </c>
      <c r="V908" s="34">
        <v>43031.583333333336</v>
      </c>
      <c r="W908">
        <v>1</v>
      </c>
      <c r="X908" s="15" t="str">
        <f>HYPERLINK("https://www.ejacket.nsf.gov/ej/showProposal.do?Continue=Y&amp;ID="&amp;RADataTable[[#This Row],[prop_id0]],"eJ")</f>
        <v>eJ</v>
      </c>
      <c r="Y908" s="15" t="str">
        <f>HYPERLINK("mailto:"&amp;RADataTable[[#This Row],[email]]&amp;"&amp;subject=Your NSF Proposal:  "&amp;RADataTable[[#This Row],[Div]]&amp;" "&amp;RADataTable[[#This Row],[prop_id0]], RADataTable[[#This Row],[email]])</f>
        <v>steffen.borgwardt@ucdenver.edu</v>
      </c>
      <c r="Z908" s="15" t="str">
        <f>HYPERLINK("mailto:"&amp;RADataTable[[#This Row],[allPIemail]]&amp;"&amp;subject=NSF Proposal:  "&amp;RADataTable[[#This Row],[Div]]&amp;" "&amp;RADataTable[[#This Row],[prop_id0]], "PIs@")</f>
        <v>PIs@</v>
      </c>
      <c r="AA908" t="s">
        <v>245</v>
      </c>
      <c r="AB908" t="s">
        <v>661</v>
      </c>
      <c r="AC908" s="30" t="s">
        <v>714</v>
      </c>
      <c r="AD908" t="s">
        <v>715</v>
      </c>
      <c r="AE908" t="s">
        <v>716</v>
      </c>
      <c r="AF908" s="36">
        <v>470400</v>
      </c>
      <c r="AG908" s="36">
        <v>470400</v>
      </c>
      <c r="AH908" s="24"/>
      <c r="AJ908" s="34"/>
      <c r="AK908" t="s">
        <v>923</v>
      </c>
      <c r="AL908" t="s">
        <v>924</v>
      </c>
      <c r="AM908" s="34" t="s">
        <v>925</v>
      </c>
      <c r="AN908" s="34">
        <v>43032</v>
      </c>
      <c r="AO908" s="24">
        <v>22</v>
      </c>
      <c r="AP908" t="s">
        <v>926</v>
      </c>
      <c r="AR908" s="35"/>
      <c r="AS908"/>
      <c r="AT908" s="34"/>
      <c r="AV908" s="34"/>
      <c r="AX908" s="34"/>
      <c r="AY908"/>
      <c r="BA908" s="34"/>
      <c r="BB908"/>
      <c r="BC908" t="s">
        <v>720</v>
      </c>
      <c r="BD908" s="36">
        <v>470400</v>
      </c>
      <c r="BE908" s="36">
        <v>470400</v>
      </c>
      <c r="BF908">
        <v>0</v>
      </c>
      <c r="BG908" s="34">
        <v>43101</v>
      </c>
      <c r="BH908">
        <v>60</v>
      </c>
      <c r="BI908" t="s">
        <v>283</v>
      </c>
      <c r="BJ908" t="s">
        <v>928</v>
      </c>
      <c r="BK908" t="s">
        <v>234</v>
      </c>
      <c r="BL908" t="s">
        <v>194</v>
      </c>
      <c r="BM908" s="8" t="s">
        <v>192</v>
      </c>
      <c r="BN908" t="s">
        <v>189</v>
      </c>
      <c r="BO908" t="s">
        <v>190</v>
      </c>
      <c r="BP908" s="35" t="s">
        <v>718</v>
      </c>
      <c r="BQ908"/>
      <c r="BU908" s="35"/>
      <c r="BV908" s="35"/>
      <c r="BX908"/>
      <c r="CA908" s="35"/>
      <c r="CB908" s="35"/>
      <c r="CC908"/>
      <c r="CG908" s="35"/>
      <c r="CH908" s="35"/>
      <c r="CK908"/>
      <c r="CM908" s="35"/>
      <c r="CN908" s="35"/>
      <c r="CQ908"/>
      <c r="CS908" s="35"/>
      <c r="CT908" s="35"/>
      <c r="CX908"/>
      <c r="CZ908" s="35"/>
      <c r="DD908" s="34"/>
      <c r="DG908" t="s">
        <v>717</v>
      </c>
      <c r="DH908" t="s">
        <v>930</v>
      </c>
      <c r="DI908" t="s">
        <v>798</v>
      </c>
      <c r="DL908" t="s">
        <v>661</v>
      </c>
      <c r="DM908">
        <v>2</v>
      </c>
      <c r="DN908">
        <v>7</v>
      </c>
      <c r="DO908" t="s">
        <v>719</v>
      </c>
      <c r="DQ908" t="s">
        <v>927</v>
      </c>
      <c r="DR908">
        <v>14</v>
      </c>
      <c r="DS908">
        <v>0</v>
      </c>
      <c r="DU908">
        <v>14</v>
      </c>
      <c r="DV908">
        <v>0</v>
      </c>
      <c r="DX908">
        <v>14</v>
      </c>
      <c r="DY908">
        <v>0</v>
      </c>
      <c r="DZ908" t="s">
        <v>246</v>
      </c>
      <c r="EA908" t="s">
        <v>929</v>
      </c>
    </row>
    <row r="909" spans="1:131" x14ac:dyDescent="0.4">
      <c r="A909" s="34">
        <v>43067.305104166669</v>
      </c>
      <c r="B909" s="25">
        <v>42930.554166666669</v>
      </c>
      <c r="D909" s="34"/>
      <c r="E909" s="34" t="s">
        <v>193</v>
      </c>
      <c r="F909" s="34" t="s">
        <v>191</v>
      </c>
      <c r="G909" s="34" t="s">
        <v>100</v>
      </c>
      <c r="H909" t="s">
        <v>279</v>
      </c>
      <c r="I909" t="s">
        <v>243</v>
      </c>
      <c r="J909" t="s">
        <v>712</v>
      </c>
      <c r="K909" t="s">
        <v>713</v>
      </c>
      <c r="L909" t="s">
        <v>711</v>
      </c>
      <c r="M909" s="30">
        <v>4.22</v>
      </c>
      <c r="N909">
        <v>3.75</v>
      </c>
      <c r="P909" s="24" t="str">
        <f>IFERROR(MID(RADataTable[[#This Row],[RATemplate]],1,LEN(RADataTable[[#This Row],[RATemplate]])-8),"RA") &amp; " " &amp; RADataTable[[#This Row],[prop_id0]] &amp; " " &amp; RADataTable[[#This Row],[last0]]</f>
        <v>RA 1749173 Borgwardt</v>
      </c>
      <c r="T909">
        <v>4</v>
      </c>
      <c r="U909">
        <v>4</v>
      </c>
      <c r="V909" s="34">
        <v>43031.583333333336</v>
      </c>
      <c r="W909">
        <v>1</v>
      </c>
      <c r="X909" s="15" t="str">
        <f>HYPERLINK("https://www.ejacket.nsf.gov/ej/showProposal.do?Continue=Y&amp;ID="&amp;RADataTable[[#This Row],[prop_id0]],"eJ")</f>
        <v>eJ</v>
      </c>
      <c r="Y909" s="15" t="str">
        <f>HYPERLINK("mailto:"&amp;RADataTable[[#This Row],[email]]&amp;"&amp;subject=Your NSF Proposal:  "&amp;RADataTable[[#This Row],[Div]]&amp;" "&amp;RADataTable[[#This Row],[prop_id0]], RADataTable[[#This Row],[email]])</f>
        <v>steffen.borgwardt@ucdenver.edu</v>
      </c>
      <c r="Z909" s="15" t="str">
        <f>HYPERLINK("mailto:"&amp;RADataTable[[#This Row],[allPIemail]]&amp;"&amp;subject=NSF Proposal:  "&amp;RADataTable[[#This Row],[Div]]&amp;" "&amp;RADataTable[[#This Row],[prop_id0]], "PIs@")</f>
        <v>PIs@</v>
      </c>
      <c r="AA909" t="s">
        <v>245</v>
      </c>
      <c r="AB909" t="s">
        <v>661</v>
      </c>
      <c r="AC909" s="30" t="s">
        <v>714</v>
      </c>
      <c r="AD909" t="s">
        <v>715</v>
      </c>
      <c r="AE909" t="s">
        <v>716</v>
      </c>
      <c r="AF909" s="36">
        <v>470400</v>
      </c>
      <c r="AG909" s="36">
        <v>470400</v>
      </c>
      <c r="AH909" s="24"/>
      <c r="AJ909" s="34"/>
      <c r="AK909" t="s">
        <v>923</v>
      </c>
      <c r="AL909" t="s">
        <v>924</v>
      </c>
      <c r="AM909" s="34" t="s">
        <v>925</v>
      </c>
      <c r="AN909" s="34">
        <v>43032</v>
      </c>
      <c r="AO909" s="24">
        <v>22</v>
      </c>
      <c r="AP909" t="s">
        <v>926</v>
      </c>
      <c r="AR909" s="35"/>
      <c r="AS909"/>
      <c r="AT909" s="34"/>
      <c r="AV909" s="34"/>
      <c r="AX909" s="34"/>
      <c r="AY909"/>
      <c r="BA909" s="34"/>
      <c r="BB909"/>
      <c r="BC909" t="s">
        <v>720</v>
      </c>
      <c r="BD909" s="36">
        <v>470400</v>
      </c>
      <c r="BE909" s="36">
        <v>470400</v>
      </c>
      <c r="BF909">
        <v>0</v>
      </c>
      <c r="BG909" s="34">
        <v>43101</v>
      </c>
      <c r="BH909">
        <v>60</v>
      </c>
      <c r="BI909" t="s">
        <v>283</v>
      </c>
      <c r="BJ909" t="s">
        <v>928</v>
      </c>
      <c r="BK909" t="s">
        <v>234</v>
      </c>
      <c r="BL909" t="s">
        <v>194</v>
      </c>
      <c r="BM909" s="8" t="s">
        <v>192</v>
      </c>
      <c r="BN909" t="s">
        <v>189</v>
      </c>
      <c r="BO909" t="s">
        <v>190</v>
      </c>
      <c r="BP909" s="35" t="s">
        <v>718</v>
      </c>
      <c r="BQ909"/>
      <c r="BU909" s="35"/>
      <c r="BV909" s="35"/>
      <c r="BX909"/>
      <c r="CA909" s="35"/>
      <c r="CB909" s="35"/>
      <c r="CC909"/>
      <c r="CG909" s="35"/>
      <c r="CH909" s="35"/>
      <c r="CK909"/>
      <c r="CM909" s="35"/>
      <c r="CN909" s="35"/>
      <c r="CQ909"/>
      <c r="CS909" s="35"/>
      <c r="CT909" s="35"/>
      <c r="CX909"/>
      <c r="CZ909" s="35"/>
      <c r="DD909" s="34"/>
      <c r="DG909" t="s">
        <v>717</v>
      </c>
      <c r="DH909" t="s">
        <v>930</v>
      </c>
      <c r="DI909" t="s">
        <v>798</v>
      </c>
      <c r="DL909" t="s">
        <v>661</v>
      </c>
      <c r="DM909">
        <v>2</v>
      </c>
      <c r="DN909">
        <v>7</v>
      </c>
      <c r="DO909" t="s">
        <v>719</v>
      </c>
      <c r="DQ909" t="s">
        <v>927</v>
      </c>
      <c r="DR909">
        <v>14</v>
      </c>
      <c r="DS909">
        <v>0</v>
      </c>
      <c r="DU909">
        <v>14</v>
      </c>
      <c r="DV909">
        <v>0</v>
      </c>
      <c r="DX909">
        <v>14</v>
      </c>
      <c r="DY909">
        <v>0</v>
      </c>
      <c r="DZ909" t="s">
        <v>246</v>
      </c>
      <c r="EA909" t="s">
        <v>929</v>
      </c>
    </row>
    <row r="910" spans="1:131" x14ac:dyDescent="0.4">
      <c r="A910" s="34">
        <v>43067.305104166669</v>
      </c>
      <c r="B910" s="25">
        <v>42930.554166666669</v>
      </c>
      <c r="D910" s="34"/>
      <c r="E910" s="34" t="s">
        <v>193</v>
      </c>
      <c r="F910" s="34" t="s">
        <v>191</v>
      </c>
      <c r="G910" s="34" t="s">
        <v>100</v>
      </c>
      <c r="H910" t="s">
        <v>279</v>
      </c>
      <c r="I910" t="s">
        <v>243</v>
      </c>
      <c r="J910" t="s">
        <v>712</v>
      </c>
      <c r="K910" t="s">
        <v>713</v>
      </c>
      <c r="L910" t="s">
        <v>711</v>
      </c>
      <c r="M910" s="30">
        <v>4.22</v>
      </c>
      <c r="N910">
        <v>3.75</v>
      </c>
      <c r="P910" s="24" t="str">
        <f>IFERROR(MID(RADataTable[[#This Row],[RATemplate]],1,LEN(RADataTable[[#This Row],[RATemplate]])-8),"RA") &amp; " " &amp; RADataTable[[#This Row],[prop_id0]] &amp; " " &amp; RADataTable[[#This Row],[last0]]</f>
        <v>RA 1749173 Borgwardt</v>
      </c>
      <c r="T910">
        <v>4</v>
      </c>
      <c r="U910">
        <v>4</v>
      </c>
      <c r="V910" s="34">
        <v>43031.583333333336</v>
      </c>
      <c r="W910">
        <v>1</v>
      </c>
      <c r="X910" s="15" t="str">
        <f>HYPERLINK("https://www.ejacket.nsf.gov/ej/showProposal.do?Continue=Y&amp;ID="&amp;RADataTable[[#This Row],[prop_id0]],"eJ")</f>
        <v>eJ</v>
      </c>
      <c r="Y910" s="15" t="str">
        <f>HYPERLINK("mailto:"&amp;RADataTable[[#This Row],[email]]&amp;"&amp;subject=Your NSF Proposal:  "&amp;RADataTable[[#This Row],[Div]]&amp;" "&amp;RADataTable[[#This Row],[prop_id0]], RADataTable[[#This Row],[email]])</f>
        <v>steffen.borgwardt@ucdenver.edu</v>
      </c>
      <c r="Z910" s="15" t="str">
        <f>HYPERLINK("mailto:"&amp;RADataTable[[#This Row],[allPIemail]]&amp;"&amp;subject=NSF Proposal:  "&amp;RADataTable[[#This Row],[Div]]&amp;" "&amp;RADataTable[[#This Row],[prop_id0]], "PIs@")</f>
        <v>PIs@</v>
      </c>
      <c r="AA910" t="s">
        <v>245</v>
      </c>
      <c r="AB910" t="s">
        <v>661</v>
      </c>
      <c r="AC910" s="30" t="s">
        <v>714</v>
      </c>
      <c r="AD910" t="s">
        <v>715</v>
      </c>
      <c r="AE910" t="s">
        <v>716</v>
      </c>
      <c r="AF910" s="36">
        <v>470400</v>
      </c>
      <c r="AG910" s="36">
        <v>470400</v>
      </c>
      <c r="AH910" s="24"/>
      <c r="AJ910" s="34"/>
      <c r="AK910" t="s">
        <v>923</v>
      </c>
      <c r="AL910" t="s">
        <v>924</v>
      </c>
      <c r="AM910" s="34" t="s">
        <v>925</v>
      </c>
      <c r="AN910" s="34">
        <v>43032</v>
      </c>
      <c r="AO910" s="24">
        <v>22</v>
      </c>
      <c r="AP910" t="s">
        <v>926</v>
      </c>
      <c r="AR910" s="35"/>
      <c r="AS910"/>
      <c r="AT910" s="34"/>
      <c r="AV910" s="34"/>
      <c r="AX910" s="34"/>
      <c r="AY910"/>
      <c r="BA910" s="34"/>
      <c r="BB910"/>
      <c r="BC910" t="s">
        <v>720</v>
      </c>
      <c r="BD910" s="36">
        <v>470400</v>
      </c>
      <c r="BE910" s="36">
        <v>470400</v>
      </c>
      <c r="BF910">
        <v>0</v>
      </c>
      <c r="BG910" s="34">
        <v>43101</v>
      </c>
      <c r="BH910">
        <v>60</v>
      </c>
      <c r="BI910" t="s">
        <v>283</v>
      </c>
      <c r="BJ910" t="s">
        <v>928</v>
      </c>
      <c r="BK910" t="s">
        <v>234</v>
      </c>
      <c r="BL910" t="s">
        <v>194</v>
      </c>
      <c r="BM910" s="8" t="s">
        <v>192</v>
      </c>
      <c r="BN910" t="s">
        <v>189</v>
      </c>
      <c r="BO910" t="s">
        <v>190</v>
      </c>
      <c r="BP910" s="35" t="s">
        <v>718</v>
      </c>
      <c r="BQ910"/>
      <c r="BU910" s="35"/>
      <c r="BV910" s="35"/>
      <c r="BX910"/>
      <c r="CA910" s="35"/>
      <c r="CB910" s="35"/>
      <c r="CC910"/>
      <c r="CG910" s="35"/>
      <c r="CH910" s="35"/>
      <c r="CK910"/>
      <c r="CM910" s="35"/>
      <c r="CN910" s="35"/>
      <c r="CQ910"/>
      <c r="CS910" s="35"/>
      <c r="CT910" s="35"/>
      <c r="CX910"/>
      <c r="CZ910" s="35"/>
      <c r="DD910" s="34"/>
      <c r="DG910" t="s">
        <v>717</v>
      </c>
      <c r="DH910" t="s">
        <v>930</v>
      </c>
      <c r="DI910" t="s">
        <v>798</v>
      </c>
      <c r="DL910" t="s">
        <v>661</v>
      </c>
      <c r="DM910">
        <v>2</v>
      </c>
      <c r="DN910">
        <v>7</v>
      </c>
      <c r="DO910" t="s">
        <v>719</v>
      </c>
      <c r="DQ910" t="s">
        <v>927</v>
      </c>
      <c r="DR910">
        <v>14</v>
      </c>
      <c r="DS910">
        <v>0</v>
      </c>
      <c r="DU910">
        <v>14</v>
      </c>
      <c r="DV910">
        <v>0</v>
      </c>
      <c r="DX910">
        <v>14</v>
      </c>
      <c r="DY910">
        <v>0</v>
      </c>
      <c r="DZ910" t="s">
        <v>246</v>
      </c>
      <c r="EA910" t="s">
        <v>929</v>
      </c>
    </row>
    <row r="911" spans="1:131" x14ac:dyDescent="0.4">
      <c r="A911" s="34">
        <v>43067.305104166669</v>
      </c>
      <c r="B911" s="25">
        <v>42930.554166666669</v>
      </c>
      <c r="D911" s="34"/>
      <c r="E911" s="34" t="s">
        <v>193</v>
      </c>
      <c r="F911" s="34" t="s">
        <v>191</v>
      </c>
      <c r="G911" s="34" t="s">
        <v>100</v>
      </c>
      <c r="H911" t="s">
        <v>279</v>
      </c>
      <c r="I911" t="s">
        <v>243</v>
      </c>
      <c r="J911" t="s">
        <v>712</v>
      </c>
      <c r="K911" t="s">
        <v>713</v>
      </c>
      <c r="L911" t="s">
        <v>711</v>
      </c>
      <c r="M911" s="30">
        <v>4.22</v>
      </c>
      <c r="N911">
        <v>3.75</v>
      </c>
      <c r="P911" s="24" t="str">
        <f>IFERROR(MID(RADataTable[[#This Row],[RATemplate]],1,LEN(RADataTable[[#This Row],[RATemplate]])-8),"RA") &amp; " " &amp; RADataTable[[#This Row],[prop_id0]] &amp; " " &amp; RADataTable[[#This Row],[last0]]</f>
        <v>RA 1749173 Borgwardt</v>
      </c>
      <c r="T911">
        <v>4</v>
      </c>
      <c r="U911">
        <v>4</v>
      </c>
      <c r="V911" s="34">
        <v>43031.583333333336</v>
      </c>
      <c r="W911">
        <v>1</v>
      </c>
      <c r="X911" s="15" t="str">
        <f>HYPERLINK("https://www.ejacket.nsf.gov/ej/showProposal.do?Continue=Y&amp;ID="&amp;RADataTable[[#This Row],[prop_id0]],"eJ")</f>
        <v>eJ</v>
      </c>
      <c r="Y911" s="15" t="str">
        <f>HYPERLINK("mailto:"&amp;RADataTable[[#This Row],[email]]&amp;"&amp;subject=Your NSF Proposal:  "&amp;RADataTable[[#This Row],[Div]]&amp;" "&amp;RADataTable[[#This Row],[prop_id0]], RADataTable[[#This Row],[email]])</f>
        <v>steffen.borgwardt@ucdenver.edu</v>
      </c>
      <c r="Z911" s="15" t="str">
        <f>HYPERLINK("mailto:"&amp;RADataTable[[#This Row],[allPIemail]]&amp;"&amp;subject=NSF Proposal:  "&amp;RADataTable[[#This Row],[Div]]&amp;" "&amp;RADataTable[[#This Row],[prop_id0]], "PIs@")</f>
        <v>PIs@</v>
      </c>
      <c r="AA911" t="s">
        <v>245</v>
      </c>
      <c r="AB911" t="s">
        <v>661</v>
      </c>
      <c r="AC911" s="30" t="s">
        <v>714</v>
      </c>
      <c r="AD911" t="s">
        <v>715</v>
      </c>
      <c r="AE911" t="s">
        <v>716</v>
      </c>
      <c r="AF911" s="36">
        <v>470400</v>
      </c>
      <c r="AG911" s="36">
        <v>470400</v>
      </c>
      <c r="AH911" s="24"/>
      <c r="AJ911" s="34"/>
      <c r="AK911" t="s">
        <v>923</v>
      </c>
      <c r="AL911" t="s">
        <v>924</v>
      </c>
      <c r="AM911" s="34" t="s">
        <v>925</v>
      </c>
      <c r="AN911" s="34">
        <v>43032</v>
      </c>
      <c r="AO911" s="24">
        <v>22</v>
      </c>
      <c r="AP911" t="s">
        <v>926</v>
      </c>
      <c r="AR911" s="35"/>
      <c r="AS911"/>
      <c r="AT911" s="34"/>
      <c r="AV911" s="34"/>
      <c r="AX911" s="34"/>
      <c r="AY911"/>
      <c r="BA911" s="34"/>
      <c r="BB911"/>
      <c r="BC911" t="s">
        <v>720</v>
      </c>
      <c r="BD911" s="36">
        <v>470400</v>
      </c>
      <c r="BE911" s="36">
        <v>470400</v>
      </c>
      <c r="BF911">
        <v>0</v>
      </c>
      <c r="BG911" s="34">
        <v>43101</v>
      </c>
      <c r="BH911">
        <v>60</v>
      </c>
      <c r="BI911" t="s">
        <v>283</v>
      </c>
      <c r="BJ911" t="s">
        <v>928</v>
      </c>
      <c r="BK911" t="s">
        <v>234</v>
      </c>
      <c r="BL911" t="s">
        <v>194</v>
      </c>
      <c r="BM911" s="8" t="s">
        <v>192</v>
      </c>
      <c r="BN911" t="s">
        <v>189</v>
      </c>
      <c r="BO911" t="s">
        <v>190</v>
      </c>
      <c r="BP911" s="35" t="s">
        <v>718</v>
      </c>
      <c r="BQ911"/>
      <c r="BU911" s="35"/>
      <c r="BV911" s="35"/>
      <c r="BX911"/>
      <c r="CA911" s="35"/>
      <c r="CB911" s="35"/>
      <c r="CC911"/>
      <c r="CG911" s="35"/>
      <c r="CH911" s="35"/>
      <c r="CK911"/>
      <c r="CM911" s="35"/>
      <c r="CN911" s="35"/>
      <c r="CQ911"/>
      <c r="CS911" s="35"/>
      <c r="CT911" s="35"/>
      <c r="CX911"/>
      <c r="CZ911" s="35"/>
      <c r="DD911" s="34"/>
      <c r="DG911" t="s">
        <v>717</v>
      </c>
      <c r="DH911" t="s">
        <v>930</v>
      </c>
      <c r="DI911" t="s">
        <v>798</v>
      </c>
      <c r="DL911" t="s">
        <v>661</v>
      </c>
      <c r="DM911">
        <v>2</v>
      </c>
      <c r="DN911">
        <v>7</v>
      </c>
      <c r="DO911" t="s">
        <v>719</v>
      </c>
      <c r="DQ911" t="s">
        <v>927</v>
      </c>
      <c r="DR911">
        <v>14</v>
      </c>
      <c r="DS911">
        <v>0</v>
      </c>
      <c r="DU911">
        <v>14</v>
      </c>
      <c r="DV911">
        <v>0</v>
      </c>
      <c r="DX911">
        <v>14</v>
      </c>
      <c r="DY911">
        <v>0</v>
      </c>
      <c r="DZ911" t="s">
        <v>246</v>
      </c>
      <c r="EA911" t="s">
        <v>929</v>
      </c>
    </row>
    <row r="912" spans="1:131" x14ac:dyDescent="0.4">
      <c r="A912" s="34">
        <v>43067.305104166669</v>
      </c>
      <c r="B912" s="25">
        <v>42930.554166666669</v>
      </c>
      <c r="D912" s="34"/>
      <c r="E912" s="34" t="s">
        <v>193</v>
      </c>
      <c r="F912" s="34" t="s">
        <v>191</v>
      </c>
      <c r="G912" s="34" t="s">
        <v>100</v>
      </c>
      <c r="H912" t="s">
        <v>279</v>
      </c>
      <c r="I912" t="s">
        <v>243</v>
      </c>
      <c r="J912" t="s">
        <v>712</v>
      </c>
      <c r="K912" t="s">
        <v>713</v>
      </c>
      <c r="L912" t="s">
        <v>711</v>
      </c>
      <c r="M912" s="30">
        <v>4.22</v>
      </c>
      <c r="N912">
        <v>3.75</v>
      </c>
      <c r="P912" s="24" t="str">
        <f>IFERROR(MID(RADataTable[[#This Row],[RATemplate]],1,LEN(RADataTable[[#This Row],[RATemplate]])-8),"RA") &amp; " " &amp; RADataTable[[#This Row],[prop_id0]] &amp; " " &amp; RADataTable[[#This Row],[last0]]</f>
        <v>RA 1749173 Borgwardt</v>
      </c>
      <c r="T912">
        <v>4</v>
      </c>
      <c r="U912">
        <v>4</v>
      </c>
      <c r="V912" s="34">
        <v>43031.583333333336</v>
      </c>
      <c r="W912">
        <v>1</v>
      </c>
      <c r="X912" s="15" t="str">
        <f>HYPERLINK("https://www.ejacket.nsf.gov/ej/showProposal.do?Continue=Y&amp;ID="&amp;RADataTable[[#This Row],[prop_id0]],"eJ")</f>
        <v>eJ</v>
      </c>
      <c r="Y912" s="15" t="str">
        <f>HYPERLINK("mailto:"&amp;RADataTable[[#This Row],[email]]&amp;"&amp;subject=Your NSF Proposal:  "&amp;RADataTable[[#This Row],[Div]]&amp;" "&amp;RADataTable[[#This Row],[prop_id0]], RADataTable[[#This Row],[email]])</f>
        <v>steffen.borgwardt@ucdenver.edu</v>
      </c>
      <c r="Z912" s="15" t="str">
        <f>HYPERLINK("mailto:"&amp;RADataTable[[#This Row],[allPIemail]]&amp;"&amp;subject=NSF Proposal:  "&amp;RADataTable[[#This Row],[Div]]&amp;" "&amp;RADataTable[[#This Row],[prop_id0]], "PIs@")</f>
        <v>PIs@</v>
      </c>
      <c r="AA912" t="s">
        <v>245</v>
      </c>
      <c r="AB912" t="s">
        <v>661</v>
      </c>
      <c r="AC912" s="30" t="s">
        <v>714</v>
      </c>
      <c r="AD912" t="s">
        <v>715</v>
      </c>
      <c r="AE912" t="s">
        <v>716</v>
      </c>
      <c r="AF912" s="36">
        <v>470400</v>
      </c>
      <c r="AG912" s="36">
        <v>470400</v>
      </c>
      <c r="AH912" s="24"/>
      <c r="AJ912" s="34"/>
      <c r="AK912" t="s">
        <v>923</v>
      </c>
      <c r="AL912" t="s">
        <v>924</v>
      </c>
      <c r="AM912" s="34" t="s">
        <v>925</v>
      </c>
      <c r="AN912" s="34">
        <v>43032</v>
      </c>
      <c r="AO912" s="24">
        <v>22</v>
      </c>
      <c r="AP912" t="s">
        <v>926</v>
      </c>
      <c r="AR912" s="35"/>
      <c r="AS912"/>
      <c r="AT912" s="34"/>
      <c r="AV912" s="34"/>
      <c r="AX912" s="34"/>
      <c r="AY912"/>
      <c r="BA912" s="34"/>
      <c r="BB912"/>
      <c r="BC912" t="s">
        <v>720</v>
      </c>
      <c r="BD912" s="36">
        <v>470400</v>
      </c>
      <c r="BE912" s="36">
        <v>470400</v>
      </c>
      <c r="BF912">
        <v>0</v>
      </c>
      <c r="BG912" s="34">
        <v>43101</v>
      </c>
      <c r="BH912">
        <v>60</v>
      </c>
      <c r="BI912" t="s">
        <v>283</v>
      </c>
      <c r="BJ912" t="s">
        <v>928</v>
      </c>
      <c r="BK912" t="s">
        <v>234</v>
      </c>
      <c r="BL912" t="s">
        <v>194</v>
      </c>
      <c r="BM912" s="8" t="s">
        <v>192</v>
      </c>
      <c r="BN912" t="s">
        <v>189</v>
      </c>
      <c r="BO912" t="s">
        <v>190</v>
      </c>
      <c r="BP912" s="35" t="s">
        <v>718</v>
      </c>
      <c r="BQ912"/>
      <c r="BU912" s="35"/>
      <c r="BV912" s="35"/>
      <c r="BX912"/>
      <c r="CA912" s="35"/>
      <c r="CB912" s="35"/>
      <c r="CC912"/>
      <c r="CG912" s="35"/>
      <c r="CH912" s="35"/>
      <c r="CK912"/>
      <c r="CM912" s="35"/>
      <c r="CN912" s="35"/>
      <c r="CQ912"/>
      <c r="CS912" s="35"/>
      <c r="CT912" s="35"/>
      <c r="CX912"/>
      <c r="CZ912" s="35"/>
      <c r="DD912" s="34"/>
      <c r="DG912" t="s">
        <v>717</v>
      </c>
      <c r="DH912" t="s">
        <v>930</v>
      </c>
      <c r="DI912" t="s">
        <v>798</v>
      </c>
      <c r="DL912" t="s">
        <v>661</v>
      </c>
      <c r="DM912">
        <v>2</v>
      </c>
      <c r="DN912">
        <v>7</v>
      </c>
      <c r="DO912" t="s">
        <v>719</v>
      </c>
      <c r="DQ912" t="s">
        <v>927</v>
      </c>
      <c r="DR912">
        <v>14</v>
      </c>
      <c r="DS912">
        <v>0</v>
      </c>
      <c r="DU912">
        <v>14</v>
      </c>
      <c r="DV912">
        <v>0</v>
      </c>
      <c r="DX912">
        <v>14</v>
      </c>
      <c r="DY912">
        <v>0</v>
      </c>
      <c r="DZ912" t="s">
        <v>246</v>
      </c>
      <c r="EA912" t="s">
        <v>929</v>
      </c>
    </row>
    <row r="913" spans="1:131" x14ac:dyDescent="0.4">
      <c r="A913" s="34">
        <v>43067.305104166669</v>
      </c>
      <c r="B913" s="25">
        <v>42930.554166666669</v>
      </c>
      <c r="D913" s="34"/>
      <c r="E913" s="34" t="s">
        <v>193</v>
      </c>
      <c r="F913" s="34" t="s">
        <v>191</v>
      </c>
      <c r="G913" s="34" t="s">
        <v>100</v>
      </c>
      <c r="H913" t="s">
        <v>279</v>
      </c>
      <c r="I913" t="s">
        <v>243</v>
      </c>
      <c r="J913" t="s">
        <v>712</v>
      </c>
      <c r="K913" t="s">
        <v>713</v>
      </c>
      <c r="L913" t="s">
        <v>711</v>
      </c>
      <c r="M913" s="30">
        <v>4.22</v>
      </c>
      <c r="N913">
        <v>3.75</v>
      </c>
      <c r="P913" s="24" t="str">
        <f>IFERROR(MID(RADataTable[[#This Row],[RATemplate]],1,LEN(RADataTable[[#This Row],[RATemplate]])-8),"RA") &amp; " " &amp; RADataTable[[#This Row],[prop_id0]] &amp; " " &amp; RADataTable[[#This Row],[last0]]</f>
        <v>RA 1749173 Borgwardt</v>
      </c>
      <c r="T913">
        <v>4</v>
      </c>
      <c r="U913">
        <v>4</v>
      </c>
      <c r="V913" s="34">
        <v>43031.583333333336</v>
      </c>
      <c r="W913">
        <v>1</v>
      </c>
      <c r="X913" s="15" t="str">
        <f>HYPERLINK("https://www.ejacket.nsf.gov/ej/showProposal.do?Continue=Y&amp;ID="&amp;RADataTable[[#This Row],[prop_id0]],"eJ")</f>
        <v>eJ</v>
      </c>
      <c r="Y913" s="15" t="str">
        <f>HYPERLINK("mailto:"&amp;RADataTable[[#This Row],[email]]&amp;"&amp;subject=Your NSF Proposal:  "&amp;RADataTable[[#This Row],[Div]]&amp;" "&amp;RADataTable[[#This Row],[prop_id0]], RADataTable[[#This Row],[email]])</f>
        <v>steffen.borgwardt@ucdenver.edu</v>
      </c>
      <c r="Z913" s="15" t="str">
        <f>HYPERLINK("mailto:"&amp;RADataTable[[#This Row],[allPIemail]]&amp;"&amp;subject=NSF Proposal:  "&amp;RADataTable[[#This Row],[Div]]&amp;" "&amp;RADataTable[[#This Row],[prop_id0]], "PIs@")</f>
        <v>PIs@</v>
      </c>
      <c r="AA913" t="s">
        <v>245</v>
      </c>
      <c r="AB913" t="s">
        <v>661</v>
      </c>
      <c r="AC913" s="30" t="s">
        <v>714</v>
      </c>
      <c r="AD913" t="s">
        <v>715</v>
      </c>
      <c r="AE913" t="s">
        <v>716</v>
      </c>
      <c r="AF913" s="36">
        <v>470400</v>
      </c>
      <c r="AG913" s="36">
        <v>470400</v>
      </c>
      <c r="AH913" s="24"/>
      <c r="AJ913" s="34"/>
      <c r="AK913" t="s">
        <v>923</v>
      </c>
      <c r="AL913" t="s">
        <v>924</v>
      </c>
      <c r="AM913" s="34" t="s">
        <v>925</v>
      </c>
      <c r="AN913" s="34">
        <v>43032</v>
      </c>
      <c r="AO913" s="24">
        <v>22</v>
      </c>
      <c r="AP913" t="s">
        <v>926</v>
      </c>
      <c r="AR913" s="35"/>
      <c r="AS913"/>
      <c r="AT913" s="34"/>
      <c r="AV913" s="34"/>
      <c r="AX913" s="34"/>
      <c r="AY913"/>
      <c r="BA913" s="34"/>
      <c r="BB913"/>
      <c r="BC913" t="s">
        <v>720</v>
      </c>
      <c r="BD913" s="36">
        <v>470400</v>
      </c>
      <c r="BE913" s="36">
        <v>470400</v>
      </c>
      <c r="BF913">
        <v>0</v>
      </c>
      <c r="BG913" s="34">
        <v>43101</v>
      </c>
      <c r="BH913">
        <v>60</v>
      </c>
      <c r="BI913" t="s">
        <v>283</v>
      </c>
      <c r="BJ913" t="s">
        <v>928</v>
      </c>
      <c r="BK913" t="s">
        <v>234</v>
      </c>
      <c r="BL913" t="s">
        <v>194</v>
      </c>
      <c r="BM913" s="8" t="s">
        <v>192</v>
      </c>
      <c r="BN913" t="s">
        <v>189</v>
      </c>
      <c r="BO913" t="s">
        <v>190</v>
      </c>
      <c r="BP913" s="35" t="s">
        <v>718</v>
      </c>
      <c r="BQ913"/>
      <c r="BU913" s="35"/>
      <c r="BV913" s="35"/>
      <c r="BX913"/>
      <c r="CA913" s="35"/>
      <c r="CB913" s="35"/>
      <c r="CC913"/>
      <c r="CG913" s="35"/>
      <c r="CH913" s="35"/>
      <c r="CK913"/>
      <c r="CM913" s="35"/>
      <c r="CN913" s="35"/>
      <c r="CQ913"/>
      <c r="CS913" s="35"/>
      <c r="CT913" s="35"/>
      <c r="CX913"/>
      <c r="CZ913" s="35"/>
      <c r="DD913" s="34"/>
      <c r="DG913" t="s">
        <v>717</v>
      </c>
      <c r="DH913" t="s">
        <v>930</v>
      </c>
      <c r="DI913" t="s">
        <v>798</v>
      </c>
      <c r="DL913" t="s">
        <v>661</v>
      </c>
      <c r="DM913">
        <v>2</v>
      </c>
      <c r="DN913">
        <v>7</v>
      </c>
      <c r="DO913" t="s">
        <v>719</v>
      </c>
      <c r="DQ913" t="s">
        <v>927</v>
      </c>
      <c r="DR913">
        <v>14</v>
      </c>
      <c r="DS913">
        <v>0</v>
      </c>
      <c r="DU913">
        <v>14</v>
      </c>
      <c r="DV913">
        <v>0</v>
      </c>
      <c r="DX913">
        <v>14</v>
      </c>
      <c r="DY913">
        <v>0</v>
      </c>
      <c r="DZ913" t="s">
        <v>246</v>
      </c>
      <c r="EA913" t="s">
        <v>929</v>
      </c>
    </row>
    <row r="914" spans="1:131" x14ac:dyDescent="0.4">
      <c r="A914" s="34">
        <v>43067.305104166669</v>
      </c>
      <c r="B914" s="25">
        <v>42930.554166666669</v>
      </c>
      <c r="D914" s="34"/>
      <c r="E914" s="34" t="s">
        <v>193</v>
      </c>
      <c r="F914" s="34" t="s">
        <v>191</v>
      </c>
      <c r="G914" s="34" t="s">
        <v>100</v>
      </c>
      <c r="H914" t="s">
        <v>279</v>
      </c>
      <c r="I914" t="s">
        <v>243</v>
      </c>
      <c r="J914" t="s">
        <v>712</v>
      </c>
      <c r="K914" t="s">
        <v>713</v>
      </c>
      <c r="L914" t="s">
        <v>711</v>
      </c>
      <c r="M914" s="30">
        <v>4.22</v>
      </c>
      <c r="N914">
        <v>3.75</v>
      </c>
      <c r="P914" s="24" t="str">
        <f>IFERROR(MID(RADataTable[[#This Row],[RATemplate]],1,LEN(RADataTable[[#This Row],[RATemplate]])-8),"RA") &amp; " " &amp; RADataTable[[#This Row],[prop_id0]] &amp; " " &amp; RADataTable[[#This Row],[last0]]</f>
        <v>RA 1749173 Borgwardt</v>
      </c>
      <c r="T914">
        <v>4</v>
      </c>
      <c r="U914">
        <v>4</v>
      </c>
      <c r="V914" s="34">
        <v>43031.583333333336</v>
      </c>
      <c r="W914">
        <v>1</v>
      </c>
      <c r="X914" s="15" t="str">
        <f>HYPERLINK("https://www.ejacket.nsf.gov/ej/showProposal.do?Continue=Y&amp;ID="&amp;RADataTable[[#This Row],[prop_id0]],"eJ")</f>
        <v>eJ</v>
      </c>
      <c r="Y914" s="15" t="str">
        <f>HYPERLINK("mailto:"&amp;RADataTable[[#This Row],[email]]&amp;"&amp;subject=Your NSF Proposal:  "&amp;RADataTable[[#This Row],[Div]]&amp;" "&amp;RADataTable[[#This Row],[prop_id0]], RADataTable[[#This Row],[email]])</f>
        <v>steffen.borgwardt@ucdenver.edu</v>
      </c>
      <c r="Z914" s="15" t="str">
        <f>HYPERLINK("mailto:"&amp;RADataTable[[#This Row],[allPIemail]]&amp;"&amp;subject=NSF Proposal:  "&amp;RADataTable[[#This Row],[Div]]&amp;" "&amp;RADataTable[[#This Row],[prop_id0]], "PIs@")</f>
        <v>PIs@</v>
      </c>
      <c r="AA914" t="s">
        <v>245</v>
      </c>
      <c r="AB914" t="s">
        <v>661</v>
      </c>
      <c r="AC914" s="30" t="s">
        <v>714</v>
      </c>
      <c r="AD914" t="s">
        <v>715</v>
      </c>
      <c r="AE914" t="s">
        <v>716</v>
      </c>
      <c r="AF914" s="36">
        <v>470400</v>
      </c>
      <c r="AG914" s="36">
        <v>470400</v>
      </c>
      <c r="AH914" s="24"/>
      <c r="AJ914" s="34"/>
      <c r="AK914" t="s">
        <v>923</v>
      </c>
      <c r="AL914" t="s">
        <v>924</v>
      </c>
      <c r="AM914" s="34" t="s">
        <v>925</v>
      </c>
      <c r="AN914" s="34">
        <v>43032</v>
      </c>
      <c r="AO914" s="24">
        <v>22</v>
      </c>
      <c r="AP914" t="s">
        <v>926</v>
      </c>
      <c r="AR914" s="35"/>
      <c r="AS914"/>
      <c r="AT914" s="34"/>
      <c r="AV914" s="34"/>
      <c r="AX914" s="34"/>
      <c r="AY914"/>
      <c r="BA914" s="34"/>
      <c r="BB914"/>
      <c r="BC914" t="s">
        <v>720</v>
      </c>
      <c r="BD914" s="36">
        <v>470400</v>
      </c>
      <c r="BE914" s="36">
        <v>470400</v>
      </c>
      <c r="BF914">
        <v>0</v>
      </c>
      <c r="BG914" s="34">
        <v>43101</v>
      </c>
      <c r="BH914">
        <v>60</v>
      </c>
      <c r="BI914" t="s">
        <v>283</v>
      </c>
      <c r="BJ914" t="s">
        <v>928</v>
      </c>
      <c r="BK914" t="s">
        <v>234</v>
      </c>
      <c r="BL914" t="s">
        <v>194</v>
      </c>
      <c r="BM914" s="8" t="s">
        <v>192</v>
      </c>
      <c r="BN914" t="s">
        <v>189</v>
      </c>
      <c r="BO914" t="s">
        <v>190</v>
      </c>
      <c r="BP914" s="35" t="s">
        <v>718</v>
      </c>
      <c r="BQ914"/>
      <c r="BU914" s="35"/>
      <c r="BV914" s="35"/>
      <c r="BX914"/>
      <c r="CA914" s="35"/>
      <c r="CB914" s="35"/>
      <c r="CC914"/>
      <c r="CG914" s="35"/>
      <c r="CH914" s="35"/>
      <c r="CK914"/>
      <c r="CM914" s="35"/>
      <c r="CN914" s="35"/>
      <c r="CQ914"/>
      <c r="CS914" s="35"/>
      <c r="CT914" s="35"/>
      <c r="CX914"/>
      <c r="CZ914" s="35"/>
      <c r="DD914" s="34"/>
      <c r="DG914" t="s">
        <v>717</v>
      </c>
      <c r="DH914" t="s">
        <v>930</v>
      </c>
      <c r="DI914" t="s">
        <v>798</v>
      </c>
      <c r="DL914" t="s">
        <v>661</v>
      </c>
      <c r="DM914">
        <v>2</v>
      </c>
      <c r="DN914">
        <v>7</v>
      </c>
      <c r="DO914" t="s">
        <v>719</v>
      </c>
      <c r="DQ914" t="s">
        <v>927</v>
      </c>
      <c r="DR914">
        <v>14</v>
      </c>
      <c r="DS914">
        <v>0</v>
      </c>
      <c r="DU914">
        <v>14</v>
      </c>
      <c r="DV914">
        <v>0</v>
      </c>
      <c r="DX914">
        <v>14</v>
      </c>
      <c r="DY914">
        <v>0</v>
      </c>
      <c r="DZ914" t="s">
        <v>246</v>
      </c>
      <c r="EA914" t="s">
        <v>929</v>
      </c>
    </row>
    <row r="915" spans="1:131" x14ac:dyDescent="0.4">
      <c r="A915" s="34">
        <v>43067.305104166669</v>
      </c>
      <c r="B915" s="25">
        <v>42930.554166666669</v>
      </c>
      <c r="D915" s="34"/>
      <c r="E915" s="34" t="s">
        <v>193</v>
      </c>
      <c r="F915" s="34" t="s">
        <v>191</v>
      </c>
      <c r="G915" s="34" t="s">
        <v>100</v>
      </c>
      <c r="H915" t="s">
        <v>279</v>
      </c>
      <c r="I915" t="s">
        <v>243</v>
      </c>
      <c r="J915" t="s">
        <v>712</v>
      </c>
      <c r="K915" t="s">
        <v>713</v>
      </c>
      <c r="L915" t="s">
        <v>711</v>
      </c>
      <c r="M915" s="30">
        <v>4.22</v>
      </c>
      <c r="N915">
        <v>3.75</v>
      </c>
      <c r="P915" s="24" t="str">
        <f>IFERROR(MID(RADataTable[[#This Row],[RATemplate]],1,LEN(RADataTable[[#This Row],[RATemplate]])-8),"RA") &amp; " " &amp; RADataTable[[#This Row],[prop_id0]] &amp; " " &amp; RADataTable[[#This Row],[last0]]</f>
        <v>RA 1749173 Borgwardt</v>
      </c>
      <c r="T915">
        <v>4</v>
      </c>
      <c r="U915">
        <v>4</v>
      </c>
      <c r="V915" s="34">
        <v>43031.583333333336</v>
      </c>
      <c r="W915">
        <v>1</v>
      </c>
      <c r="X915" s="15" t="str">
        <f>HYPERLINK("https://www.ejacket.nsf.gov/ej/showProposal.do?Continue=Y&amp;ID="&amp;RADataTable[[#This Row],[prop_id0]],"eJ")</f>
        <v>eJ</v>
      </c>
      <c r="Y915" s="15" t="str">
        <f>HYPERLINK("mailto:"&amp;RADataTable[[#This Row],[email]]&amp;"&amp;subject=Your NSF Proposal:  "&amp;RADataTable[[#This Row],[Div]]&amp;" "&amp;RADataTable[[#This Row],[prop_id0]], RADataTable[[#This Row],[email]])</f>
        <v>steffen.borgwardt@ucdenver.edu</v>
      </c>
      <c r="Z915" s="15" t="str">
        <f>HYPERLINK("mailto:"&amp;RADataTable[[#This Row],[allPIemail]]&amp;"&amp;subject=NSF Proposal:  "&amp;RADataTable[[#This Row],[Div]]&amp;" "&amp;RADataTable[[#This Row],[prop_id0]], "PIs@")</f>
        <v>PIs@</v>
      </c>
      <c r="AA915" t="s">
        <v>245</v>
      </c>
      <c r="AB915" t="s">
        <v>661</v>
      </c>
      <c r="AC915" s="30" t="s">
        <v>714</v>
      </c>
      <c r="AD915" t="s">
        <v>715</v>
      </c>
      <c r="AE915" t="s">
        <v>716</v>
      </c>
      <c r="AF915" s="36">
        <v>470400</v>
      </c>
      <c r="AG915" s="36">
        <v>470400</v>
      </c>
      <c r="AH915" s="24"/>
      <c r="AJ915" s="34"/>
      <c r="AK915" t="s">
        <v>923</v>
      </c>
      <c r="AL915" t="s">
        <v>924</v>
      </c>
      <c r="AM915" s="34" t="s">
        <v>925</v>
      </c>
      <c r="AN915" s="34">
        <v>43032</v>
      </c>
      <c r="AO915" s="24">
        <v>22</v>
      </c>
      <c r="AP915" t="s">
        <v>926</v>
      </c>
      <c r="AR915" s="35"/>
      <c r="AS915"/>
      <c r="AT915" s="34"/>
      <c r="AV915" s="34"/>
      <c r="AX915" s="34"/>
      <c r="AY915"/>
      <c r="BA915" s="34"/>
      <c r="BB915"/>
      <c r="BC915" t="s">
        <v>720</v>
      </c>
      <c r="BD915" s="36">
        <v>470400</v>
      </c>
      <c r="BE915" s="36">
        <v>470400</v>
      </c>
      <c r="BF915">
        <v>0</v>
      </c>
      <c r="BG915" s="34">
        <v>43101</v>
      </c>
      <c r="BH915">
        <v>60</v>
      </c>
      <c r="BI915" t="s">
        <v>283</v>
      </c>
      <c r="BJ915" t="s">
        <v>928</v>
      </c>
      <c r="BK915" t="s">
        <v>234</v>
      </c>
      <c r="BL915" t="s">
        <v>194</v>
      </c>
      <c r="BM915" s="8" t="s">
        <v>192</v>
      </c>
      <c r="BN915" t="s">
        <v>189</v>
      </c>
      <c r="BO915" t="s">
        <v>190</v>
      </c>
      <c r="BP915" s="35" t="s">
        <v>718</v>
      </c>
      <c r="BQ915"/>
      <c r="BU915" s="35"/>
      <c r="BV915" s="35"/>
      <c r="BX915"/>
      <c r="CA915" s="35"/>
      <c r="CB915" s="35"/>
      <c r="CC915"/>
      <c r="CG915" s="35"/>
      <c r="CH915" s="35"/>
      <c r="CK915"/>
      <c r="CM915" s="35"/>
      <c r="CN915" s="35"/>
      <c r="CQ915"/>
      <c r="CS915" s="35"/>
      <c r="CT915" s="35"/>
      <c r="CX915"/>
      <c r="CZ915" s="35"/>
      <c r="DD915" s="34"/>
      <c r="DG915" t="s">
        <v>717</v>
      </c>
      <c r="DH915" t="s">
        <v>930</v>
      </c>
      <c r="DI915" t="s">
        <v>798</v>
      </c>
      <c r="DL915" t="s">
        <v>661</v>
      </c>
      <c r="DM915">
        <v>2</v>
      </c>
      <c r="DN915">
        <v>7</v>
      </c>
      <c r="DO915" t="s">
        <v>719</v>
      </c>
      <c r="DQ915" t="s">
        <v>927</v>
      </c>
      <c r="DR915">
        <v>14</v>
      </c>
      <c r="DS915">
        <v>0</v>
      </c>
      <c r="DU915">
        <v>14</v>
      </c>
      <c r="DV915">
        <v>0</v>
      </c>
      <c r="DX915">
        <v>14</v>
      </c>
      <c r="DY915">
        <v>0</v>
      </c>
      <c r="DZ915" t="s">
        <v>246</v>
      </c>
      <c r="EA915" t="s">
        <v>929</v>
      </c>
    </row>
    <row r="916" spans="1:131" x14ac:dyDescent="0.4">
      <c r="A916" s="34">
        <v>43067.305104166669</v>
      </c>
      <c r="B916" s="25">
        <v>42930.554166666669</v>
      </c>
      <c r="D916" s="34"/>
      <c r="E916" s="34" t="s">
        <v>193</v>
      </c>
      <c r="F916" s="34" t="s">
        <v>191</v>
      </c>
      <c r="G916" s="34" t="s">
        <v>100</v>
      </c>
      <c r="H916" t="s">
        <v>279</v>
      </c>
      <c r="I916" t="s">
        <v>243</v>
      </c>
      <c r="J916" t="s">
        <v>712</v>
      </c>
      <c r="K916" t="s">
        <v>713</v>
      </c>
      <c r="L916" t="s">
        <v>711</v>
      </c>
      <c r="M916" s="30">
        <v>4.22</v>
      </c>
      <c r="N916">
        <v>3.75</v>
      </c>
      <c r="P916" s="24" t="str">
        <f>IFERROR(MID(RADataTable[[#This Row],[RATemplate]],1,LEN(RADataTable[[#This Row],[RATemplate]])-8),"RA") &amp; " " &amp; RADataTable[[#This Row],[prop_id0]] &amp; " " &amp; RADataTable[[#This Row],[last0]]</f>
        <v>RA 1749173 Borgwardt</v>
      </c>
      <c r="T916">
        <v>4</v>
      </c>
      <c r="U916">
        <v>4</v>
      </c>
      <c r="V916" s="34">
        <v>43031.583333333336</v>
      </c>
      <c r="W916">
        <v>1</v>
      </c>
      <c r="X916" s="15" t="str">
        <f>HYPERLINK("https://www.ejacket.nsf.gov/ej/showProposal.do?Continue=Y&amp;ID="&amp;RADataTable[[#This Row],[prop_id0]],"eJ")</f>
        <v>eJ</v>
      </c>
      <c r="Y916" s="15" t="str">
        <f>HYPERLINK("mailto:"&amp;RADataTable[[#This Row],[email]]&amp;"&amp;subject=Your NSF Proposal:  "&amp;RADataTable[[#This Row],[Div]]&amp;" "&amp;RADataTable[[#This Row],[prop_id0]], RADataTable[[#This Row],[email]])</f>
        <v>steffen.borgwardt@ucdenver.edu</v>
      </c>
      <c r="Z916" s="15" t="str">
        <f>HYPERLINK("mailto:"&amp;RADataTable[[#This Row],[allPIemail]]&amp;"&amp;subject=NSF Proposal:  "&amp;RADataTable[[#This Row],[Div]]&amp;" "&amp;RADataTable[[#This Row],[prop_id0]], "PIs@")</f>
        <v>PIs@</v>
      </c>
      <c r="AA916" t="s">
        <v>245</v>
      </c>
      <c r="AB916" t="s">
        <v>661</v>
      </c>
      <c r="AC916" s="30" t="s">
        <v>714</v>
      </c>
      <c r="AD916" t="s">
        <v>715</v>
      </c>
      <c r="AE916" t="s">
        <v>716</v>
      </c>
      <c r="AF916" s="36">
        <v>470400</v>
      </c>
      <c r="AG916" s="36">
        <v>470400</v>
      </c>
      <c r="AH916" s="24"/>
      <c r="AJ916" s="34"/>
      <c r="AK916" t="s">
        <v>923</v>
      </c>
      <c r="AL916" t="s">
        <v>924</v>
      </c>
      <c r="AM916" s="34" t="s">
        <v>925</v>
      </c>
      <c r="AN916" s="34">
        <v>43032</v>
      </c>
      <c r="AO916" s="24">
        <v>22</v>
      </c>
      <c r="AP916" t="s">
        <v>926</v>
      </c>
      <c r="AR916" s="35"/>
      <c r="AS916"/>
      <c r="AT916" s="34"/>
      <c r="AV916" s="34"/>
      <c r="AX916" s="34"/>
      <c r="AY916"/>
      <c r="BA916" s="34"/>
      <c r="BB916"/>
      <c r="BC916" t="s">
        <v>720</v>
      </c>
      <c r="BD916" s="36">
        <v>470400</v>
      </c>
      <c r="BE916" s="36">
        <v>470400</v>
      </c>
      <c r="BF916">
        <v>0</v>
      </c>
      <c r="BG916" s="34">
        <v>43101</v>
      </c>
      <c r="BH916">
        <v>60</v>
      </c>
      <c r="BI916" t="s">
        <v>283</v>
      </c>
      <c r="BJ916" t="s">
        <v>928</v>
      </c>
      <c r="BK916" t="s">
        <v>234</v>
      </c>
      <c r="BL916" t="s">
        <v>194</v>
      </c>
      <c r="BM916" s="8" t="s">
        <v>192</v>
      </c>
      <c r="BN916" t="s">
        <v>189</v>
      </c>
      <c r="BO916" t="s">
        <v>190</v>
      </c>
      <c r="BP916" s="35" t="s">
        <v>718</v>
      </c>
      <c r="BQ916"/>
      <c r="BU916" s="35"/>
      <c r="BV916" s="35"/>
      <c r="BX916"/>
      <c r="CA916" s="35"/>
      <c r="CB916" s="35"/>
      <c r="CC916"/>
      <c r="CG916" s="35"/>
      <c r="CH916" s="35"/>
      <c r="CK916"/>
      <c r="CM916" s="35"/>
      <c r="CN916" s="35"/>
      <c r="CQ916"/>
      <c r="CS916" s="35"/>
      <c r="CT916" s="35"/>
      <c r="CX916"/>
      <c r="CZ916" s="35"/>
      <c r="DD916" s="34"/>
      <c r="DG916" t="s">
        <v>717</v>
      </c>
      <c r="DH916" t="s">
        <v>930</v>
      </c>
      <c r="DI916" t="s">
        <v>798</v>
      </c>
      <c r="DL916" t="s">
        <v>661</v>
      </c>
      <c r="DM916">
        <v>2</v>
      </c>
      <c r="DN916">
        <v>7</v>
      </c>
      <c r="DO916" t="s">
        <v>719</v>
      </c>
      <c r="DQ916" t="s">
        <v>927</v>
      </c>
      <c r="DR916">
        <v>14</v>
      </c>
      <c r="DS916">
        <v>0</v>
      </c>
      <c r="DU916">
        <v>14</v>
      </c>
      <c r="DV916">
        <v>0</v>
      </c>
      <c r="DX916">
        <v>14</v>
      </c>
      <c r="DY916">
        <v>0</v>
      </c>
      <c r="DZ916" t="s">
        <v>246</v>
      </c>
      <c r="EA916" t="s">
        <v>929</v>
      </c>
    </row>
    <row r="917" spans="1:131" x14ac:dyDescent="0.4">
      <c r="A917" s="34">
        <v>43067.305104166669</v>
      </c>
      <c r="B917" s="25">
        <v>42930.554166666669</v>
      </c>
      <c r="D917" s="34"/>
      <c r="E917" s="34" t="s">
        <v>193</v>
      </c>
      <c r="F917" s="34" t="s">
        <v>191</v>
      </c>
      <c r="G917" s="34" t="s">
        <v>100</v>
      </c>
      <c r="H917" t="s">
        <v>279</v>
      </c>
      <c r="I917" t="s">
        <v>243</v>
      </c>
      <c r="J917" t="s">
        <v>712</v>
      </c>
      <c r="K917" t="s">
        <v>713</v>
      </c>
      <c r="L917" t="s">
        <v>711</v>
      </c>
      <c r="M917" s="30">
        <v>4.22</v>
      </c>
      <c r="N917">
        <v>3.75</v>
      </c>
      <c r="P917" s="24" t="str">
        <f>IFERROR(MID(RADataTable[[#This Row],[RATemplate]],1,LEN(RADataTable[[#This Row],[RATemplate]])-8),"RA") &amp; " " &amp; RADataTable[[#This Row],[prop_id0]] &amp; " " &amp; RADataTable[[#This Row],[last0]]</f>
        <v>RA 1749173 Borgwardt</v>
      </c>
      <c r="T917">
        <v>4</v>
      </c>
      <c r="U917">
        <v>4</v>
      </c>
      <c r="V917" s="34">
        <v>43031.583333333336</v>
      </c>
      <c r="W917">
        <v>1</v>
      </c>
      <c r="X917" s="15" t="str">
        <f>HYPERLINK("https://www.ejacket.nsf.gov/ej/showProposal.do?Continue=Y&amp;ID="&amp;RADataTable[[#This Row],[prop_id0]],"eJ")</f>
        <v>eJ</v>
      </c>
      <c r="Y917" s="15" t="str">
        <f>HYPERLINK("mailto:"&amp;RADataTable[[#This Row],[email]]&amp;"&amp;subject=Your NSF Proposal:  "&amp;RADataTable[[#This Row],[Div]]&amp;" "&amp;RADataTable[[#This Row],[prop_id0]], RADataTable[[#This Row],[email]])</f>
        <v>steffen.borgwardt@ucdenver.edu</v>
      </c>
      <c r="Z917" s="15" t="str">
        <f>HYPERLINK("mailto:"&amp;RADataTable[[#This Row],[allPIemail]]&amp;"&amp;subject=NSF Proposal:  "&amp;RADataTable[[#This Row],[Div]]&amp;" "&amp;RADataTable[[#This Row],[prop_id0]], "PIs@")</f>
        <v>PIs@</v>
      </c>
      <c r="AA917" t="s">
        <v>245</v>
      </c>
      <c r="AB917" t="s">
        <v>661</v>
      </c>
      <c r="AC917" s="30" t="s">
        <v>714</v>
      </c>
      <c r="AD917" t="s">
        <v>715</v>
      </c>
      <c r="AE917" t="s">
        <v>716</v>
      </c>
      <c r="AF917" s="36">
        <v>470400</v>
      </c>
      <c r="AG917" s="36">
        <v>470400</v>
      </c>
      <c r="AH917" s="24"/>
      <c r="AJ917" s="34"/>
      <c r="AK917" t="s">
        <v>923</v>
      </c>
      <c r="AL917" t="s">
        <v>924</v>
      </c>
      <c r="AM917" s="34" t="s">
        <v>925</v>
      </c>
      <c r="AN917" s="34">
        <v>43032</v>
      </c>
      <c r="AO917" s="24">
        <v>22</v>
      </c>
      <c r="AP917" t="s">
        <v>926</v>
      </c>
      <c r="AR917" s="35"/>
      <c r="AS917"/>
      <c r="AT917" s="34"/>
      <c r="AV917" s="34"/>
      <c r="AX917" s="34"/>
      <c r="AY917"/>
      <c r="BA917" s="34"/>
      <c r="BB917"/>
      <c r="BC917" t="s">
        <v>720</v>
      </c>
      <c r="BD917" s="36">
        <v>470400</v>
      </c>
      <c r="BE917" s="36">
        <v>470400</v>
      </c>
      <c r="BF917">
        <v>0</v>
      </c>
      <c r="BG917" s="34">
        <v>43101</v>
      </c>
      <c r="BH917">
        <v>60</v>
      </c>
      <c r="BI917" t="s">
        <v>283</v>
      </c>
      <c r="BJ917" t="s">
        <v>928</v>
      </c>
      <c r="BK917" t="s">
        <v>234</v>
      </c>
      <c r="BL917" t="s">
        <v>194</v>
      </c>
      <c r="BM917" s="8" t="s">
        <v>192</v>
      </c>
      <c r="BN917" t="s">
        <v>189</v>
      </c>
      <c r="BO917" t="s">
        <v>190</v>
      </c>
      <c r="BP917" s="35" t="s">
        <v>718</v>
      </c>
      <c r="BQ917"/>
      <c r="BU917" s="35"/>
      <c r="BV917" s="35"/>
      <c r="BX917"/>
      <c r="CA917" s="35"/>
      <c r="CB917" s="35"/>
      <c r="CC917"/>
      <c r="CG917" s="35"/>
      <c r="CH917" s="35"/>
      <c r="CK917"/>
      <c r="CM917" s="35"/>
      <c r="CN917" s="35"/>
      <c r="CQ917"/>
      <c r="CS917" s="35"/>
      <c r="CT917" s="35"/>
      <c r="CX917"/>
      <c r="CZ917" s="35"/>
      <c r="DD917" s="34"/>
      <c r="DG917" t="s">
        <v>717</v>
      </c>
      <c r="DH917" t="s">
        <v>930</v>
      </c>
      <c r="DI917" t="s">
        <v>798</v>
      </c>
      <c r="DL917" t="s">
        <v>661</v>
      </c>
      <c r="DM917">
        <v>2</v>
      </c>
      <c r="DN917">
        <v>7</v>
      </c>
      <c r="DO917" t="s">
        <v>719</v>
      </c>
      <c r="DQ917" t="s">
        <v>927</v>
      </c>
      <c r="DR917">
        <v>14</v>
      </c>
      <c r="DS917">
        <v>0</v>
      </c>
      <c r="DU917">
        <v>14</v>
      </c>
      <c r="DV917">
        <v>0</v>
      </c>
      <c r="DX917">
        <v>14</v>
      </c>
      <c r="DY917">
        <v>0</v>
      </c>
      <c r="DZ917" t="s">
        <v>246</v>
      </c>
      <c r="EA917" t="s">
        <v>929</v>
      </c>
    </row>
    <row r="918" spans="1:131" x14ac:dyDescent="0.4">
      <c r="A918" s="34">
        <v>43067.305104166669</v>
      </c>
      <c r="B918" s="25">
        <v>42930.554166666669</v>
      </c>
      <c r="D918" s="34"/>
      <c r="E918" s="34" t="s">
        <v>193</v>
      </c>
      <c r="F918" s="34" t="s">
        <v>191</v>
      </c>
      <c r="G918" s="34" t="s">
        <v>100</v>
      </c>
      <c r="H918" t="s">
        <v>279</v>
      </c>
      <c r="I918" t="s">
        <v>243</v>
      </c>
      <c r="J918" t="s">
        <v>712</v>
      </c>
      <c r="K918" t="s">
        <v>713</v>
      </c>
      <c r="L918" t="s">
        <v>711</v>
      </c>
      <c r="M918" s="30">
        <v>4.22</v>
      </c>
      <c r="N918">
        <v>3.75</v>
      </c>
      <c r="P918" s="24" t="str">
        <f>IFERROR(MID(RADataTable[[#This Row],[RATemplate]],1,LEN(RADataTable[[#This Row],[RATemplate]])-8),"RA") &amp; " " &amp; RADataTable[[#This Row],[prop_id0]] &amp; " " &amp; RADataTable[[#This Row],[last0]]</f>
        <v>RA 1749173 Borgwardt</v>
      </c>
      <c r="T918">
        <v>4</v>
      </c>
      <c r="U918">
        <v>4</v>
      </c>
      <c r="V918" s="34">
        <v>43031.583333333336</v>
      </c>
      <c r="W918">
        <v>1</v>
      </c>
      <c r="X918" s="15" t="str">
        <f>HYPERLINK("https://www.ejacket.nsf.gov/ej/showProposal.do?Continue=Y&amp;ID="&amp;RADataTable[[#This Row],[prop_id0]],"eJ")</f>
        <v>eJ</v>
      </c>
      <c r="Y918" s="15" t="str">
        <f>HYPERLINK("mailto:"&amp;RADataTable[[#This Row],[email]]&amp;"&amp;subject=Your NSF Proposal:  "&amp;RADataTable[[#This Row],[Div]]&amp;" "&amp;RADataTable[[#This Row],[prop_id0]], RADataTable[[#This Row],[email]])</f>
        <v>steffen.borgwardt@ucdenver.edu</v>
      </c>
      <c r="Z918" s="15" t="str">
        <f>HYPERLINK("mailto:"&amp;RADataTable[[#This Row],[allPIemail]]&amp;"&amp;subject=NSF Proposal:  "&amp;RADataTable[[#This Row],[Div]]&amp;" "&amp;RADataTable[[#This Row],[prop_id0]], "PIs@")</f>
        <v>PIs@</v>
      </c>
      <c r="AA918" t="s">
        <v>245</v>
      </c>
      <c r="AB918" t="s">
        <v>661</v>
      </c>
      <c r="AC918" s="30" t="s">
        <v>714</v>
      </c>
      <c r="AD918" t="s">
        <v>715</v>
      </c>
      <c r="AE918" t="s">
        <v>716</v>
      </c>
      <c r="AF918" s="36">
        <v>470400</v>
      </c>
      <c r="AG918" s="36">
        <v>470400</v>
      </c>
      <c r="AH918" s="24"/>
      <c r="AJ918" s="34"/>
      <c r="AK918" t="s">
        <v>923</v>
      </c>
      <c r="AL918" t="s">
        <v>924</v>
      </c>
      <c r="AM918" s="34" t="s">
        <v>925</v>
      </c>
      <c r="AN918" s="34">
        <v>43032</v>
      </c>
      <c r="AO918" s="24">
        <v>22</v>
      </c>
      <c r="AP918" t="s">
        <v>926</v>
      </c>
      <c r="AR918" s="35"/>
      <c r="AS918"/>
      <c r="AT918" s="34"/>
      <c r="AV918" s="34"/>
      <c r="AX918" s="34"/>
      <c r="AY918"/>
      <c r="BA918" s="34"/>
      <c r="BB918"/>
      <c r="BC918" t="s">
        <v>720</v>
      </c>
      <c r="BD918" s="36">
        <v>470400</v>
      </c>
      <c r="BE918" s="36">
        <v>470400</v>
      </c>
      <c r="BF918">
        <v>0</v>
      </c>
      <c r="BG918" s="34">
        <v>43101</v>
      </c>
      <c r="BH918">
        <v>60</v>
      </c>
      <c r="BI918" t="s">
        <v>283</v>
      </c>
      <c r="BJ918" t="s">
        <v>928</v>
      </c>
      <c r="BK918" t="s">
        <v>234</v>
      </c>
      <c r="BL918" t="s">
        <v>194</v>
      </c>
      <c r="BM918" s="8" t="s">
        <v>192</v>
      </c>
      <c r="BN918" t="s">
        <v>189</v>
      </c>
      <c r="BO918" t="s">
        <v>190</v>
      </c>
      <c r="BP918" s="35" t="s">
        <v>718</v>
      </c>
      <c r="BQ918"/>
      <c r="BU918" s="35"/>
      <c r="BV918" s="35"/>
      <c r="BX918"/>
      <c r="CA918" s="35"/>
      <c r="CB918" s="35"/>
      <c r="CC918"/>
      <c r="CG918" s="35"/>
      <c r="CH918" s="35"/>
      <c r="CK918"/>
      <c r="CM918" s="35"/>
      <c r="CN918" s="35"/>
      <c r="CQ918"/>
      <c r="CS918" s="35"/>
      <c r="CT918" s="35"/>
      <c r="CX918"/>
      <c r="CZ918" s="35"/>
      <c r="DD918" s="34"/>
      <c r="DG918" t="s">
        <v>717</v>
      </c>
      <c r="DH918" t="s">
        <v>930</v>
      </c>
      <c r="DI918" t="s">
        <v>798</v>
      </c>
      <c r="DL918" t="s">
        <v>661</v>
      </c>
      <c r="DM918">
        <v>2</v>
      </c>
      <c r="DN918">
        <v>7</v>
      </c>
      <c r="DO918" t="s">
        <v>719</v>
      </c>
      <c r="DQ918" t="s">
        <v>927</v>
      </c>
      <c r="DR918">
        <v>14</v>
      </c>
      <c r="DS918">
        <v>0</v>
      </c>
      <c r="DU918">
        <v>14</v>
      </c>
      <c r="DV918">
        <v>0</v>
      </c>
      <c r="DX918">
        <v>14</v>
      </c>
      <c r="DY918">
        <v>0</v>
      </c>
      <c r="DZ918" t="s">
        <v>246</v>
      </c>
      <c r="EA918" t="s">
        <v>929</v>
      </c>
    </row>
    <row r="919" spans="1:131" x14ac:dyDescent="0.4">
      <c r="A919" s="34">
        <v>43067.305104166669</v>
      </c>
      <c r="B919" s="25">
        <v>42930.554166666669</v>
      </c>
      <c r="D919" s="34"/>
      <c r="E919" s="34" t="s">
        <v>193</v>
      </c>
      <c r="F919" s="34" t="s">
        <v>191</v>
      </c>
      <c r="G919" s="34" t="s">
        <v>100</v>
      </c>
      <c r="H919" t="s">
        <v>279</v>
      </c>
      <c r="I919" t="s">
        <v>243</v>
      </c>
      <c r="J919" t="s">
        <v>712</v>
      </c>
      <c r="K919" t="s">
        <v>713</v>
      </c>
      <c r="L919" t="s">
        <v>711</v>
      </c>
      <c r="M919" s="30">
        <v>4.22</v>
      </c>
      <c r="N919">
        <v>3.75</v>
      </c>
      <c r="P919" s="24" t="str">
        <f>IFERROR(MID(RADataTable[[#This Row],[RATemplate]],1,LEN(RADataTable[[#This Row],[RATemplate]])-8),"RA") &amp; " " &amp; RADataTable[[#This Row],[prop_id0]] &amp; " " &amp; RADataTable[[#This Row],[last0]]</f>
        <v>RA 1749173 Borgwardt</v>
      </c>
      <c r="T919">
        <v>4</v>
      </c>
      <c r="U919">
        <v>4</v>
      </c>
      <c r="V919" s="34">
        <v>43031.583333333336</v>
      </c>
      <c r="W919">
        <v>1</v>
      </c>
      <c r="X919" s="15" t="str">
        <f>HYPERLINK("https://www.ejacket.nsf.gov/ej/showProposal.do?Continue=Y&amp;ID="&amp;RADataTable[[#This Row],[prop_id0]],"eJ")</f>
        <v>eJ</v>
      </c>
      <c r="Y919" s="15" t="str">
        <f>HYPERLINK("mailto:"&amp;RADataTable[[#This Row],[email]]&amp;"&amp;subject=Your NSF Proposal:  "&amp;RADataTable[[#This Row],[Div]]&amp;" "&amp;RADataTable[[#This Row],[prop_id0]], RADataTable[[#This Row],[email]])</f>
        <v>steffen.borgwardt@ucdenver.edu</v>
      </c>
      <c r="Z919" s="15" t="str">
        <f>HYPERLINK("mailto:"&amp;RADataTable[[#This Row],[allPIemail]]&amp;"&amp;subject=NSF Proposal:  "&amp;RADataTable[[#This Row],[Div]]&amp;" "&amp;RADataTable[[#This Row],[prop_id0]], "PIs@")</f>
        <v>PIs@</v>
      </c>
      <c r="AA919" t="s">
        <v>245</v>
      </c>
      <c r="AB919" t="s">
        <v>661</v>
      </c>
      <c r="AC919" s="30" t="s">
        <v>714</v>
      </c>
      <c r="AD919" t="s">
        <v>715</v>
      </c>
      <c r="AE919" t="s">
        <v>716</v>
      </c>
      <c r="AF919" s="36">
        <v>470400</v>
      </c>
      <c r="AG919" s="36">
        <v>470400</v>
      </c>
      <c r="AH919" s="24"/>
      <c r="AJ919" s="34"/>
      <c r="AK919" t="s">
        <v>923</v>
      </c>
      <c r="AL919" t="s">
        <v>924</v>
      </c>
      <c r="AM919" s="34" t="s">
        <v>925</v>
      </c>
      <c r="AN919" s="34">
        <v>43032</v>
      </c>
      <c r="AO919" s="24">
        <v>22</v>
      </c>
      <c r="AP919" t="s">
        <v>926</v>
      </c>
      <c r="AR919" s="35"/>
      <c r="AS919"/>
      <c r="AT919" s="34"/>
      <c r="AV919" s="34"/>
      <c r="AX919" s="34"/>
      <c r="AY919"/>
      <c r="BA919" s="34"/>
      <c r="BB919"/>
      <c r="BC919" t="s">
        <v>720</v>
      </c>
      <c r="BD919" s="36">
        <v>470400</v>
      </c>
      <c r="BE919" s="36">
        <v>470400</v>
      </c>
      <c r="BF919">
        <v>0</v>
      </c>
      <c r="BG919" s="34">
        <v>43101</v>
      </c>
      <c r="BH919">
        <v>60</v>
      </c>
      <c r="BI919" t="s">
        <v>283</v>
      </c>
      <c r="BJ919" t="s">
        <v>928</v>
      </c>
      <c r="BK919" t="s">
        <v>234</v>
      </c>
      <c r="BL919" t="s">
        <v>194</v>
      </c>
      <c r="BM919" s="8" t="s">
        <v>192</v>
      </c>
      <c r="BN919" t="s">
        <v>189</v>
      </c>
      <c r="BO919" t="s">
        <v>190</v>
      </c>
      <c r="BP919" s="35" t="s">
        <v>718</v>
      </c>
      <c r="BQ919"/>
      <c r="BU919" s="35"/>
      <c r="BV919" s="35"/>
      <c r="BX919"/>
      <c r="CA919" s="35"/>
      <c r="CB919" s="35"/>
      <c r="CC919"/>
      <c r="CG919" s="35"/>
      <c r="CH919" s="35"/>
      <c r="CK919"/>
      <c r="CM919" s="35"/>
      <c r="CN919" s="35"/>
      <c r="CQ919"/>
      <c r="CS919" s="35"/>
      <c r="CT919" s="35"/>
      <c r="CX919"/>
      <c r="CZ919" s="35"/>
      <c r="DD919" s="34"/>
      <c r="DG919" t="s">
        <v>717</v>
      </c>
      <c r="DH919" t="s">
        <v>930</v>
      </c>
      <c r="DI919" t="s">
        <v>798</v>
      </c>
      <c r="DL919" t="s">
        <v>661</v>
      </c>
      <c r="DM919">
        <v>2</v>
      </c>
      <c r="DN919">
        <v>7</v>
      </c>
      <c r="DO919" t="s">
        <v>719</v>
      </c>
      <c r="DQ919" t="s">
        <v>927</v>
      </c>
      <c r="DR919">
        <v>14</v>
      </c>
      <c r="DS919">
        <v>0</v>
      </c>
      <c r="DU919">
        <v>14</v>
      </c>
      <c r="DV919">
        <v>0</v>
      </c>
      <c r="DX919">
        <v>14</v>
      </c>
      <c r="DY919">
        <v>0</v>
      </c>
      <c r="DZ919" t="s">
        <v>246</v>
      </c>
      <c r="EA919" t="s">
        <v>929</v>
      </c>
    </row>
    <row r="920" spans="1:131" x14ac:dyDescent="0.4">
      <c r="A920" s="34">
        <v>43067.305104166669</v>
      </c>
      <c r="B920" s="25">
        <v>42930.554166666669</v>
      </c>
      <c r="D920" s="34"/>
      <c r="E920" s="34" t="s">
        <v>193</v>
      </c>
      <c r="F920" s="34" t="s">
        <v>191</v>
      </c>
      <c r="G920" s="34" t="s">
        <v>100</v>
      </c>
      <c r="H920" t="s">
        <v>279</v>
      </c>
      <c r="I920" t="s">
        <v>243</v>
      </c>
      <c r="J920" t="s">
        <v>712</v>
      </c>
      <c r="K920" t="s">
        <v>713</v>
      </c>
      <c r="L920" t="s">
        <v>711</v>
      </c>
      <c r="M920" s="30">
        <v>4.22</v>
      </c>
      <c r="N920">
        <v>3.75</v>
      </c>
      <c r="P920" s="24" t="str">
        <f>IFERROR(MID(RADataTable[[#This Row],[RATemplate]],1,LEN(RADataTable[[#This Row],[RATemplate]])-8),"RA") &amp; " " &amp; RADataTable[[#This Row],[prop_id0]] &amp; " " &amp; RADataTable[[#This Row],[last0]]</f>
        <v>RA 1749173 Borgwardt</v>
      </c>
      <c r="T920">
        <v>4</v>
      </c>
      <c r="U920">
        <v>4</v>
      </c>
      <c r="V920" s="34">
        <v>43031.583333333336</v>
      </c>
      <c r="W920">
        <v>1</v>
      </c>
      <c r="X920" s="15" t="str">
        <f>HYPERLINK("https://www.ejacket.nsf.gov/ej/showProposal.do?Continue=Y&amp;ID="&amp;RADataTable[[#This Row],[prop_id0]],"eJ")</f>
        <v>eJ</v>
      </c>
      <c r="Y920" s="15" t="str">
        <f>HYPERLINK("mailto:"&amp;RADataTable[[#This Row],[email]]&amp;"&amp;subject=Your NSF Proposal:  "&amp;RADataTable[[#This Row],[Div]]&amp;" "&amp;RADataTable[[#This Row],[prop_id0]], RADataTable[[#This Row],[email]])</f>
        <v>steffen.borgwardt@ucdenver.edu</v>
      </c>
      <c r="Z920" s="15" t="str">
        <f>HYPERLINK("mailto:"&amp;RADataTable[[#This Row],[allPIemail]]&amp;"&amp;subject=NSF Proposal:  "&amp;RADataTable[[#This Row],[Div]]&amp;" "&amp;RADataTable[[#This Row],[prop_id0]], "PIs@")</f>
        <v>PIs@</v>
      </c>
      <c r="AA920" t="s">
        <v>245</v>
      </c>
      <c r="AB920" t="s">
        <v>661</v>
      </c>
      <c r="AC920" s="30" t="s">
        <v>714</v>
      </c>
      <c r="AD920" t="s">
        <v>715</v>
      </c>
      <c r="AE920" t="s">
        <v>716</v>
      </c>
      <c r="AF920" s="36">
        <v>470400</v>
      </c>
      <c r="AG920" s="36">
        <v>470400</v>
      </c>
      <c r="AH920" s="24"/>
      <c r="AJ920" s="34"/>
      <c r="AK920" t="s">
        <v>923</v>
      </c>
      <c r="AL920" t="s">
        <v>924</v>
      </c>
      <c r="AM920" s="34" t="s">
        <v>925</v>
      </c>
      <c r="AN920" s="34">
        <v>43032</v>
      </c>
      <c r="AO920" s="24">
        <v>22</v>
      </c>
      <c r="AP920" t="s">
        <v>926</v>
      </c>
      <c r="AR920" s="35"/>
      <c r="AS920"/>
      <c r="AT920" s="34"/>
      <c r="AV920" s="34"/>
      <c r="AX920" s="34"/>
      <c r="AY920"/>
      <c r="BA920" s="34"/>
      <c r="BB920"/>
      <c r="BC920" t="s">
        <v>720</v>
      </c>
      <c r="BD920" s="36">
        <v>470400</v>
      </c>
      <c r="BE920" s="36">
        <v>470400</v>
      </c>
      <c r="BF920">
        <v>0</v>
      </c>
      <c r="BG920" s="34">
        <v>43101</v>
      </c>
      <c r="BH920">
        <v>60</v>
      </c>
      <c r="BI920" t="s">
        <v>283</v>
      </c>
      <c r="BJ920" t="s">
        <v>928</v>
      </c>
      <c r="BK920" t="s">
        <v>234</v>
      </c>
      <c r="BL920" t="s">
        <v>194</v>
      </c>
      <c r="BM920" s="8" t="s">
        <v>192</v>
      </c>
      <c r="BN920" t="s">
        <v>189</v>
      </c>
      <c r="BO920" t="s">
        <v>190</v>
      </c>
      <c r="BP920" s="35" t="s">
        <v>718</v>
      </c>
      <c r="BQ920"/>
      <c r="BU920" s="35"/>
      <c r="BV920" s="35"/>
      <c r="BX920"/>
      <c r="CA920" s="35"/>
      <c r="CB920" s="35"/>
      <c r="CC920"/>
      <c r="CG920" s="35"/>
      <c r="CH920" s="35"/>
      <c r="CK920"/>
      <c r="CM920" s="35"/>
      <c r="CN920" s="35"/>
      <c r="CQ920"/>
      <c r="CS920" s="35"/>
      <c r="CT920" s="35"/>
      <c r="CX920"/>
      <c r="CZ920" s="35"/>
      <c r="DD920" s="34"/>
      <c r="DG920" t="s">
        <v>717</v>
      </c>
      <c r="DH920" t="s">
        <v>930</v>
      </c>
      <c r="DI920" t="s">
        <v>798</v>
      </c>
      <c r="DL920" t="s">
        <v>661</v>
      </c>
      <c r="DM920">
        <v>2</v>
      </c>
      <c r="DN920">
        <v>7</v>
      </c>
      <c r="DO920" t="s">
        <v>719</v>
      </c>
      <c r="DQ920" t="s">
        <v>927</v>
      </c>
      <c r="DR920">
        <v>14</v>
      </c>
      <c r="DS920">
        <v>0</v>
      </c>
      <c r="DU920">
        <v>14</v>
      </c>
      <c r="DV920">
        <v>0</v>
      </c>
      <c r="DX920">
        <v>14</v>
      </c>
      <c r="DY920">
        <v>0</v>
      </c>
      <c r="DZ920" t="s">
        <v>246</v>
      </c>
      <c r="EA920" t="s">
        <v>929</v>
      </c>
    </row>
    <row r="921" spans="1:131" x14ac:dyDescent="0.4">
      <c r="A921" s="34">
        <v>43067.305104166669</v>
      </c>
      <c r="B921" s="25">
        <v>42930.554166666669</v>
      </c>
      <c r="D921" s="34"/>
      <c r="E921" s="34" t="s">
        <v>193</v>
      </c>
      <c r="F921" s="34" t="s">
        <v>191</v>
      </c>
      <c r="G921" s="34" t="s">
        <v>100</v>
      </c>
      <c r="H921" t="s">
        <v>279</v>
      </c>
      <c r="I921" t="s">
        <v>243</v>
      </c>
      <c r="J921" t="s">
        <v>712</v>
      </c>
      <c r="K921" t="s">
        <v>713</v>
      </c>
      <c r="L921" t="s">
        <v>711</v>
      </c>
      <c r="M921" s="30">
        <v>4.22</v>
      </c>
      <c r="N921">
        <v>3.75</v>
      </c>
      <c r="P921" s="24" t="str">
        <f>IFERROR(MID(RADataTable[[#This Row],[RATemplate]],1,LEN(RADataTable[[#This Row],[RATemplate]])-8),"RA") &amp; " " &amp; RADataTable[[#This Row],[prop_id0]] &amp; " " &amp; RADataTable[[#This Row],[last0]]</f>
        <v>RA 1749173 Borgwardt</v>
      </c>
      <c r="T921">
        <v>4</v>
      </c>
      <c r="U921">
        <v>4</v>
      </c>
      <c r="V921" s="34">
        <v>43031.583333333336</v>
      </c>
      <c r="W921">
        <v>1</v>
      </c>
      <c r="X921" s="15" t="str">
        <f>HYPERLINK("https://www.ejacket.nsf.gov/ej/showProposal.do?Continue=Y&amp;ID="&amp;RADataTable[[#This Row],[prop_id0]],"eJ")</f>
        <v>eJ</v>
      </c>
      <c r="Y921" s="15" t="str">
        <f>HYPERLINK("mailto:"&amp;RADataTable[[#This Row],[email]]&amp;"&amp;subject=Your NSF Proposal:  "&amp;RADataTable[[#This Row],[Div]]&amp;" "&amp;RADataTable[[#This Row],[prop_id0]], RADataTable[[#This Row],[email]])</f>
        <v>steffen.borgwardt@ucdenver.edu</v>
      </c>
      <c r="Z921" s="15" t="str">
        <f>HYPERLINK("mailto:"&amp;RADataTable[[#This Row],[allPIemail]]&amp;"&amp;subject=NSF Proposal:  "&amp;RADataTable[[#This Row],[Div]]&amp;" "&amp;RADataTable[[#This Row],[prop_id0]], "PIs@")</f>
        <v>PIs@</v>
      </c>
      <c r="AA921" t="s">
        <v>245</v>
      </c>
      <c r="AB921" t="s">
        <v>661</v>
      </c>
      <c r="AC921" s="30" t="s">
        <v>714</v>
      </c>
      <c r="AD921" t="s">
        <v>715</v>
      </c>
      <c r="AE921" t="s">
        <v>716</v>
      </c>
      <c r="AF921" s="36">
        <v>470400</v>
      </c>
      <c r="AG921" s="36">
        <v>470400</v>
      </c>
      <c r="AH921" s="24"/>
      <c r="AJ921" s="34"/>
      <c r="AK921" t="s">
        <v>923</v>
      </c>
      <c r="AL921" t="s">
        <v>924</v>
      </c>
      <c r="AM921" s="34" t="s">
        <v>925</v>
      </c>
      <c r="AN921" s="34">
        <v>43032</v>
      </c>
      <c r="AO921" s="24">
        <v>22</v>
      </c>
      <c r="AP921" t="s">
        <v>926</v>
      </c>
      <c r="AR921" s="35"/>
      <c r="AS921"/>
      <c r="AT921" s="34"/>
      <c r="AV921" s="34"/>
      <c r="AX921" s="34"/>
      <c r="AY921"/>
      <c r="BA921" s="34"/>
      <c r="BB921"/>
      <c r="BC921" t="s">
        <v>720</v>
      </c>
      <c r="BD921" s="36">
        <v>470400</v>
      </c>
      <c r="BE921" s="36">
        <v>470400</v>
      </c>
      <c r="BF921">
        <v>0</v>
      </c>
      <c r="BG921" s="34">
        <v>43101</v>
      </c>
      <c r="BH921">
        <v>60</v>
      </c>
      <c r="BI921" t="s">
        <v>283</v>
      </c>
      <c r="BJ921" t="s">
        <v>928</v>
      </c>
      <c r="BK921" t="s">
        <v>234</v>
      </c>
      <c r="BL921" t="s">
        <v>194</v>
      </c>
      <c r="BM921" s="8" t="s">
        <v>192</v>
      </c>
      <c r="BN921" t="s">
        <v>189</v>
      </c>
      <c r="BO921" t="s">
        <v>190</v>
      </c>
      <c r="BP921" s="35" t="s">
        <v>718</v>
      </c>
      <c r="BQ921"/>
      <c r="BU921" s="35"/>
      <c r="BV921" s="35"/>
      <c r="BX921"/>
      <c r="CA921" s="35"/>
      <c r="CB921" s="35"/>
      <c r="CC921"/>
      <c r="CG921" s="35"/>
      <c r="CH921" s="35"/>
      <c r="CK921"/>
      <c r="CM921" s="35"/>
      <c r="CN921" s="35"/>
      <c r="CQ921"/>
      <c r="CS921" s="35"/>
      <c r="CT921" s="35"/>
      <c r="CX921"/>
      <c r="CZ921" s="35"/>
      <c r="DD921" s="34"/>
      <c r="DG921" t="s">
        <v>717</v>
      </c>
      <c r="DH921" t="s">
        <v>930</v>
      </c>
      <c r="DI921" t="s">
        <v>798</v>
      </c>
      <c r="DL921" t="s">
        <v>661</v>
      </c>
      <c r="DM921">
        <v>2</v>
      </c>
      <c r="DN921">
        <v>7</v>
      </c>
      <c r="DO921" t="s">
        <v>719</v>
      </c>
      <c r="DQ921" t="s">
        <v>927</v>
      </c>
      <c r="DR921">
        <v>14</v>
      </c>
      <c r="DS921">
        <v>0</v>
      </c>
      <c r="DU921">
        <v>14</v>
      </c>
      <c r="DV921">
        <v>0</v>
      </c>
      <c r="DX921">
        <v>14</v>
      </c>
      <c r="DY921">
        <v>0</v>
      </c>
      <c r="DZ921" t="s">
        <v>246</v>
      </c>
      <c r="EA921" t="s">
        <v>929</v>
      </c>
    </row>
    <row r="922" spans="1:131" x14ac:dyDescent="0.4">
      <c r="A922" s="34">
        <v>43067.305104166669</v>
      </c>
      <c r="B922" s="25">
        <v>42930.554166666669</v>
      </c>
      <c r="D922" s="34"/>
      <c r="E922" s="34" t="s">
        <v>193</v>
      </c>
      <c r="F922" s="34" t="s">
        <v>191</v>
      </c>
      <c r="G922" s="34" t="s">
        <v>100</v>
      </c>
      <c r="H922" t="s">
        <v>279</v>
      </c>
      <c r="I922" t="s">
        <v>243</v>
      </c>
      <c r="J922" t="s">
        <v>712</v>
      </c>
      <c r="K922" t="s">
        <v>713</v>
      </c>
      <c r="L922" t="s">
        <v>711</v>
      </c>
      <c r="M922" s="30">
        <v>4.22</v>
      </c>
      <c r="N922">
        <v>3.75</v>
      </c>
      <c r="P922" s="24" t="str">
        <f>IFERROR(MID(RADataTable[[#This Row],[RATemplate]],1,LEN(RADataTable[[#This Row],[RATemplate]])-8),"RA") &amp; " " &amp; RADataTable[[#This Row],[prop_id0]] &amp; " " &amp; RADataTable[[#This Row],[last0]]</f>
        <v>RA 1749173 Borgwardt</v>
      </c>
      <c r="T922">
        <v>4</v>
      </c>
      <c r="U922">
        <v>4</v>
      </c>
      <c r="V922" s="34">
        <v>43031.583333333336</v>
      </c>
      <c r="W922">
        <v>1</v>
      </c>
      <c r="X922" s="15" t="str">
        <f>HYPERLINK("https://www.ejacket.nsf.gov/ej/showProposal.do?Continue=Y&amp;ID="&amp;RADataTable[[#This Row],[prop_id0]],"eJ")</f>
        <v>eJ</v>
      </c>
      <c r="Y922" s="15" t="str">
        <f>HYPERLINK("mailto:"&amp;RADataTable[[#This Row],[email]]&amp;"&amp;subject=Your NSF Proposal:  "&amp;RADataTable[[#This Row],[Div]]&amp;" "&amp;RADataTable[[#This Row],[prop_id0]], RADataTable[[#This Row],[email]])</f>
        <v>steffen.borgwardt@ucdenver.edu</v>
      </c>
      <c r="Z922" s="15" t="str">
        <f>HYPERLINK("mailto:"&amp;RADataTable[[#This Row],[allPIemail]]&amp;"&amp;subject=NSF Proposal:  "&amp;RADataTable[[#This Row],[Div]]&amp;" "&amp;RADataTable[[#This Row],[prop_id0]], "PIs@")</f>
        <v>PIs@</v>
      </c>
      <c r="AA922" t="s">
        <v>245</v>
      </c>
      <c r="AB922" t="s">
        <v>661</v>
      </c>
      <c r="AC922" s="30" t="s">
        <v>714</v>
      </c>
      <c r="AD922" t="s">
        <v>715</v>
      </c>
      <c r="AE922" t="s">
        <v>716</v>
      </c>
      <c r="AF922" s="36">
        <v>470400</v>
      </c>
      <c r="AG922" s="36">
        <v>470400</v>
      </c>
      <c r="AH922" s="24"/>
      <c r="AJ922" s="34"/>
      <c r="AK922" t="s">
        <v>923</v>
      </c>
      <c r="AL922" t="s">
        <v>924</v>
      </c>
      <c r="AM922" s="34" t="s">
        <v>925</v>
      </c>
      <c r="AN922" s="34">
        <v>43032</v>
      </c>
      <c r="AO922" s="24">
        <v>22</v>
      </c>
      <c r="AP922" t="s">
        <v>926</v>
      </c>
      <c r="AR922" s="35"/>
      <c r="AS922"/>
      <c r="AT922" s="34"/>
      <c r="AV922" s="34"/>
      <c r="AX922" s="34"/>
      <c r="AY922"/>
      <c r="BA922" s="34"/>
      <c r="BB922"/>
      <c r="BC922" t="s">
        <v>720</v>
      </c>
      <c r="BD922" s="36">
        <v>470400</v>
      </c>
      <c r="BE922" s="36">
        <v>470400</v>
      </c>
      <c r="BF922">
        <v>0</v>
      </c>
      <c r="BG922" s="34">
        <v>43101</v>
      </c>
      <c r="BH922">
        <v>60</v>
      </c>
      <c r="BI922" t="s">
        <v>283</v>
      </c>
      <c r="BJ922" t="s">
        <v>928</v>
      </c>
      <c r="BK922" t="s">
        <v>234</v>
      </c>
      <c r="BL922" t="s">
        <v>194</v>
      </c>
      <c r="BM922" s="8" t="s">
        <v>192</v>
      </c>
      <c r="BN922" t="s">
        <v>189</v>
      </c>
      <c r="BO922" t="s">
        <v>190</v>
      </c>
      <c r="BP922" s="35" t="s">
        <v>718</v>
      </c>
      <c r="BQ922"/>
      <c r="BU922" s="35"/>
      <c r="BV922" s="35"/>
      <c r="BX922"/>
      <c r="CA922" s="35"/>
      <c r="CB922" s="35"/>
      <c r="CC922"/>
      <c r="CG922" s="35"/>
      <c r="CH922" s="35"/>
      <c r="CK922"/>
      <c r="CM922" s="35"/>
      <c r="CN922" s="35"/>
      <c r="CQ922"/>
      <c r="CS922" s="35"/>
      <c r="CT922" s="35"/>
      <c r="CX922"/>
      <c r="CZ922" s="35"/>
      <c r="DD922" s="34"/>
      <c r="DG922" t="s">
        <v>717</v>
      </c>
      <c r="DH922" t="s">
        <v>930</v>
      </c>
      <c r="DI922" t="s">
        <v>798</v>
      </c>
      <c r="DL922" t="s">
        <v>661</v>
      </c>
      <c r="DM922">
        <v>2</v>
      </c>
      <c r="DN922">
        <v>7</v>
      </c>
      <c r="DO922" t="s">
        <v>719</v>
      </c>
      <c r="DQ922" t="s">
        <v>927</v>
      </c>
      <c r="DR922">
        <v>14</v>
      </c>
      <c r="DS922">
        <v>0</v>
      </c>
      <c r="DU922">
        <v>14</v>
      </c>
      <c r="DV922">
        <v>0</v>
      </c>
      <c r="DX922">
        <v>14</v>
      </c>
      <c r="DY922">
        <v>0</v>
      </c>
      <c r="DZ922" t="s">
        <v>246</v>
      </c>
      <c r="EA922" t="s">
        <v>929</v>
      </c>
    </row>
    <row r="923" spans="1:131" x14ac:dyDescent="0.4">
      <c r="A923" s="34">
        <v>43067.305104166669</v>
      </c>
      <c r="B923" s="25">
        <v>42930.554166666669</v>
      </c>
      <c r="D923" s="34"/>
      <c r="E923" s="34" t="s">
        <v>193</v>
      </c>
      <c r="F923" s="34" t="s">
        <v>191</v>
      </c>
      <c r="G923" s="34" t="s">
        <v>100</v>
      </c>
      <c r="H923" t="s">
        <v>279</v>
      </c>
      <c r="I923" t="s">
        <v>243</v>
      </c>
      <c r="J923" t="s">
        <v>712</v>
      </c>
      <c r="K923" t="s">
        <v>713</v>
      </c>
      <c r="L923" t="s">
        <v>711</v>
      </c>
      <c r="M923" s="30">
        <v>4.22</v>
      </c>
      <c r="N923">
        <v>3.75</v>
      </c>
      <c r="P923" s="24" t="str">
        <f>IFERROR(MID(RADataTable[[#This Row],[RATemplate]],1,LEN(RADataTable[[#This Row],[RATemplate]])-8),"RA") &amp; " " &amp; RADataTable[[#This Row],[prop_id0]] &amp; " " &amp; RADataTable[[#This Row],[last0]]</f>
        <v>RA 1749173 Borgwardt</v>
      </c>
      <c r="T923">
        <v>4</v>
      </c>
      <c r="U923">
        <v>4</v>
      </c>
      <c r="V923" s="34">
        <v>43031.583333333336</v>
      </c>
      <c r="W923">
        <v>1</v>
      </c>
      <c r="X923" s="15" t="str">
        <f>HYPERLINK("https://www.ejacket.nsf.gov/ej/showProposal.do?Continue=Y&amp;ID="&amp;RADataTable[[#This Row],[prop_id0]],"eJ")</f>
        <v>eJ</v>
      </c>
      <c r="Y923" s="15" t="str">
        <f>HYPERLINK("mailto:"&amp;RADataTable[[#This Row],[email]]&amp;"&amp;subject=Your NSF Proposal:  "&amp;RADataTable[[#This Row],[Div]]&amp;" "&amp;RADataTable[[#This Row],[prop_id0]], RADataTable[[#This Row],[email]])</f>
        <v>steffen.borgwardt@ucdenver.edu</v>
      </c>
      <c r="Z923" s="15" t="str">
        <f>HYPERLINK("mailto:"&amp;RADataTable[[#This Row],[allPIemail]]&amp;"&amp;subject=NSF Proposal:  "&amp;RADataTable[[#This Row],[Div]]&amp;" "&amp;RADataTable[[#This Row],[prop_id0]], "PIs@")</f>
        <v>PIs@</v>
      </c>
      <c r="AA923" t="s">
        <v>245</v>
      </c>
      <c r="AB923" t="s">
        <v>661</v>
      </c>
      <c r="AC923" s="30" t="s">
        <v>714</v>
      </c>
      <c r="AD923" t="s">
        <v>715</v>
      </c>
      <c r="AE923" t="s">
        <v>716</v>
      </c>
      <c r="AF923" s="36">
        <v>470400</v>
      </c>
      <c r="AG923" s="36">
        <v>470400</v>
      </c>
      <c r="AH923" s="24"/>
      <c r="AJ923" s="34"/>
      <c r="AK923" t="s">
        <v>923</v>
      </c>
      <c r="AL923" t="s">
        <v>924</v>
      </c>
      <c r="AM923" s="34" t="s">
        <v>925</v>
      </c>
      <c r="AN923" s="34">
        <v>43032</v>
      </c>
      <c r="AO923" s="24">
        <v>22</v>
      </c>
      <c r="AP923" t="s">
        <v>926</v>
      </c>
      <c r="AR923" s="35"/>
      <c r="AS923"/>
      <c r="AT923" s="34"/>
      <c r="AV923" s="34"/>
      <c r="AX923" s="34"/>
      <c r="AY923"/>
      <c r="BA923" s="34"/>
      <c r="BB923"/>
      <c r="BC923" t="s">
        <v>720</v>
      </c>
      <c r="BD923" s="36">
        <v>470400</v>
      </c>
      <c r="BE923" s="36">
        <v>470400</v>
      </c>
      <c r="BF923">
        <v>0</v>
      </c>
      <c r="BG923" s="34">
        <v>43101</v>
      </c>
      <c r="BH923">
        <v>60</v>
      </c>
      <c r="BI923" t="s">
        <v>283</v>
      </c>
      <c r="BJ923" t="s">
        <v>928</v>
      </c>
      <c r="BK923" t="s">
        <v>234</v>
      </c>
      <c r="BL923" t="s">
        <v>194</v>
      </c>
      <c r="BM923" s="8" t="s">
        <v>192</v>
      </c>
      <c r="BN923" t="s">
        <v>189</v>
      </c>
      <c r="BO923" t="s">
        <v>190</v>
      </c>
      <c r="BP923" s="35" t="s">
        <v>718</v>
      </c>
      <c r="BQ923"/>
      <c r="BU923" s="35"/>
      <c r="BV923" s="35"/>
      <c r="BX923"/>
      <c r="CA923" s="35"/>
      <c r="CB923" s="35"/>
      <c r="CC923"/>
      <c r="CG923" s="35"/>
      <c r="CH923" s="35"/>
      <c r="CK923"/>
      <c r="CM923" s="35"/>
      <c r="CN923" s="35"/>
      <c r="CQ923"/>
      <c r="CS923" s="35"/>
      <c r="CT923" s="35"/>
      <c r="CX923"/>
      <c r="CZ923" s="35"/>
      <c r="DD923" s="34"/>
      <c r="DG923" t="s">
        <v>717</v>
      </c>
      <c r="DH923" t="s">
        <v>930</v>
      </c>
      <c r="DI923" t="s">
        <v>798</v>
      </c>
      <c r="DL923" t="s">
        <v>661</v>
      </c>
      <c r="DM923">
        <v>2</v>
      </c>
      <c r="DN923">
        <v>7</v>
      </c>
      <c r="DO923" t="s">
        <v>719</v>
      </c>
      <c r="DQ923" t="s">
        <v>927</v>
      </c>
      <c r="DR923">
        <v>14</v>
      </c>
      <c r="DS923">
        <v>0</v>
      </c>
      <c r="DU923">
        <v>14</v>
      </c>
      <c r="DV923">
        <v>0</v>
      </c>
      <c r="DX923">
        <v>14</v>
      </c>
      <c r="DY923">
        <v>0</v>
      </c>
      <c r="DZ923" t="s">
        <v>246</v>
      </c>
      <c r="EA923" t="s">
        <v>929</v>
      </c>
    </row>
    <row r="924" spans="1:131" x14ac:dyDescent="0.4">
      <c r="A924" s="34">
        <v>43067.305104166669</v>
      </c>
      <c r="B924" s="25">
        <v>42930.554166666669</v>
      </c>
      <c r="D924" s="34"/>
      <c r="E924" s="34" t="s">
        <v>193</v>
      </c>
      <c r="F924" s="34" t="s">
        <v>191</v>
      </c>
      <c r="G924" s="34" t="s">
        <v>100</v>
      </c>
      <c r="H924" t="s">
        <v>279</v>
      </c>
      <c r="I924" t="s">
        <v>243</v>
      </c>
      <c r="J924" t="s">
        <v>712</v>
      </c>
      <c r="K924" t="s">
        <v>713</v>
      </c>
      <c r="L924" t="s">
        <v>711</v>
      </c>
      <c r="M924" s="30">
        <v>4.22</v>
      </c>
      <c r="N924">
        <v>3.75</v>
      </c>
      <c r="P924" s="24" t="str">
        <f>IFERROR(MID(RADataTable[[#This Row],[RATemplate]],1,LEN(RADataTable[[#This Row],[RATemplate]])-8),"RA") &amp; " " &amp; RADataTable[[#This Row],[prop_id0]] &amp; " " &amp; RADataTable[[#This Row],[last0]]</f>
        <v>RA 1749173 Borgwardt</v>
      </c>
      <c r="T924">
        <v>4</v>
      </c>
      <c r="U924">
        <v>4</v>
      </c>
      <c r="V924" s="34">
        <v>43031.583333333336</v>
      </c>
      <c r="W924">
        <v>1</v>
      </c>
      <c r="X924" s="15" t="str">
        <f>HYPERLINK("https://www.ejacket.nsf.gov/ej/showProposal.do?Continue=Y&amp;ID="&amp;RADataTable[[#This Row],[prop_id0]],"eJ")</f>
        <v>eJ</v>
      </c>
      <c r="Y924" s="15" t="str">
        <f>HYPERLINK("mailto:"&amp;RADataTable[[#This Row],[email]]&amp;"&amp;subject=Your NSF Proposal:  "&amp;RADataTable[[#This Row],[Div]]&amp;" "&amp;RADataTable[[#This Row],[prop_id0]], RADataTable[[#This Row],[email]])</f>
        <v>steffen.borgwardt@ucdenver.edu</v>
      </c>
      <c r="Z924" s="15" t="str">
        <f>HYPERLINK("mailto:"&amp;RADataTable[[#This Row],[allPIemail]]&amp;"&amp;subject=NSF Proposal:  "&amp;RADataTable[[#This Row],[Div]]&amp;" "&amp;RADataTable[[#This Row],[prop_id0]], "PIs@")</f>
        <v>PIs@</v>
      </c>
      <c r="AA924" t="s">
        <v>245</v>
      </c>
      <c r="AB924" t="s">
        <v>661</v>
      </c>
      <c r="AC924" s="30" t="s">
        <v>714</v>
      </c>
      <c r="AD924" t="s">
        <v>715</v>
      </c>
      <c r="AE924" t="s">
        <v>716</v>
      </c>
      <c r="AF924" s="36">
        <v>470400</v>
      </c>
      <c r="AG924" s="36">
        <v>470400</v>
      </c>
      <c r="AH924" s="24"/>
      <c r="AJ924" s="34"/>
      <c r="AK924" t="s">
        <v>923</v>
      </c>
      <c r="AL924" t="s">
        <v>924</v>
      </c>
      <c r="AM924" s="34" t="s">
        <v>925</v>
      </c>
      <c r="AN924" s="34">
        <v>43032</v>
      </c>
      <c r="AO924" s="24">
        <v>22</v>
      </c>
      <c r="AP924" t="s">
        <v>926</v>
      </c>
      <c r="AR924" s="35"/>
      <c r="AS924"/>
      <c r="AT924" s="34"/>
      <c r="AV924" s="34"/>
      <c r="AX924" s="34"/>
      <c r="AY924"/>
      <c r="BA924" s="34"/>
      <c r="BB924"/>
      <c r="BC924" t="s">
        <v>720</v>
      </c>
      <c r="BD924" s="36">
        <v>470400</v>
      </c>
      <c r="BE924" s="36">
        <v>470400</v>
      </c>
      <c r="BF924">
        <v>0</v>
      </c>
      <c r="BG924" s="34">
        <v>43101</v>
      </c>
      <c r="BH924">
        <v>60</v>
      </c>
      <c r="BI924" t="s">
        <v>283</v>
      </c>
      <c r="BJ924" t="s">
        <v>928</v>
      </c>
      <c r="BK924" t="s">
        <v>234</v>
      </c>
      <c r="BL924" t="s">
        <v>194</v>
      </c>
      <c r="BM924" s="8" t="s">
        <v>192</v>
      </c>
      <c r="BN924" t="s">
        <v>189</v>
      </c>
      <c r="BO924" t="s">
        <v>190</v>
      </c>
      <c r="BP924" s="35" t="s">
        <v>718</v>
      </c>
      <c r="BQ924"/>
      <c r="BU924" s="35"/>
      <c r="BV924" s="35"/>
      <c r="BX924"/>
      <c r="CA924" s="35"/>
      <c r="CB924" s="35"/>
      <c r="CC924"/>
      <c r="CG924" s="35"/>
      <c r="CH924" s="35"/>
      <c r="CK924"/>
      <c r="CM924" s="35"/>
      <c r="CN924" s="35"/>
      <c r="CQ924"/>
      <c r="CS924" s="35"/>
      <c r="CT924" s="35"/>
      <c r="CX924"/>
      <c r="CZ924" s="35"/>
      <c r="DD924" s="34"/>
      <c r="DG924" t="s">
        <v>717</v>
      </c>
      <c r="DH924" t="s">
        <v>930</v>
      </c>
      <c r="DI924" t="s">
        <v>798</v>
      </c>
      <c r="DL924" t="s">
        <v>661</v>
      </c>
      <c r="DM924">
        <v>2</v>
      </c>
      <c r="DN924">
        <v>7</v>
      </c>
      <c r="DO924" t="s">
        <v>719</v>
      </c>
      <c r="DQ924" t="s">
        <v>927</v>
      </c>
      <c r="DR924">
        <v>14</v>
      </c>
      <c r="DS924">
        <v>0</v>
      </c>
      <c r="DU924">
        <v>14</v>
      </c>
      <c r="DV924">
        <v>0</v>
      </c>
      <c r="DX924">
        <v>14</v>
      </c>
      <c r="DY924">
        <v>0</v>
      </c>
      <c r="DZ924" t="s">
        <v>246</v>
      </c>
      <c r="EA924" t="s">
        <v>929</v>
      </c>
    </row>
    <row r="925" spans="1:131" x14ac:dyDescent="0.4">
      <c r="A925" s="34">
        <v>43067.305104166669</v>
      </c>
      <c r="B925" s="25">
        <v>42930.554166666669</v>
      </c>
      <c r="D925" s="34"/>
      <c r="E925" s="34" t="s">
        <v>193</v>
      </c>
      <c r="F925" s="34" t="s">
        <v>191</v>
      </c>
      <c r="G925" s="34" t="s">
        <v>100</v>
      </c>
      <c r="H925" t="s">
        <v>279</v>
      </c>
      <c r="I925" t="s">
        <v>243</v>
      </c>
      <c r="J925" t="s">
        <v>712</v>
      </c>
      <c r="K925" t="s">
        <v>713</v>
      </c>
      <c r="L925" t="s">
        <v>711</v>
      </c>
      <c r="M925" s="30">
        <v>4.22</v>
      </c>
      <c r="N925">
        <v>3.75</v>
      </c>
      <c r="P925" s="24" t="str">
        <f>IFERROR(MID(RADataTable[[#This Row],[RATemplate]],1,LEN(RADataTable[[#This Row],[RATemplate]])-8),"RA") &amp; " " &amp; RADataTable[[#This Row],[prop_id0]] &amp; " " &amp; RADataTable[[#This Row],[last0]]</f>
        <v>RA 1749173 Borgwardt</v>
      </c>
      <c r="T925">
        <v>4</v>
      </c>
      <c r="U925">
        <v>4</v>
      </c>
      <c r="V925" s="34">
        <v>43031.583333333336</v>
      </c>
      <c r="W925">
        <v>1</v>
      </c>
      <c r="X925" s="15" t="str">
        <f>HYPERLINK("https://www.ejacket.nsf.gov/ej/showProposal.do?Continue=Y&amp;ID="&amp;RADataTable[[#This Row],[prop_id0]],"eJ")</f>
        <v>eJ</v>
      </c>
      <c r="Y925" s="15" t="str">
        <f>HYPERLINK("mailto:"&amp;RADataTable[[#This Row],[email]]&amp;"&amp;subject=Your NSF Proposal:  "&amp;RADataTable[[#This Row],[Div]]&amp;" "&amp;RADataTable[[#This Row],[prop_id0]], RADataTable[[#This Row],[email]])</f>
        <v>steffen.borgwardt@ucdenver.edu</v>
      </c>
      <c r="Z925" s="15" t="str">
        <f>HYPERLINK("mailto:"&amp;RADataTable[[#This Row],[allPIemail]]&amp;"&amp;subject=NSF Proposal:  "&amp;RADataTable[[#This Row],[Div]]&amp;" "&amp;RADataTable[[#This Row],[prop_id0]], "PIs@")</f>
        <v>PIs@</v>
      </c>
      <c r="AA925" t="s">
        <v>245</v>
      </c>
      <c r="AB925" t="s">
        <v>661</v>
      </c>
      <c r="AC925" s="30" t="s">
        <v>714</v>
      </c>
      <c r="AD925" t="s">
        <v>715</v>
      </c>
      <c r="AE925" t="s">
        <v>716</v>
      </c>
      <c r="AF925" s="36">
        <v>470400</v>
      </c>
      <c r="AG925" s="36">
        <v>470400</v>
      </c>
      <c r="AH925" s="24"/>
      <c r="AJ925" s="34"/>
      <c r="AK925" t="s">
        <v>923</v>
      </c>
      <c r="AL925" t="s">
        <v>924</v>
      </c>
      <c r="AM925" s="34" t="s">
        <v>925</v>
      </c>
      <c r="AN925" s="34">
        <v>43032</v>
      </c>
      <c r="AO925" s="24">
        <v>22</v>
      </c>
      <c r="AP925" t="s">
        <v>926</v>
      </c>
      <c r="AR925" s="35"/>
      <c r="AS925"/>
      <c r="AT925" s="34"/>
      <c r="AV925" s="34"/>
      <c r="AX925" s="34"/>
      <c r="AY925"/>
      <c r="BA925" s="34"/>
      <c r="BB925"/>
      <c r="BC925" t="s">
        <v>720</v>
      </c>
      <c r="BD925" s="36">
        <v>470400</v>
      </c>
      <c r="BE925" s="36">
        <v>470400</v>
      </c>
      <c r="BF925">
        <v>0</v>
      </c>
      <c r="BG925" s="34">
        <v>43101</v>
      </c>
      <c r="BH925">
        <v>60</v>
      </c>
      <c r="BI925" t="s">
        <v>283</v>
      </c>
      <c r="BJ925" t="s">
        <v>928</v>
      </c>
      <c r="BK925" t="s">
        <v>234</v>
      </c>
      <c r="BL925" t="s">
        <v>194</v>
      </c>
      <c r="BM925" s="8" t="s">
        <v>192</v>
      </c>
      <c r="BN925" t="s">
        <v>189</v>
      </c>
      <c r="BO925" t="s">
        <v>190</v>
      </c>
      <c r="BP925" s="35" t="s">
        <v>718</v>
      </c>
      <c r="BQ925"/>
      <c r="BU925" s="35"/>
      <c r="BV925" s="35"/>
      <c r="BX925"/>
      <c r="CA925" s="35"/>
      <c r="CB925" s="35"/>
      <c r="CC925"/>
      <c r="CG925" s="35"/>
      <c r="CH925" s="35"/>
      <c r="CK925"/>
      <c r="CM925" s="35"/>
      <c r="CN925" s="35"/>
      <c r="CQ925"/>
      <c r="CS925" s="35"/>
      <c r="CT925" s="35"/>
      <c r="CX925"/>
      <c r="CZ925" s="35"/>
      <c r="DD925" s="34"/>
      <c r="DG925" t="s">
        <v>717</v>
      </c>
      <c r="DH925" t="s">
        <v>930</v>
      </c>
      <c r="DI925" t="s">
        <v>798</v>
      </c>
      <c r="DL925" t="s">
        <v>661</v>
      </c>
      <c r="DM925">
        <v>2</v>
      </c>
      <c r="DN925">
        <v>7</v>
      </c>
      <c r="DO925" t="s">
        <v>719</v>
      </c>
      <c r="DQ925" t="s">
        <v>927</v>
      </c>
      <c r="DR925">
        <v>14</v>
      </c>
      <c r="DS925">
        <v>0</v>
      </c>
      <c r="DU925">
        <v>14</v>
      </c>
      <c r="DV925">
        <v>0</v>
      </c>
      <c r="DX925">
        <v>14</v>
      </c>
      <c r="DY925">
        <v>0</v>
      </c>
      <c r="DZ925" t="s">
        <v>246</v>
      </c>
      <c r="EA925" t="s">
        <v>929</v>
      </c>
    </row>
    <row r="926" spans="1:131" x14ac:dyDescent="0.4">
      <c r="A926" s="34">
        <v>43067.305104166669</v>
      </c>
      <c r="B926" s="25">
        <v>42930.554166666669</v>
      </c>
      <c r="D926" s="34"/>
      <c r="E926" s="34" t="s">
        <v>193</v>
      </c>
      <c r="F926" s="34" t="s">
        <v>191</v>
      </c>
      <c r="G926" s="34" t="s">
        <v>100</v>
      </c>
      <c r="H926" t="s">
        <v>279</v>
      </c>
      <c r="I926" t="s">
        <v>243</v>
      </c>
      <c r="J926" t="s">
        <v>712</v>
      </c>
      <c r="K926" t="s">
        <v>713</v>
      </c>
      <c r="L926" t="s">
        <v>711</v>
      </c>
      <c r="M926" s="30">
        <v>4.22</v>
      </c>
      <c r="N926">
        <v>3.75</v>
      </c>
      <c r="P926" s="24" t="str">
        <f>IFERROR(MID(RADataTable[[#This Row],[RATemplate]],1,LEN(RADataTable[[#This Row],[RATemplate]])-8),"RA") &amp; " " &amp; RADataTable[[#This Row],[prop_id0]] &amp; " " &amp; RADataTable[[#This Row],[last0]]</f>
        <v>RA 1749173 Borgwardt</v>
      </c>
      <c r="T926">
        <v>4</v>
      </c>
      <c r="U926">
        <v>4</v>
      </c>
      <c r="V926" s="34">
        <v>43031.583333333336</v>
      </c>
      <c r="W926">
        <v>1</v>
      </c>
      <c r="X926" s="15" t="str">
        <f>HYPERLINK("https://www.ejacket.nsf.gov/ej/showProposal.do?Continue=Y&amp;ID="&amp;RADataTable[[#This Row],[prop_id0]],"eJ")</f>
        <v>eJ</v>
      </c>
      <c r="Y926" s="15" t="str">
        <f>HYPERLINK("mailto:"&amp;RADataTable[[#This Row],[email]]&amp;"&amp;subject=Your NSF Proposal:  "&amp;RADataTable[[#This Row],[Div]]&amp;" "&amp;RADataTable[[#This Row],[prop_id0]], RADataTable[[#This Row],[email]])</f>
        <v>steffen.borgwardt@ucdenver.edu</v>
      </c>
      <c r="Z926" s="15" t="str">
        <f>HYPERLINK("mailto:"&amp;RADataTable[[#This Row],[allPIemail]]&amp;"&amp;subject=NSF Proposal:  "&amp;RADataTable[[#This Row],[Div]]&amp;" "&amp;RADataTable[[#This Row],[prop_id0]], "PIs@")</f>
        <v>PIs@</v>
      </c>
      <c r="AA926" t="s">
        <v>245</v>
      </c>
      <c r="AB926" t="s">
        <v>661</v>
      </c>
      <c r="AC926" s="30" t="s">
        <v>714</v>
      </c>
      <c r="AD926" t="s">
        <v>715</v>
      </c>
      <c r="AE926" t="s">
        <v>716</v>
      </c>
      <c r="AF926" s="36">
        <v>470400</v>
      </c>
      <c r="AG926" s="36">
        <v>470400</v>
      </c>
      <c r="AH926" s="24"/>
      <c r="AJ926" s="34"/>
      <c r="AK926" t="s">
        <v>923</v>
      </c>
      <c r="AL926" t="s">
        <v>924</v>
      </c>
      <c r="AM926" s="34" t="s">
        <v>925</v>
      </c>
      <c r="AN926" s="34">
        <v>43032</v>
      </c>
      <c r="AO926" s="24">
        <v>22</v>
      </c>
      <c r="AP926" t="s">
        <v>926</v>
      </c>
      <c r="AR926" s="35"/>
      <c r="AS926"/>
      <c r="AT926" s="34"/>
      <c r="AV926" s="34"/>
      <c r="AX926" s="34"/>
      <c r="AY926"/>
      <c r="BA926" s="34"/>
      <c r="BB926"/>
      <c r="BC926" t="s">
        <v>720</v>
      </c>
      <c r="BD926" s="36">
        <v>470400</v>
      </c>
      <c r="BE926" s="36">
        <v>470400</v>
      </c>
      <c r="BF926">
        <v>0</v>
      </c>
      <c r="BG926" s="34">
        <v>43101</v>
      </c>
      <c r="BH926">
        <v>60</v>
      </c>
      <c r="BI926" t="s">
        <v>283</v>
      </c>
      <c r="BJ926" t="s">
        <v>928</v>
      </c>
      <c r="BK926" t="s">
        <v>234</v>
      </c>
      <c r="BL926" t="s">
        <v>194</v>
      </c>
      <c r="BM926" s="8" t="s">
        <v>192</v>
      </c>
      <c r="BN926" t="s">
        <v>189</v>
      </c>
      <c r="BO926" t="s">
        <v>190</v>
      </c>
      <c r="BP926" s="35" t="s">
        <v>718</v>
      </c>
      <c r="BQ926"/>
      <c r="BU926" s="35"/>
      <c r="BV926" s="35"/>
      <c r="BX926"/>
      <c r="CA926" s="35"/>
      <c r="CB926" s="35"/>
      <c r="CC926"/>
      <c r="CG926" s="35"/>
      <c r="CH926" s="35"/>
      <c r="CK926"/>
      <c r="CM926" s="35"/>
      <c r="CN926" s="35"/>
      <c r="CQ926"/>
      <c r="CS926" s="35"/>
      <c r="CT926" s="35"/>
      <c r="CX926"/>
      <c r="CZ926" s="35"/>
      <c r="DD926" s="34"/>
      <c r="DG926" t="s">
        <v>717</v>
      </c>
      <c r="DH926" t="s">
        <v>930</v>
      </c>
      <c r="DI926" t="s">
        <v>798</v>
      </c>
      <c r="DL926" t="s">
        <v>661</v>
      </c>
      <c r="DM926">
        <v>2</v>
      </c>
      <c r="DN926">
        <v>7</v>
      </c>
      <c r="DO926" t="s">
        <v>719</v>
      </c>
      <c r="DQ926" t="s">
        <v>927</v>
      </c>
      <c r="DR926">
        <v>14</v>
      </c>
      <c r="DS926">
        <v>0</v>
      </c>
      <c r="DU926">
        <v>14</v>
      </c>
      <c r="DV926">
        <v>0</v>
      </c>
      <c r="DX926">
        <v>14</v>
      </c>
      <c r="DY926">
        <v>0</v>
      </c>
      <c r="DZ926" t="s">
        <v>246</v>
      </c>
      <c r="EA926" t="s">
        <v>929</v>
      </c>
    </row>
    <row r="927" spans="1:131" x14ac:dyDescent="0.4">
      <c r="A927" s="34">
        <v>43067.305104166669</v>
      </c>
      <c r="B927" s="25">
        <v>42930.554166666669</v>
      </c>
      <c r="D927" s="34"/>
      <c r="E927" s="34" t="s">
        <v>193</v>
      </c>
      <c r="F927" s="34" t="s">
        <v>191</v>
      </c>
      <c r="G927" s="34" t="s">
        <v>100</v>
      </c>
      <c r="H927" t="s">
        <v>279</v>
      </c>
      <c r="I927" t="s">
        <v>243</v>
      </c>
      <c r="J927" t="s">
        <v>712</v>
      </c>
      <c r="K927" t="s">
        <v>713</v>
      </c>
      <c r="L927" t="s">
        <v>711</v>
      </c>
      <c r="M927" s="30">
        <v>4.22</v>
      </c>
      <c r="N927">
        <v>3.75</v>
      </c>
      <c r="P927" s="24" t="str">
        <f>IFERROR(MID(RADataTable[[#This Row],[RATemplate]],1,LEN(RADataTable[[#This Row],[RATemplate]])-8),"RA") &amp; " " &amp; RADataTable[[#This Row],[prop_id0]] &amp; " " &amp; RADataTable[[#This Row],[last0]]</f>
        <v>RA 1749173 Borgwardt</v>
      </c>
      <c r="T927">
        <v>4</v>
      </c>
      <c r="U927">
        <v>4</v>
      </c>
      <c r="V927" s="34">
        <v>43031.583333333336</v>
      </c>
      <c r="W927">
        <v>1</v>
      </c>
      <c r="X927" s="15" t="str">
        <f>HYPERLINK("https://www.ejacket.nsf.gov/ej/showProposal.do?Continue=Y&amp;ID="&amp;RADataTable[[#This Row],[prop_id0]],"eJ")</f>
        <v>eJ</v>
      </c>
      <c r="Y927" s="15" t="str">
        <f>HYPERLINK("mailto:"&amp;RADataTable[[#This Row],[email]]&amp;"&amp;subject=Your NSF Proposal:  "&amp;RADataTable[[#This Row],[Div]]&amp;" "&amp;RADataTable[[#This Row],[prop_id0]], RADataTable[[#This Row],[email]])</f>
        <v>steffen.borgwardt@ucdenver.edu</v>
      </c>
      <c r="Z927" s="15" t="str">
        <f>HYPERLINK("mailto:"&amp;RADataTable[[#This Row],[allPIemail]]&amp;"&amp;subject=NSF Proposal:  "&amp;RADataTable[[#This Row],[Div]]&amp;" "&amp;RADataTable[[#This Row],[prop_id0]], "PIs@")</f>
        <v>PIs@</v>
      </c>
      <c r="AA927" t="s">
        <v>245</v>
      </c>
      <c r="AB927" t="s">
        <v>661</v>
      </c>
      <c r="AC927" s="30" t="s">
        <v>714</v>
      </c>
      <c r="AD927" t="s">
        <v>715</v>
      </c>
      <c r="AE927" t="s">
        <v>716</v>
      </c>
      <c r="AF927" s="36">
        <v>470400</v>
      </c>
      <c r="AG927" s="36">
        <v>470400</v>
      </c>
      <c r="AH927" s="24"/>
      <c r="AJ927" s="34"/>
      <c r="AK927" t="s">
        <v>923</v>
      </c>
      <c r="AL927" t="s">
        <v>924</v>
      </c>
      <c r="AM927" s="34" t="s">
        <v>925</v>
      </c>
      <c r="AN927" s="34">
        <v>43032</v>
      </c>
      <c r="AO927" s="24">
        <v>22</v>
      </c>
      <c r="AP927" t="s">
        <v>926</v>
      </c>
      <c r="AR927" s="35"/>
      <c r="AS927"/>
      <c r="AT927" s="34"/>
      <c r="AV927" s="34"/>
      <c r="AX927" s="34"/>
      <c r="AY927"/>
      <c r="BA927" s="34"/>
      <c r="BB927"/>
      <c r="BC927" t="s">
        <v>720</v>
      </c>
      <c r="BD927" s="36">
        <v>470400</v>
      </c>
      <c r="BE927" s="36">
        <v>470400</v>
      </c>
      <c r="BF927">
        <v>0</v>
      </c>
      <c r="BG927" s="34">
        <v>43101</v>
      </c>
      <c r="BH927">
        <v>60</v>
      </c>
      <c r="BI927" t="s">
        <v>283</v>
      </c>
      <c r="BJ927" t="s">
        <v>928</v>
      </c>
      <c r="BK927" t="s">
        <v>234</v>
      </c>
      <c r="BL927" t="s">
        <v>194</v>
      </c>
      <c r="BM927" s="8" t="s">
        <v>192</v>
      </c>
      <c r="BN927" t="s">
        <v>189</v>
      </c>
      <c r="BO927" t="s">
        <v>190</v>
      </c>
      <c r="BP927" s="35" t="s">
        <v>718</v>
      </c>
      <c r="BQ927"/>
      <c r="BU927" s="35"/>
      <c r="BV927" s="35"/>
      <c r="BX927"/>
      <c r="CA927" s="35"/>
      <c r="CB927" s="35"/>
      <c r="CC927"/>
      <c r="CG927" s="35"/>
      <c r="CH927" s="35"/>
      <c r="CK927"/>
      <c r="CM927" s="35"/>
      <c r="CN927" s="35"/>
      <c r="CQ927"/>
      <c r="CS927" s="35"/>
      <c r="CT927" s="35"/>
      <c r="CX927"/>
      <c r="CZ927" s="35"/>
      <c r="DD927" s="34"/>
      <c r="DG927" t="s">
        <v>717</v>
      </c>
      <c r="DH927" t="s">
        <v>930</v>
      </c>
      <c r="DI927" t="s">
        <v>798</v>
      </c>
      <c r="DL927" t="s">
        <v>661</v>
      </c>
      <c r="DM927">
        <v>2</v>
      </c>
      <c r="DN927">
        <v>7</v>
      </c>
      <c r="DO927" t="s">
        <v>719</v>
      </c>
      <c r="DQ927" t="s">
        <v>927</v>
      </c>
      <c r="DR927">
        <v>14</v>
      </c>
      <c r="DS927">
        <v>0</v>
      </c>
      <c r="DU927">
        <v>14</v>
      </c>
      <c r="DV927">
        <v>0</v>
      </c>
      <c r="DX927">
        <v>14</v>
      </c>
      <c r="DY927">
        <v>0</v>
      </c>
      <c r="DZ927" t="s">
        <v>246</v>
      </c>
      <c r="EA927" t="s">
        <v>929</v>
      </c>
    </row>
    <row r="928" spans="1:131" x14ac:dyDescent="0.4">
      <c r="A928" s="34">
        <v>43067.305104166669</v>
      </c>
      <c r="B928" s="25">
        <v>42930.554166666669</v>
      </c>
      <c r="D928" s="34"/>
      <c r="E928" s="34" t="s">
        <v>193</v>
      </c>
      <c r="F928" s="34" t="s">
        <v>191</v>
      </c>
      <c r="G928" s="34" t="s">
        <v>100</v>
      </c>
      <c r="H928" t="s">
        <v>279</v>
      </c>
      <c r="I928" t="s">
        <v>243</v>
      </c>
      <c r="J928" t="s">
        <v>712</v>
      </c>
      <c r="K928" t="s">
        <v>713</v>
      </c>
      <c r="L928" t="s">
        <v>711</v>
      </c>
      <c r="M928" s="30">
        <v>4.22</v>
      </c>
      <c r="N928">
        <v>3.75</v>
      </c>
      <c r="P928" s="24" t="str">
        <f>IFERROR(MID(RADataTable[[#This Row],[RATemplate]],1,LEN(RADataTable[[#This Row],[RATemplate]])-8),"RA") &amp; " " &amp; RADataTable[[#This Row],[prop_id0]] &amp; " " &amp; RADataTable[[#This Row],[last0]]</f>
        <v>RA 1749173 Borgwardt</v>
      </c>
      <c r="T928">
        <v>4</v>
      </c>
      <c r="U928">
        <v>4</v>
      </c>
      <c r="V928" s="34">
        <v>43031.583333333336</v>
      </c>
      <c r="W928">
        <v>1</v>
      </c>
      <c r="X928" s="15" t="str">
        <f>HYPERLINK("https://www.ejacket.nsf.gov/ej/showProposal.do?Continue=Y&amp;ID="&amp;RADataTable[[#This Row],[prop_id0]],"eJ")</f>
        <v>eJ</v>
      </c>
      <c r="Y928" s="15" t="str">
        <f>HYPERLINK("mailto:"&amp;RADataTable[[#This Row],[email]]&amp;"&amp;subject=Your NSF Proposal:  "&amp;RADataTable[[#This Row],[Div]]&amp;" "&amp;RADataTable[[#This Row],[prop_id0]], RADataTable[[#This Row],[email]])</f>
        <v>steffen.borgwardt@ucdenver.edu</v>
      </c>
      <c r="Z928" s="15" t="str">
        <f>HYPERLINK("mailto:"&amp;RADataTable[[#This Row],[allPIemail]]&amp;"&amp;subject=NSF Proposal:  "&amp;RADataTable[[#This Row],[Div]]&amp;" "&amp;RADataTable[[#This Row],[prop_id0]], "PIs@")</f>
        <v>PIs@</v>
      </c>
      <c r="AA928" t="s">
        <v>245</v>
      </c>
      <c r="AB928" t="s">
        <v>661</v>
      </c>
      <c r="AC928" s="30" t="s">
        <v>714</v>
      </c>
      <c r="AD928" t="s">
        <v>715</v>
      </c>
      <c r="AE928" t="s">
        <v>716</v>
      </c>
      <c r="AF928" s="36">
        <v>470400</v>
      </c>
      <c r="AG928" s="36">
        <v>470400</v>
      </c>
      <c r="AH928" s="24"/>
      <c r="AJ928" s="34"/>
      <c r="AK928" t="s">
        <v>923</v>
      </c>
      <c r="AL928" t="s">
        <v>924</v>
      </c>
      <c r="AM928" s="34" t="s">
        <v>925</v>
      </c>
      <c r="AN928" s="34">
        <v>43032</v>
      </c>
      <c r="AO928" s="24">
        <v>22</v>
      </c>
      <c r="AP928" t="s">
        <v>926</v>
      </c>
      <c r="AR928" s="35"/>
      <c r="AS928"/>
      <c r="AT928" s="34"/>
      <c r="AV928" s="34"/>
      <c r="AX928" s="34"/>
      <c r="AY928"/>
      <c r="BA928" s="34"/>
      <c r="BB928"/>
      <c r="BC928" t="s">
        <v>720</v>
      </c>
      <c r="BD928" s="36">
        <v>470400</v>
      </c>
      <c r="BE928" s="36">
        <v>470400</v>
      </c>
      <c r="BF928">
        <v>0</v>
      </c>
      <c r="BG928" s="34">
        <v>43101</v>
      </c>
      <c r="BH928">
        <v>60</v>
      </c>
      <c r="BI928" t="s">
        <v>283</v>
      </c>
      <c r="BJ928" t="s">
        <v>928</v>
      </c>
      <c r="BK928" t="s">
        <v>234</v>
      </c>
      <c r="BL928" t="s">
        <v>194</v>
      </c>
      <c r="BM928" s="8" t="s">
        <v>192</v>
      </c>
      <c r="BN928" t="s">
        <v>189</v>
      </c>
      <c r="BO928" t="s">
        <v>190</v>
      </c>
      <c r="BP928" s="35" t="s">
        <v>718</v>
      </c>
      <c r="BQ928"/>
      <c r="BU928" s="35"/>
      <c r="BV928" s="35"/>
      <c r="BX928"/>
      <c r="CA928" s="35"/>
      <c r="CB928" s="35"/>
      <c r="CC928"/>
      <c r="CG928" s="35"/>
      <c r="CH928" s="35"/>
      <c r="CK928"/>
      <c r="CM928" s="35"/>
      <c r="CN928" s="35"/>
      <c r="CQ928"/>
      <c r="CS928" s="35"/>
      <c r="CT928" s="35"/>
      <c r="CX928"/>
      <c r="CZ928" s="35"/>
      <c r="DD928" s="34"/>
      <c r="DG928" t="s">
        <v>717</v>
      </c>
      <c r="DH928" t="s">
        <v>930</v>
      </c>
      <c r="DI928" t="s">
        <v>798</v>
      </c>
      <c r="DL928" t="s">
        <v>661</v>
      </c>
      <c r="DM928">
        <v>2</v>
      </c>
      <c r="DN928">
        <v>7</v>
      </c>
      <c r="DO928" t="s">
        <v>719</v>
      </c>
      <c r="DQ928" t="s">
        <v>927</v>
      </c>
      <c r="DR928">
        <v>14</v>
      </c>
      <c r="DS928">
        <v>0</v>
      </c>
      <c r="DU928">
        <v>14</v>
      </c>
      <c r="DV928">
        <v>0</v>
      </c>
      <c r="DX928">
        <v>14</v>
      </c>
      <c r="DY928">
        <v>0</v>
      </c>
      <c r="DZ928" t="s">
        <v>246</v>
      </c>
      <c r="EA928" t="s">
        <v>929</v>
      </c>
    </row>
    <row r="929" spans="1:131" x14ac:dyDescent="0.4">
      <c r="A929" s="34">
        <v>43067.305104166669</v>
      </c>
      <c r="B929" s="25">
        <v>42930.554166666669</v>
      </c>
      <c r="D929" s="34"/>
      <c r="E929" s="34" t="s">
        <v>193</v>
      </c>
      <c r="F929" s="34" t="s">
        <v>191</v>
      </c>
      <c r="G929" s="34" t="s">
        <v>100</v>
      </c>
      <c r="H929" t="s">
        <v>279</v>
      </c>
      <c r="I929" t="s">
        <v>243</v>
      </c>
      <c r="J929" t="s">
        <v>712</v>
      </c>
      <c r="K929" t="s">
        <v>713</v>
      </c>
      <c r="L929" t="s">
        <v>711</v>
      </c>
      <c r="M929" s="30">
        <v>4.22</v>
      </c>
      <c r="N929">
        <v>3.75</v>
      </c>
      <c r="P929" s="24" t="str">
        <f>IFERROR(MID(RADataTable[[#This Row],[RATemplate]],1,LEN(RADataTable[[#This Row],[RATemplate]])-8),"RA") &amp; " " &amp; RADataTable[[#This Row],[prop_id0]] &amp; " " &amp; RADataTable[[#This Row],[last0]]</f>
        <v>RA 1749173 Borgwardt</v>
      </c>
      <c r="T929">
        <v>4</v>
      </c>
      <c r="U929">
        <v>4</v>
      </c>
      <c r="V929" s="34">
        <v>43031.583333333336</v>
      </c>
      <c r="W929">
        <v>1</v>
      </c>
      <c r="X929" s="15" t="str">
        <f>HYPERLINK("https://www.ejacket.nsf.gov/ej/showProposal.do?Continue=Y&amp;ID="&amp;RADataTable[[#This Row],[prop_id0]],"eJ")</f>
        <v>eJ</v>
      </c>
      <c r="Y929" s="15" t="str">
        <f>HYPERLINK("mailto:"&amp;RADataTable[[#This Row],[email]]&amp;"&amp;subject=Your NSF Proposal:  "&amp;RADataTable[[#This Row],[Div]]&amp;" "&amp;RADataTable[[#This Row],[prop_id0]], RADataTable[[#This Row],[email]])</f>
        <v>steffen.borgwardt@ucdenver.edu</v>
      </c>
      <c r="Z929" s="15" t="str">
        <f>HYPERLINK("mailto:"&amp;RADataTable[[#This Row],[allPIemail]]&amp;"&amp;subject=NSF Proposal:  "&amp;RADataTable[[#This Row],[Div]]&amp;" "&amp;RADataTable[[#This Row],[prop_id0]], "PIs@")</f>
        <v>PIs@</v>
      </c>
      <c r="AA929" t="s">
        <v>245</v>
      </c>
      <c r="AB929" t="s">
        <v>661</v>
      </c>
      <c r="AC929" s="30" t="s">
        <v>714</v>
      </c>
      <c r="AD929" t="s">
        <v>715</v>
      </c>
      <c r="AE929" t="s">
        <v>716</v>
      </c>
      <c r="AF929" s="36">
        <v>470400</v>
      </c>
      <c r="AG929" s="36">
        <v>470400</v>
      </c>
      <c r="AH929" s="24"/>
      <c r="AJ929" s="34"/>
      <c r="AK929" t="s">
        <v>923</v>
      </c>
      <c r="AL929" t="s">
        <v>924</v>
      </c>
      <c r="AM929" s="34" t="s">
        <v>925</v>
      </c>
      <c r="AN929" s="34">
        <v>43032</v>
      </c>
      <c r="AO929" s="24">
        <v>22</v>
      </c>
      <c r="AP929" t="s">
        <v>926</v>
      </c>
      <c r="AR929" s="35"/>
      <c r="AS929"/>
      <c r="AT929" s="34"/>
      <c r="AV929" s="34"/>
      <c r="AX929" s="34"/>
      <c r="AY929"/>
      <c r="BA929" s="34"/>
      <c r="BB929"/>
      <c r="BC929" t="s">
        <v>720</v>
      </c>
      <c r="BD929" s="36">
        <v>470400</v>
      </c>
      <c r="BE929" s="36">
        <v>470400</v>
      </c>
      <c r="BF929">
        <v>0</v>
      </c>
      <c r="BG929" s="34">
        <v>43101</v>
      </c>
      <c r="BH929">
        <v>60</v>
      </c>
      <c r="BI929" t="s">
        <v>283</v>
      </c>
      <c r="BJ929" t="s">
        <v>928</v>
      </c>
      <c r="BK929" t="s">
        <v>234</v>
      </c>
      <c r="BL929" t="s">
        <v>194</v>
      </c>
      <c r="BM929" s="8" t="s">
        <v>192</v>
      </c>
      <c r="BN929" t="s">
        <v>189</v>
      </c>
      <c r="BO929" t="s">
        <v>190</v>
      </c>
      <c r="BP929" s="35" t="s">
        <v>718</v>
      </c>
      <c r="BQ929"/>
      <c r="BU929" s="35"/>
      <c r="BV929" s="35"/>
      <c r="BX929"/>
      <c r="CA929" s="35"/>
      <c r="CB929" s="35"/>
      <c r="CC929"/>
      <c r="CG929" s="35"/>
      <c r="CH929" s="35"/>
      <c r="CK929"/>
      <c r="CM929" s="35"/>
      <c r="CN929" s="35"/>
      <c r="CQ929"/>
      <c r="CS929" s="35"/>
      <c r="CT929" s="35"/>
      <c r="CX929"/>
      <c r="CZ929" s="35"/>
      <c r="DD929" s="34"/>
      <c r="DG929" t="s">
        <v>717</v>
      </c>
      <c r="DH929" t="s">
        <v>930</v>
      </c>
      <c r="DI929" t="s">
        <v>798</v>
      </c>
      <c r="DL929" t="s">
        <v>661</v>
      </c>
      <c r="DM929">
        <v>2</v>
      </c>
      <c r="DN929">
        <v>7</v>
      </c>
      <c r="DO929" t="s">
        <v>719</v>
      </c>
      <c r="DQ929" t="s">
        <v>927</v>
      </c>
      <c r="DR929">
        <v>14</v>
      </c>
      <c r="DS929">
        <v>0</v>
      </c>
      <c r="DU929">
        <v>14</v>
      </c>
      <c r="DV929">
        <v>0</v>
      </c>
      <c r="DX929">
        <v>14</v>
      </c>
      <c r="DY929">
        <v>0</v>
      </c>
      <c r="DZ929" t="s">
        <v>246</v>
      </c>
      <c r="EA929" t="s">
        <v>929</v>
      </c>
    </row>
    <row r="930" spans="1:131" x14ac:dyDescent="0.4">
      <c r="A930" s="34">
        <v>43067.305104166669</v>
      </c>
      <c r="B930" s="25">
        <v>42930.554166666669</v>
      </c>
      <c r="D930" s="34"/>
      <c r="E930" s="34" t="s">
        <v>193</v>
      </c>
      <c r="F930" s="34" t="s">
        <v>191</v>
      </c>
      <c r="G930" s="34" t="s">
        <v>100</v>
      </c>
      <c r="H930" t="s">
        <v>279</v>
      </c>
      <c r="I930" t="s">
        <v>243</v>
      </c>
      <c r="J930" t="s">
        <v>712</v>
      </c>
      <c r="K930" t="s">
        <v>713</v>
      </c>
      <c r="L930" t="s">
        <v>711</v>
      </c>
      <c r="M930" s="30">
        <v>4.22</v>
      </c>
      <c r="N930">
        <v>3.75</v>
      </c>
      <c r="P930" s="24" t="str">
        <f>IFERROR(MID(RADataTable[[#This Row],[RATemplate]],1,LEN(RADataTable[[#This Row],[RATemplate]])-8),"RA") &amp; " " &amp; RADataTable[[#This Row],[prop_id0]] &amp; " " &amp; RADataTable[[#This Row],[last0]]</f>
        <v>RA 1749173 Borgwardt</v>
      </c>
      <c r="T930">
        <v>4</v>
      </c>
      <c r="U930">
        <v>4</v>
      </c>
      <c r="V930" s="34">
        <v>43031.583333333336</v>
      </c>
      <c r="W930">
        <v>1</v>
      </c>
      <c r="X930" s="15" t="str">
        <f>HYPERLINK("https://www.ejacket.nsf.gov/ej/showProposal.do?Continue=Y&amp;ID="&amp;RADataTable[[#This Row],[prop_id0]],"eJ")</f>
        <v>eJ</v>
      </c>
      <c r="Y930" s="15" t="str">
        <f>HYPERLINK("mailto:"&amp;RADataTable[[#This Row],[email]]&amp;"&amp;subject=Your NSF Proposal:  "&amp;RADataTable[[#This Row],[Div]]&amp;" "&amp;RADataTable[[#This Row],[prop_id0]], RADataTable[[#This Row],[email]])</f>
        <v>steffen.borgwardt@ucdenver.edu</v>
      </c>
      <c r="Z930" s="15" t="str">
        <f>HYPERLINK("mailto:"&amp;RADataTable[[#This Row],[allPIemail]]&amp;"&amp;subject=NSF Proposal:  "&amp;RADataTable[[#This Row],[Div]]&amp;" "&amp;RADataTable[[#This Row],[prop_id0]], "PIs@")</f>
        <v>PIs@</v>
      </c>
      <c r="AA930" t="s">
        <v>245</v>
      </c>
      <c r="AB930" t="s">
        <v>661</v>
      </c>
      <c r="AC930" s="30" t="s">
        <v>714</v>
      </c>
      <c r="AD930" t="s">
        <v>715</v>
      </c>
      <c r="AE930" t="s">
        <v>716</v>
      </c>
      <c r="AF930" s="36">
        <v>470400</v>
      </c>
      <c r="AG930" s="36">
        <v>470400</v>
      </c>
      <c r="AH930" s="24"/>
      <c r="AJ930" s="34"/>
      <c r="AK930" t="s">
        <v>923</v>
      </c>
      <c r="AL930" t="s">
        <v>924</v>
      </c>
      <c r="AM930" s="34" t="s">
        <v>925</v>
      </c>
      <c r="AN930" s="34">
        <v>43032</v>
      </c>
      <c r="AO930" s="24">
        <v>22</v>
      </c>
      <c r="AP930" t="s">
        <v>926</v>
      </c>
      <c r="AR930" s="35"/>
      <c r="AS930"/>
      <c r="AT930" s="34"/>
      <c r="AV930" s="34"/>
      <c r="AX930" s="34"/>
      <c r="AY930"/>
      <c r="BA930" s="34"/>
      <c r="BB930"/>
      <c r="BC930" t="s">
        <v>720</v>
      </c>
      <c r="BD930" s="36">
        <v>470400</v>
      </c>
      <c r="BE930" s="36">
        <v>470400</v>
      </c>
      <c r="BF930">
        <v>0</v>
      </c>
      <c r="BG930" s="34">
        <v>43101</v>
      </c>
      <c r="BH930">
        <v>60</v>
      </c>
      <c r="BI930" t="s">
        <v>283</v>
      </c>
      <c r="BJ930" t="s">
        <v>928</v>
      </c>
      <c r="BK930" t="s">
        <v>234</v>
      </c>
      <c r="BL930" t="s">
        <v>194</v>
      </c>
      <c r="BM930" s="8" t="s">
        <v>192</v>
      </c>
      <c r="BN930" t="s">
        <v>189</v>
      </c>
      <c r="BO930" t="s">
        <v>190</v>
      </c>
      <c r="BP930" s="35" t="s">
        <v>718</v>
      </c>
      <c r="BQ930"/>
      <c r="BU930" s="35"/>
      <c r="BV930" s="35"/>
      <c r="BX930"/>
      <c r="CA930" s="35"/>
      <c r="CB930" s="35"/>
      <c r="CC930"/>
      <c r="CG930" s="35"/>
      <c r="CH930" s="35"/>
      <c r="CK930"/>
      <c r="CM930" s="35"/>
      <c r="CN930" s="35"/>
      <c r="CQ930"/>
      <c r="CS930" s="35"/>
      <c r="CT930" s="35"/>
      <c r="CX930"/>
      <c r="CZ930" s="35"/>
      <c r="DD930" s="34"/>
      <c r="DG930" t="s">
        <v>717</v>
      </c>
      <c r="DH930" t="s">
        <v>930</v>
      </c>
      <c r="DI930" t="s">
        <v>798</v>
      </c>
      <c r="DL930" t="s">
        <v>661</v>
      </c>
      <c r="DM930">
        <v>2</v>
      </c>
      <c r="DN930">
        <v>7</v>
      </c>
      <c r="DO930" t="s">
        <v>719</v>
      </c>
      <c r="DQ930" t="s">
        <v>927</v>
      </c>
      <c r="DR930">
        <v>14</v>
      </c>
      <c r="DS930">
        <v>0</v>
      </c>
      <c r="DU930">
        <v>14</v>
      </c>
      <c r="DV930">
        <v>0</v>
      </c>
      <c r="DX930">
        <v>14</v>
      </c>
      <c r="DY930">
        <v>0</v>
      </c>
      <c r="DZ930" t="s">
        <v>246</v>
      </c>
      <c r="EA930" t="s">
        <v>929</v>
      </c>
    </row>
    <row r="931" spans="1:131" x14ac:dyDescent="0.4">
      <c r="A931" s="34">
        <v>43067.305104166669</v>
      </c>
      <c r="B931" s="25">
        <v>42930.554166666669</v>
      </c>
      <c r="D931" s="34"/>
      <c r="E931" s="34" t="s">
        <v>193</v>
      </c>
      <c r="F931" s="34" t="s">
        <v>191</v>
      </c>
      <c r="G931" s="34" t="s">
        <v>100</v>
      </c>
      <c r="H931" t="s">
        <v>279</v>
      </c>
      <c r="I931" t="s">
        <v>243</v>
      </c>
      <c r="J931" t="s">
        <v>712</v>
      </c>
      <c r="K931" t="s">
        <v>713</v>
      </c>
      <c r="L931" t="s">
        <v>711</v>
      </c>
      <c r="M931" s="30">
        <v>4.22</v>
      </c>
      <c r="N931">
        <v>3.75</v>
      </c>
      <c r="P931" s="24" t="str">
        <f>IFERROR(MID(RADataTable[[#This Row],[RATemplate]],1,LEN(RADataTable[[#This Row],[RATemplate]])-8),"RA") &amp; " " &amp; RADataTable[[#This Row],[prop_id0]] &amp; " " &amp; RADataTable[[#This Row],[last0]]</f>
        <v>RA 1749173 Borgwardt</v>
      </c>
      <c r="T931">
        <v>4</v>
      </c>
      <c r="U931">
        <v>4</v>
      </c>
      <c r="V931" s="34">
        <v>43031.583333333336</v>
      </c>
      <c r="W931">
        <v>1</v>
      </c>
      <c r="X931" s="15" t="str">
        <f>HYPERLINK("https://www.ejacket.nsf.gov/ej/showProposal.do?Continue=Y&amp;ID="&amp;RADataTable[[#This Row],[prop_id0]],"eJ")</f>
        <v>eJ</v>
      </c>
      <c r="Y931" s="15" t="str">
        <f>HYPERLINK("mailto:"&amp;RADataTable[[#This Row],[email]]&amp;"&amp;subject=Your NSF Proposal:  "&amp;RADataTable[[#This Row],[Div]]&amp;" "&amp;RADataTable[[#This Row],[prop_id0]], RADataTable[[#This Row],[email]])</f>
        <v>steffen.borgwardt@ucdenver.edu</v>
      </c>
      <c r="Z931" s="15" t="str">
        <f>HYPERLINK("mailto:"&amp;RADataTable[[#This Row],[allPIemail]]&amp;"&amp;subject=NSF Proposal:  "&amp;RADataTable[[#This Row],[Div]]&amp;" "&amp;RADataTable[[#This Row],[prop_id0]], "PIs@")</f>
        <v>PIs@</v>
      </c>
      <c r="AA931" t="s">
        <v>245</v>
      </c>
      <c r="AB931" t="s">
        <v>661</v>
      </c>
      <c r="AC931" s="30" t="s">
        <v>714</v>
      </c>
      <c r="AD931" t="s">
        <v>715</v>
      </c>
      <c r="AE931" t="s">
        <v>716</v>
      </c>
      <c r="AF931" s="36">
        <v>470400</v>
      </c>
      <c r="AG931" s="36">
        <v>470400</v>
      </c>
      <c r="AH931" s="24"/>
      <c r="AJ931" s="34"/>
      <c r="AK931" t="s">
        <v>923</v>
      </c>
      <c r="AL931" t="s">
        <v>924</v>
      </c>
      <c r="AM931" s="34" t="s">
        <v>925</v>
      </c>
      <c r="AN931" s="34">
        <v>43032</v>
      </c>
      <c r="AO931" s="24">
        <v>22</v>
      </c>
      <c r="AP931" t="s">
        <v>926</v>
      </c>
      <c r="AR931" s="35"/>
      <c r="AS931"/>
      <c r="AT931" s="34"/>
      <c r="AV931" s="34"/>
      <c r="AX931" s="34"/>
      <c r="AY931"/>
      <c r="BA931" s="34"/>
      <c r="BB931"/>
      <c r="BC931" t="s">
        <v>720</v>
      </c>
      <c r="BD931" s="36">
        <v>470400</v>
      </c>
      <c r="BE931" s="36">
        <v>470400</v>
      </c>
      <c r="BF931">
        <v>0</v>
      </c>
      <c r="BG931" s="34">
        <v>43101</v>
      </c>
      <c r="BH931">
        <v>60</v>
      </c>
      <c r="BI931" t="s">
        <v>283</v>
      </c>
      <c r="BJ931" t="s">
        <v>928</v>
      </c>
      <c r="BK931" t="s">
        <v>234</v>
      </c>
      <c r="BL931" t="s">
        <v>194</v>
      </c>
      <c r="BM931" s="8" t="s">
        <v>192</v>
      </c>
      <c r="BN931" t="s">
        <v>189</v>
      </c>
      <c r="BO931" t="s">
        <v>190</v>
      </c>
      <c r="BP931" s="35" t="s">
        <v>718</v>
      </c>
      <c r="BQ931"/>
      <c r="BU931" s="35"/>
      <c r="BV931" s="35"/>
      <c r="BX931"/>
      <c r="CA931" s="35"/>
      <c r="CB931" s="35"/>
      <c r="CC931"/>
      <c r="CG931" s="35"/>
      <c r="CH931" s="35"/>
      <c r="CK931"/>
      <c r="CM931" s="35"/>
      <c r="CN931" s="35"/>
      <c r="CQ931"/>
      <c r="CS931" s="35"/>
      <c r="CT931" s="35"/>
      <c r="CX931"/>
      <c r="CZ931" s="35"/>
      <c r="DD931" s="34"/>
      <c r="DG931" t="s">
        <v>717</v>
      </c>
      <c r="DH931" t="s">
        <v>930</v>
      </c>
      <c r="DI931" t="s">
        <v>798</v>
      </c>
      <c r="DL931" t="s">
        <v>661</v>
      </c>
      <c r="DM931">
        <v>2</v>
      </c>
      <c r="DN931">
        <v>7</v>
      </c>
      <c r="DO931" t="s">
        <v>719</v>
      </c>
      <c r="DQ931" t="s">
        <v>927</v>
      </c>
      <c r="DR931">
        <v>14</v>
      </c>
      <c r="DS931">
        <v>0</v>
      </c>
      <c r="DU931">
        <v>14</v>
      </c>
      <c r="DV931">
        <v>0</v>
      </c>
      <c r="DX931">
        <v>14</v>
      </c>
      <c r="DY931">
        <v>0</v>
      </c>
      <c r="DZ931" t="s">
        <v>246</v>
      </c>
      <c r="EA931" t="s">
        <v>929</v>
      </c>
    </row>
    <row r="932" spans="1:131" x14ac:dyDescent="0.4">
      <c r="A932" s="34">
        <v>43067.305104166669</v>
      </c>
      <c r="B932" s="25">
        <v>42930.554166666669</v>
      </c>
      <c r="D932" s="34"/>
      <c r="E932" s="34" t="s">
        <v>193</v>
      </c>
      <c r="F932" s="34" t="s">
        <v>191</v>
      </c>
      <c r="G932" s="34" t="s">
        <v>100</v>
      </c>
      <c r="H932" t="s">
        <v>279</v>
      </c>
      <c r="I932" t="s">
        <v>243</v>
      </c>
      <c r="J932" t="s">
        <v>712</v>
      </c>
      <c r="K932" t="s">
        <v>713</v>
      </c>
      <c r="L932" t="s">
        <v>711</v>
      </c>
      <c r="M932" s="30">
        <v>4.22</v>
      </c>
      <c r="N932">
        <v>3.75</v>
      </c>
      <c r="P932" s="24" t="str">
        <f>IFERROR(MID(RADataTable[[#This Row],[RATemplate]],1,LEN(RADataTable[[#This Row],[RATemplate]])-8),"RA") &amp; " " &amp; RADataTable[[#This Row],[prop_id0]] &amp; " " &amp; RADataTable[[#This Row],[last0]]</f>
        <v>RA 1749173 Borgwardt</v>
      </c>
      <c r="T932">
        <v>4</v>
      </c>
      <c r="U932">
        <v>4</v>
      </c>
      <c r="V932" s="34">
        <v>43031.583333333336</v>
      </c>
      <c r="W932">
        <v>1</v>
      </c>
      <c r="X932" s="15" t="str">
        <f>HYPERLINK("https://www.ejacket.nsf.gov/ej/showProposal.do?Continue=Y&amp;ID="&amp;RADataTable[[#This Row],[prop_id0]],"eJ")</f>
        <v>eJ</v>
      </c>
      <c r="Y932" s="15" t="str">
        <f>HYPERLINK("mailto:"&amp;RADataTable[[#This Row],[email]]&amp;"&amp;subject=Your NSF Proposal:  "&amp;RADataTable[[#This Row],[Div]]&amp;" "&amp;RADataTable[[#This Row],[prop_id0]], RADataTable[[#This Row],[email]])</f>
        <v>steffen.borgwardt@ucdenver.edu</v>
      </c>
      <c r="Z932" s="15" t="str">
        <f>HYPERLINK("mailto:"&amp;RADataTable[[#This Row],[allPIemail]]&amp;"&amp;subject=NSF Proposal:  "&amp;RADataTable[[#This Row],[Div]]&amp;" "&amp;RADataTable[[#This Row],[prop_id0]], "PIs@")</f>
        <v>PIs@</v>
      </c>
      <c r="AA932" t="s">
        <v>245</v>
      </c>
      <c r="AB932" t="s">
        <v>661</v>
      </c>
      <c r="AC932" s="30" t="s">
        <v>714</v>
      </c>
      <c r="AD932" t="s">
        <v>715</v>
      </c>
      <c r="AE932" t="s">
        <v>716</v>
      </c>
      <c r="AF932" s="36">
        <v>470400</v>
      </c>
      <c r="AG932" s="36">
        <v>470400</v>
      </c>
      <c r="AH932" s="24"/>
      <c r="AJ932" s="34"/>
      <c r="AK932" t="s">
        <v>923</v>
      </c>
      <c r="AL932" t="s">
        <v>924</v>
      </c>
      <c r="AM932" s="34" t="s">
        <v>925</v>
      </c>
      <c r="AN932" s="34">
        <v>43032</v>
      </c>
      <c r="AO932" s="24">
        <v>22</v>
      </c>
      <c r="AP932" t="s">
        <v>926</v>
      </c>
      <c r="AR932" s="35"/>
      <c r="AS932"/>
      <c r="AT932" s="34"/>
      <c r="AV932" s="34"/>
      <c r="AX932" s="34"/>
      <c r="AY932"/>
      <c r="BA932" s="34"/>
      <c r="BB932"/>
      <c r="BC932" t="s">
        <v>720</v>
      </c>
      <c r="BD932" s="36">
        <v>470400</v>
      </c>
      <c r="BE932" s="36">
        <v>470400</v>
      </c>
      <c r="BF932">
        <v>0</v>
      </c>
      <c r="BG932" s="34">
        <v>43101</v>
      </c>
      <c r="BH932">
        <v>60</v>
      </c>
      <c r="BI932" t="s">
        <v>283</v>
      </c>
      <c r="BJ932" t="s">
        <v>928</v>
      </c>
      <c r="BK932" t="s">
        <v>234</v>
      </c>
      <c r="BL932" t="s">
        <v>194</v>
      </c>
      <c r="BM932" s="8" t="s">
        <v>192</v>
      </c>
      <c r="BN932" t="s">
        <v>189</v>
      </c>
      <c r="BO932" t="s">
        <v>190</v>
      </c>
      <c r="BP932" s="35" t="s">
        <v>718</v>
      </c>
      <c r="BQ932"/>
      <c r="BU932" s="35"/>
      <c r="BV932" s="35"/>
      <c r="BX932"/>
      <c r="CA932" s="35"/>
      <c r="CB932" s="35"/>
      <c r="CC932"/>
      <c r="CG932" s="35"/>
      <c r="CH932" s="35"/>
      <c r="CK932"/>
      <c r="CM932" s="35"/>
      <c r="CN932" s="35"/>
      <c r="CQ932"/>
      <c r="CS932" s="35"/>
      <c r="CT932" s="35"/>
      <c r="CX932"/>
      <c r="CZ932" s="35"/>
      <c r="DD932" s="34"/>
      <c r="DG932" t="s">
        <v>717</v>
      </c>
      <c r="DH932" t="s">
        <v>930</v>
      </c>
      <c r="DI932" t="s">
        <v>798</v>
      </c>
      <c r="DL932" t="s">
        <v>661</v>
      </c>
      <c r="DM932">
        <v>2</v>
      </c>
      <c r="DN932">
        <v>7</v>
      </c>
      <c r="DO932" t="s">
        <v>719</v>
      </c>
      <c r="DQ932" t="s">
        <v>927</v>
      </c>
      <c r="DR932">
        <v>14</v>
      </c>
      <c r="DS932">
        <v>0</v>
      </c>
      <c r="DU932">
        <v>14</v>
      </c>
      <c r="DV932">
        <v>0</v>
      </c>
      <c r="DX932">
        <v>14</v>
      </c>
      <c r="DY932">
        <v>0</v>
      </c>
      <c r="DZ932" t="s">
        <v>246</v>
      </c>
      <c r="EA932" t="s">
        <v>929</v>
      </c>
    </row>
    <row r="933" spans="1:131" x14ac:dyDescent="0.4">
      <c r="A933" s="34">
        <v>43067.305104166669</v>
      </c>
      <c r="B933" s="25">
        <v>42934.808333333334</v>
      </c>
      <c r="D933" s="34"/>
      <c r="E933" s="34" t="s">
        <v>193</v>
      </c>
      <c r="F933" s="34" t="s">
        <v>191</v>
      </c>
      <c r="G933" s="34" t="s">
        <v>100</v>
      </c>
      <c r="H933" t="s">
        <v>279</v>
      </c>
      <c r="I933" t="s">
        <v>243</v>
      </c>
      <c r="J933" t="s">
        <v>712</v>
      </c>
      <c r="K933" t="s">
        <v>713</v>
      </c>
      <c r="L933" t="s">
        <v>711</v>
      </c>
      <c r="M933" s="30">
        <v>4.22</v>
      </c>
      <c r="N933">
        <v>4</v>
      </c>
      <c r="P933" s="24" t="str">
        <f>IFERROR(MID(RADataTable[[#This Row],[RATemplate]],1,LEN(RADataTable[[#This Row],[RATemplate]])-8),"RA") &amp; " " &amp; RADataTable[[#This Row],[prop_id0]] &amp; " " &amp; RADataTable[[#This Row],[last0]]</f>
        <v>RA 1750076 Schroeder</v>
      </c>
      <c r="T933">
        <v>4</v>
      </c>
      <c r="U933">
        <v>4</v>
      </c>
      <c r="V933" s="34">
        <v>43031.584027777775</v>
      </c>
      <c r="W933">
        <v>1</v>
      </c>
      <c r="X933" s="15" t="str">
        <f>HYPERLINK("https://www.ejacket.nsf.gov/ej/showProposal.do?Continue=Y&amp;ID="&amp;RADataTable[[#This Row],[prop_id0]],"eJ")</f>
        <v>eJ</v>
      </c>
      <c r="Y933" s="15" t="str">
        <f>HYPERLINK("mailto:"&amp;RADataTable[[#This Row],[email]]&amp;"&amp;subject=Your NSF Proposal:  "&amp;RADataTable[[#This Row],[Div]]&amp;" "&amp;RADataTable[[#This Row],[prop_id0]], RADataTable[[#This Row],[email]])</f>
        <v>craig@ucr.edu</v>
      </c>
      <c r="Z933" s="15" t="str">
        <f>HYPERLINK("mailto:"&amp;RADataTable[[#This Row],[allPIemail]]&amp;"&amp;subject=NSF Proposal:  "&amp;RADataTable[[#This Row],[Div]]&amp;" "&amp;RADataTable[[#This Row],[prop_id0]], "PIs@")</f>
        <v>PIs@</v>
      </c>
      <c r="AA933" t="s">
        <v>245</v>
      </c>
      <c r="AB933" t="s">
        <v>671</v>
      </c>
      <c r="AC933" s="30" t="s">
        <v>776</v>
      </c>
      <c r="AD933" t="s">
        <v>777</v>
      </c>
      <c r="AE933" t="s">
        <v>778</v>
      </c>
      <c r="AF933" s="36">
        <v>440331</v>
      </c>
      <c r="AG933" s="36">
        <v>440331</v>
      </c>
      <c r="AH933" s="24"/>
      <c r="AJ933" s="34"/>
      <c r="AK933" t="s">
        <v>923</v>
      </c>
      <c r="AL933" t="s">
        <v>924</v>
      </c>
      <c r="AM933" s="34" t="s">
        <v>925</v>
      </c>
      <c r="AN933" s="34">
        <v>43032</v>
      </c>
      <c r="AO933" s="24">
        <v>22</v>
      </c>
      <c r="AP933" t="s">
        <v>951</v>
      </c>
      <c r="AR933" s="35"/>
      <c r="AS933"/>
      <c r="AT933" s="34"/>
      <c r="AV933" s="34"/>
      <c r="AX933" s="34"/>
      <c r="AY933"/>
      <c r="BA933" s="34"/>
      <c r="BB933"/>
      <c r="BC933" t="s">
        <v>782</v>
      </c>
      <c r="BD933" s="36">
        <v>440331</v>
      </c>
      <c r="BE933" s="36">
        <v>440331</v>
      </c>
      <c r="BF933">
        <v>0</v>
      </c>
      <c r="BG933" s="34">
        <v>43101</v>
      </c>
      <c r="BH933">
        <v>60</v>
      </c>
      <c r="BI933" t="s">
        <v>283</v>
      </c>
      <c r="BJ933" t="s">
        <v>928</v>
      </c>
      <c r="BK933" t="s">
        <v>234</v>
      </c>
      <c r="BL933" t="s">
        <v>194</v>
      </c>
      <c r="BM933" s="8" t="s">
        <v>192</v>
      </c>
      <c r="BN933" t="s">
        <v>189</v>
      </c>
      <c r="BO933" t="s">
        <v>190</v>
      </c>
      <c r="BP933" s="35" t="s">
        <v>780</v>
      </c>
      <c r="BQ933"/>
      <c r="BU933" s="35"/>
      <c r="BV933" s="35"/>
      <c r="BX933"/>
      <c r="CA933" s="35"/>
      <c r="CB933" s="35"/>
      <c r="CC933"/>
      <c r="CG933" s="35"/>
      <c r="CH933" s="35"/>
      <c r="CK933"/>
      <c r="CM933" s="35"/>
      <c r="CN933" s="35"/>
      <c r="CQ933"/>
      <c r="CS933" s="35"/>
      <c r="CT933" s="35"/>
      <c r="CX933"/>
      <c r="CZ933" s="35"/>
      <c r="DD933" s="34"/>
      <c r="DG933" t="s">
        <v>779</v>
      </c>
      <c r="DH933" t="s">
        <v>952</v>
      </c>
      <c r="DI933" t="s">
        <v>798</v>
      </c>
      <c r="DL933" t="s">
        <v>671</v>
      </c>
      <c r="DM933">
        <v>3</v>
      </c>
      <c r="DN933">
        <v>7</v>
      </c>
      <c r="DO933" t="s">
        <v>781</v>
      </c>
      <c r="DQ933" t="s">
        <v>927</v>
      </c>
      <c r="DR933">
        <v>14</v>
      </c>
      <c r="DS933">
        <v>0</v>
      </c>
      <c r="DU933">
        <v>14</v>
      </c>
      <c r="DV933">
        <v>0</v>
      </c>
      <c r="DX933">
        <v>14</v>
      </c>
      <c r="DY933">
        <v>0</v>
      </c>
      <c r="DZ933" t="s">
        <v>246</v>
      </c>
      <c r="EA933" t="s">
        <v>929</v>
      </c>
    </row>
    <row r="934" spans="1:131" x14ac:dyDescent="0.4">
      <c r="A934" s="34">
        <v>43067.305104166669</v>
      </c>
      <c r="B934" s="25">
        <v>42934.808333333334</v>
      </c>
      <c r="D934" s="34"/>
      <c r="E934" s="34" t="s">
        <v>193</v>
      </c>
      <c r="F934" s="34" t="s">
        <v>191</v>
      </c>
      <c r="G934" s="34" t="s">
        <v>100</v>
      </c>
      <c r="H934" t="s">
        <v>279</v>
      </c>
      <c r="I934" t="s">
        <v>243</v>
      </c>
      <c r="J934" t="s">
        <v>712</v>
      </c>
      <c r="K934" t="s">
        <v>713</v>
      </c>
      <c r="L934" t="s">
        <v>711</v>
      </c>
      <c r="M934" s="30">
        <v>4.22</v>
      </c>
      <c r="N934">
        <v>4</v>
      </c>
      <c r="P934" s="24" t="str">
        <f>IFERROR(MID(RADataTable[[#This Row],[RATemplate]],1,LEN(RADataTable[[#This Row],[RATemplate]])-8),"RA") &amp; " " &amp; RADataTable[[#This Row],[prop_id0]] &amp; " " &amp; RADataTable[[#This Row],[last0]]</f>
        <v>RA 1750076 Schroeder</v>
      </c>
      <c r="T934">
        <v>4</v>
      </c>
      <c r="U934">
        <v>4</v>
      </c>
      <c r="V934" s="34">
        <v>43031.584027777775</v>
      </c>
      <c r="W934">
        <v>1</v>
      </c>
      <c r="X934" s="15" t="str">
        <f>HYPERLINK("https://www.ejacket.nsf.gov/ej/showProposal.do?Continue=Y&amp;ID="&amp;RADataTable[[#This Row],[prop_id0]],"eJ")</f>
        <v>eJ</v>
      </c>
      <c r="Y934" s="15" t="str">
        <f>HYPERLINK("mailto:"&amp;RADataTable[[#This Row],[email]]&amp;"&amp;subject=Your NSF Proposal:  "&amp;RADataTable[[#This Row],[Div]]&amp;" "&amp;RADataTable[[#This Row],[prop_id0]], RADataTable[[#This Row],[email]])</f>
        <v>craig@ucr.edu</v>
      </c>
      <c r="Z934" s="15" t="str">
        <f>HYPERLINK("mailto:"&amp;RADataTable[[#This Row],[allPIemail]]&amp;"&amp;subject=NSF Proposal:  "&amp;RADataTable[[#This Row],[Div]]&amp;" "&amp;RADataTable[[#This Row],[prop_id0]], "PIs@")</f>
        <v>PIs@</v>
      </c>
      <c r="AA934" t="s">
        <v>245</v>
      </c>
      <c r="AB934" t="s">
        <v>671</v>
      </c>
      <c r="AC934" s="30" t="s">
        <v>776</v>
      </c>
      <c r="AD934" t="s">
        <v>777</v>
      </c>
      <c r="AE934" t="s">
        <v>778</v>
      </c>
      <c r="AF934" s="36">
        <v>440331</v>
      </c>
      <c r="AG934" s="36">
        <v>440331</v>
      </c>
      <c r="AH934" s="24"/>
      <c r="AJ934" s="34"/>
      <c r="AK934" t="s">
        <v>923</v>
      </c>
      <c r="AL934" t="s">
        <v>924</v>
      </c>
      <c r="AM934" s="34" t="s">
        <v>925</v>
      </c>
      <c r="AN934" s="34">
        <v>43032</v>
      </c>
      <c r="AO934" s="24">
        <v>22</v>
      </c>
      <c r="AP934" t="s">
        <v>951</v>
      </c>
      <c r="AR934" s="35"/>
      <c r="AS934"/>
      <c r="AT934" s="34"/>
      <c r="AV934" s="34"/>
      <c r="AX934" s="34"/>
      <c r="AY934"/>
      <c r="BA934" s="34"/>
      <c r="BB934"/>
      <c r="BC934" t="s">
        <v>782</v>
      </c>
      <c r="BD934" s="36">
        <v>440331</v>
      </c>
      <c r="BE934" s="36">
        <v>440331</v>
      </c>
      <c r="BF934">
        <v>0</v>
      </c>
      <c r="BG934" s="34">
        <v>43101</v>
      </c>
      <c r="BH934">
        <v>60</v>
      </c>
      <c r="BI934" t="s">
        <v>283</v>
      </c>
      <c r="BJ934" t="s">
        <v>928</v>
      </c>
      <c r="BK934" t="s">
        <v>234</v>
      </c>
      <c r="BL934" t="s">
        <v>194</v>
      </c>
      <c r="BM934" s="8" t="s">
        <v>192</v>
      </c>
      <c r="BN934" t="s">
        <v>189</v>
      </c>
      <c r="BO934" t="s">
        <v>190</v>
      </c>
      <c r="BP934" s="35" t="s">
        <v>780</v>
      </c>
      <c r="BQ934"/>
      <c r="BU934" s="35"/>
      <c r="BV934" s="35"/>
      <c r="BX934"/>
      <c r="CA934" s="35"/>
      <c r="CB934" s="35"/>
      <c r="CC934"/>
      <c r="CG934" s="35"/>
      <c r="CH934" s="35"/>
      <c r="CK934"/>
      <c r="CM934" s="35"/>
      <c r="CN934" s="35"/>
      <c r="CQ934"/>
      <c r="CS934" s="35"/>
      <c r="CT934" s="35"/>
      <c r="CX934"/>
      <c r="CZ934" s="35"/>
      <c r="DD934" s="34"/>
      <c r="DG934" t="s">
        <v>779</v>
      </c>
      <c r="DH934" t="s">
        <v>952</v>
      </c>
      <c r="DI934" t="s">
        <v>798</v>
      </c>
      <c r="DL934" t="s">
        <v>671</v>
      </c>
      <c r="DM934">
        <v>3</v>
      </c>
      <c r="DN934">
        <v>7</v>
      </c>
      <c r="DO934" t="s">
        <v>781</v>
      </c>
      <c r="DQ934" t="s">
        <v>927</v>
      </c>
      <c r="DR934">
        <v>14</v>
      </c>
      <c r="DS934">
        <v>0</v>
      </c>
      <c r="DU934">
        <v>14</v>
      </c>
      <c r="DV934">
        <v>0</v>
      </c>
      <c r="DX934">
        <v>14</v>
      </c>
      <c r="DY934">
        <v>0</v>
      </c>
      <c r="DZ934" t="s">
        <v>246</v>
      </c>
      <c r="EA934" t="s">
        <v>929</v>
      </c>
    </row>
    <row r="935" spans="1:131" x14ac:dyDescent="0.4">
      <c r="A935" s="34">
        <v>43067.305104166669</v>
      </c>
      <c r="B935" s="25">
        <v>42934.808333333334</v>
      </c>
      <c r="D935" s="34"/>
      <c r="E935" s="34" t="s">
        <v>193</v>
      </c>
      <c r="F935" s="34" t="s">
        <v>191</v>
      </c>
      <c r="G935" s="34" t="s">
        <v>100</v>
      </c>
      <c r="H935" t="s">
        <v>279</v>
      </c>
      <c r="I935" t="s">
        <v>243</v>
      </c>
      <c r="J935" t="s">
        <v>712</v>
      </c>
      <c r="K935" t="s">
        <v>713</v>
      </c>
      <c r="L935" t="s">
        <v>711</v>
      </c>
      <c r="M935" s="30">
        <v>4.22</v>
      </c>
      <c r="N935">
        <v>4</v>
      </c>
      <c r="P935" s="24" t="str">
        <f>IFERROR(MID(RADataTable[[#This Row],[RATemplate]],1,LEN(RADataTable[[#This Row],[RATemplate]])-8),"RA") &amp; " " &amp; RADataTable[[#This Row],[prop_id0]] &amp; " " &amp; RADataTable[[#This Row],[last0]]</f>
        <v>RA 1750076 Schroeder</v>
      </c>
      <c r="T935">
        <v>4</v>
      </c>
      <c r="U935">
        <v>4</v>
      </c>
      <c r="V935" s="34">
        <v>43031.584027777775</v>
      </c>
      <c r="W935">
        <v>1</v>
      </c>
      <c r="X935" s="15" t="str">
        <f>HYPERLINK("https://www.ejacket.nsf.gov/ej/showProposal.do?Continue=Y&amp;ID="&amp;RADataTable[[#This Row],[prop_id0]],"eJ")</f>
        <v>eJ</v>
      </c>
      <c r="Y935" s="15" t="str">
        <f>HYPERLINK("mailto:"&amp;RADataTable[[#This Row],[email]]&amp;"&amp;subject=Your NSF Proposal:  "&amp;RADataTable[[#This Row],[Div]]&amp;" "&amp;RADataTable[[#This Row],[prop_id0]], RADataTable[[#This Row],[email]])</f>
        <v>craig@ucr.edu</v>
      </c>
      <c r="Z935" s="15" t="str">
        <f>HYPERLINK("mailto:"&amp;RADataTable[[#This Row],[allPIemail]]&amp;"&amp;subject=NSF Proposal:  "&amp;RADataTable[[#This Row],[Div]]&amp;" "&amp;RADataTable[[#This Row],[prop_id0]], "PIs@")</f>
        <v>PIs@</v>
      </c>
      <c r="AA935" t="s">
        <v>245</v>
      </c>
      <c r="AB935" t="s">
        <v>671</v>
      </c>
      <c r="AC935" s="30" t="s">
        <v>776</v>
      </c>
      <c r="AD935" t="s">
        <v>777</v>
      </c>
      <c r="AE935" t="s">
        <v>778</v>
      </c>
      <c r="AF935" s="36">
        <v>440331</v>
      </c>
      <c r="AG935" s="36">
        <v>440331</v>
      </c>
      <c r="AH935" s="24"/>
      <c r="AJ935" s="34"/>
      <c r="AK935" t="s">
        <v>923</v>
      </c>
      <c r="AL935" t="s">
        <v>924</v>
      </c>
      <c r="AM935" s="34" t="s">
        <v>925</v>
      </c>
      <c r="AN935" s="34">
        <v>43032</v>
      </c>
      <c r="AO935" s="24">
        <v>22</v>
      </c>
      <c r="AP935" t="s">
        <v>951</v>
      </c>
      <c r="AR935" s="35"/>
      <c r="AS935"/>
      <c r="AT935" s="34"/>
      <c r="AV935" s="34"/>
      <c r="AX935" s="34"/>
      <c r="AY935"/>
      <c r="BA935" s="34"/>
      <c r="BB935"/>
      <c r="BC935" t="s">
        <v>782</v>
      </c>
      <c r="BD935" s="36">
        <v>440331</v>
      </c>
      <c r="BE935" s="36">
        <v>440331</v>
      </c>
      <c r="BF935">
        <v>0</v>
      </c>
      <c r="BG935" s="34">
        <v>43101</v>
      </c>
      <c r="BH935">
        <v>60</v>
      </c>
      <c r="BI935" t="s">
        <v>283</v>
      </c>
      <c r="BJ935" t="s">
        <v>928</v>
      </c>
      <c r="BK935" t="s">
        <v>234</v>
      </c>
      <c r="BL935" t="s">
        <v>194</v>
      </c>
      <c r="BM935" s="8" t="s">
        <v>192</v>
      </c>
      <c r="BN935" t="s">
        <v>189</v>
      </c>
      <c r="BO935" t="s">
        <v>190</v>
      </c>
      <c r="BP935" s="35" t="s">
        <v>780</v>
      </c>
      <c r="BQ935"/>
      <c r="BU935" s="35"/>
      <c r="BV935" s="35"/>
      <c r="BX935"/>
      <c r="CA935" s="35"/>
      <c r="CB935" s="35"/>
      <c r="CC935"/>
      <c r="CG935" s="35"/>
      <c r="CH935" s="35"/>
      <c r="CK935"/>
      <c r="CM935" s="35"/>
      <c r="CN935" s="35"/>
      <c r="CQ935"/>
      <c r="CS935" s="35"/>
      <c r="CT935" s="35"/>
      <c r="CX935"/>
      <c r="CZ935" s="35"/>
      <c r="DD935" s="34"/>
      <c r="DG935" t="s">
        <v>779</v>
      </c>
      <c r="DH935" t="s">
        <v>952</v>
      </c>
      <c r="DI935" t="s">
        <v>798</v>
      </c>
      <c r="DL935" t="s">
        <v>671</v>
      </c>
      <c r="DM935">
        <v>3</v>
      </c>
      <c r="DN935">
        <v>7</v>
      </c>
      <c r="DO935" t="s">
        <v>781</v>
      </c>
      <c r="DQ935" t="s">
        <v>927</v>
      </c>
      <c r="DR935">
        <v>14</v>
      </c>
      <c r="DS935">
        <v>0</v>
      </c>
      <c r="DU935">
        <v>14</v>
      </c>
      <c r="DV935">
        <v>0</v>
      </c>
      <c r="DX935">
        <v>14</v>
      </c>
      <c r="DY935">
        <v>0</v>
      </c>
      <c r="DZ935" t="s">
        <v>246</v>
      </c>
      <c r="EA935" t="s">
        <v>929</v>
      </c>
    </row>
    <row r="936" spans="1:131" x14ac:dyDescent="0.4">
      <c r="A936" s="34">
        <v>43067.305104166669</v>
      </c>
      <c r="B936" s="25">
        <v>42934.808333333334</v>
      </c>
      <c r="D936" s="34"/>
      <c r="E936" s="34" t="s">
        <v>193</v>
      </c>
      <c r="F936" s="34" t="s">
        <v>191</v>
      </c>
      <c r="G936" s="34" t="s">
        <v>100</v>
      </c>
      <c r="H936" t="s">
        <v>279</v>
      </c>
      <c r="I936" t="s">
        <v>243</v>
      </c>
      <c r="J936" t="s">
        <v>712</v>
      </c>
      <c r="K936" t="s">
        <v>713</v>
      </c>
      <c r="L936" t="s">
        <v>711</v>
      </c>
      <c r="M936" s="30">
        <v>4.22</v>
      </c>
      <c r="N936">
        <v>4</v>
      </c>
      <c r="P936" s="24" t="str">
        <f>IFERROR(MID(RADataTable[[#This Row],[RATemplate]],1,LEN(RADataTable[[#This Row],[RATemplate]])-8),"RA") &amp; " " &amp; RADataTable[[#This Row],[prop_id0]] &amp; " " &amp; RADataTable[[#This Row],[last0]]</f>
        <v>RA 1750076 Schroeder</v>
      </c>
      <c r="T936">
        <v>4</v>
      </c>
      <c r="U936">
        <v>4</v>
      </c>
      <c r="V936" s="34">
        <v>43031.584027777775</v>
      </c>
      <c r="W936">
        <v>1</v>
      </c>
      <c r="X936" s="15" t="str">
        <f>HYPERLINK("https://www.ejacket.nsf.gov/ej/showProposal.do?Continue=Y&amp;ID="&amp;RADataTable[[#This Row],[prop_id0]],"eJ")</f>
        <v>eJ</v>
      </c>
      <c r="Y936" s="15" t="str">
        <f>HYPERLINK("mailto:"&amp;RADataTable[[#This Row],[email]]&amp;"&amp;subject=Your NSF Proposal:  "&amp;RADataTable[[#This Row],[Div]]&amp;" "&amp;RADataTable[[#This Row],[prop_id0]], RADataTable[[#This Row],[email]])</f>
        <v>craig@ucr.edu</v>
      </c>
      <c r="Z936" s="15" t="str">
        <f>HYPERLINK("mailto:"&amp;RADataTable[[#This Row],[allPIemail]]&amp;"&amp;subject=NSF Proposal:  "&amp;RADataTable[[#This Row],[Div]]&amp;" "&amp;RADataTable[[#This Row],[prop_id0]], "PIs@")</f>
        <v>PIs@</v>
      </c>
      <c r="AA936" t="s">
        <v>245</v>
      </c>
      <c r="AB936" t="s">
        <v>671</v>
      </c>
      <c r="AC936" s="30" t="s">
        <v>776</v>
      </c>
      <c r="AD936" t="s">
        <v>777</v>
      </c>
      <c r="AE936" t="s">
        <v>778</v>
      </c>
      <c r="AF936" s="36">
        <v>440331</v>
      </c>
      <c r="AG936" s="36">
        <v>440331</v>
      </c>
      <c r="AH936" s="24"/>
      <c r="AJ936" s="34"/>
      <c r="AK936" t="s">
        <v>923</v>
      </c>
      <c r="AL936" t="s">
        <v>924</v>
      </c>
      <c r="AM936" s="34" t="s">
        <v>925</v>
      </c>
      <c r="AN936" s="34">
        <v>43032</v>
      </c>
      <c r="AO936" s="24">
        <v>22</v>
      </c>
      <c r="AP936" t="s">
        <v>951</v>
      </c>
      <c r="AR936" s="35"/>
      <c r="AS936"/>
      <c r="AT936" s="34"/>
      <c r="AV936" s="34"/>
      <c r="AX936" s="34"/>
      <c r="AY936"/>
      <c r="BA936" s="34"/>
      <c r="BB936"/>
      <c r="BC936" t="s">
        <v>782</v>
      </c>
      <c r="BD936" s="36">
        <v>440331</v>
      </c>
      <c r="BE936" s="36">
        <v>440331</v>
      </c>
      <c r="BF936">
        <v>0</v>
      </c>
      <c r="BG936" s="34">
        <v>43101</v>
      </c>
      <c r="BH936">
        <v>60</v>
      </c>
      <c r="BI936" t="s">
        <v>283</v>
      </c>
      <c r="BJ936" t="s">
        <v>928</v>
      </c>
      <c r="BK936" t="s">
        <v>234</v>
      </c>
      <c r="BL936" t="s">
        <v>194</v>
      </c>
      <c r="BM936" s="8" t="s">
        <v>192</v>
      </c>
      <c r="BN936" t="s">
        <v>189</v>
      </c>
      <c r="BO936" t="s">
        <v>190</v>
      </c>
      <c r="BP936" s="35" t="s">
        <v>780</v>
      </c>
      <c r="BQ936"/>
      <c r="BU936" s="35"/>
      <c r="BV936" s="35"/>
      <c r="BX936"/>
      <c r="CA936" s="35"/>
      <c r="CB936" s="35"/>
      <c r="CC936"/>
      <c r="CG936" s="35"/>
      <c r="CH936" s="35"/>
      <c r="CK936"/>
      <c r="CM936" s="35"/>
      <c r="CN936" s="35"/>
      <c r="CQ936"/>
      <c r="CS936" s="35"/>
      <c r="CT936" s="35"/>
      <c r="CX936"/>
      <c r="CZ936" s="35"/>
      <c r="DD936" s="34"/>
      <c r="DG936" t="s">
        <v>779</v>
      </c>
      <c r="DH936" t="s">
        <v>952</v>
      </c>
      <c r="DI936" t="s">
        <v>798</v>
      </c>
      <c r="DL936" t="s">
        <v>671</v>
      </c>
      <c r="DM936">
        <v>3</v>
      </c>
      <c r="DN936">
        <v>7</v>
      </c>
      <c r="DO936" t="s">
        <v>781</v>
      </c>
      <c r="DQ936" t="s">
        <v>927</v>
      </c>
      <c r="DR936">
        <v>14</v>
      </c>
      <c r="DS936">
        <v>0</v>
      </c>
      <c r="DU936">
        <v>14</v>
      </c>
      <c r="DV936">
        <v>0</v>
      </c>
      <c r="DX936">
        <v>14</v>
      </c>
      <c r="DY936">
        <v>0</v>
      </c>
      <c r="DZ936" t="s">
        <v>246</v>
      </c>
      <c r="EA936" t="s">
        <v>929</v>
      </c>
    </row>
    <row r="937" spans="1:131" x14ac:dyDescent="0.4">
      <c r="A937" s="34">
        <v>43067.305104166669</v>
      </c>
      <c r="B937" s="25">
        <v>42934.808333333334</v>
      </c>
      <c r="D937" s="34"/>
      <c r="E937" s="34" t="s">
        <v>193</v>
      </c>
      <c r="F937" s="34" t="s">
        <v>191</v>
      </c>
      <c r="G937" s="34" t="s">
        <v>100</v>
      </c>
      <c r="H937" t="s">
        <v>279</v>
      </c>
      <c r="I937" t="s">
        <v>243</v>
      </c>
      <c r="J937" t="s">
        <v>712</v>
      </c>
      <c r="K937" t="s">
        <v>713</v>
      </c>
      <c r="L937" t="s">
        <v>711</v>
      </c>
      <c r="M937" s="30">
        <v>4.22</v>
      </c>
      <c r="N937">
        <v>4</v>
      </c>
      <c r="P937" s="24" t="str">
        <f>IFERROR(MID(RADataTable[[#This Row],[RATemplate]],1,LEN(RADataTable[[#This Row],[RATemplate]])-8),"RA") &amp; " " &amp; RADataTable[[#This Row],[prop_id0]] &amp; " " &amp; RADataTable[[#This Row],[last0]]</f>
        <v>RA 1750076 Schroeder</v>
      </c>
      <c r="T937">
        <v>4</v>
      </c>
      <c r="U937">
        <v>4</v>
      </c>
      <c r="V937" s="34">
        <v>43031.584027777775</v>
      </c>
      <c r="W937">
        <v>1</v>
      </c>
      <c r="X937" s="15" t="str">
        <f>HYPERLINK("https://www.ejacket.nsf.gov/ej/showProposal.do?Continue=Y&amp;ID="&amp;RADataTable[[#This Row],[prop_id0]],"eJ")</f>
        <v>eJ</v>
      </c>
      <c r="Y937" s="15" t="str">
        <f>HYPERLINK("mailto:"&amp;RADataTable[[#This Row],[email]]&amp;"&amp;subject=Your NSF Proposal:  "&amp;RADataTable[[#This Row],[Div]]&amp;" "&amp;RADataTable[[#This Row],[prop_id0]], RADataTable[[#This Row],[email]])</f>
        <v>craig@ucr.edu</v>
      </c>
      <c r="Z937" s="15" t="str">
        <f>HYPERLINK("mailto:"&amp;RADataTable[[#This Row],[allPIemail]]&amp;"&amp;subject=NSF Proposal:  "&amp;RADataTable[[#This Row],[Div]]&amp;" "&amp;RADataTable[[#This Row],[prop_id0]], "PIs@")</f>
        <v>PIs@</v>
      </c>
      <c r="AA937" t="s">
        <v>245</v>
      </c>
      <c r="AB937" t="s">
        <v>671</v>
      </c>
      <c r="AC937" s="30" t="s">
        <v>776</v>
      </c>
      <c r="AD937" t="s">
        <v>777</v>
      </c>
      <c r="AE937" t="s">
        <v>778</v>
      </c>
      <c r="AF937" s="36">
        <v>440331</v>
      </c>
      <c r="AG937" s="36">
        <v>440331</v>
      </c>
      <c r="AH937" s="24"/>
      <c r="AJ937" s="34"/>
      <c r="AK937" t="s">
        <v>923</v>
      </c>
      <c r="AL937" t="s">
        <v>924</v>
      </c>
      <c r="AM937" s="34" t="s">
        <v>925</v>
      </c>
      <c r="AN937" s="34">
        <v>43032</v>
      </c>
      <c r="AO937" s="24">
        <v>22</v>
      </c>
      <c r="AP937" t="s">
        <v>951</v>
      </c>
      <c r="AR937" s="35"/>
      <c r="AS937"/>
      <c r="AT937" s="34"/>
      <c r="AV937" s="34"/>
      <c r="AX937" s="34"/>
      <c r="AY937"/>
      <c r="BA937" s="34"/>
      <c r="BB937"/>
      <c r="BC937" t="s">
        <v>782</v>
      </c>
      <c r="BD937" s="36">
        <v>440331</v>
      </c>
      <c r="BE937" s="36">
        <v>440331</v>
      </c>
      <c r="BF937">
        <v>0</v>
      </c>
      <c r="BG937" s="34">
        <v>43101</v>
      </c>
      <c r="BH937">
        <v>60</v>
      </c>
      <c r="BI937" t="s">
        <v>283</v>
      </c>
      <c r="BJ937" t="s">
        <v>928</v>
      </c>
      <c r="BK937" t="s">
        <v>234</v>
      </c>
      <c r="BL937" t="s">
        <v>194</v>
      </c>
      <c r="BM937" s="8" t="s">
        <v>192</v>
      </c>
      <c r="BN937" t="s">
        <v>189</v>
      </c>
      <c r="BO937" t="s">
        <v>190</v>
      </c>
      <c r="BP937" s="35" t="s">
        <v>780</v>
      </c>
      <c r="BQ937"/>
      <c r="BU937" s="35"/>
      <c r="BV937" s="35"/>
      <c r="BX937"/>
      <c r="CA937" s="35"/>
      <c r="CB937" s="35"/>
      <c r="CC937"/>
      <c r="CG937" s="35"/>
      <c r="CH937" s="35"/>
      <c r="CK937"/>
      <c r="CM937" s="35"/>
      <c r="CN937" s="35"/>
      <c r="CQ937"/>
      <c r="CS937" s="35"/>
      <c r="CT937" s="35"/>
      <c r="CX937"/>
      <c r="CZ937" s="35"/>
      <c r="DD937" s="34"/>
      <c r="DG937" t="s">
        <v>779</v>
      </c>
      <c r="DH937" t="s">
        <v>952</v>
      </c>
      <c r="DI937" t="s">
        <v>798</v>
      </c>
      <c r="DL937" t="s">
        <v>671</v>
      </c>
      <c r="DM937">
        <v>3</v>
      </c>
      <c r="DN937">
        <v>7</v>
      </c>
      <c r="DO937" t="s">
        <v>781</v>
      </c>
      <c r="DQ937" t="s">
        <v>927</v>
      </c>
      <c r="DR937">
        <v>14</v>
      </c>
      <c r="DS937">
        <v>0</v>
      </c>
      <c r="DU937">
        <v>14</v>
      </c>
      <c r="DV937">
        <v>0</v>
      </c>
      <c r="DX937">
        <v>14</v>
      </c>
      <c r="DY937">
        <v>0</v>
      </c>
      <c r="DZ937" t="s">
        <v>246</v>
      </c>
      <c r="EA937" t="s">
        <v>929</v>
      </c>
    </row>
    <row r="938" spans="1:131" x14ac:dyDescent="0.4">
      <c r="A938" s="34">
        <v>43067.305104166669</v>
      </c>
      <c r="B938" s="25">
        <v>42934.808333333334</v>
      </c>
      <c r="D938" s="34"/>
      <c r="E938" s="34" t="s">
        <v>193</v>
      </c>
      <c r="F938" s="34" t="s">
        <v>191</v>
      </c>
      <c r="G938" s="34" t="s">
        <v>100</v>
      </c>
      <c r="H938" t="s">
        <v>279</v>
      </c>
      <c r="I938" t="s">
        <v>243</v>
      </c>
      <c r="J938" t="s">
        <v>712</v>
      </c>
      <c r="K938" t="s">
        <v>713</v>
      </c>
      <c r="L938" t="s">
        <v>711</v>
      </c>
      <c r="M938" s="30">
        <v>4.22</v>
      </c>
      <c r="N938">
        <v>4</v>
      </c>
      <c r="P938" s="24" t="str">
        <f>IFERROR(MID(RADataTable[[#This Row],[RATemplate]],1,LEN(RADataTable[[#This Row],[RATemplate]])-8),"RA") &amp; " " &amp; RADataTable[[#This Row],[prop_id0]] &amp; " " &amp; RADataTable[[#This Row],[last0]]</f>
        <v>RA 1750076 Schroeder</v>
      </c>
      <c r="T938">
        <v>4</v>
      </c>
      <c r="U938">
        <v>4</v>
      </c>
      <c r="V938" s="34">
        <v>43031.584027777775</v>
      </c>
      <c r="W938">
        <v>1</v>
      </c>
      <c r="X938" s="15" t="str">
        <f>HYPERLINK("https://www.ejacket.nsf.gov/ej/showProposal.do?Continue=Y&amp;ID="&amp;RADataTable[[#This Row],[prop_id0]],"eJ")</f>
        <v>eJ</v>
      </c>
      <c r="Y938" s="15" t="str">
        <f>HYPERLINK("mailto:"&amp;RADataTable[[#This Row],[email]]&amp;"&amp;subject=Your NSF Proposal:  "&amp;RADataTable[[#This Row],[Div]]&amp;" "&amp;RADataTable[[#This Row],[prop_id0]], RADataTable[[#This Row],[email]])</f>
        <v>craig@ucr.edu</v>
      </c>
      <c r="Z938" s="15" t="str">
        <f>HYPERLINK("mailto:"&amp;RADataTable[[#This Row],[allPIemail]]&amp;"&amp;subject=NSF Proposal:  "&amp;RADataTable[[#This Row],[Div]]&amp;" "&amp;RADataTable[[#This Row],[prop_id0]], "PIs@")</f>
        <v>PIs@</v>
      </c>
      <c r="AA938" t="s">
        <v>245</v>
      </c>
      <c r="AB938" t="s">
        <v>671</v>
      </c>
      <c r="AC938" s="30" t="s">
        <v>776</v>
      </c>
      <c r="AD938" t="s">
        <v>777</v>
      </c>
      <c r="AE938" t="s">
        <v>778</v>
      </c>
      <c r="AF938" s="36">
        <v>440331</v>
      </c>
      <c r="AG938" s="36">
        <v>440331</v>
      </c>
      <c r="AH938" s="24"/>
      <c r="AJ938" s="34"/>
      <c r="AK938" t="s">
        <v>923</v>
      </c>
      <c r="AL938" t="s">
        <v>924</v>
      </c>
      <c r="AM938" s="34" t="s">
        <v>925</v>
      </c>
      <c r="AN938" s="34">
        <v>43032</v>
      </c>
      <c r="AO938" s="24">
        <v>22</v>
      </c>
      <c r="AP938" t="s">
        <v>951</v>
      </c>
      <c r="AR938" s="35"/>
      <c r="AS938"/>
      <c r="AT938" s="34"/>
      <c r="AV938" s="34"/>
      <c r="AX938" s="34"/>
      <c r="AY938"/>
      <c r="BA938" s="34"/>
      <c r="BB938"/>
      <c r="BC938" t="s">
        <v>782</v>
      </c>
      <c r="BD938" s="36">
        <v>440331</v>
      </c>
      <c r="BE938" s="36">
        <v>440331</v>
      </c>
      <c r="BF938">
        <v>0</v>
      </c>
      <c r="BG938" s="34">
        <v>43101</v>
      </c>
      <c r="BH938">
        <v>60</v>
      </c>
      <c r="BI938" t="s">
        <v>283</v>
      </c>
      <c r="BJ938" t="s">
        <v>928</v>
      </c>
      <c r="BK938" t="s">
        <v>234</v>
      </c>
      <c r="BL938" t="s">
        <v>194</v>
      </c>
      <c r="BM938" s="8" t="s">
        <v>192</v>
      </c>
      <c r="BN938" t="s">
        <v>189</v>
      </c>
      <c r="BO938" t="s">
        <v>190</v>
      </c>
      <c r="BP938" s="35" t="s">
        <v>780</v>
      </c>
      <c r="BQ938"/>
      <c r="BU938" s="35"/>
      <c r="BV938" s="35"/>
      <c r="BX938"/>
      <c r="CA938" s="35"/>
      <c r="CB938" s="35"/>
      <c r="CC938"/>
      <c r="CG938" s="35"/>
      <c r="CH938" s="35"/>
      <c r="CK938"/>
      <c r="CM938" s="35"/>
      <c r="CN938" s="35"/>
      <c r="CQ938"/>
      <c r="CS938" s="35"/>
      <c r="CT938" s="35"/>
      <c r="CX938"/>
      <c r="CZ938" s="35"/>
      <c r="DD938" s="34"/>
      <c r="DG938" t="s">
        <v>779</v>
      </c>
      <c r="DH938" t="s">
        <v>952</v>
      </c>
      <c r="DI938" t="s">
        <v>798</v>
      </c>
      <c r="DL938" t="s">
        <v>671</v>
      </c>
      <c r="DM938">
        <v>3</v>
      </c>
      <c r="DN938">
        <v>7</v>
      </c>
      <c r="DO938" t="s">
        <v>781</v>
      </c>
      <c r="DQ938" t="s">
        <v>927</v>
      </c>
      <c r="DR938">
        <v>14</v>
      </c>
      <c r="DS938">
        <v>0</v>
      </c>
      <c r="DU938">
        <v>14</v>
      </c>
      <c r="DV938">
        <v>0</v>
      </c>
      <c r="DX938">
        <v>14</v>
      </c>
      <c r="DY938">
        <v>0</v>
      </c>
      <c r="DZ938" t="s">
        <v>246</v>
      </c>
      <c r="EA938" t="s">
        <v>929</v>
      </c>
    </row>
    <row r="939" spans="1:131" x14ac:dyDescent="0.4">
      <c r="A939" s="34">
        <v>43067.305104166669</v>
      </c>
      <c r="B939" s="25">
        <v>42934.808333333334</v>
      </c>
      <c r="D939" s="34"/>
      <c r="E939" s="34" t="s">
        <v>193</v>
      </c>
      <c r="F939" s="34" t="s">
        <v>191</v>
      </c>
      <c r="G939" s="34" t="s">
        <v>100</v>
      </c>
      <c r="H939" t="s">
        <v>279</v>
      </c>
      <c r="I939" t="s">
        <v>243</v>
      </c>
      <c r="J939" t="s">
        <v>712</v>
      </c>
      <c r="K939" t="s">
        <v>713</v>
      </c>
      <c r="L939" t="s">
        <v>711</v>
      </c>
      <c r="M939" s="30">
        <v>4.22</v>
      </c>
      <c r="N939">
        <v>4</v>
      </c>
      <c r="P939" s="24" t="str">
        <f>IFERROR(MID(RADataTable[[#This Row],[RATemplate]],1,LEN(RADataTable[[#This Row],[RATemplate]])-8),"RA") &amp; " " &amp; RADataTable[[#This Row],[prop_id0]] &amp; " " &amp; RADataTable[[#This Row],[last0]]</f>
        <v>RA 1750076 Schroeder</v>
      </c>
      <c r="T939">
        <v>4</v>
      </c>
      <c r="U939">
        <v>4</v>
      </c>
      <c r="V939" s="34">
        <v>43031.584027777775</v>
      </c>
      <c r="W939">
        <v>1</v>
      </c>
      <c r="X939" s="15" t="str">
        <f>HYPERLINK("https://www.ejacket.nsf.gov/ej/showProposal.do?Continue=Y&amp;ID="&amp;RADataTable[[#This Row],[prop_id0]],"eJ")</f>
        <v>eJ</v>
      </c>
      <c r="Y939" s="15" t="str">
        <f>HYPERLINK("mailto:"&amp;RADataTable[[#This Row],[email]]&amp;"&amp;subject=Your NSF Proposal:  "&amp;RADataTable[[#This Row],[Div]]&amp;" "&amp;RADataTable[[#This Row],[prop_id0]], RADataTable[[#This Row],[email]])</f>
        <v>craig@ucr.edu</v>
      </c>
      <c r="Z939" s="15" t="str">
        <f>HYPERLINK("mailto:"&amp;RADataTable[[#This Row],[allPIemail]]&amp;"&amp;subject=NSF Proposal:  "&amp;RADataTable[[#This Row],[Div]]&amp;" "&amp;RADataTable[[#This Row],[prop_id0]], "PIs@")</f>
        <v>PIs@</v>
      </c>
      <c r="AA939" t="s">
        <v>245</v>
      </c>
      <c r="AB939" t="s">
        <v>671</v>
      </c>
      <c r="AC939" s="30" t="s">
        <v>776</v>
      </c>
      <c r="AD939" t="s">
        <v>777</v>
      </c>
      <c r="AE939" t="s">
        <v>778</v>
      </c>
      <c r="AF939" s="36">
        <v>440331</v>
      </c>
      <c r="AG939" s="36">
        <v>440331</v>
      </c>
      <c r="AH939" s="24"/>
      <c r="AJ939" s="34"/>
      <c r="AK939" t="s">
        <v>923</v>
      </c>
      <c r="AL939" t="s">
        <v>924</v>
      </c>
      <c r="AM939" s="34" t="s">
        <v>925</v>
      </c>
      <c r="AN939" s="34">
        <v>43032</v>
      </c>
      <c r="AO939" s="24">
        <v>22</v>
      </c>
      <c r="AP939" t="s">
        <v>951</v>
      </c>
      <c r="AR939" s="35"/>
      <c r="AS939"/>
      <c r="AT939" s="34"/>
      <c r="AV939" s="34"/>
      <c r="AX939" s="34"/>
      <c r="AY939"/>
      <c r="BA939" s="34"/>
      <c r="BB939"/>
      <c r="BC939" t="s">
        <v>782</v>
      </c>
      <c r="BD939" s="36">
        <v>440331</v>
      </c>
      <c r="BE939" s="36">
        <v>440331</v>
      </c>
      <c r="BF939">
        <v>0</v>
      </c>
      <c r="BG939" s="34">
        <v>43101</v>
      </c>
      <c r="BH939">
        <v>60</v>
      </c>
      <c r="BI939" t="s">
        <v>283</v>
      </c>
      <c r="BJ939" t="s">
        <v>928</v>
      </c>
      <c r="BK939" t="s">
        <v>234</v>
      </c>
      <c r="BL939" t="s">
        <v>194</v>
      </c>
      <c r="BM939" s="8" t="s">
        <v>192</v>
      </c>
      <c r="BN939" t="s">
        <v>189</v>
      </c>
      <c r="BO939" t="s">
        <v>190</v>
      </c>
      <c r="BP939" s="35" t="s">
        <v>780</v>
      </c>
      <c r="BQ939"/>
      <c r="BU939" s="35"/>
      <c r="BV939" s="35"/>
      <c r="BX939"/>
      <c r="CA939" s="35"/>
      <c r="CB939" s="35"/>
      <c r="CC939"/>
      <c r="CG939" s="35"/>
      <c r="CH939" s="35"/>
      <c r="CK939"/>
      <c r="CM939" s="35"/>
      <c r="CN939" s="35"/>
      <c r="CQ939"/>
      <c r="CS939" s="35"/>
      <c r="CT939" s="35"/>
      <c r="CX939"/>
      <c r="CZ939" s="35"/>
      <c r="DD939" s="34"/>
      <c r="DG939" t="s">
        <v>779</v>
      </c>
      <c r="DH939" t="s">
        <v>952</v>
      </c>
      <c r="DI939" t="s">
        <v>798</v>
      </c>
      <c r="DL939" t="s">
        <v>671</v>
      </c>
      <c r="DM939">
        <v>3</v>
      </c>
      <c r="DN939">
        <v>7</v>
      </c>
      <c r="DO939" t="s">
        <v>781</v>
      </c>
      <c r="DQ939" t="s">
        <v>927</v>
      </c>
      <c r="DR939">
        <v>14</v>
      </c>
      <c r="DS939">
        <v>0</v>
      </c>
      <c r="DU939">
        <v>14</v>
      </c>
      <c r="DV939">
        <v>0</v>
      </c>
      <c r="DX939">
        <v>14</v>
      </c>
      <c r="DY939">
        <v>0</v>
      </c>
      <c r="DZ939" t="s">
        <v>246</v>
      </c>
      <c r="EA939" t="s">
        <v>929</v>
      </c>
    </row>
    <row r="940" spans="1:131" x14ac:dyDescent="0.4">
      <c r="A940" s="34">
        <v>43067.305104166669</v>
      </c>
      <c r="B940" s="25">
        <v>42934.808333333334</v>
      </c>
      <c r="D940" s="34"/>
      <c r="E940" s="34" t="s">
        <v>193</v>
      </c>
      <c r="F940" s="34" t="s">
        <v>191</v>
      </c>
      <c r="G940" s="34" t="s">
        <v>100</v>
      </c>
      <c r="H940" t="s">
        <v>279</v>
      </c>
      <c r="I940" t="s">
        <v>243</v>
      </c>
      <c r="J940" t="s">
        <v>712</v>
      </c>
      <c r="K940" t="s">
        <v>713</v>
      </c>
      <c r="L940" t="s">
        <v>711</v>
      </c>
      <c r="M940" s="30">
        <v>4.22</v>
      </c>
      <c r="N940">
        <v>4</v>
      </c>
      <c r="P940" s="24" t="str">
        <f>IFERROR(MID(RADataTable[[#This Row],[RATemplate]],1,LEN(RADataTable[[#This Row],[RATemplate]])-8),"RA") &amp; " " &amp; RADataTable[[#This Row],[prop_id0]] &amp; " " &amp; RADataTable[[#This Row],[last0]]</f>
        <v>RA 1750076 Schroeder</v>
      </c>
      <c r="T940">
        <v>4</v>
      </c>
      <c r="U940">
        <v>4</v>
      </c>
      <c r="V940" s="34">
        <v>43031.584027777775</v>
      </c>
      <c r="W940">
        <v>1</v>
      </c>
      <c r="X940" s="15" t="str">
        <f>HYPERLINK("https://www.ejacket.nsf.gov/ej/showProposal.do?Continue=Y&amp;ID="&amp;RADataTable[[#This Row],[prop_id0]],"eJ")</f>
        <v>eJ</v>
      </c>
      <c r="Y940" s="15" t="str">
        <f>HYPERLINK("mailto:"&amp;RADataTable[[#This Row],[email]]&amp;"&amp;subject=Your NSF Proposal:  "&amp;RADataTable[[#This Row],[Div]]&amp;" "&amp;RADataTable[[#This Row],[prop_id0]], RADataTable[[#This Row],[email]])</f>
        <v>craig@ucr.edu</v>
      </c>
      <c r="Z940" s="15" t="str">
        <f>HYPERLINK("mailto:"&amp;RADataTable[[#This Row],[allPIemail]]&amp;"&amp;subject=NSF Proposal:  "&amp;RADataTable[[#This Row],[Div]]&amp;" "&amp;RADataTable[[#This Row],[prop_id0]], "PIs@")</f>
        <v>PIs@</v>
      </c>
      <c r="AA940" t="s">
        <v>245</v>
      </c>
      <c r="AB940" t="s">
        <v>671</v>
      </c>
      <c r="AC940" s="30" t="s">
        <v>776</v>
      </c>
      <c r="AD940" t="s">
        <v>777</v>
      </c>
      <c r="AE940" t="s">
        <v>778</v>
      </c>
      <c r="AF940" s="36">
        <v>440331</v>
      </c>
      <c r="AG940" s="36">
        <v>440331</v>
      </c>
      <c r="AH940" s="24"/>
      <c r="AJ940" s="34"/>
      <c r="AK940" t="s">
        <v>923</v>
      </c>
      <c r="AL940" t="s">
        <v>924</v>
      </c>
      <c r="AM940" s="34" t="s">
        <v>925</v>
      </c>
      <c r="AN940" s="34">
        <v>43032</v>
      </c>
      <c r="AO940" s="24">
        <v>22</v>
      </c>
      <c r="AP940" t="s">
        <v>951</v>
      </c>
      <c r="AR940" s="35"/>
      <c r="AS940"/>
      <c r="AT940" s="34"/>
      <c r="AV940" s="34"/>
      <c r="AX940" s="34"/>
      <c r="AY940"/>
      <c r="BA940" s="34"/>
      <c r="BB940"/>
      <c r="BC940" t="s">
        <v>782</v>
      </c>
      <c r="BD940" s="36">
        <v>440331</v>
      </c>
      <c r="BE940" s="36">
        <v>440331</v>
      </c>
      <c r="BF940">
        <v>0</v>
      </c>
      <c r="BG940" s="34">
        <v>43101</v>
      </c>
      <c r="BH940">
        <v>60</v>
      </c>
      <c r="BI940" t="s">
        <v>283</v>
      </c>
      <c r="BJ940" t="s">
        <v>928</v>
      </c>
      <c r="BK940" t="s">
        <v>234</v>
      </c>
      <c r="BL940" t="s">
        <v>194</v>
      </c>
      <c r="BM940" s="8" t="s">
        <v>192</v>
      </c>
      <c r="BN940" t="s">
        <v>189</v>
      </c>
      <c r="BO940" t="s">
        <v>190</v>
      </c>
      <c r="BP940" s="35" t="s">
        <v>780</v>
      </c>
      <c r="BQ940"/>
      <c r="BU940" s="35"/>
      <c r="BV940" s="35"/>
      <c r="BX940"/>
      <c r="CA940" s="35"/>
      <c r="CB940" s="35"/>
      <c r="CC940"/>
      <c r="CG940" s="35"/>
      <c r="CH940" s="35"/>
      <c r="CK940"/>
      <c r="CM940" s="35"/>
      <c r="CN940" s="35"/>
      <c r="CQ940"/>
      <c r="CS940" s="35"/>
      <c r="CT940" s="35"/>
      <c r="CX940"/>
      <c r="CZ940" s="35"/>
      <c r="DD940" s="34"/>
      <c r="DG940" t="s">
        <v>779</v>
      </c>
      <c r="DH940" t="s">
        <v>952</v>
      </c>
      <c r="DI940" t="s">
        <v>798</v>
      </c>
      <c r="DL940" t="s">
        <v>671</v>
      </c>
      <c r="DM940">
        <v>3</v>
      </c>
      <c r="DN940">
        <v>7</v>
      </c>
      <c r="DO940" t="s">
        <v>781</v>
      </c>
      <c r="DQ940" t="s">
        <v>927</v>
      </c>
      <c r="DR940">
        <v>14</v>
      </c>
      <c r="DS940">
        <v>0</v>
      </c>
      <c r="DU940">
        <v>14</v>
      </c>
      <c r="DV940">
        <v>0</v>
      </c>
      <c r="DX940">
        <v>14</v>
      </c>
      <c r="DY940">
        <v>0</v>
      </c>
      <c r="DZ940" t="s">
        <v>246</v>
      </c>
      <c r="EA940" t="s">
        <v>929</v>
      </c>
    </row>
    <row r="941" spans="1:131" x14ac:dyDescent="0.4">
      <c r="A941" s="34">
        <v>43067.305104166669</v>
      </c>
      <c r="B941" s="25">
        <v>42934.808333333334</v>
      </c>
      <c r="D941" s="34"/>
      <c r="E941" s="34" t="s">
        <v>193</v>
      </c>
      <c r="F941" s="34" t="s">
        <v>191</v>
      </c>
      <c r="G941" s="34" t="s">
        <v>100</v>
      </c>
      <c r="H941" t="s">
        <v>279</v>
      </c>
      <c r="I941" t="s">
        <v>243</v>
      </c>
      <c r="J941" t="s">
        <v>712</v>
      </c>
      <c r="K941" t="s">
        <v>713</v>
      </c>
      <c r="L941" t="s">
        <v>711</v>
      </c>
      <c r="M941" s="30">
        <v>4.22</v>
      </c>
      <c r="N941">
        <v>4</v>
      </c>
      <c r="P941" s="24" t="str">
        <f>IFERROR(MID(RADataTable[[#This Row],[RATemplate]],1,LEN(RADataTable[[#This Row],[RATemplate]])-8),"RA") &amp; " " &amp; RADataTable[[#This Row],[prop_id0]] &amp; " " &amp; RADataTable[[#This Row],[last0]]</f>
        <v>RA 1750076 Schroeder</v>
      </c>
      <c r="T941">
        <v>4</v>
      </c>
      <c r="U941">
        <v>4</v>
      </c>
      <c r="V941" s="34">
        <v>43031.584027777775</v>
      </c>
      <c r="W941">
        <v>1</v>
      </c>
      <c r="X941" s="15" t="str">
        <f>HYPERLINK("https://www.ejacket.nsf.gov/ej/showProposal.do?Continue=Y&amp;ID="&amp;RADataTable[[#This Row],[prop_id0]],"eJ")</f>
        <v>eJ</v>
      </c>
      <c r="Y941" s="15" t="str">
        <f>HYPERLINK("mailto:"&amp;RADataTable[[#This Row],[email]]&amp;"&amp;subject=Your NSF Proposal:  "&amp;RADataTable[[#This Row],[Div]]&amp;" "&amp;RADataTable[[#This Row],[prop_id0]], RADataTable[[#This Row],[email]])</f>
        <v>craig@ucr.edu</v>
      </c>
      <c r="Z941" s="15" t="str">
        <f>HYPERLINK("mailto:"&amp;RADataTable[[#This Row],[allPIemail]]&amp;"&amp;subject=NSF Proposal:  "&amp;RADataTable[[#This Row],[Div]]&amp;" "&amp;RADataTable[[#This Row],[prop_id0]], "PIs@")</f>
        <v>PIs@</v>
      </c>
      <c r="AA941" t="s">
        <v>245</v>
      </c>
      <c r="AB941" t="s">
        <v>671</v>
      </c>
      <c r="AC941" s="30" t="s">
        <v>776</v>
      </c>
      <c r="AD941" t="s">
        <v>777</v>
      </c>
      <c r="AE941" t="s">
        <v>778</v>
      </c>
      <c r="AF941" s="36">
        <v>440331</v>
      </c>
      <c r="AG941" s="36">
        <v>440331</v>
      </c>
      <c r="AH941" s="24"/>
      <c r="AJ941" s="34"/>
      <c r="AK941" t="s">
        <v>923</v>
      </c>
      <c r="AL941" t="s">
        <v>924</v>
      </c>
      <c r="AM941" s="34" t="s">
        <v>925</v>
      </c>
      <c r="AN941" s="34">
        <v>43032</v>
      </c>
      <c r="AO941" s="24">
        <v>22</v>
      </c>
      <c r="AP941" t="s">
        <v>951</v>
      </c>
      <c r="AR941" s="35"/>
      <c r="AS941"/>
      <c r="AT941" s="34"/>
      <c r="AV941" s="34"/>
      <c r="AX941" s="34"/>
      <c r="AY941"/>
      <c r="BA941" s="34"/>
      <c r="BB941"/>
      <c r="BC941" t="s">
        <v>782</v>
      </c>
      <c r="BD941" s="36">
        <v>440331</v>
      </c>
      <c r="BE941" s="36">
        <v>440331</v>
      </c>
      <c r="BF941">
        <v>0</v>
      </c>
      <c r="BG941" s="34">
        <v>43101</v>
      </c>
      <c r="BH941">
        <v>60</v>
      </c>
      <c r="BI941" t="s">
        <v>283</v>
      </c>
      <c r="BJ941" t="s">
        <v>928</v>
      </c>
      <c r="BK941" t="s">
        <v>234</v>
      </c>
      <c r="BL941" t="s">
        <v>194</v>
      </c>
      <c r="BM941" s="8" t="s">
        <v>192</v>
      </c>
      <c r="BN941" t="s">
        <v>189</v>
      </c>
      <c r="BO941" t="s">
        <v>190</v>
      </c>
      <c r="BP941" s="35" t="s">
        <v>780</v>
      </c>
      <c r="BQ941"/>
      <c r="BU941" s="35"/>
      <c r="BV941" s="35"/>
      <c r="BX941"/>
      <c r="CA941" s="35"/>
      <c r="CB941" s="35"/>
      <c r="CC941"/>
      <c r="CG941" s="35"/>
      <c r="CH941" s="35"/>
      <c r="CK941"/>
      <c r="CM941" s="35"/>
      <c r="CN941" s="35"/>
      <c r="CQ941"/>
      <c r="CS941" s="35"/>
      <c r="CT941" s="35"/>
      <c r="CX941"/>
      <c r="CZ941" s="35"/>
      <c r="DD941" s="34"/>
      <c r="DG941" t="s">
        <v>779</v>
      </c>
      <c r="DH941" t="s">
        <v>952</v>
      </c>
      <c r="DI941" t="s">
        <v>798</v>
      </c>
      <c r="DL941" t="s">
        <v>671</v>
      </c>
      <c r="DM941">
        <v>3</v>
      </c>
      <c r="DN941">
        <v>7</v>
      </c>
      <c r="DO941" t="s">
        <v>781</v>
      </c>
      <c r="DQ941" t="s">
        <v>927</v>
      </c>
      <c r="DR941">
        <v>14</v>
      </c>
      <c r="DS941">
        <v>0</v>
      </c>
      <c r="DU941">
        <v>14</v>
      </c>
      <c r="DV941">
        <v>0</v>
      </c>
      <c r="DX941">
        <v>14</v>
      </c>
      <c r="DY941">
        <v>0</v>
      </c>
      <c r="DZ941" t="s">
        <v>246</v>
      </c>
      <c r="EA941" t="s">
        <v>929</v>
      </c>
    </row>
    <row r="942" spans="1:131" x14ac:dyDescent="0.4">
      <c r="A942" s="34">
        <v>43067.305104166669</v>
      </c>
      <c r="B942" s="25">
        <v>42934.808333333334</v>
      </c>
      <c r="D942" s="34"/>
      <c r="E942" s="34" t="s">
        <v>193</v>
      </c>
      <c r="F942" s="34" t="s">
        <v>191</v>
      </c>
      <c r="G942" s="34" t="s">
        <v>100</v>
      </c>
      <c r="H942" t="s">
        <v>279</v>
      </c>
      <c r="I942" t="s">
        <v>243</v>
      </c>
      <c r="J942" t="s">
        <v>712</v>
      </c>
      <c r="K942" t="s">
        <v>713</v>
      </c>
      <c r="L942" t="s">
        <v>711</v>
      </c>
      <c r="M942" s="30">
        <v>4.22</v>
      </c>
      <c r="N942">
        <v>4</v>
      </c>
      <c r="P942" s="24" t="str">
        <f>IFERROR(MID(RADataTable[[#This Row],[RATemplate]],1,LEN(RADataTable[[#This Row],[RATemplate]])-8),"RA") &amp; " " &amp; RADataTable[[#This Row],[prop_id0]] &amp; " " &amp; RADataTable[[#This Row],[last0]]</f>
        <v>RA 1750076 Schroeder</v>
      </c>
      <c r="T942">
        <v>4</v>
      </c>
      <c r="U942">
        <v>4</v>
      </c>
      <c r="V942" s="34">
        <v>43031.584027777775</v>
      </c>
      <c r="W942">
        <v>1</v>
      </c>
      <c r="X942" s="15" t="str">
        <f>HYPERLINK("https://www.ejacket.nsf.gov/ej/showProposal.do?Continue=Y&amp;ID="&amp;RADataTable[[#This Row],[prop_id0]],"eJ")</f>
        <v>eJ</v>
      </c>
      <c r="Y942" s="15" t="str">
        <f>HYPERLINK("mailto:"&amp;RADataTable[[#This Row],[email]]&amp;"&amp;subject=Your NSF Proposal:  "&amp;RADataTable[[#This Row],[Div]]&amp;" "&amp;RADataTable[[#This Row],[prop_id0]], RADataTable[[#This Row],[email]])</f>
        <v>craig@ucr.edu</v>
      </c>
      <c r="Z942" s="15" t="str">
        <f>HYPERLINK("mailto:"&amp;RADataTable[[#This Row],[allPIemail]]&amp;"&amp;subject=NSF Proposal:  "&amp;RADataTable[[#This Row],[Div]]&amp;" "&amp;RADataTable[[#This Row],[prop_id0]], "PIs@")</f>
        <v>PIs@</v>
      </c>
      <c r="AA942" t="s">
        <v>245</v>
      </c>
      <c r="AB942" t="s">
        <v>671</v>
      </c>
      <c r="AC942" s="30" t="s">
        <v>776</v>
      </c>
      <c r="AD942" t="s">
        <v>777</v>
      </c>
      <c r="AE942" t="s">
        <v>778</v>
      </c>
      <c r="AF942" s="36">
        <v>440331</v>
      </c>
      <c r="AG942" s="36">
        <v>440331</v>
      </c>
      <c r="AH942" s="24"/>
      <c r="AJ942" s="34"/>
      <c r="AK942" t="s">
        <v>923</v>
      </c>
      <c r="AL942" t="s">
        <v>924</v>
      </c>
      <c r="AM942" s="34" t="s">
        <v>925</v>
      </c>
      <c r="AN942" s="34">
        <v>43032</v>
      </c>
      <c r="AO942" s="24">
        <v>22</v>
      </c>
      <c r="AP942" t="s">
        <v>951</v>
      </c>
      <c r="AR942" s="35"/>
      <c r="AS942"/>
      <c r="AT942" s="34"/>
      <c r="AV942" s="34"/>
      <c r="AX942" s="34"/>
      <c r="AY942"/>
      <c r="BA942" s="34"/>
      <c r="BB942"/>
      <c r="BC942" t="s">
        <v>782</v>
      </c>
      <c r="BD942" s="36">
        <v>440331</v>
      </c>
      <c r="BE942" s="36">
        <v>440331</v>
      </c>
      <c r="BF942">
        <v>0</v>
      </c>
      <c r="BG942" s="34">
        <v>43101</v>
      </c>
      <c r="BH942">
        <v>60</v>
      </c>
      <c r="BI942" t="s">
        <v>283</v>
      </c>
      <c r="BJ942" t="s">
        <v>928</v>
      </c>
      <c r="BK942" t="s">
        <v>234</v>
      </c>
      <c r="BL942" t="s">
        <v>194</v>
      </c>
      <c r="BM942" s="8" t="s">
        <v>192</v>
      </c>
      <c r="BN942" t="s">
        <v>189</v>
      </c>
      <c r="BO942" t="s">
        <v>190</v>
      </c>
      <c r="BP942" s="35" t="s">
        <v>780</v>
      </c>
      <c r="BQ942"/>
      <c r="BU942" s="35"/>
      <c r="BV942" s="35"/>
      <c r="BX942"/>
      <c r="CA942" s="35"/>
      <c r="CB942" s="35"/>
      <c r="CC942"/>
      <c r="CG942" s="35"/>
      <c r="CH942" s="35"/>
      <c r="CK942"/>
      <c r="CM942" s="35"/>
      <c r="CN942" s="35"/>
      <c r="CQ942"/>
      <c r="CS942" s="35"/>
      <c r="CT942" s="35"/>
      <c r="CX942"/>
      <c r="CZ942" s="35"/>
      <c r="DD942" s="34"/>
      <c r="DG942" t="s">
        <v>779</v>
      </c>
      <c r="DH942" t="s">
        <v>952</v>
      </c>
      <c r="DI942" t="s">
        <v>798</v>
      </c>
      <c r="DL942" t="s">
        <v>671</v>
      </c>
      <c r="DM942">
        <v>3</v>
      </c>
      <c r="DN942">
        <v>7</v>
      </c>
      <c r="DO942" t="s">
        <v>781</v>
      </c>
      <c r="DQ942" t="s">
        <v>927</v>
      </c>
      <c r="DR942">
        <v>14</v>
      </c>
      <c r="DS942">
        <v>0</v>
      </c>
      <c r="DU942">
        <v>14</v>
      </c>
      <c r="DV942">
        <v>0</v>
      </c>
      <c r="DX942">
        <v>14</v>
      </c>
      <c r="DY942">
        <v>0</v>
      </c>
      <c r="DZ942" t="s">
        <v>246</v>
      </c>
      <c r="EA942" t="s">
        <v>929</v>
      </c>
    </row>
    <row r="943" spans="1:131" x14ac:dyDescent="0.4">
      <c r="A943" s="34">
        <v>43067.305104166669</v>
      </c>
      <c r="B943" s="25">
        <v>42934.808333333334</v>
      </c>
      <c r="D943" s="34"/>
      <c r="E943" s="34" t="s">
        <v>193</v>
      </c>
      <c r="F943" s="34" t="s">
        <v>191</v>
      </c>
      <c r="G943" s="34" t="s">
        <v>100</v>
      </c>
      <c r="H943" t="s">
        <v>279</v>
      </c>
      <c r="I943" t="s">
        <v>243</v>
      </c>
      <c r="J943" t="s">
        <v>712</v>
      </c>
      <c r="K943" t="s">
        <v>713</v>
      </c>
      <c r="L943" t="s">
        <v>711</v>
      </c>
      <c r="M943" s="30">
        <v>4.22</v>
      </c>
      <c r="N943">
        <v>4</v>
      </c>
      <c r="P943" s="24" t="str">
        <f>IFERROR(MID(RADataTable[[#This Row],[RATemplate]],1,LEN(RADataTable[[#This Row],[RATemplate]])-8),"RA") &amp; " " &amp; RADataTable[[#This Row],[prop_id0]] &amp; " " &amp; RADataTable[[#This Row],[last0]]</f>
        <v>RA 1750076 Schroeder</v>
      </c>
      <c r="T943">
        <v>4</v>
      </c>
      <c r="U943">
        <v>4</v>
      </c>
      <c r="V943" s="34">
        <v>43031.584027777775</v>
      </c>
      <c r="W943">
        <v>1</v>
      </c>
      <c r="X943" s="15" t="str">
        <f>HYPERLINK("https://www.ejacket.nsf.gov/ej/showProposal.do?Continue=Y&amp;ID="&amp;RADataTable[[#This Row],[prop_id0]],"eJ")</f>
        <v>eJ</v>
      </c>
      <c r="Y943" s="15" t="str">
        <f>HYPERLINK("mailto:"&amp;RADataTable[[#This Row],[email]]&amp;"&amp;subject=Your NSF Proposal:  "&amp;RADataTable[[#This Row],[Div]]&amp;" "&amp;RADataTable[[#This Row],[prop_id0]], RADataTable[[#This Row],[email]])</f>
        <v>craig@ucr.edu</v>
      </c>
      <c r="Z943" s="15" t="str">
        <f>HYPERLINK("mailto:"&amp;RADataTable[[#This Row],[allPIemail]]&amp;"&amp;subject=NSF Proposal:  "&amp;RADataTable[[#This Row],[Div]]&amp;" "&amp;RADataTable[[#This Row],[prop_id0]], "PIs@")</f>
        <v>PIs@</v>
      </c>
      <c r="AA943" t="s">
        <v>245</v>
      </c>
      <c r="AB943" t="s">
        <v>671</v>
      </c>
      <c r="AC943" s="30" t="s">
        <v>776</v>
      </c>
      <c r="AD943" t="s">
        <v>777</v>
      </c>
      <c r="AE943" t="s">
        <v>778</v>
      </c>
      <c r="AF943" s="36">
        <v>440331</v>
      </c>
      <c r="AG943" s="36">
        <v>440331</v>
      </c>
      <c r="AH943" s="24"/>
      <c r="AJ943" s="34"/>
      <c r="AK943" t="s">
        <v>923</v>
      </c>
      <c r="AL943" t="s">
        <v>924</v>
      </c>
      <c r="AM943" s="34" t="s">
        <v>925</v>
      </c>
      <c r="AN943" s="34">
        <v>43032</v>
      </c>
      <c r="AO943" s="24">
        <v>22</v>
      </c>
      <c r="AP943" t="s">
        <v>951</v>
      </c>
      <c r="AR943" s="35"/>
      <c r="AS943"/>
      <c r="AT943" s="34"/>
      <c r="AV943" s="34"/>
      <c r="AX943" s="34"/>
      <c r="AY943"/>
      <c r="BA943" s="34"/>
      <c r="BB943"/>
      <c r="BC943" t="s">
        <v>782</v>
      </c>
      <c r="BD943" s="36">
        <v>440331</v>
      </c>
      <c r="BE943" s="36">
        <v>440331</v>
      </c>
      <c r="BF943">
        <v>0</v>
      </c>
      <c r="BG943" s="34">
        <v>43101</v>
      </c>
      <c r="BH943">
        <v>60</v>
      </c>
      <c r="BI943" t="s">
        <v>283</v>
      </c>
      <c r="BJ943" t="s">
        <v>928</v>
      </c>
      <c r="BK943" t="s">
        <v>234</v>
      </c>
      <c r="BL943" t="s">
        <v>194</v>
      </c>
      <c r="BM943" s="8" t="s">
        <v>192</v>
      </c>
      <c r="BN943" t="s">
        <v>189</v>
      </c>
      <c r="BO943" t="s">
        <v>190</v>
      </c>
      <c r="BP943" s="35" t="s">
        <v>780</v>
      </c>
      <c r="BQ943"/>
      <c r="BU943" s="35"/>
      <c r="BV943" s="35"/>
      <c r="BX943"/>
      <c r="CA943" s="35"/>
      <c r="CB943" s="35"/>
      <c r="CC943"/>
      <c r="CG943" s="35"/>
      <c r="CH943" s="35"/>
      <c r="CK943"/>
      <c r="CM943" s="35"/>
      <c r="CN943" s="35"/>
      <c r="CQ943"/>
      <c r="CS943" s="35"/>
      <c r="CT943" s="35"/>
      <c r="CX943"/>
      <c r="CZ943" s="35"/>
      <c r="DD943" s="34"/>
      <c r="DG943" t="s">
        <v>779</v>
      </c>
      <c r="DH943" t="s">
        <v>952</v>
      </c>
      <c r="DI943" t="s">
        <v>798</v>
      </c>
      <c r="DL943" t="s">
        <v>671</v>
      </c>
      <c r="DM943">
        <v>3</v>
      </c>
      <c r="DN943">
        <v>7</v>
      </c>
      <c r="DO943" t="s">
        <v>781</v>
      </c>
      <c r="DQ943" t="s">
        <v>927</v>
      </c>
      <c r="DR943">
        <v>14</v>
      </c>
      <c r="DS943">
        <v>0</v>
      </c>
      <c r="DU943">
        <v>14</v>
      </c>
      <c r="DV943">
        <v>0</v>
      </c>
      <c r="DX943">
        <v>14</v>
      </c>
      <c r="DY943">
        <v>0</v>
      </c>
      <c r="DZ943" t="s">
        <v>246</v>
      </c>
      <c r="EA943" t="s">
        <v>929</v>
      </c>
    </row>
    <row r="944" spans="1:131" x14ac:dyDescent="0.4">
      <c r="A944" s="34">
        <v>43067.305104166669</v>
      </c>
      <c r="B944" s="25">
        <v>42934.808333333334</v>
      </c>
      <c r="D944" s="34"/>
      <c r="E944" s="34" t="s">
        <v>193</v>
      </c>
      <c r="F944" s="34" t="s">
        <v>191</v>
      </c>
      <c r="G944" s="34" t="s">
        <v>100</v>
      </c>
      <c r="H944" t="s">
        <v>279</v>
      </c>
      <c r="I944" t="s">
        <v>243</v>
      </c>
      <c r="J944" t="s">
        <v>712</v>
      </c>
      <c r="K944" t="s">
        <v>713</v>
      </c>
      <c r="L944" t="s">
        <v>711</v>
      </c>
      <c r="M944" s="30">
        <v>4.22</v>
      </c>
      <c r="N944">
        <v>4</v>
      </c>
      <c r="P944" s="24" t="str">
        <f>IFERROR(MID(RADataTable[[#This Row],[RATemplate]],1,LEN(RADataTable[[#This Row],[RATemplate]])-8),"RA") &amp; " " &amp; RADataTable[[#This Row],[prop_id0]] &amp; " " &amp; RADataTable[[#This Row],[last0]]</f>
        <v>RA 1750076 Schroeder</v>
      </c>
      <c r="T944">
        <v>4</v>
      </c>
      <c r="U944">
        <v>4</v>
      </c>
      <c r="V944" s="34">
        <v>43031.584027777775</v>
      </c>
      <c r="W944">
        <v>1</v>
      </c>
      <c r="X944" s="15" t="str">
        <f>HYPERLINK("https://www.ejacket.nsf.gov/ej/showProposal.do?Continue=Y&amp;ID="&amp;RADataTable[[#This Row],[prop_id0]],"eJ")</f>
        <v>eJ</v>
      </c>
      <c r="Y944" s="15" t="str">
        <f>HYPERLINK("mailto:"&amp;RADataTable[[#This Row],[email]]&amp;"&amp;subject=Your NSF Proposal:  "&amp;RADataTable[[#This Row],[Div]]&amp;" "&amp;RADataTable[[#This Row],[prop_id0]], RADataTable[[#This Row],[email]])</f>
        <v>craig@ucr.edu</v>
      </c>
      <c r="Z944" s="15" t="str">
        <f>HYPERLINK("mailto:"&amp;RADataTable[[#This Row],[allPIemail]]&amp;"&amp;subject=NSF Proposal:  "&amp;RADataTable[[#This Row],[Div]]&amp;" "&amp;RADataTable[[#This Row],[prop_id0]], "PIs@")</f>
        <v>PIs@</v>
      </c>
      <c r="AA944" t="s">
        <v>245</v>
      </c>
      <c r="AB944" t="s">
        <v>671</v>
      </c>
      <c r="AC944" s="30" t="s">
        <v>776</v>
      </c>
      <c r="AD944" t="s">
        <v>777</v>
      </c>
      <c r="AE944" t="s">
        <v>778</v>
      </c>
      <c r="AF944" s="36">
        <v>440331</v>
      </c>
      <c r="AG944" s="36">
        <v>440331</v>
      </c>
      <c r="AH944" s="24"/>
      <c r="AJ944" s="34"/>
      <c r="AK944" t="s">
        <v>923</v>
      </c>
      <c r="AL944" t="s">
        <v>924</v>
      </c>
      <c r="AM944" s="34" t="s">
        <v>925</v>
      </c>
      <c r="AN944" s="34">
        <v>43032</v>
      </c>
      <c r="AO944" s="24">
        <v>22</v>
      </c>
      <c r="AP944" t="s">
        <v>951</v>
      </c>
      <c r="AR944" s="35"/>
      <c r="AS944"/>
      <c r="AT944" s="34"/>
      <c r="AV944" s="34"/>
      <c r="AX944" s="34"/>
      <c r="AY944"/>
      <c r="BA944" s="34"/>
      <c r="BB944"/>
      <c r="BC944" t="s">
        <v>782</v>
      </c>
      <c r="BD944" s="36">
        <v>440331</v>
      </c>
      <c r="BE944" s="36">
        <v>440331</v>
      </c>
      <c r="BF944">
        <v>0</v>
      </c>
      <c r="BG944" s="34">
        <v>43101</v>
      </c>
      <c r="BH944">
        <v>60</v>
      </c>
      <c r="BI944" t="s">
        <v>283</v>
      </c>
      <c r="BJ944" t="s">
        <v>928</v>
      </c>
      <c r="BK944" t="s">
        <v>234</v>
      </c>
      <c r="BL944" t="s">
        <v>194</v>
      </c>
      <c r="BM944" s="8" t="s">
        <v>192</v>
      </c>
      <c r="BN944" t="s">
        <v>189</v>
      </c>
      <c r="BO944" t="s">
        <v>190</v>
      </c>
      <c r="BP944" s="35" t="s">
        <v>780</v>
      </c>
      <c r="BQ944"/>
      <c r="BU944" s="35"/>
      <c r="BV944" s="35"/>
      <c r="BX944"/>
      <c r="CA944" s="35"/>
      <c r="CB944" s="35"/>
      <c r="CC944"/>
      <c r="CG944" s="35"/>
      <c r="CH944" s="35"/>
      <c r="CK944"/>
      <c r="CM944" s="35"/>
      <c r="CN944" s="35"/>
      <c r="CQ944"/>
      <c r="CS944" s="35"/>
      <c r="CT944" s="35"/>
      <c r="CX944"/>
      <c r="CZ944" s="35"/>
      <c r="DD944" s="34"/>
      <c r="DG944" t="s">
        <v>779</v>
      </c>
      <c r="DH944" t="s">
        <v>952</v>
      </c>
      <c r="DI944" t="s">
        <v>798</v>
      </c>
      <c r="DL944" t="s">
        <v>671</v>
      </c>
      <c r="DM944">
        <v>3</v>
      </c>
      <c r="DN944">
        <v>7</v>
      </c>
      <c r="DO944" t="s">
        <v>781</v>
      </c>
      <c r="DQ944" t="s">
        <v>927</v>
      </c>
      <c r="DR944">
        <v>14</v>
      </c>
      <c r="DS944">
        <v>0</v>
      </c>
      <c r="DU944">
        <v>14</v>
      </c>
      <c r="DV944">
        <v>0</v>
      </c>
      <c r="DX944">
        <v>14</v>
      </c>
      <c r="DY944">
        <v>0</v>
      </c>
      <c r="DZ944" t="s">
        <v>246</v>
      </c>
      <c r="EA944" t="s">
        <v>929</v>
      </c>
    </row>
    <row r="945" spans="1:131" x14ac:dyDescent="0.4">
      <c r="A945" s="34">
        <v>43067.305104166669</v>
      </c>
      <c r="B945" s="25">
        <v>42934.808333333334</v>
      </c>
      <c r="D945" s="34"/>
      <c r="E945" s="34" t="s">
        <v>193</v>
      </c>
      <c r="F945" s="34" t="s">
        <v>191</v>
      </c>
      <c r="G945" s="34" t="s">
        <v>100</v>
      </c>
      <c r="H945" t="s">
        <v>279</v>
      </c>
      <c r="I945" t="s">
        <v>243</v>
      </c>
      <c r="J945" t="s">
        <v>712</v>
      </c>
      <c r="K945" t="s">
        <v>713</v>
      </c>
      <c r="L945" t="s">
        <v>711</v>
      </c>
      <c r="M945" s="30">
        <v>4.22</v>
      </c>
      <c r="N945">
        <v>4</v>
      </c>
      <c r="P945" s="24" t="str">
        <f>IFERROR(MID(RADataTable[[#This Row],[RATemplate]],1,LEN(RADataTable[[#This Row],[RATemplate]])-8),"RA") &amp; " " &amp; RADataTable[[#This Row],[prop_id0]] &amp; " " &amp; RADataTable[[#This Row],[last0]]</f>
        <v>RA 1750076 Schroeder</v>
      </c>
      <c r="T945">
        <v>4</v>
      </c>
      <c r="U945">
        <v>4</v>
      </c>
      <c r="V945" s="34">
        <v>43031.584027777775</v>
      </c>
      <c r="W945">
        <v>1</v>
      </c>
      <c r="X945" s="15" t="str">
        <f>HYPERLINK("https://www.ejacket.nsf.gov/ej/showProposal.do?Continue=Y&amp;ID="&amp;RADataTable[[#This Row],[prop_id0]],"eJ")</f>
        <v>eJ</v>
      </c>
      <c r="Y945" s="15" t="str">
        <f>HYPERLINK("mailto:"&amp;RADataTable[[#This Row],[email]]&amp;"&amp;subject=Your NSF Proposal:  "&amp;RADataTable[[#This Row],[Div]]&amp;" "&amp;RADataTable[[#This Row],[prop_id0]], RADataTable[[#This Row],[email]])</f>
        <v>craig@ucr.edu</v>
      </c>
      <c r="Z945" s="15" t="str">
        <f>HYPERLINK("mailto:"&amp;RADataTable[[#This Row],[allPIemail]]&amp;"&amp;subject=NSF Proposal:  "&amp;RADataTable[[#This Row],[Div]]&amp;" "&amp;RADataTable[[#This Row],[prop_id0]], "PIs@")</f>
        <v>PIs@</v>
      </c>
      <c r="AA945" t="s">
        <v>245</v>
      </c>
      <c r="AB945" t="s">
        <v>671</v>
      </c>
      <c r="AC945" s="30" t="s">
        <v>776</v>
      </c>
      <c r="AD945" t="s">
        <v>777</v>
      </c>
      <c r="AE945" t="s">
        <v>778</v>
      </c>
      <c r="AF945" s="36">
        <v>440331</v>
      </c>
      <c r="AG945" s="36">
        <v>440331</v>
      </c>
      <c r="AH945" s="24"/>
      <c r="AJ945" s="34"/>
      <c r="AK945" t="s">
        <v>923</v>
      </c>
      <c r="AL945" t="s">
        <v>924</v>
      </c>
      <c r="AM945" s="34" t="s">
        <v>925</v>
      </c>
      <c r="AN945" s="34">
        <v>43032</v>
      </c>
      <c r="AO945" s="24">
        <v>22</v>
      </c>
      <c r="AP945" t="s">
        <v>951</v>
      </c>
      <c r="AR945" s="35"/>
      <c r="AS945"/>
      <c r="AT945" s="34"/>
      <c r="AV945" s="34"/>
      <c r="AX945" s="34"/>
      <c r="AY945"/>
      <c r="BA945" s="34"/>
      <c r="BB945"/>
      <c r="BC945" t="s">
        <v>782</v>
      </c>
      <c r="BD945" s="36">
        <v>440331</v>
      </c>
      <c r="BE945" s="36">
        <v>440331</v>
      </c>
      <c r="BF945">
        <v>0</v>
      </c>
      <c r="BG945" s="34">
        <v>43101</v>
      </c>
      <c r="BH945">
        <v>60</v>
      </c>
      <c r="BI945" t="s">
        <v>283</v>
      </c>
      <c r="BJ945" t="s">
        <v>928</v>
      </c>
      <c r="BK945" t="s">
        <v>234</v>
      </c>
      <c r="BL945" t="s">
        <v>194</v>
      </c>
      <c r="BM945" s="8" t="s">
        <v>192</v>
      </c>
      <c r="BN945" t="s">
        <v>189</v>
      </c>
      <c r="BO945" t="s">
        <v>190</v>
      </c>
      <c r="BP945" s="35" t="s">
        <v>780</v>
      </c>
      <c r="BQ945"/>
      <c r="BU945" s="35"/>
      <c r="BV945" s="35"/>
      <c r="BX945"/>
      <c r="CA945" s="35"/>
      <c r="CB945" s="35"/>
      <c r="CC945"/>
      <c r="CG945" s="35"/>
      <c r="CH945" s="35"/>
      <c r="CK945"/>
      <c r="CM945" s="35"/>
      <c r="CN945" s="35"/>
      <c r="CQ945"/>
      <c r="CS945" s="35"/>
      <c r="CT945" s="35"/>
      <c r="CX945"/>
      <c r="CZ945" s="35"/>
      <c r="DD945" s="34"/>
      <c r="DG945" t="s">
        <v>779</v>
      </c>
      <c r="DH945" t="s">
        <v>952</v>
      </c>
      <c r="DI945" t="s">
        <v>798</v>
      </c>
      <c r="DL945" t="s">
        <v>671</v>
      </c>
      <c r="DM945">
        <v>3</v>
      </c>
      <c r="DN945">
        <v>7</v>
      </c>
      <c r="DO945" t="s">
        <v>781</v>
      </c>
      <c r="DQ945" t="s">
        <v>927</v>
      </c>
      <c r="DR945">
        <v>14</v>
      </c>
      <c r="DS945">
        <v>0</v>
      </c>
      <c r="DU945">
        <v>14</v>
      </c>
      <c r="DV945">
        <v>0</v>
      </c>
      <c r="DX945">
        <v>14</v>
      </c>
      <c r="DY945">
        <v>0</v>
      </c>
      <c r="DZ945" t="s">
        <v>246</v>
      </c>
      <c r="EA945" t="s">
        <v>929</v>
      </c>
    </row>
    <row r="946" spans="1:131" x14ac:dyDescent="0.4">
      <c r="A946" s="34">
        <v>43067.305104166669</v>
      </c>
      <c r="B946" s="25">
        <v>42934.808333333334</v>
      </c>
      <c r="D946" s="34"/>
      <c r="E946" s="34" t="s">
        <v>193</v>
      </c>
      <c r="F946" s="34" t="s">
        <v>191</v>
      </c>
      <c r="G946" s="34" t="s">
        <v>100</v>
      </c>
      <c r="H946" t="s">
        <v>279</v>
      </c>
      <c r="I946" t="s">
        <v>243</v>
      </c>
      <c r="J946" t="s">
        <v>712</v>
      </c>
      <c r="K946" t="s">
        <v>713</v>
      </c>
      <c r="L946" t="s">
        <v>711</v>
      </c>
      <c r="M946" s="30">
        <v>4.22</v>
      </c>
      <c r="N946">
        <v>4</v>
      </c>
      <c r="P946" s="24" t="str">
        <f>IFERROR(MID(RADataTable[[#This Row],[RATemplate]],1,LEN(RADataTable[[#This Row],[RATemplate]])-8),"RA") &amp; " " &amp; RADataTable[[#This Row],[prop_id0]] &amp; " " &amp; RADataTable[[#This Row],[last0]]</f>
        <v>RA 1750076 Schroeder</v>
      </c>
      <c r="T946">
        <v>4</v>
      </c>
      <c r="U946">
        <v>4</v>
      </c>
      <c r="V946" s="34">
        <v>43031.584027777775</v>
      </c>
      <c r="W946">
        <v>1</v>
      </c>
      <c r="X946" s="15" t="str">
        <f>HYPERLINK("https://www.ejacket.nsf.gov/ej/showProposal.do?Continue=Y&amp;ID="&amp;RADataTable[[#This Row],[prop_id0]],"eJ")</f>
        <v>eJ</v>
      </c>
      <c r="Y946" s="15" t="str">
        <f>HYPERLINK("mailto:"&amp;RADataTable[[#This Row],[email]]&amp;"&amp;subject=Your NSF Proposal:  "&amp;RADataTable[[#This Row],[Div]]&amp;" "&amp;RADataTable[[#This Row],[prop_id0]], RADataTable[[#This Row],[email]])</f>
        <v>craig@ucr.edu</v>
      </c>
      <c r="Z946" s="15" t="str">
        <f>HYPERLINK("mailto:"&amp;RADataTable[[#This Row],[allPIemail]]&amp;"&amp;subject=NSF Proposal:  "&amp;RADataTable[[#This Row],[Div]]&amp;" "&amp;RADataTable[[#This Row],[prop_id0]], "PIs@")</f>
        <v>PIs@</v>
      </c>
      <c r="AA946" t="s">
        <v>245</v>
      </c>
      <c r="AB946" t="s">
        <v>671</v>
      </c>
      <c r="AC946" s="30" t="s">
        <v>776</v>
      </c>
      <c r="AD946" t="s">
        <v>777</v>
      </c>
      <c r="AE946" t="s">
        <v>778</v>
      </c>
      <c r="AF946" s="36">
        <v>440331</v>
      </c>
      <c r="AG946" s="36">
        <v>440331</v>
      </c>
      <c r="AH946" s="24"/>
      <c r="AJ946" s="34"/>
      <c r="AK946" t="s">
        <v>923</v>
      </c>
      <c r="AL946" t="s">
        <v>924</v>
      </c>
      <c r="AM946" s="34" t="s">
        <v>925</v>
      </c>
      <c r="AN946" s="34">
        <v>43032</v>
      </c>
      <c r="AO946" s="24">
        <v>22</v>
      </c>
      <c r="AP946" t="s">
        <v>951</v>
      </c>
      <c r="AR946" s="35"/>
      <c r="AS946"/>
      <c r="AT946" s="34"/>
      <c r="AV946" s="34"/>
      <c r="AX946" s="34"/>
      <c r="AY946"/>
      <c r="BA946" s="34"/>
      <c r="BB946"/>
      <c r="BC946" t="s">
        <v>782</v>
      </c>
      <c r="BD946" s="36">
        <v>440331</v>
      </c>
      <c r="BE946" s="36">
        <v>440331</v>
      </c>
      <c r="BF946">
        <v>0</v>
      </c>
      <c r="BG946" s="34">
        <v>43101</v>
      </c>
      <c r="BH946">
        <v>60</v>
      </c>
      <c r="BI946" t="s">
        <v>283</v>
      </c>
      <c r="BJ946" t="s">
        <v>928</v>
      </c>
      <c r="BK946" t="s">
        <v>234</v>
      </c>
      <c r="BL946" t="s">
        <v>194</v>
      </c>
      <c r="BM946" s="8" t="s">
        <v>192</v>
      </c>
      <c r="BN946" t="s">
        <v>189</v>
      </c>
      <c r="BO946" t="s">
        <v>190</v>
      </c>
      <c r="BP946" s="35" t="s">
        <v>780</v>
      </c>
      <c r="BQ946"/>
      <c r="BU946" s="35"/>
      <c r="BV946" s="35"/>
      <c r="BX946"/>
      <c r="CA946" s="35"/>
      <c r="CB946" s="35"/>
      <c r="CC946"/>
      <c r="CG946" s="35"/>
      <c r="CH946" s="35"/>
      <c r="CK946"/>
      <c r="CM946" s="35"/>
      <c r="CN946" s="35"/>
      <c r="CQ946"/>
      <c r="CS946" s="35"/>
      <c r="CT946" s="35"/>
      <c r="CX946"/>
      <c r="CZ946" s="35"/>
      <c r="DD946" s="34"/>
      <c r="DG946" t="s">
        <v>779</v>
      </c>
      <c r="DH946" t="s">
        <v>952</v>
      </c>
      <c r="DI946" t="s">
        <v>798</v>
      </c>
      <c r="DL946" t="s">
        <v>671</v>
      </c>
      <c r="DM946">
        <v>3</v>
      </c>
      <c r="DN946">
        <v>7</v>
      </c>
      <c r="DO946" t="s">
        <v>781</v>
      </c>
      <c r="DQ946" t="s">
        <v>927</v>
      </c>
      <c r="DR946">
        <v>14</v>
      </c>
      <c r="DS946">
        <v>0</v>
      </c>
      <c r="DU946">
        <v>14</v>
      </c>
      <c r="DV946">
        <v>0</v>
      </c>
      <c r="DX946">
        <v>14</v>
      </c>
      <c r="DY946">
        <v>0</v>
      </c>
      <c r="DZ946" t="s">
        <v>246</v>
      </c>
      <c r="EA946" t="s">
        <v>929</v>
      </c>
    </row>
    <row r="947" spans="1:131" x14ac:dyDescent="0.4">
      <c r="A947" s="34">
        <v>43067.305104166669</v>
      </c>
      <c r="B947" s="25">
        <v>42934.808333333334</v>
      </c>
      <c r="D947" s="34"/>
      <c r="E947" s="34" t="s">
        <v>193</v>
      </c>
      <c r="F947" s="34" t="s">
        <v>191</v>
      </c>
      <c r="G947" s="34" t="s">
        <v>100</v>
      </c>
      <c r="H947" t="s">
        <v>279</v>
      </c>
      <c r="I947" t="s">
        <v>243</v>
      </c>
      <c r="J947" t="s">
        <v>712</v>
      </c>
      <c r="K947" t="s">
        <v>713</v>
      </c>
      <c r="L947" t="s">
        <v>711</v>
      </c>
      <c r="M947" s="30">
        <v>4.22</v>
      </c>
      <c r="N947">
        <v>4</v>
      </c>
      <c r="P947" s="24" t="str">
        <f>IFERROR(MID(RADataTable[[#This Row],[RATemplate]],1,LEN(RADataTable[[#This Row],[RATemplate]])-8),"RA") &amp; " " &amp; RADataTable[[#This Row],[prop_id0]] &amp; " " &amp; RADataTable[[#This Row],[last0]]</f>
        <v>RA 1750076 Schroeder</v>
      </c>
      <c r="T947">
        <v>4</v>
      </c>
      <c r="U947">
        <v>4</v>
      </c>
      <c r="V947" s="34">
        <v>43031.584027777775</v>
      </c>
      <c r="W947">
        <v>1</v>
      </c>
      <c r="X947" s="15" t="str">
        <f>HYPERLINK("https://www.ejacket.nsf.gov/ej/showProposal.do?Continue=Y&amp;ID="&amp;RADataTable[[#This Row],[prop_id0]],"eJ")</f>
        <v>eJ</v>
      </c>
      <c r="Y947" s="15" t="str">
        <f>HYPERLINK("mailto:"&amp;RADataTable[[#This Row],[email]]&amp;"&amp;subject=Your NSF Proposal:  "&amp;RADataTable[[#This Row],[Div]]&amp;" "&amp;RADataTable[[#This Row],[prop_id0]], RADataTable[[#This Row],[email]])</f>
        <v>craig@ucr.edu</v>
      </c>
      <c r="Z947" s="15" t="str">
        <f>HYPERLINK("mailto:"&amp;RADataTable[[#This Row],[allPIemail]]&amp;"&amp;subject=NSF Proposal:  "&amp;RADataTable[[#This Row],[Div]]&amp;" "&amp;RADataTable[[#This Row],[prop_id0]], "PIs@")</f>
        <v>PIs@</v>
      </c>
      <c r="AA947" t="s">
        <v>245</v>
      </c>
      <c r="AB947" t="s">
        <v>671</v>
      </c>
      <c r="AC947" s="30" t="s">
        <v>776</v>
      </c>
      <c r="AD947" t="s">
        <v>777</v>
      </c>
      <c r="AE947" t="s">
        <v>778</v>
      </c>
      <c r="AF947" s="36">
        <v>440331</v>
      </c>
      <c r="AG947" s="36">
        <v>440331</v>
      </c>
      <c r="AH947" s="24"/>
      <c r="AJ947" s="34"/>
      <c r="AK947" t="s">
        <v>923</v>
      </c>
      <c r="AL947" t="s">
        <v>924</v>
      </c>
      <c r="AM947" s="34" t="s">
        <v>925</v>
      </c>
      <c r="AN947" s="34">
        <v>43032</v>
      </c>
      <c r="AO947" s="24">
        <v>22</v>
      </c>
      <c r="AP947" t="s">
        <v>951</v>
      </c>
      <c r="AR947" s="35"/>
      <c r="AS947"/>
      <c r="AT947" s="34"/>
      <c r="AV947" s="34"/>
      <c r="AX947" s="34"/>
      <c r="AY947"/>
      <c r="BA947" s="34"/>
      <c r="BB947"/>
      <c r="BC947" t="s">
        <v>782</v>
      </c>
      <c r="BD947" s="36">
        <v>440331</v>
      </c>
      <c r="BE947" s="36">
        <v>440331</v>
      </c>
      <c r="BF947">
        <v>0</v>
      </c>
      <c r="BG947" s="34">
        <v>43101</v>
      </c>
      <c r="BH947">
        <v>60</v>
      </c>
      <c r="BI947" t="s">
        <v>283</v>
      </c>
      <c r="BJ947" t="s">
        <v>928</v>
      </c>
      <c r="BK947" t="s">
        <v>234</v>
      </c>
      <c r="BL947" t="s">
        <v>194</v>
      </c>
      <c r="BM947" s="8" t="s">
        <v>192</v>
      </c>
      <c r="BN947" t="s">
        <v>189</v>
      </c>
      <c r="BO947" t="s">
        <v>190</v>
      </c>
      <c r="BP947" s="35" t="s">
        <v>780</v>
      </c>
      <c r="BQ947"/>
      <c r="BU947" s="35"/>
      <c r="BV947" s="35"/>
      <c r="BX947"/>
      <c r="CA947" s="35"/>
      <c r="CB947" s="35"/>
      <c r="CC947"/>
      <c r="CG947" s="35"/>
      <c r="CH947" s="35"/>
      <c r="CK947"/>
      <c r="CM947" s="35"/>
      <c r="CN947" s="35"/>
      <c r="CQ947"/>
      <c r="CS947" s="35"/>
      <c r="CT947" s="35"/>
      <c r="CX947"/>
      <c r="CZ947" s="35"/>
      <c r="DD947" s="34"/>
      <c r="DG947" t="s">
        <v>779</v>
      </c>
      <c r="DH947" t="s">
        <v>952</v>
      </c>
      <c r="DI947" t="s">
        <v>798</v>
      </c>
      <c r="DL947" t="s">
        <v>671</v>
      </c>
      <c r="DM947">
        <v>3</v>
      </c>
      <c r="DN947">
        <v>7</v>
      </c>
      <c r="DO947" t="s">
        <v>781</v>
      </c>
      <c r="DQ947" t="s">
        <v>927</v>
      </c>
      <c r="DR947">
        <v>14</v>
      </c>
      <c r="DS947">
        <v>0</v>
      </c>
      <c r="DU947">
        <v>14</v>
      </c>
      <c r="DV947">
        <v>0</v>
      </c>
      <c r="DX947">
        <v>14</v>
      </c>
      <c r="DY947">
        <v>0</v>
      </c>
      <c r="DZ947" t="s">
        <v>246</v>
      </c>
      <c r="EA947" t="s">
        <v>929</v>
      </c>
    </row>
    <row r="948" spans="1:131" x14ac:dyDescent="0.4">
      <c r="A948" s="34">
        <v>43067.305104166669</v>
      </c>
      <c r="B948" s="25">
        <v>42934.808333333334</v>
      </c>
      <c r="D948" s="34"/>
      <c r="E948" s="34" t="s">
        <v>193</v>
      </c>
      <c r="F948" s="34" t="s">
        <v>191</v>
      </c>
      <c r="G948" s="34" t="s">
        <v>100</v>
      </c>
      <c r="H948" t="s">
        <v>279</v>
      </c>
      <c r="I948" t="s">
        <v>243</v>
      </c>
      <c r="J948" t="s">
        <v>712</v>
      </c>
      <c r="K948" t="s">
        <v>713</v>
      </c>
      <c r="L948" t="s">
        <v>711</v>
      </c>
      <c r="M948" s="30">
        <v>4.22</v>
      </c>
      <c r="N948">
        <v>4</v>
      </c>
      <c r="P948" s="24" t="str">
        <f>IFERROR(MID(RADataTable[[#This Row],[RATemplate]],1,LEN(RADataTable[[#This Row],[RATemplate]])-8),"RA") &amp; " " &amp; RADataTable[[#This Row],[prop_id0]] &amp; " " &amp; RADataTable[[#This Row],[last0]]</f>
        <v>RA 1750076 Schroeder</v>
      </c>
      <c r="T948">
        <v>4</v>
      </c>
      <c r="U948">
        <v>4</v>
      </c>
      <c r="V948" s="34">
        <v>43031.584027777775</v>
      </c>
      <c r="W948">
        <v>1</v>
      </c>
      <c r="X948" s="15" t="str">
        <f>HYPERLINK("https://www.ejacket.nsf.gov/ej/showProposal.do?Continue=Y&amp;ID="&amp;RADataTable[[#This Row],[prop_id0]],"eJ")</f>
        <v>eJ</v>
      </c>
      <c r="Y948" s="15" t="str">
        <f>HYPERLINK("mailto:"&amp;RADataTable[[#This Row],[email]]&amp;"&amp;subject=Your NSF Proposal:  "&amp;RADataTable[[#This Row],[Div]]&amp;" "&amp;RADataTable[[#This Row],[prop_id0]], RADataTable[[#This Row],[email]])</f>
        <v>craig@ucr.edu</v>
      </c>
      <c r="Z948" s="15" t="str">
        <f>HYPERLINK("mailto:"&amp;RADataTable[[#This Row],[allPIemail]]&amp;"&amp;subject=NSF Proposal:  "&amp;RADataTable[[#This Row],[Div]]&amp;" "&amp;RADataTable[[#This Row],[prop_id0]], "PIs@")</f>
        <v>PIs@</v>
      </c>
      <c r="AA948" t="s">
        <v>245</v>
      </c>
      <c r="AB948" t="s">
        <v>671</v>
      </c>
      <c r="AC948" s="30" t="s">
        <v>776</v>
      </c>
      <c r="AD948" t="s">
        <v>777</v>
      </c>
      <c r="AE948" t="s">
        <v>778</v>
      </c>
      <c r="AF948" s="36">
        <v>440331</v>
      </c>
      <c r="AG948" s="36">
        <v>440331</v>
      </c>
      <c r="AH948" s="24"/>
      <c r="AJ948" s="34"/>
      <c r="AK948" t="s">
        <v>923</v>
      </c>
      <c r="AL948" t="s">
        <v>924</v>
      </c>
      <c r="AM948" s="34" t="s">
        <v>925</v>
      </c>
      <c r="AN948" s="34">
        <v>43032</v>
      </c>
      <c r="AO948" s="24">
        <v>22</v>
      </c>
      <c r="AP948" t="s">
        <v>951</v>
      </c>
      <c r="AR948" s="35"/>
      <c r="AS948"/>
      <c r="AT948" s="34"/>
      <c r="AV948" s="34"/>
      <c r="AX948" s="34"/>
      <c r="AY948"/>
      <c r="BA948" s="34"/>
      <c r="BB948"/>
      <c r="BC948" t="s">
        <v>782</v>
      </c>
      <c r="BD948" s="36">
        <v>440331</v>
      </c>
      <c r="BE948" s="36">
        <v>440331</v>
      </c>
      <c r="BF948">
        <v>0</v>
      </c>
      <c r="BG948" s="34">
        <v>43101</v>
      </c>
      <c r="BH948">
        <v>60</v>
      </c>
      <c r="BI948" t="s">
        <v>283</v>
      </c>
      <c r="BJ948" t="s">
        <v>928</v>
      </c>
      <c r="BK948" t="s">
        <v>234</v>
      </c>
      <c r="BL948" t="s">
        <v>194</v>
      </c>
      <c r="BM948" s="8" t="s">
        <v>192</v>
      </c>
      <c r="BN948" t="s">
        <v>189</v>
      </c>
      <c r="BO948" t="s">
        <v>190</v>
      </c>
      <c r="BP948" s="35" t="s">
        <v>780</v>
      </c>
      <c r="BQ948"/>
      <c r="BU948" s="35"/>
      <c r="BV948" s="35"/>
      <c r="BX948"/>
      <c r="CA948" s="35"/>
      <c r="CB948" s="35"/>
      <c r="CC948"/>
      <c r="CG948" s="35"/>
      <c r="CH948" s="35"/>
      <c r="CK948"/>
      <c r="CM948" s="35"/>
      <c r="CN948" s="35"/>
      <c r="CQ948"/>
      <c r="CS948" s="35"/>
      <c r="CT948" s="35"/>
      <c r="CX948"/>
      <c r="CZ948" s="35"/>
      <c r="DD948" s="34"/>
      <c r="DG948" t="s">
        <v>779</v>
      </c>
      <c r="DH948" t="s">
        <v>952</v>
      </c>
      <c r="DI948" t="s">
        <v>798</v>
      </c>
      <c r="DL948" t="s">
        <v>671</v>
      </c>
      <c r="DM948">
        <v>3</v>
      </c>
      <c r="DN948">
        <v>7</v>
      </c>
      <c r="DO948" t="s">
        <v>781</v>
      </c>
      <c r="DQ948" t="s">
        <v>927</v>
      </c>
      <c r="DR948">
        <v>14</v>
      </c>
      <c r="DS948">
        <v>0</v>
      </c>
      <c r="DU948">
        <v>14</v>
      </c>
      <c r="DV948">
        <v>0</v>
      </c>
      <c r="DX948">
        <v>14</v>
      </c>
      <c r="DY948">
        <v>0</v>
      </c>
      <c r="DZ948" t="s">
        <v>246</v>
      </c>
      <c r="EA948" t="s">
        <v>929</v>
      </c>
    </row>
    <row r="949" spans="1:131" x14ac:dyDescent="0.4">
      <c r="A949" s="34">
        <v>43067.305104166669</v>
      </c>
      <c r="B949" s="25">
        <v>42934.808333333334</v>
      </c>
      <c r="D949" s="34"/>
      <c r="E949" s="34" t="s">
        <v>193</v>
      </c>
      <c r="F949" s="34" t="s">
        <v>191</v>
      </c>
      <c r="G949" s="34" t="s">
        <v>100</v>
      </c>
      <c r="H949" t="s">
        <v>279</v>
      </c>
      <c r="I949" t="s">
        <v>243</v>
      </c>
      <c r="J949" t="s">
        <v>712</v>
      </c>
      <c r="K949" t="s">
        <v>713</v>
      </c>
      <c r="L949" t="s">
        <v>711</v>
      </c>
      <c r="M949" s="30">
        <v>4.22</v>
      </c>
      <c r="N949">
        <v>4</v>
      </c>
      <c r="P949" s="24" t="str">
        <f>IFERROR(MID(RADataTable[[#This Row],[RATemplate]],1,LEN(RADataTable[[#This Row],[RATemplate]])-8),"RA") &amp; " " &amp; RADataTable[[#This Row],[prop_id0]] &amp; " " &amp; RADataTable[[#This Row],[last0]]</f>
        <v>RA 1750076 Schroeder</v>
      </c>
      <c r="T949">
        <v>4</v>
      </c>
      <c r="U949">
        <v>4</v>
      </c>
      <c r="V949" s="34">
        <v>43031.584027777775</v>
      </c>
      <c r="W949">
        <v>1</v>
      </c>
      <c r="X949" s="15" t="str">
        <f>HYPERLINK("https://www.ejacket.nsf.gov/ej/showProposal.do?Continue=Y&amp;ID="&amp;RADataTable[[#This Row],[prop_id0]],"eJ")</f>
        <v>eJ</v>
      </c>
      <c r="Y949" s="15" t="str">
        <f>HYPERLINK("mailto:"&amp;RADataTable[[#This Row],[email]]&amp;"&amp;subject=Your NSF Proposal:  "&amp;RADataTable[[#This Row],[Div]]&amp;" "&amp;RADataTable[[#This Row],[prop_id0]], RADataTable[[#This Row],[email]])</f>
        <v>craig@ucr.edu</v>
      </c>
      <c r="Z949" s="15" t="str">
        <f>HYPERLINK("mailto:"&amp;RADataTable[[#This Row],[allPIemail]]&amp;"&amp;subject=NSF Proposal:  "&amp;RADataTable[[#This Row],[Div]]&amp;" "&amp;RADataTable[[#This Row],[prop_id0]], "PIs@")</f>
        <v>PIs@</v>
      </c>
      <c r="AA949" t="s">
        <v>245</v>
      </c>
      <c r="AB949" t="s">
        <v>671</v>
      </c>
      <c r="AC949" s="30" t="s">
        <v>776</v>
      </c>
      <c r="AD949" t="s">
        <v>777</v>
      </c>
      <c r="AE949" t="s">
        <v>778</v>
      </c>
      <c r="AF949" s="36">
        <v>440331</v>
      </c>
      <c r="AG949" s="36">
        <v>440331</v>
      </c>
      <c r="AH949" s="24"/>
      <c r="AJ949" s="34"/>
      <c r="AK949" t="s">
        <v>923</v>
      </c>
      <c r="AL949" t="s">
        <v>924</v>
      </c>
      <c r="AM949" s="34" t="s">
        <v>925</v>
      </c>
      <c r="AN949" s="34">
        <v>43032</v>
      </c>
      <c r="AO949" s="24">
        <v>22</v>
      </c>
      <c r="AP949" t="s">
        <v>951</v>
      </c>
      <c r="AR949" s="35"/>
      <c r="AS949"/>
      <c r="AT949" s="34"/>
      <c r="AV949" s="34"/>
      <c r="AX949" s="34"/>
      <c r="AY949"/>
      <c r="BA949" s="34"/>
      <c r="BB949"/>
      <c r="BC949" t="s">
        <v>782</v>
      </c>
      <c r="BD949" s="36">
        <v>440331</v>
      </c>
      <c r="BE949" s="36">
        <v>440331</v>
      </c>
      <c r="BF949">
        <v>0</v>
      </c>
      <c r="BG949" s="34">
        <v>43101</v>
      </c>
      <c r="BH949">
        <v>60</v>
      </c>
      <c r="BI949" t="s">
        <v>283</v>
      </c>
      <c r="BJ949" t="s">
        <v>928</v>
      </c>
      <c r="BK949" t="s">
        <v>234</v>
      </c>
      <c r="BL949" t="s">
        <v>194</v>
      </c>
      <c r="BM949" s="8" t="s">
        <v>192</v>
      </c>
      <c r="BN949" t="s">
        <v>189</v>
      </c>
      <c r="BO949" t="s">
        <v>190</v>
      </c>
      <c r="BP949" s="35" t="s">
        <v>780</v>
      </c>
      <c r="BQ949"/>
      <c r="BU949" s="35"/>
      <c r="BV949" s="35"/>
      <c r="BX949"/>
      <c r="CA949" s="35"/>
      <c r="CB949" s="35"/>
      <c r="CC949"/>
      <c r="CG949" s="35"/>
      <c r="CH949" s="35"/>
      <c r="CK949"/>
      <c r="CM949" s="35"/>
      <c r="CN949" s="35"/>
      <c r="CQ949"/>
      <c r="CS949" s="35"/>
      <c r="CT949" s="35"/>
      <c r="CX949"/>
      <c r="CZ949" s="35"/>
      <c r="DD949" s="34"/>
      <c r="DG949" t="s">
        <v>779</v>
      </c>
      <c r="DH949" t="s">
        <v>952</v>
      </c>
      <c r="DI949" t="s">
        <v>798</v>
      </c>
      <c r="DL949" t="s">
        <v>671</v>
      </c>
      <c r="DM949">
        <v>3</v>
      </c>
      <c r="DN949">
        <v>7</v>
      </c>
      <c r="DO949" t="s">
        <v>781</v>
      </c>
      <c r="DQ949" t="s">
        <v>927</v>
      </c>
      <c r="DR949">
        <v>14</v>
      </c>
      <c r="DS949">
        <v>0</v>
      </c>
      <c r="DU949">
        <v>14</v>
      </c>
      <c r="DV949">
        <v>0</v>
      </c>
      <c r="DX949">
        <v>14</v>
      </c>
      <c r="DY949">
        <v>0</v>
      </c>
      <c r="DZ949" t="s">
        <v>246</v>
      </c>
      <c r="EA949" t="s">
        <v>929</v>
      </c>
    </row>
    <row r="950" spans="1:131" x14ac:dyDescent="0.4">
      <c r="A950" s="34">
        <v>43067.305104166669</v>
      </c>
      <c r="B950" s="25">
        <v>42934.808333333334</v>
      </c>
      <c r="D950" s="34"/>
      <c r="E950" s="34" t="s">
        <v>193</v>
      </c>
      <c r="F950" s="34" t="s">
        <v>191</v>
      </c>
      <c r="G950" s="34" t="s">
        <v>100</v>
      </c>
      <c r="H950" t="s">
        <v>279</v>
      </c>
      <c r="I950" t="s">
        <v>243</v>
      </c>
      <c r="J950" t="s">
        <v>712</v>
      </c>
      <c r="K950" t="s">
        <v>713</v>
      </c>
      <c r="L950" t="s">
        <v>711</v>
      </c>
      <c r="M950" s="30">
        <v>4.22</v>
      </c>
      <c r="N950">
        <v>4</v>
      </c>
      <c r="P950" s="24" t="str">
        <f>IFERROR(MID(RADataTable[[#This Row],[RATemplate]],1,LEN(RADataTable[[#This Row],[RATemplate]])-8),"RA") &amp; " " &amp; RADataTable[[#This Row],[prop_id0]] &amp; " " &amp; RADataTable[[#This Row],[last0]]</f>
        <v>RA 1750076 Schroeder</v>
      </c>
      <c r="T950">
        <v>4</v>
      </c>
      <c r="U950">
        <v>4</v>
      </c>
      <c r="V950" s="34">
        <v>43031.584027777775</v>
      </c>
      <c r="W950">
        <v>1</v>
      </c>
      <c r="X950" s="15" t="str">
        <f>HYPERLINK("https://www.ejacket.nsf.gov/ej/showProposal.do?Continue=Y&amp;ID="&amp;RADataTable[[#This Row],[prop_id0]],"eJ")</f>
        <v>eJ</v>
      </c>
      <c r="Y950" s="15" t="str">
        <f>HYPERLINK("mailto:"&amp;RADataTable[[#This Row],[email]]&amp;"&amp;subject=Your NSF Proposal:  "&amp;RADataTable[[#This Row],[Div]]&amp;" "&amp;RADataTable[[#This Row],[prop_id0]], RADataTable[[#This Row],[email]])</f>
        <v>craig@ucr.edu</v>
      </c>
      <c r="Z950" s="15" t="str">
        <f>HYPERLINK("mailto:"&amp;RADataTable[[#This Row],[allPIemail]]&amp;"&amp;subject=NSF Proposal:  "&amp;RADataTable[[#This Row],[Div]]&amp;" "&amp;RADataTable[[#This Row],[prop_id0]], "PIs@")</f>
        <v>PIs@</v>
      </c>
      <c r="AA950" t="s">
        <v>245</v>
      </c>
      <c r="AB950" t="s">
        <v>671</v>
      </c>
      <c r="AC950" s="30" t="s">
        <v>776</v>
      </c>
      <c r="AD950" t="s">
        <v>777</v>
      </c>
      <c r="AE950" t="s">
        <v>778</v>
      </c>
      <c r="AF950" s="36">
        <v>440331</v>
      </c>
      <c r="AG950" s="36">
        <v>440331</v>
      </c>
      <c r="AH950" s="24"/>
      <c r="AJ950" s="34"/>
      <c r="AK950" t="s">
        <v>923</v>
      </c>
      <c r="AL950" t="s">
        <v>924</v>
      </c>
      <c r="AM950" s="34" t="s">
        <v>925</v>
      </c>
      <c r="AN950" s="34">
        <v>43032</v>
      </c>
      <c r="AO950" s="24">
        <v>22</v>
      </c>
      <c r="AP950" t="s">
        <v>951</v>
      </c>
      <c r="AR950" s="35"/>
      <c r="AS950"/>
      <c r="AT950" s="34"/>
      <c r="AV950" s="34"/>
      <c r="AX950" s="34"/>
      <c r="AY950"/>
      <c r="BA950" s="34"/>
      <c r="BB950"/>
      <c r="BC950" t="s">
        <v>782</v>
      </c>
      <c r="BD950" s="36">
        <v>440331</v>
      </c>
      <c r="BE950" s="36">
        <v>440331</v>
      </c>
      <c r="BF950">
        <v>0</v>
      </c>
      <c r="BG950" s="34">
        <v>43101</v>
      </c>
      <c r="BH950">
        <v>60</v>
      </c>
      <c r="BI950" t="s">
        <v>283</v>
      </c>
      <c r="BJ950" t="s">
        <v>928</v>
      </c>
      <c r="BK950" t="s">
        <v>234</v>
      </c>
      <c r="BL950" t="s">
        <v>194</v>
      </c>
      <c r="BM950" s="8" t="s">
        <v>192</v>
      </c>
      <c r="BN950" t="s">
        <v>189</v>
      </c>
      <c r="BO950" t="s">
        <v>190</v>
      </c>
      <c r="BP950" s="35" t="s">
        <v>780</v>
      </c>
      <c r="BQ950"/>
      <c r="BU950" s="35"/>
      <c r="BV950" s="35"/>
      <c r="BX950"/>
      <c r="CA950" s="35"/>
      <c r="CB950" s="35"/>
      <c r="CC950"/>
      <c r="CG950" s="35"/>
      <c r="CH950" s="35"/>
      <c r="CK950"/>
      <c r="CM950" s="35"/>
      <c r="CN950" s="35"/>
      <c r="CQ950"/>
      <c r="CS950" s="35"/>
      <c r="CT950" s="35"/>
      <c r="CX950"/>
      <c r="CZ950" s="35"/>
      <c r="DD950" s="34"/>
      <c r="DG950" t="s">
        <v>779</v>
      </c>
      <c r="DH950" t="s">
        <v>952</v>
      </c>
      <c r="DI950" t="s">
        <v>798</v>
      </c>
      <c r="DL950" t="s">
        <v>671</v>
      </c>
      <c r="DM950">
        <v>3</v>
      </c>
      <c r="DN950">
        <v>7</v>
      </c>
      <c r="DO950" t="s">
        <v>781</v>
      </c>
      <c r="DQ950" t="s">
        <v>927</v>
      </c>
      <c r="DR950">
        <v>14</v>
      </c>
      <c r="DS950">
        <v>0</v>
      </c>
      <c r="DU950">
        <v>14</v>
      </c>
      <c r="DV950">
        <v>0</v>
      </c>
      <c r="DX950">
        <v>14</v>
      </c>
      <c r="DY950">
        <v>0</v>
      </c>
      <c r="DZ950" t="s">
        <v>246</v>
      </c>
      <c r="EA950" t="s">
        <v>929</v>
      </c>
    </row>
    <row r="951" spans="1:131" x14ac:dyDescent="0.4">
      <c r="A951" s="34">
        <v>43067.305104166669</v>
      </c>
      <c r="B951" s="25">
        <v>42934.808333333334</v>
      </c>
      <c r="D951" s="34"/>
      <c r="E951" s="34" t="s">
        <v>193</v>
      </c>
      <c r="F951" s="34" t="s">
        <v>191</v>
      </c>
      <c r="G951" s="34" t="s">
        <v>100</v>
      </c>
      <c r="H951" t="s">
        <v>279</v>
      </c>
      <c r="I951" t="s">
        <v>243</v>
      </c>
      <c r="J951" t="s">
        <v>712</v>
      </c>
      <c r="K951" t="s">
        <v>713</v>
      </c>
      <c r="L951" t="s">
        <v>711</v>
      </c>
      <c r="M951" s="30">
        <v>4.22</v>
      </c>
      <c r="N951">
        <v>4</v>
      </c>
      <c r="P951" s="24" t="str">
        <f>IFERROR(MID(RADataTable[[#This Row],[RATemplate]],1,LEN(RADataTable[[#This Row],[RATemplate]])-8),"RA") &amp; " " &amp; RADataTable[[#This Row],[prop_id0]] &amp; " " &amp; RADataTable[[#This Row],[last0]]</f>
        <v>RA 1750076 Schroeder</v>
      </c>
      <c r="T951">
        <v>4</v>
      </c>
      <c r="U951">
        <v>4</v>
      </c>
      <c r="V951" s="34">
        <v>43031.584027777775</v>
      </c>
      <c r="W951">
        <v>1</v>
      </c>
      <c r="X951" s="15" t="str">
        <f>HYPERLINK("https://www.ejacket.nsf.gov/ej/showProposal.do?Continue=Y&amp;ID="&amp;RADataTable[[#This Row],[prop_id0]],"eJ")</f>
        <v>eJ</v>
      </c>
      <c r="Y951" s="15" t="str">
        <f>HYPERLINK("mailto:"&amp;RADataTable[[#This Row],[email]]&amp;"&amp;subject=Your NSF Proposal:  "&amp;RADataTable[[#This Row],[Div]]&amp;" "&amp;RADataTable[[#This Row],[prop_id0]], RADataTable[[#This Row],[email]])</f>
        <v>craig@ucr.edu</v>
      </c>
      <c r="Z951" s="15" t="str">
        <f>HYPERLINK("mailto:"&amp;RADataTable[[#This Row],[allPIemail]]&amp;"&amp;subject=NSF Proposal:  "&amp;RADataTable[[#This Row],[Div]]&amp;" "&amp;RADataTable[[#This Row],[prop_id0]], "PIs@")</f>
        <v>PIs@</v>
      </c>
      <c r="AA951" t="s">
        <v>245</v>
      </c>
      <c r="AB951" t="s">
        <v>671</v>
      </c>
      <c r="AC951" s="30" t="s">
        <v>776</v>
      </c>
      <c r="AD951" t="s">
        <v>777</v>
      </c>
      <c r="AE951" t="s">
        <v>778</v>
      </c>
      <c r="AF951" s="36">
        <v>440331</v>
      </c>
      <c r="AG951" s="36">
        <v>440331</v>
      </c>
      <c r="AH951" s="24"/>
      <c r="AJ951" s="34"/>
      <c r="AK951" t="s">
        <v>923</v>
      </c>
      <c r="AL951" t="s">
        <v>924</v>
      </c>
      <c r="AM951" s="34" t="s">
        <v>925</v>
      </c>
      <c r="AN951" s="34">
        <v>43032</v>
      </c>
      <c r="AO951" s="24">
        <v>22</v>
      </c>
      <c r="AP951" t="s">
        <v>951</v>
      </c>
      <c r="AR951" s="35"/>
      <c r="AS951"/>
      <c r="AT951" s="34"/>
      <c r="AV951" s="34"/>
      <c r="AX951" s="34"/>
      <c r="AY951"/>
      <c r="BA951" s="34"/>
      <c r="BB951"/>
      <c r="BC951" t="s">
        <v>782</v>
      </c>
      <c r="BD951" s="36">
        <v>440331</v>
      </c>
      <c r="BE951" s="36">
        <v>440331</v>
      </c>
      <c r="BF951">
        <v>0</v>
      </c>
      <c r="BG951" s="34">
        <v>43101</v>
      </c>
      <c r="BH951">
        <v>60</v>
      </c>
      <c r="BI951" t="s">
        <v>283</v>
      </c>
      <c r="BJ951" t="s">
        <v>928</v>
      </c>
      <c r="BK951" t="s">
        <v>234</v>
      </c>
      <c r="BL951" t="s">
        <v>194</v>
      </c>
      <c r="BM951" s="8" t="s">
        <v>192</v>
      </c>
      <c r="BN951" t="s">
        <v>189</v>
      </c>
      <c r="BO951" t="s">
        <v>190</v>
      </c>
      <c r="BP951" s="35" t="s">
        <v>780</v>
      </c>
      <c r="BQ951"/>
      <c r="BU951" s="35"/>
      <c r="BV951" s="35"/>
      <c r="BX951"/>
      <c r="CA951" s="35"/>
      <c r="CB951" s="35"/>
      <c r="CC951"/>
      <c r="CG951" s="35"/>
      <c r="CH951" s="35"/>
      <c r="CK951"/>
      <c r="CM951" s="35"/>
      <c r="CN951" s="35"/>
      <c r="CQ951"/>
      <c r="CS951" s="35"/>
      <c r="CT951" s="35"/>
      <c r="CX951"/>
      <c r="CZ951" s="35"/>
      <c r="DD951" s="34"/>
      <c r="DG951" t="s">
        <v>779</v>
      </c>
      <c r="DH951" t="s">
        <v>952</v>
      </c>
      <c r="DI951" t="s">
        <v>798</v>
      </c>
      <c r="DL951" t="s">
        <v>671</v>
      </c>
      <c r="DM951">
        <v>3</v>
      </c>
      <c r="DN951">
        <v>7</v>
      </c>
      <c r="DO951" t="s">
        <v>781</v>
      </c>
      <c r="DQ951" t="s">
        <v>927</v>
      </c>
      <c r="DR951">
        <v>14</v>
      </c>
      <c r="DS951">
        <v>0</v>
      </c>
      <c r="DU951">
        <v>14</v>
      </c>
      <c r="DV951">
        <v>0</v>
      </c>
      <c r="DX951">
        <v>14</v>
      </c>
      <c r="DY951">
        <v>0</v>
      </c>
      <c r="DZ951" t="s">
        <v>246</v>
      </c>
      <c r="EA951" t="s">
        <v>929</v>
      </c>
    </row>
    <row r="952" spans="1:131" x14ac:dyDescent="0.4">
      <c r="A952" s="34">
        <v>43067.305104166669</v>
      </c>
      <c r="B952" s="25">
        <v>42934.808333333334</v>
      </c>
      <c r="D952" s="34"/>
      <c r="E952" s="34" t="s">
        <v>193</v>
      </c>
      <c r="F952" s="34" t="s">
        <v>191</v>
      </c>
      <c r="G952" s="34" t="s">
        <v>100</v>
      </c>
      <c r="H952" t="s">
        <v>279</v>
      </c>
      <c r="I952" t="s">
        <v>243</v>
      </c>
      <c r="J952" t="s">
        <v>712</v>
      </c>
      <c r="K952" t="s">
        <v>713</v>
      </c>
      <c r="L952" t="s">
        <v>711</v>
      </c>
      <c r="M952" s="30">
        <v>4.22</v>
      </c>
      <c r="N952">
        <v>4</v>
      </c>
      <c r="P952" s="24" t="str">
        <f>IFERROR(MID(RADataTable[[#This Row],[RATemplate]],1,LEN(RADataTable[[#This Row],[RATemplate]])-8),"RA") &amp; " " &amp; RADataTable[[#This Row],[prop_id0]] &amp; " " &amp; RADataTable[[#This Row],[last0]]</f>
        <v>RA 1750076 Schroeder</v>
      </c>
      <c r="T952">
        <v>4</v>
      </c>
      <c r="U952">
        <v>4</v>
      </c>
      <c r="V952" s="34">
        <v>43031.584027777775</v>
      </c>
      <c r="W952">
        <v>1</v>
      </c>
      <c r="X952" s="15" t="str">
        <f>HYPERLINK("https://www.ejacket.nsf.gov/ej/showProposal.do?Continue=Y&amp;ID="&amp;RADataTable[[#This Row],[prop_id0]],"eJ")</f>
        <v>eJ</v>
      </c>
      <c r="Y952" s="15" t="str">
        <f>HYPERLINK("mailto:"&amp;RADataTable[[#This Row],[email]]&amp;"&amp;subject=Your NSF Proposal:  "&amp;RADataTable[[#This Row],[Div]]&amp;" "&amp;RADataTable[[#This Row],[prop_id0]], RADataTable[[#This Row],[email]])</f>
        <v>craig@ucr.edu</v>
      </c>
      <c r="Z952" s="15" t="str">
        <f>HYPERLINK("mailto:"&amp;RADataTable[[#This Row],[allPIemail]]&amp;"&amp;subject=NSF Proposal:  "&amp;RADataTable[[#This Row],[Div]]&amp;" "&amp;RADataTable[[#This Row],[prop_id0]], "PIs@")</f>
        <v>PIs@</v>
      </c>
      <c r="AA952" t="s">
        <v>245</v>
      </c>
      <c r="AB952" t="s">
        <v>671</v>
      </c>
      <c r="AC952" s="30" t="s">
        <v>776</v>
      </c>
      <c r="AD952" t="s">
        <v>777</v>
      </c>
      <c r="AE952" t="s">
        <v>778</v>
      </c>
      <c r="AF952" s="36">
        <v>440331</v>
      </c>
      <c r="AG952" s="36">
        <v>440331</v>
      </c>
      <c r="AH952" s="24"/>
      <c r="AJ952" s="34"/>
      <c r="AK952" t="s">
        <v>923</v>
      </c>
      <c r="AL952" t="s">
        <v>924</v>
      </c>
      <c r="AM952" s="34" t="s">
        <v>925</v>
      </c>
      <c r="AN952" s="34">
        <v>43032</v>
      </c>
      <c r="AO952" s="24">
        <v>22</v>
      </c>
      <c r="AP952" t="s">
        <v>951</v>
      </c>
      <c r="AR952" s="35"/>
      <c r="AS952"/>
      <c r="AT952" s="34"/>
      <c r="AV952" s="34"/>
      <c r="AX952" s="34"/>
      <c r="AY952"/>
      <c r="BA952" s="34"/>
      <c r="BB952"/>
      <c r="BC952" t="s">
        <v>782</v>
      </c>
      <c r="BD952" s="36">
        <v>440331</v>
      </c>
      <c r="BE952" s="36">
        <v>440331</v>
      </c>
      <c r="BF952">
        <v>0</v>
      </c>
      <c r="BG952" s="34">
        <v>43101</v>
      </c>
      <c r="BH952">
        <v>60</v>
      </c>
      <c r="BI952" t="s">
        <v>283</v>
      </c>
      <c r="BJ952" t="s">
        <v>928</v>
      </c>
      <c r="BK952" t="s">
        <v>234</v>
      </c>
      <c r="BL952" t="s">
        <v>194</v>
      </c>
      <c r="BM952" s="8" t="s">
        <v>192</v>
      </c>
      <c r="BN952" t="s">
        <v>189</v>
      </c>
      <c r="BO952" t="s">
        <v>190</v>
      </c>
      <c r="BP952" s="35" t="s">
        <v>780</v>
      </c>
      <c r="BQ952"/>
      <c r="BU952" s="35"/>
      <c r="BV952" s="35"/>
      <c r="BX952"/>
      <c r="CA952" s="35"/>
      <c r="CB952" s="35"/>
      <c r="CC952"/>
      <c r="CG952" s="35"/>
      <c r="CH952" s="35"/>
      <c r="CK952"/>
      <c r="CM952" s="35"/>
      <c r="CN952" s="35"/>
      <c r="CQ952"/>
      <c r="CS952" s="35"/>
      <c r="CT952" s="35"/>
      <c r="CX952"/>
      <c r="CZ952" s="35"/>
      <c r="DD952" s="34"/>
      <c r="DG952" t="s">
        <v>779</v>
      </c>
      <c r="DH952" t="s">
        <v>952</v>
      </c>
      <c r="DI952" t="s">
        <v>798</v>
      </c>
      <c r="DL952" t="s">
        <v>671</v>
      </c>
      <c r="DM952">
        <v>3</v>
      </c>
      <c r="DN952">
        <v>7</v>
      </c>
      <c r="DO952" t="s">
        <v>781</v>
      </c>
      <c r="DQ952" t="s">
        <v>927</v>
      </c>
      <c r="DR952">
        <v>14</v>
      </c>
      <c r="DS952">
        <v>0</v>
      </c>
      <c r="DU952">
        <v>14</v>
      </c>
      <c r="DV952">
        <v>0</v>
      </c>
      <c r="DX952">
        <v>14</v>
      </c>
      <c r="DY952">
        <v>0</v>
      </c>
      <c r="DZ952" t="s">
        <v>246</v>
      </c>
      <c r="EA952" t="s">
        <v>929</v>
      </c>
    </row>
    <row r="953" spans="1:131" x14ac:dyDescent="0.4">
      <c r="A953" s="34">
        <v>43067.305104166669</v>
      </c>
      <c r="B953" s="25">
        <v>42934.808333333334</v>
      </c>
      <c r="D953" s="34"/>
      <c r="E953" s="34" t="s">
        <v>193</v>
      </c>
      <c r="F953" s="34" t="s">
        <v>191</v>
      </c>
      <c r="G953" s="34" t="s">
        <v>100</v>
      </c>
      <c r="H953" t="s">
        <v>279</v>
      </c>
      <c r="I953" t="s">
        <v>243</v>
      </c>
      <c r="J953" t="s">
        <v>712</v>
      </c>
      <c r="K953" t="s">
        <v>713</v>
      </c>
      <c r="L953" t="s">
        <v>711</v>
      </c>
      <c r="M953" s="30">
        <v>4.22</v>
      </c>
      <c r="N953">
        <v>4</v>
      </c>
      <c r="P953" s="24" t="str">
        <f>IFERROR(MID(RADataTable[[#This Row],[RATemplate]],1,LEN(RADataTable[[#This Row],[RATemplate]])-8),"RA") &amp; " " &amp; RADataTable[[#This Row],[prop_id0]] &amp; " " &amp; RADataTable[[#This Row],[last0]]</f>
        <v>RA 1750076 Schroeder</v>
      </c>
      <c r="T953">
        <v>4</v>
      </c>
      <c r="U953">
        <v>4</v>
      </c>
      <c r="V953" s="34">
        <v>43031.584027777775</v>
      </c>
      <c r="W953">
        <v>1</v>
      </c>
      <c r="X953" s="15" t="str">
        <f>HYPERLINK("https://www.ejacket.nsf.gov/ej/showProposal.do?Continue=Y&amp;ID="&amp;RADataTable[[#This Row],[prop_id0]],"eJ")</f>
        <v>eJ</v>
      </c>
      <c r="Y953" s="15" t="str">
        <f>HYPERLINK("mailto:"&amp;RADataTable[[#This Row],[email]]&amp;"&amp;subject=Your NSF Proposal:  "&amp;RADataTable[[#This Row],[Div]]&amp;" "&amp;RADataTable[[#This Row],[prop_id0]], RADataTable[[#This Row],[email]])</f>
        <v>craig@ucr.edu</v>
      </c>
      <c r="Z953" s="15" t="str">
        <f>HYPERLINK("mailto:"&amp;RADataTable[[#This Row],[allPIemail]]&amp;"&amp;subject=NSF Proposal:  "&amp;RADataTable[[#This Row],[Div]]&amp;" "&amp;RADataTable[[#This Row],[prop_id0]], "PIs@")</f>
        <v>PIs@</v>
      </c>
      <c r="AA953" t="s">
        <v>245</v>
      </c>
      <c r="AB953" t="s">
        <v>671</v>
      </c>
      <c r="AC953" s="30" t="s">
        <v>776</v>
      </c>
      <c r="AD953" t="s">
        <v>777</v>
      </c>
      <c r="AE953" t="s">
        <v>778</v>
      </c>
      <c r="AF953" s="36">
        <v>440331</v>
      </c>
      <c r="AG953" s="36">
        <v>440331</v>
      </c>
      <c r="AH953" s="24"/>
      <c r="AJ953" s="34"/>
      <c r="AK953" t="s">
        <v>923</v>
      </c>
      <c r="AL953" t="s">
        <v>924</v>
      </c>
      <c r="AM953" s="34" t="s">
        <v>925</v>
      </c>
      <c r="AN953" s="34">
        <v>43032</v>
      </c>
      <c r="AO953" s="24">
        <v>22</v>
      </c>
      <c r="AP953" t="s">
        <v>951</v>
      </c>
      <c r="AR953" s="35"/>
      <c r="AS953"/>
      <c r="AT953" s="34"/>
      <c r="AV953" s="34"/>
      <c r="AX953" s="34"/>
      <c r="AY953"/>
      <c r="BA953" s="34"/>
      <c r="BB953"/>
      <c r="BC953" t="s">
        <v>782</v>
      </c>
      <c r="BD953" s="36">
        <v>440331</v>
      </c>
      <c r="BE953" s="36">
        <v>440331</v>
      </c>
      <c r="BF953">
        <v>0</v>
      </c>
      <c r="BG953" s="34">
        <v>43101</v>
      </c>
      <c r="BH953">
        <v>60</v>
      </c>
      <c r="BI953" t="s">
        <v>283</v>
      </c>
      <c r="BJ953" t="s">
        <v>928</v>
      </c>
      <c r="BK953" t="s">
        <v>234</v>
      </c>
      <c r="BL953" t="s">
        <v>194</v>
      </c>
      <c r="BM953" s="8" t="s">
        <v>192</v>
      </c>
      <c r="BN953" t="s">
        <v>189</v>
      </c>
      <c r="BO953" t="s">
        <v>190</v>
      </c>
      <c r="BP953" s="35" t="s">
        <v>780</v>
      </c>
      <c r="BQ953"/>
      <c r="BU953" s="35"/>
      <c r="BV953" s="35"/>
      <c r="BX953"/>
      <c r="CA953" s="35"/>
      <c r="CB953" s="35"/>
      <c r="CC953"/>
      <c r="CG953" s="35"/>
      <c r="CH953" s="35"/>
      <c r="CK953"/>
      <c r="CM953" s="35"/>
      <c r="CN953" s="35"/>
      <c r="CQ953"/>
      <c r="CS953" s="35"/>
      <c r="CT953" s="35"/>
      <c r="CX953"/>
      <c r="CZ953" s="35"/>
      <c r="DD953" s="34"/>
      <c r="DG953" t="s">
        <v>779</v>
      </c>
      <c r="DH953" t="s">
        <v>952</v>
      </c>
      <c r="DI953" t="s">
        <v>798</v>
      </c>
      <c r="DL953" t="s">
        <v>671</v>
      </c>
      <c r="DM953">
        <v>3</v>
      </c>
      <c r="DN953">
        <v>7</v>
      </c>
      <c r="DO953" t="s">
        <v>781</v>
      </c>
      <c r="DQ953" t="s">
        <v>927</v>
      </c>
      <c r="DR953">
        <v>14</v>
      </c>
      <c r="DS953">
        <v>0</v>
      </c>
      <c r="DU953">
        <v>14</v>
      </c>
      <c r="DV953">
        <v>0</v>
      </c>
      <c r="DX953">
        <v>14</v>
      </c>
      <c r="DY953">
        <v>0</v>
      </c>
      <c r="DZ953" t="s">
        <v>246</v>
      </c>
      <c r="EA953" t="s">
        <v>929</v>
      </c>
    </row>
    <row r="954" spans="1:131" x14ac:dyDescent="0.4">
      <c r="A954" s="34">
        <v>43067.305104166669</v>
      </c>
      <c r="B954" s="25">
        <v>42934.808333333334</v>
      </c>
      <c r="D954" s="34"/>
      <c r="E954" s="34" t="s">
        <v>193</v>
      </c>
      <c r="F954" s="34" t="s">
        <v>191</v>
      </c>
      <c r="G954" s="34" t="s">
        <v>100</v>
      </c>
      <c r="H954" t="s">
        <v>279</v>
      </c>
      <c r="I954" t="s">
        <v>243</v>
      </c>
      <c r="J954" t="s">
        <v>712</v>
      </c>
      <c r="K954" t="s">
        <v>713</v>
      </c>
      <c r="L954" t="s">
        <v>711</v>
      </c>
      <c r="M954" s="30">
        <v>4.22</v>
      </c>
      <c r="N954">
        <v>4</v>
      </c>
      <c r="P954" s="24" t="str">
        <f>IFERROR(MID(RADataTable[[#This Row],[RATemplate]],1,LEN(RADataTable[[#This Row],[RATemplate]])-8),"RA") &amp; " " &amp; RADataTable[[#This Row],[prop_id0]] &amp; " " &amp; RADataTable[[#This Row],[last0]]</f>
        <v>RA 1750076 Schroeder</v>
      </c>
      <c r="T954">
        <v>4</v>
      </c>
      <c r="U954">
        <v>4</v>
      </c>
      <c r="V954" s="34">
        <v>43031.584027777775</v>
      </c>
      <c r="W954">
        <v>1</v>
      </c>
      <c r="X954" s="15" t="str">
        <f>HYPERLINK("https://www.ejacket.nsf.gov/ej/showProposal.do?Continue=Y&amp;ID="&amp;RADataTable[[#This Row],[prop_id0]],"eJ")</f>
        <v>eJ</v>
      </c>
      <c r="Y954" s="15" t="str">
        <f>HYPERLINK("mailto:"&amp;RADataTable[[#This Row],[email]]&amp;"&amp;subject=Your NSF Proposal:  "&amp;RADataTable[[#This Row],[Div]]&amp;" "&amp;RADataTable[[#This Row],[prop_id0]], RADataTable[[#This Row],[email]])</f>
        <v>craig@ucr.edu</v>
      </c>
      <c r="Z954" s="15" t="str">
        <f>HYPERLINK("mailto:"&amp;RADataTable[[#This Row],[allPIemail]]&amp;"&amp;subject=NSF Proposal:  "&amp;RADataTable[[#This Row],[Div]]&amp;" "&amp;RADataTable[[#This Row],[prop_id0]], "PIs@")</f>
        <v>PIs@</v>
      </c>
      <c r="AA954" t="s">
        <v>245</v>
      </c>
      <c r="AB954" t="s">
        <v>671</v>
      </c>
      <c r="AC954" s="30" t="s">
        <v>776</v>
      </c>
      <c r="AD954" t="s">
        <v>777</v>
      </c>
      <c r="AE954" t="s">
        <v>778</v>
      </c>
      <c r="AF954" s="36">
        <v>440331</v>
      </c>
      <c r="AG954" s="36">
        <v>440331</v>
      </c>
      <c r="AH954" s="24"/>
      <c r="AJ954" s="34"/>
      <c r="AK954" t="s">
        <v>923</v>
      </c>
      <c r="AL954" t="s">
        <v>924</v>
      </c>
      <c r="AM954" s="34" t="s">
        <v>925</v>
      </c>
      <c r="AN954" s="34">
        <v>43032</v>
      </c>
      <c r="AO954" s="24">
        <v>22</v>
      </c>
      <c r="AP954" t="s">
        <v>951</v>
      </c>
      <c r="AR954" s="35"/>
      <c r="AS954"/>
      <c r="AT954" s="34"/>
      <c r="AV954" s="34"/>
      <c r="AX954" s="34"/>
      <c r="AY954"/>
      <c r="BA954" s="34"/>
      <c r="BB954"/>
      <c r="BC954" t="s">
        <v>782</v>
      </c>
      <c r="BD954" s="36">
        <v>440331</v>
      </c>
      <c r="BE954" s="36">
        <v>440331</v>
      </c>
      <c r="BF954">
        <v>0</v>
      </c>
      <c r="BG954" s="34">
        <v>43101</v>
      </c>
      <c r="BH954">
        <v>60</v>
      </c>
      <c r="BI954" t="s">
        <v>283</v>
      </c>
      <c r="BJ954" t="s">
        <v>928</v>
      </c>
      <c r="BK954" t="s">
        <v>234</v>
      </c>
      <c r="BL954" t="s">
        <v>194</v>
      </c>
      <c r="BM954" s="8" t="s">
        <v>192</v>
      </c>
      <c r="BN954" t="s">
        <v>189</v>
      </c>
      <c r="BO954" t="s">
        <v>190</v>
      </c>
      <c r="BP954" s="35" t="s">
        <v>780</v>
      </c>
      <c r="BQ954"/>
      <c r="BU954" s="35"/>
      <c r="BV954" s="35"/>
      <c r="BX954"/>
      <c r="CA954" s="35"/>
      <c r="CB954" s="35"/>
      <c r="CC954"/>
      <c r="CG954" s="35"/>
      <c r="CH954" s="35"/>
      <c r="CK954"/>
      <c r="CM954" s="35"/>
      <c r="CN954" s="35"/>
      <c r="CQ954"/>
      <c r="CS954" s="35"/>
      <c r="CT954" s="35"/>
      <c r="CX954"/>
      <c r="CZ954" s="35"/>
      <c r="DD954" s="34"/>
      <c r="DG954" t="s">
        <v>779</v>
      </c>
      <c r="DH954" t="s">
        <v>952</v>
      </c>
      <c r="DI954" t="s">
        <v>798</v>
      </c>
      <c r="DL954" t="s">
        <v>671</v>
      </c>
      <c r="DM954">
        <v>3</v>
      </c>
      <c r="DN954">
        <v>7</v>
      </c>
      <c r="DO954" t="s">
        <v>781</v>
      </c>
      <c r="DQ954" t="s">
        <v>927</v>
      </c>
      <c r="DR954">
        <v>14</v>
      </c>
      <c r="DS954">
        <v>0</v>
      </c>
      <c r="DU954">
        <v>14</v>
      </c>
      <c r="DV954">
        <v>0</v>
      </c>
      <c r="DX954">
        <v>14</v>
      </c>
      <c r="DY954">
        <v>0</v>
      </c>
      <c r="DZ954" t="s">
        <v>246</v>
      </c>
      <c r="EA954" t="s">
        <v>929</v>
      </c>
    </row>
    <row r="955" spans="1:131" x14ac:dyDescent="0.4">
      <c r="A955" s="34">
        <v>43067.305104166669</v>
      </c>
      <c r="B955" s="25">
        <v>42934.808333333334</v>
      </c>
      <c r="D955" s="34"/>
      <c r="E955" s="34" t="s">
        <v>193</v>
      </c>
      <c r="F955" s="34" t="s">
        <v>191</v>
      </c>
      <c r="G955" s="34" t="s">
        <v>100</v>
      </c>
      <c r="H955" t="s">
        <v>279</v>
      </c>
      <c r="I955" t="s">
        <v>243</v>
      </c>
      <c r="J955" t="s">
        <v>712</v>
      </c>
      <c r="K955" t="s">
        <v>713</v>
      </c>
      <c r="L955" t="s">
        <v>711</v>
      </c>
      <c r="M955" s="30">
        <v>4.22</v>
      </c>
      <c r="N955">
        <v>4</v>
      </c>
      <c r="P955" s="24" t="str">
        <f>IFERROR(MID(RADataTable[[#This Row],[RATemplate]],1,LEN(RADataTable[[#This Row],[RATemplate]])-8),"RA") &amp; " " &amp; RADataTable[[#This Row],[prop_id0]] &amp; " " &amp; RADataTable[[#This Row],[last0]]</f>
        <v>RA 1750076 Schroeder</v>
      </c>
      <c r="T955">
        <v>4</v>
      </c>
      <c r="U955">
        <v>4</v>
      </c>
      <c r="V955" s="34">
        <v>43031.584027777775</v>
      </c>
      <c r="W955">
        <v>1</v>
      </c>
      <c r="X955" s="15" t="str">
        <f>HYPERLINK("https://www.ejacket.nsf.gov/ej/showProposal.do?Continue=Y&amp;ID="&amp;RADataTable[[#This Row],[prop_id0]],"eJ")</f>
        <v>eJ</v>
      </c>
      <c r="Y955" s="15" t="str">
        <f>HYPERLINK("mailto:"&amp;RADataTable[[#This Row],[email]]&amp;"&amp;subject=Your NSF Proposal:  "&amp;RADataTable[[#This Row],[Div]]&amp;" "&amp;RADataTable[[#This Row],[prop_id0]], RADataTable[[#This Row],[email]])</f>
        <v>craig@ucr.edu</v>
      </c>
      <c r="Z955" s="15" t="str">
        <f>HYPERLINK("mailto:"&amp;RADataTable[[#This Row],[allPIemail]]&amp;"&amp;subject=NSF Proposal:  "&amp;RADataTable[[#This Row],[Div]]&amp;" "&amp;RADataTable[[#This Row],[prop_id0]], "PIs@")</f>
        <v>PIs@</v>
      </c>
      <c r="AA955" t="s">
        <v>245</v>
      </c>
      <c r="AB955" t="s">
        <v>671</v>
      </c>
      <c r="AC955" s="30" t="s">
        <v>776</v>
      </c>
      <c r="AD955" t="s">
        <v>777</v>
      </c>
      <c r="AE955" t="s">
        <v>778</v>
      </c>
      <c r="AF955" s="36">
        <v>440331</v>
      </c>
      <c r="AG955" s="36">
        <v>440331</v>
      </c>
      <c r="AH955" s="24"/>
      <c r="AJ955" s="34"/>
      <c r="AK955" t="s">
        <v>923</v>
      </c>
      <c r="AL955" t="s">
        <v>924</v>
      </c>
      <c r="AM955" s="34" t="s">
        <v>925</v>
      </c>
      <c r="AN955" s="34">
        <v>43032</v>
      </c>
      <c r="AO955" s="24">
        <v>22</v>
      </c>
      <c r="AP955" t="s">
        <v>951</v>
      </c>
      <c r="AR955" s="35"/>
      <c r="AS955"/>
      <c r="AT955" s="34"/>
      <c r="AV955" s="34"/>
      <c r="AX955" s="34"/>
      <c r="AY955"/>
      <c r="BA955" s="34"/>
      <c r="BB955"/>
      <c r="BC955" t="s">
        <v>782</v>
      </c>
      <c r="BD955" s="36">
        <v>440331</v>
      </c>
      <c r="BE955" s="36">
        <v>440331</v>
      </c>
      <c r="BF955">
        <v>0</v>
      </c>
      <c r="BG955" s="34">
        <v>43101</v>
      </c>
      <c r="BH955">
        <v>60</v>
      </c>
      <c r="BI955" t="s">
        <v>283</v>
      </c>
      <c r="BJ955" t="s">
        <v>928</v>
      </c>
      <c r="BK955" t="s">
        <v>234</v>
      </c>
      <c r="BL955" t="s">
        <v>194</v>
      </c>
      <c r="BM955" s="8" t="s">
        <v>192</v>
      </c>
      <c r="BN955" t="s">
        <v>189</v>
      </c>
      <c r="BO955" t="s">
        <v>190</v>
      </c>
      <c r="BP955" s="35" t="s">
        <v>780</v>
      </c>
      <c r="BQ955"/>
      <c r="BU955" s="35"/>
      <c r="BV955" s="35"/>
      <c r="BX955"/>
      <c r="CA955" s="35"/>
      <c r="CB955" s="35"/>
      <c r="CC955"/>
      <c r="CG955" s="35"/>
      <c r="CH955" s="35"/>
      <c r="CK955"/>
      <c r="CM955" s="35"/>
      <c r="CN955" s="35"/>
      <c r="CQ955"/>
      <c r="CS955" s="35"/>
      <c r="CT955" s="35"/>
      <c r="CX955"/>
      <c r="CZ955" s="35"/>
      <c r="DD955" s="34"/>
      <c r="DG955" t="s">
        <v>779</v>
      </c>
      <c r="DH955" t="s">
        <v>952</v>
      </c>
      <c r="DI955" t="s">
        <v>798</v>
      </c>
      <c r="DL955" t="s">
        <v>671</v>
      </c>
      <c r="DM955">
        <v>3</v>
      </c>
      <c r="DN955">
        <v>7</v>
      </c>
      <c r="DO955" t="s">
        <v>781</v>
      </c>
      <c r="DQ955" t="s">
        <v>927</v>
      </c>
      <c r="DR955">
        <v>14</v>
      </c>
      <c r="DS955">
        <v>0</v>
      </c>
      <c r="DU955">
        <v>14</v>
      </c>
      <c r="DV955">
        <v>0</v>
      </c>
      <c r="DX955">
        <v>14</v>
      </c>
      <c r="DY955">
        <v>0</v>
      </c>
      <c r="DZ955" t="s">
        <v>246</v>
      </c>
      <c r="EA955" t="s">
        <v>929</v>
      </c>
    </row>
    <row r="956" spans="1:131" x14ac:dyDescent="0.4">
      <c r="A956" s="34">
        <v>43067.305104166669</v>
      </c>
      <c r="B956" s="25">
        <v>42934.808333333334</v>
      </c>
      <c r="D956" s="34"/>
      <c r="E956" s="34" t="s">
        <v>193</v>
      </c>
      <c r="F956" s="34" t="s">
        <v>191</v>
      </c>
      <c r="G956" s="34" t="s">
        <v>100</v>
      </c>
      <c r="H956" t="s">
        <v>279</v>
      </c>
      <c r="I956" t="s">
        <v>243</v>
      </c>
      <c r="J956" t="s">
        <v>712</v>
      </c>
      <c r="K956" t="s">
        <v>713</v>
      </c>
      <c r="L956" t="s">
        <v>711</v>
      </c>
      <c r="M956" s="30">
        <v>4.22</v>
      </c>
      <c r="N956">
        <v>4</v>
      </c>
      <c r="P956" s="24" t="str">
        <f>IFERROR(MID(RADataTable[[#This Row],[RATemplate]],1,LEN(RADataTable[[#This Row],[RATemplate]])-8),"RA") &amp; " " &amp; RADataTable[[#This Row],[prop_id0]] &amp; " " &amp; RADataTable[[#This Row],[last0]]</f>
        <v>RA 1750076 Schroeder</v>
      </c>
      <c r="T956">
        <v>4</v>
      </c>
      <c r="U956">
        <v>4</v>
      </c>
      <c r="V956" s="34">
        <v>43031.584027777775</v>
      </c>
      <c r="W956">
        <v>1</v>
      </c>
      <c r="X956" s="15" t="str">
        <f>HYPERLINK("https://www.ejacket.nsf.gov/ej/showProposal.do?Continue=Y&amp;ID="&amp;RADataTable[[#This Row],[prop_id0]],"eJ")</f>
        <v>eJ</v>
      </c>
      <c r="Y956" s="15" t="str">
        <f>HYPERLINK("mailto:"&amp;RADataTable[[#This Row],[email]]&amp;"&amp;subject=Your NSF Proposal:  "&amp;RADataTable[[#This Row],[Div]]&amp;" "&amp;RADataTable[[#This Row],[prop_id0]], RADataTable[[#This Row],[email]])</f>
        <v>craig@ucr.edu</v>
      </c>
      <c r="Z956" s="15" t="str">
        <f>HYPERLINK("mailto:"&amp;RADataTable[[#This Row],[allPIemail]]&amp;"&amp;subject=NSF Proposal:  "&amp;RADataTable[[#This Row],[Div]]&amp;" "&amp;RADataTable[[#This Row],[prop_id0]], "PIs@")</f>
        <v>PIs@</v>
      </c>
      <c r="AA956" t="s">
        <v>245</v>
      </c>
      <c r="AB956" t="s">
        <v>671</v>
      </c>
      <c r="AC956" s="30" t="s">
        <v>776</v>
      </c>
      <c r="AD956" t="s">
        <v>777</v>
      </c>
      <c r="AE956" t="s">
        <v>778</v>
      </c>
      <c r="AF956" s="36">
        <v>440331</v>
      </c>
      <c r="AG956" s="36">
        <v>440331</v>
      </c>
      <c r="AH956" s="24"/>
      <c r="AJ956" s="34"/>
      <c r="AK956" t="s">
        <v>923</v>
      </c>
      <c r="AL956" t="s">
        <v>924</v>
      </c>
      <c r="AM956" s="34" t="s">
        <v>925</v>
      </c>
      <c r="AN956" s="34">
        <v>43032</v>
      </c>
      <c r="AO956" s="24">
        <v>22</v>
      </c>
      <c r="AP956" t="s">
        <v>951</v>
      </c>
      <c r="AR956" s="35"/>
      <c r="AS956"/>
      <c r="AT956" s="34"/>
      <c r="AV956" s="34"/>
      <c r="AX956" s="34"/>
      <c r="AY956"/>
      <c r="BA956" s="34"/>
      <c r="BB956"/>
      <c r="BC956" t="s">
        <v>782</v>
      </c>
      <c r="BD956" s="36">
        <v>440331</v>
      </c>
      <c r="BE956" s="36">
        <v>440331</v>
      </c>
      <c r="BF956">
        <v>0</v>
      </c>
      <c r="BG956" s="34">
        <v>43101</v>
      </c>
      <c r="BH956">
        <v>60</v>
      </c>
      <c r="BI956" t="s">
        <v>283</v>
      </c>
      <c r="BJ956" t="s">
        <v>928</v>
      </c>
      <c r="BK956" t="s">
        <v>234</v>
      </c>
      <c r="BL956" t="s">
        <v>194</v>
      </c>
      <c r="BM956" s="8" t="s">
        <v>192</v>
      </c>
      <c r="BN956" t="s">
        <v>189</v>
      </c>
      <c r="BO956" t="s">
        <v>190</v>
      </c>
      <c r="BP956" s="35" t="s">
        <v>780</v>
      </c>
      <c r="BQ956"/>
      <c r="BU956" s="35"/>
      <c r="BV956" s="35"/>
      <c r="BX956"/>
      <c r="CA956" s="35"/>
      <c r="CB956" s="35"/>
      <c r="CC956"/>
      <c r="CG956" s="35"/>
      <c r="CH956" s="35"/>
      <c r="CK956"/>
      <c r="CM956" s="35"/>
      <c r="CN956" s="35"/>
      <c r="CQ956"/>
      <c r="CS956" s="35"/>
      <c r="CT956" s="35"/>
      <c r="CX956"/>
      <c r="CZ956" s="35"/>
      <c r="DD956" s="34"/>
      <c r="DG956" t="s">
        <v>779</v>
      </c>
      <c r="DH956" t="s">
        <v>952</v>
      </c>
      <c r="DI956" t="s">
        <v>798</v>
      </c>
      <c r="DL956" t="s">
        <v>671</v>
      </c>
      <c r="DM956">
        <v>3</v>
      </c>
      <c r="DN956">
        <v>7</v>
      </c>
      <c r="DO956" t="s">
        <v>781</v>
      </c>
      <c r="DQ956" t="s">
        <v>927</v>
      </c>
      <c r="DR956">
        <v>14</v>
      </c>
      <c r="DS956">
        <v>0</v>
      </c>
      <c r="DU956">
        <v>14</v>
      </c>
      <c r="DV956">
        <v>0</v>
      </c>
      <c r="DX956">
        <v>14</v>
      </c>
      <c r="DY956">
        <v>0</v>
      </c>
      <c r="DZ956" t="s">
        <v>246</v>
      </c>
      <c r="EA956" t="s">
        <v>929</v>
      </c>
    </row>
    <row r="957" spans="1:131" x14ac:dyDescent="0.4">
      <c r="A957" s="34">
        <v>43067.305104166669</v>
      </c>
      <c r="B957" s="25">
        <v>42934.808333333334</v>
      </c>
      <c r="D957" s="34"/>
      <c r="E957" s="34" t="s">
        <v>193</v>
      </c>
      <c r="F957" s="34" t="s">
        <v>191</v>
      </c>
      <c r="G957" s="34" t="s">
        <v>100</v>
      </c>
      <c r="H957" t="s">
        <v>279</v>
      </c>
      <c r="I957" t="s">
        <v>243</v>
      </c>
      <c r="J957" t="s">
        <v>712</v>
      </c>
      <c r="K957" t="s">
        <v>713</v>
      </c>
      <c r="L957" t="s">
        <v>711</v>
      </c>
      <c r="M957" s="30">
        <v>4.22</v>
      </c>
      <c r="N957">
        <v>4</v>
      </c>
      <c r="P957" s="24" t="str">
        <f>IFERROR(MID(RADataTable[[#This Row],[RATemplate]],1,LEN(RADataTable[[#This Row],[RATemplate]])-8),"RA") &amp; " " &amp; RADataTable[[#This Row],[prop_id0]] &amp; " " &amp; RADataTable[[#This Row],[last0]]</f>
        <v>RA 1750076 Schroeder</v>
      </c>
      <c r="T957">
        <v>4</v>
      </c>
      <c r="U957">
        <v>4</v>
      </c>
      <c r="V957" s="34">
        <v>43031.584027777775</v>
      </c>
      <c r="W957">
        <v>1</v>
      </c>
      <c r="X957" s="15" t="str">
        <f>HYPERLINK("https://www.ejacket.nsf.gov/ej/showProposal.do?Continue=Y&amp;ID="&amp;RADataTable[[#This Row],[prop_id0]],"eJ")</f>
        <v>eJ</v>
      </c>
      <c r="Y957" s="15" t="str">
        <f>HYPERLINK("mailto:"&amp;RADataTable[[#This Row],[email]]&amp;"&amp;subject=Your NSF Proposal:  "&amp;RADataTable[[#This Row],[Div]]&amp;" "&amp;RADataTable[[#This Row],[prop_id0]], RADataTable[[#This Row],[email]])</f>
        <v>craig@ucr.edu</v>
      </c>
      <c r="Z957" s="15" t="str">
        <f>HYPERLINK("mailto:"&amp;RADataTable[[#This Row],[allPIemail]]&amp;"&amp;subject=NSF Proposal:  "&amp;RADataTable[[#This Row],[Div]]&amp;" "&amp;RADataTable[[#This Row],[prop_id0]], "PIs@")</f>
        <v>PIs@</v>
      </c>
      <c r="AA957" t="s">
        <v>245</v>
      </c>
      <c r="AB957" t="s">
        <v>671</v>
      </c>
      <c r="AC957" s="30" t="s">
        <v>776</v>
      </c>
      <c r="AD957" t="s">
        <v>777</v>
      </c>
      <c r="AE957" t="s">
        <v>778</v>
      </c>
      <c r="AF957" s="36">
        <v>440331</v>
      </c>
      <c r="AG957" s="36">
        <v>440331</v>
      </c>
      <c r="AH957" s="24"/>
      <c r="AJ957" s="34"/>
      <c r="AK957" t="s">
        <v>923</v>
      </c>
      <c r="AL957" t="s">
        <v>924</v>
      </c>
      <c r="AM957" s="34" t="s">
        <v>925</v>
      </c>
      <c r="AN957" s="34">
        <v>43032</v>
      </c>
      <c r="AO957" s="24">
        <v>22</v>
      </c>
      <c r="AP957" t="s">
        <v>951</v>
      </c>
      <c r="AR957" s="35"/>
      <c r="AS957"/>
      <c r="AT957" s="34"/>
      <c r="AV957" s="34"/>
      <c r="AX957" s="34"/>
      <c r="AY957"/>
      <c r="BA957" s="34"/>
      <c r="BB957"/>
      <c r="BC957" t="s">
        <v>782</v>
      </c>
      <c r="BD957" s="36">
        <v>440331</v>
      </c>
      <c r="BE957" s="36">
        <v>440331</v>
      </c>
      <c r="BF957">
        <v>0</v>
      </c>
      <c r="BG957" s="34">
        <v>43101</v>
      </c>
      <c r="BH957">
        <v>60</v>
      </c>
      <c r="BI957" t="s">
        <v>283</v>
      </c>
      <c r="BJ957" t="s">
        <v>928</v>
      </c>
      <c r="BK957" t="s">
        <v>234</v>
      </c>
      <c r="BL957" t="s">
        <v>194</v>
      </c>
      <c r="BM957" s="8" t="s">
        <v>192</v>
      </c>
      <c r="BN957" t="s">
        <v>189</v>
      </c>
      <c r="BO957" t="s">
        <v>190</v>
      </c>
      <c r="BP957" s="35" t="s">
        <v>780</v>
      </c>
      <c r="BQ957"/>
      <c r="BU957" s="35"/>
      <c r="BV957" s="35"/>
      <c r="BX957"/>
      <c r="CA957" s="35"/>
      <c r="CB957" s="35"/>
      <c r="CC957"/>
      <c r="CG957" s="35"/>
      <c r="CH957" s="35"/>
      <c r="CK957"/>
      <c r="CM957" s="35"/>
      <c r="CN957" s="35"/>
      <c r="CQ957"/>
      <c r="CS957" s="35"/>
      <c r="CT957" s="35"/>
      <c r="CX957"/>
      <c r="CZ957" s="35"/>
      <c r="DD957" s="34"/>
      <c r="DG957" t="s">
        <v>779</v>
      </c>
      <c r="DH957" t="s">
        <v>952</v>
      </c>
      <c r="DI957" t="s">
        <v>798</v>
      </c>
      <c r="DL957" t="s">
        <v>671</v>
      </c>
      <c r="DM957">
        <v>3</v>
      </c>
      <c r="DN957">
        <v>7</v>
      </c>
      <c r="DO957" t="s">
        <v>781</v>
      </c>
      <c r="DQ957" t="s">
        <v>927</v>
      </c>
      <c r="DR957">
        <v>14</v>
      </c>
      <c r="DS957">
        <v>0</v>
      </c>
      <c r="DU957">
        <v>14</v>
      </c>
      <c r="DV957">
        <v>0</v>
      </c>
      <c r="DX957">
        <v>14</v>
      </c>
      <c r="DY957">
        <v>0</v>
      </c>
      <c r="DZ957" t="s">
        <v>246</v>
      </c>
      <c r="EA957" t="s">
        <v>929</v>
      </c>
    </row>
    <row r="958" spans="1:131" x14ac:dyDescent="0.4">
      <c r="A958" s="34">
        <v>43067.305104166669</v>
      </c>
      <c r="B958" s="25">
        <v>42934.808333333334</v>
      </c>
      <c r="D958" s="34"/>
      <c r="E958" s="34" t="s">
        <v>193</v>
      </c>
      <c r="F958" s="34" t="s">
        <v>191</v>
      </c>
      <c r="G958" s="34" t="s">
        <v>100</v>
      </c>
      <c r="H958" t="s">
        <v>279</v>
      </c>
      <c r="I958" t="s">
        <v>243</v>
      </c>
      <c r="J958" t="s">
        <v>712</v>
      </c>
      <c r="K958" t="s">
        <v>713</v>
      </c>
      <c r="L958" t="s">
        <v>711</v>
      </c>
      <c r="M958" s="30">
        <v>4.22</v>
      </c>
      <c r="N958">
        <v>4</v>
      </c>
      <c r="P958" s="24" t="str">
        <f>IFERROR(MID(RADataTable[[#This Row],[RATemplate]],1,LEN(RADataTable[[#This Row],[RATemplate]])-8),"RA") &amp; " " &amp; RADataTable[[#This Row],[prop_id0]] &amp; " " &amp; RADataTable[[#This Row],[last0]]</f>
        <v>RA 1750076 Schroeder</v>
      </c>
      <c r="T958">
        <v>4</v>
      </c>
      <c r="U958">
        <v>4</v>
      </c>
      <c r="V958" s="34">
        <v>43031.584027777775</v>
      </c>
      <c r="W958">
        <v>1</v>
      </c>
      <c r="X958" s="15" t="str">
        <f>HYPERLINK("https://www.ejacket.nsf.gov/ej/showProposal.do?Continue=Y&amp;ID="&amp;RADataTable[[#This Row],[prop_id0]],"eJ")</f>
        <v>eJ</v>
      </c>
      <c r="Y958" s="15" t="str">
        <f>HYPERLINK("mailto:"&amp;RADataTable[[#This Row],[email]]&amp;"&amp;subject=Your NSF Proposal:  "&amp;RADataTable[[#This Row],[Div]]&amp;" "&amp;RADataTable[[#This Row],[prop_id0]], RADataTable[[#This Row],[email]])</f>
        <v>craig@ucr.edu</v>
      </c>
      <c r="Z958" s="15" t="str">
        <f>HYPERLINK("mailto:"&amp;RADataTable[[#This Row],[allPIemail]]&amp;"&amp;subject=NSF Proposal:  "&amp;RADataTable[[#This Row],[Div]]&amp;" "&amp;RADataTable[[#This Row],[prop_id0]], "PIs@")</f>
        <v>PIs@</v>
      </c>
      <c r="AA958" t="s">
        <v>245</v>
      </c>
      <c r="AB958" t="s">
        <v>671</v>
      </c>
      <c r="AC958" s="30" t="s">
        <v>776</v>
      </c>
      <c r="AD958" t="s">
        <v>777</v>
      </c>
      <c r="AE958" t="s">
        <v>778</v>
      </c>
      <c r="AF958" s="36">
        <v>440331</v>
      </c>
      <c r="AG958" s="36">
        <v>440331</v>
      </c>
      <c r="AH958" s="24"/>
      <c r="AJ958" s="34"/>
      <c r="AK958" t="s">
        <v>923</v>
      </c>
      <c r="AL958" t="s">
        <v>924</v>
      </c>
      <c r="AM958" s="34" t="s">
        <v>925</v>
      </c>
      <c r="AN958" s="34">
        <v>43032</v>
      </c>
      <c r="AO958" s="24">
        <v>22</v>
      </c>
      <c r="AP958" t="s">
        <v>951</v>
      </c>
      <c r="AR958" s="35"/>
      <c r="AS958"/>
      <c r="AT958" s="34"/>
      <c r="AV958" s="34"/>
      <c r="AX958" s="34"/>
      <c r="AY958"/>
      <c r="BA958" s="34"/>
      <c r="BB958"/>
      <c r="BC958" t="s">
        <v>782</v>
      </c>
      <c r="BD958" s="36">
        <v>440331</v>
      </c>
      <c r="BE958" s="36">
        <v>440331</v>
      </c>
      <c r="BF958">
        <v>0</v>
      </c>
      <c r="BG958" s="34">
        <v>43101</v>
      </c>
      <c r="BH958">
        <v>60</v>
      </c>
      <c r="BI958" t="s">
        <v>283</v>
      </c>
      <c r="BJ958" t="s">
        <v>928</v>
      </c>
      <c r="BK958" t="s">
        <v>234</v>
      </c>
      <c r="BL958" t="s">
        <v>194</v>
      </c>
      <c r="BM958" s="8" t="s">
        <v>192</v>
      </c>
      <c r="BN958" t="s">
        <v>189</v>
      </c>
      <c r="BO958" t="s">
        <v>190</v>
      </c>
      <c r="BP958" s="35" t="s">
        <v>780</v>
      </c>
      <c r="BQ958"/>
      <c r="BU958" s="35"/>
      <c r="BV958" s="35"/>
      <c r="BX958"/>
      <c r="CA958" s="35"/>
      <c r="CB958" s="35"/>
      <c r="CC958"/>
      <c r="CG958" s="35"/>
      <c r="CH958" s="35"/>
      <c r="CK958"/>
      <c r="CM958" s="35"/>
      <c r="CN958" s="35"/>
      <c r="CQ958"/>
      <c r="CS958" s="35"/>
      <c r="CT958" s="35"/>
      <c r="CX958"/>
      <c r="CZ958" s="35"/>
      <c r="DD958" s="34"/>
      <c r="DG958" t="s">
        <v>779</v>
      </c>
      <c r="DH958" t="s">
        <v>952</v>
      </c>
      <c r="DI958" t="s">
        <v>798</v>
      </c>
      <c r="DL958" t="s">
        <v>671</v>
      </c>
      <c r="DM958">
        <v>3</v>
      </c>
      <c r="DN958">
        <v>7</v>
      </c>
      <c r="DO958" t="s">
        <v>781</v>
      </c>
      <c r="DQ958" t="s">
        <v>927</v>
      </c>
      <c r="DR958">
        <v>14</v>
      </c>
      <c r="DS958">
        <v>0</v>
      </c>
      <c r="DU958">
        <v>14</v>
      </c>
      <c r="DV958">
        <v>0</v>
      </c>
      <c r="DX958">
        <v>14</v>
      </c>
      <c r="DY958">
        <v>0</v>
      </c>
      <c r="DZ958" t="s">
        <v>246</v>
      </c>
      <c r="EA958" t="s">
        <v>929</v>
      </c>
    </row>
    <row r="959" spans="1:131" x14ac:dyDescent="0.4">
      <c r="A959" s="34">
        <v>43067.305104166669</v>
      </c>
      <c r="B959" s="25">
        <v>42934.808333333334</v>
      </c>
      <c r="D959" s="34"/>
      <c r="E959" s="34" t="s">
        <v>193</v>
      </c>
      <c r="F959" s="34" t="s">
        <v>191</v>
      </c>
      <c r="G959" s="34" t="s">
        <v>100</v>
      </c>
      <c r="H959" t="s">
        <v>279</v>
      </c>
      <c r="I959" t="s">
        <v>243</v>
      </c>
      <c r="J959" t="s">
        <v>712</v>
      </c>
      <c r="K959" t="s">
        <v>713</v>
      </c>
      <c r="L959" t="s">
        <v>711</v>
      </c>
      <c r="M959" s="30">
        <v>4.22</v>
      </c>
      <c r="N959">
        <v>4</v>
      </c>
      <c r="P959" s="24" t="str">
        <f>IFERROR(MID(RADataTable[[#This Row],[RATemplate]],1,LEN(RADataTable[[#This Row],[RATemplate]])-8),"RA") &amp; " " &amp; RADataTable[[#This Row],[prop_id0]] &amp; " " &amp; RADataTable[[#This Row],[last0]]</f>
        <v>RA 1750076 Schroeder</v>
      </c>
      <c r="T959">
        <v>4</v>
      </c>
      <c r="U959">
        <v>4</v>
      </c>
      <c r="V959" s="34">
        <v>43031.584027777775</v>
      </c>
      <c r="W959">
        <v>1</v>
      </c>
      <c r="X959" s="15" t="str">
        <f>HYPERLINK("https://www.ejacket.nsf.gov/ej/showProposal.do?Continue=Y&amp;ID="&amp;RADataTable[[#This Row],[prop_id0]],"eJ")</f>
        <v>eJ</v>
      </c>
      <c r="Y959" s="15" t="str">
        <f>HYPERLINK("mailto:"&amp;RADataTable[[#This Row],[email]]&amp;"&amp;subject=Your NSF Proposal:  "&amp;RADataTable[[#This Row],[Div]]&amp;" "&amp;RADataTable[[#This Row],[prop_id0]], RADataTable[[#This Row],[email]])</f>
        <v>craig@ucr.edu</v>
      </c>
      <c r="Z959" s="15" t="str">
        <f>HYPERLINK("mailto:"&amp;RADataTable[[#This Row],[allPIemail]]&amp;"&amp;subject=NSF Proposal:  "&amp;RADataTable[[#This Row],[Div]]&amp;" "&amp;RADataTable[[#This Row],[prop_id0]], "PIs@")</f>
        <v>PIs@</v>
      </c>
      <c r="AA959" t="s">
        <v>245</v>
      </c>
      <c r="AB959" t="s">
        <v>671</v>
      </c>
      <c r="AC959" s="30" t="s">
        <v>776</v>
      </c>
      <c r="AD959" t="s">
        <v>777</v>
      </c>
      <c r="AE959" t="s">
        <v>778</v>
      </c>
      <c r="AF959" s="36">
        <v>440331</v>
      </c>
      <c r="AG959" s="36">
        <v>440331</v>
      </c>
      <c r="AH959" s="24"/>
      <c r="AJ959" s="34"/>
      <c r="AK959" t="s">
        <v>923</v>
      </c>
      <c r="AL959" t="s">
        <v>924</v>
      </c>
      <c r="AM959" s="34" t="s">
        <v>925</v>
      </c>
      <c r="AN959" s="34">
        <v>43032</v>
      </c>
      <c r="AO959" s="24">
        <v>22</v>
      </c>
      <c r="AP959" t="s">
        <v>951</v>
      </c>
      <c r="AR959" s="35"/>
      <c r="AS959"/>
      <c r="AT959" s="34"/>
      <c r="AV959" s="34"/>
      <c r="AX959" s="34"/>
      <c r="AY959"/>
      <c r="BA959" s="34"/>
      <c r="BB959"/>
      <c r="BC959" t="s">
        <v>782</v>
      </c>
      <c r="BD959" s="36">
        <v>440331</v>
      </c>
      <c r="BE959" s="36">
        <v>440331</v>
      </c>
      <c r="BF959">
        <v>0</v>
      </c>
      <c r="BG959" s="34">
        <v>43101</v>
      </c>
      <c r="BH959">
        <v>60</v>
      </c>
      <c r="BI959" t="s">
        <v>283</v>
      </c>
      <c r="BJ959" t="s">
        <v>928</v>
      </c>
      <c r="BK959" t="s">
        <v>234</v>
      </c>
      <c r="BL959" t="s">
        <v>194</v>
      </c>
      <c r="BM959" s="8" t="s">
        <v>192</v>
      </c>
      <c r="BN959" t="s">
        <v>189</v>
      </c>
      <c r="BO959" t="s">
        <v>190</v>
      </c>
      <c r="BP959" s="35" t="s">
        <v>780</v>
      </c>
      <c r="BQ959"/>
      <c r="BU959" s="35"/>
      <c r="BV959" s="35"/>
      <c r="BX959"/>
      <c r="CA959" s="35"/>
      <c r="CB959" s="35"/>
      <c r="CC959"/>
      <c r="CG959" s="35"/>
      <c r="CH959" s="35"/>
      <c r="CK959"/>
      <c r="CM959" s="35"/>
      <c r="CN959" s="35"/>
      <c r="CQ959"/>
      <c r="CS959" s="35"/>
      <c r="CT959" s="35"/>
      <c r="CX959"/>
      <c r="CZ959" s="35"/>
      <c r="DD959" s="34"/>
      <c r="DG959" t="s">
        <v>779</v>
      </c>
      <c r="DH959" t="s">
        <v>952</v>
      </c>
      <c r="DI959" t="s">
        <v>798</v>
      </c>
      <c r="DL959" t="s">
        <v>671</v>
      </c>
      <c r="DM959">
        <v>3</v>
      </c>
      <c r="DN959">
        <v>7</v>
      </c>
      <c r="DO959" t="s">
        <v>781</v>
      </c>
      <c r="DQ959" t="s">
        <v>927</v>
      </c>
      <c r="DR959">
        <v>14</v>
      </c>
      <c r="DS959">
        <v>0</v>
      </c>
      <c r="DU959">
        <v>14</v>
      </c>
      <c r="DV959">
        <v>0</v>
      </c>
      <c r="DX959">
        <v>14</v>
      </c>
      <c r="DY959">
        <v>0</v>
      </c>
      <c r="DZ959" t="s">
        <v>246</v>
      </c>
      <c r="EA959" t="s">
        <v>929</v>
      </c>
    </row>
    <row r="960" spans="1:131" x14ac:dyDescent="0.4">
      <c r="A960" s="34">
        <v>43067.305104166669</v>
      </c>
      <c r="B960" s="25">
        <v>42934.808333333334</v>
      </c>
      <c r="D960" s="34"/>
      <c r="E960" s="34" t="s">
        <v>193</v>
      </c>
      <c r="F960" s="34" t="s">
        <v>191</v>
      </c>
      <c r="G960" s="34" t="s">
        <v>100</v>
      </c>
      <c r="H960" t="s">
        <v>279</v>
      </c>
      <c r="I960" t="s">
        <v>243</v>
      </c>
      <c r="J960" t="s">
        <v>712</v>
      </c>
      <c r="K960" t="s">
        <v>713</v>
      </c>
      <c r="L960" t="s">
        <v>711</v>
      </c>
      <c r="M960" s="30">
        <v>4.22</v>
      </c>
      <c r="N960">
        <v>4</v>
      </c>
      <c r="P960" s="24" t="str">
        <f>IFERROR(MID(RADataTable[[#This Row],[RATemplate]],1,LEN(RADataTable[[#This Row],[RATemplate]])-8),"RA") &amp; " " &amp; RADataTable[[#This Row],[prop_id0]] &amp; " " &amp; RADataTable[[#This Row],[last0]]</f>
        <v>RA 1750076 Schroeder</v>
      </c>
      <c r="T960">
        <v>4</v>
      </c>
      <c r="U960">
        <v>4</v>
      </c>
      <c r="V960" s="34">
        <v>43031.584027777775</v>
      </c>
      <c r="W960">
        <v>1</v>
      </c>
      <c r="X960" s="15" t="str">
        <f>HYPERLINK("https://www.ejacket.nsf.gov/ej/showProposal.do?Continue=Y&amp;ID="&amp;RADataTable[[#This Row],[prop_id0]],"eJ")</f>
        <v>eJ</v>
      </c>
      <c r="Y960" s="15" t="str">
        <f>HYPERLINK("mailto:"&amp;RADataTable[[#This Row],[email]]&amp;"&amp;subject=Your NSF Proposal:  "&amp;RADataTable[[#This Row],[Div]]&amp;" "&amp;RADataTable[[#This Row],[prop_id0]], RADataTable[[#This Row],[email]])</f>
        <v>craig@ucr.edu</v>
      </c>
      <c r="Z960" s="15" t="str">
        <f>HYPERLINK("mailto:"&amp;RADataTable[[#This Row],[allPIemail]]&amp;"&amp;subject=NSF Proposal:  "&amp;RADataTable[[#This Row],[Div]]&amp;" "&amp;RADataTable[[#This Row],[prop_id0]], "PIs@")</f>
        <v>PIs@</v>
      </c>
      <c r="AA960" t="s">
        <v>245</v>
      </c>
      <c r="AB960" t="s">
        <v>671</v>
      </c>
      <c r="AC960" s="30" t="s">
        <v>776</v>
      </c>
      <c r="AD960" t="s">
        <v>777</v>
      </c>
      <c r="AE960" t="s">
        <v>778</v>
      </c>
      <c r="AF960" s="36">
        <v>440331</v>
      </c>
      <c r="AG960" s="36">
        <v>440331</v>
      </c>
      <c r="AH960" s="24"/>
      <c r="AJ960" s="34"/>
      <c r="AK960" t="s">
        <v>923</v>
      </c>
      <c r="AL960" t="s">
        <v>924</v>
      </c>
      <c r="AM960" s="34" t="s">
        <v>925</v>
      </c>
      <c r="AN960" s="34">
        <v>43032</v>
      </c>
      <c r="AO960" s="24">
        <v>22</v>
      </c>
      <c r="AP960" t="s">
        <v>951</v>
      </c>
      <c r="AR960" s="35"/>
      <c r="AS960"/>
      <c r="AT960" s="34"/>
      <c r="AV960" s="34"/>
      <c r="AX960" s="34"/>
      <c r="AY960"/>
      <c r="BA960" s="34"/>
      <c r="BB960"/>
      <c r="BC960" t="s">
        <v>782</v>
      </c>
      <c r="BD960" s="36">
        <v>440331</v>
      </c>
      <c r="BE960" s="36">
        <v>440331</v>
      </c>
      <c r="BF960">
        <v>0</v>
      </c>
      <c r="BG960" s="34">
        <v>43101</v>
      </c>
      <c r="BH960">
        <v>60</v>
      </c>
      <c r="BI960" t="s">
        <v>283</v>
      </c>
      <c r="BJ960" t="s">
        <v>928</v>
      </c>
      <c r="BK960" t="s">
        <v>234</v>
      </c>
      <c r="BL960" t="s">
        <v>194</v>
      </c>
      <c r="BM960" s="8" t="s">
        <v>192</v>
      </c>
      <c r="BN960" t="s">
        <v>189</v>
      </c>
      <c r="BO960" t="s">
        <v>190</v>
      </c>
      <c r="BP960" s="35" t="s">
        <v>780</v>
      </c>
      <c r="BQ960"/>
      <c r="BU960" s="35"/>
      <c r="BV960" s="35"/>
      <c r="BX960"/>
      <c r="CA960" s="35"/>
      <c r="CB960" s="35"/>
      <c r="CC960"/>
      <c r="CG960" s="35"/>
      <c r="CH960" s="35"/>
      <c r="CK960"/>
      <c r="CM960" s="35"/>
      <c r="CN960" s="35"/>
      <c r="CQ960"/>
      <c r="CS960" s="35"/>
      <c r="CT960" s="35"/>
      <c r="CX960"/>
      <c r="CZ960" s="35"/>
      <c r="DD960" s="34"/>
      <c r="DG960" t="s">
        <v>779</v>
      </c>
      <c r="DH960" t="s">
        <v>952</v>
      </c>
      <c r="DI960" t="s">
        <v>798</v>
      </c>
      <c r="DL960" t="s">
        <v>671</v>
      </c>
      <c r="DM960">
        <v>3</v>
      </c>
      <c r="DN960">
        <v>7</v>
      </c>
      <c r="DO960" t="s">
        <v>781</v>
      </c>
      <c r="DQ960" t="s">
        <v>927</v>
      </c>
      <c r="DR960">
        <v>14</v>
      </c>
      <c r="DS960">
        <v>0</v>
      </c>
      <c r="DU960">
        <v>14</v>
      </c>
      <c r="DV960">
        <v>0</v>
      </c>
      <c r="DX960">
        <v>14</v>
      </c>
      <c r="DY960">
        <v>0</v>
      </c>
      <c r="DZ960" t="s">
        <v>246</v>
      </c>
      <c r="EA960" t="s">
        <v>929</v>
      </c>
    </row>
    <row r="961" spans="1:131" x14ac:dyDescent="0.4">
      <c r="A961" s="34">
        <v>43067.305104166669</v>
      </c>
      <c r="B961" s="25">
        <v>42934.808333333334</v>
      </c>
      <c r="D961" s="34"/>
      <c r="E961" s="34" t="s">
        <v>193</v>
      </c>
      <c r="F961" s="34" t="s">
        <v>191</v>
      </c>
      <c r="G961" s="34" t="s">
        <v>100</v>
      </c>
      <c r="H961" t="s">
        <v>279</v>
      </c>
      <c r="I961" t="s">
        <v>243</v>
      </c>
      <c r="J961" t="s">
        <v>712</v>
      </c>
      <c r="K961" t="s">
        <v>713</v>
      </c>
      <c r="L961" t="s">
        <v>711</v>
      </c>
      <c r="M961" s="30">
        <v>4.22</v>
      </c>
      <c r="N961">
        <v>4</v>
      </c>
      <c r="P961" s="24" t="str">
        <f>IFERROR(MID(RADataTable[[#This Row],[RATemplate]],1,LEN(RADataTable[[#This Row],[RATemplate]])-8),"RA") &amp; " " &amp; RADataTable[[#This Row],[prop_id0]] &amp; " " &amp; RADataTable[[#This Row],[last0]]</f>
        <v>RA 1750076 Schroeder</v>
      </c>
      <c r="T961">
        <v>4</v>
      </c>
      <c r="U961">
        <v>4</v>
      </c>
      <c r="V961" s="34">
        <v>43031.584027777775</v>
      </c>
      <c r="W961">
        <v>1</v>
      </c>
      <c r="X961" s="15" t="str">
        <f>HYPERLINK("https://www.ejacket.nsf.gov/ej/showProposal.do?Continue=Y&amp;ID="&amp;RADataTable[[#This Row],[prop_id0]],"eJ")</f>
        <v>eJ</v>
      </c>
      <c r="Y961" s="15" t="str">
        <f>HYPERLINK("mailto:"&amp;RADataTable[[#This Row],[email]]&amp;"&amp;subject=Your NSF Proposal:  "&amp;RADataTable[[#This Row],[Div]]&amp;" "&amp;RADataTable[[#This Row],[prop_id0]], RADataTable[[#This Row],[email]])</f>
        <v>craig@ucr.edu</v>
      </c>
      <c r="Z961" s="15" t="str">
        <f>HYPERLINK("mailto:"&amp;RADataTable[[#This Row],[allPIemail]]&amp;"&amp;subject=NSF Proposal:  "&amp;RADataTable[[#This Row],[Div]]&amp;" "&amp;RADataTable[[#This Row],[prop_id0]], "PIs@")</f>
        <v>PIs@</v>
      </c>
      <c r="AA961" t="s">
        <v>245</v>
      </c>
      <c r="AB961" t="s">
        <v>671</v>
      </c>
      <c r="AC961" s="30" t="s">
        <v>776</v>
      </c>
      <c r="AD961" t="s">
        <v>777</v>
      </c>
      <c r="AE961" t="s">
        <v>778</v>
      </c>
      <c r="AF961" s="36">
        <v>440331</v>
      </c>
      <c r="AG961" s="36">
        <v>440331</v>
      </c>
      <c r="AH961" s="24"/>
      <c r="AJ961" s="34"/>
      <c r="AK961" t="s">
        <v>923</v>
      </c>
      <c r="AL961" t="s">
        <v>924</v>
      </c>
      <c r="AM961" s="34" t="s">
        <v>925</v>
      </c>
      <c r="AN961" s="34">
        <v>43032</v>
      </c>
      <c r="AO961" s="24">
        <v>22</v>
      </c>
      <c r="AP961" t="s">
        <v>951</v>
      </c>
      <c r="AR961" s="35"/>
      <c r="AS961"/>
      <c r="AT961" s="34"/>
      <c r="AV961" s="34"/>
      <c r="AX961" s="34"/>
      <c r="AY961"/>
      <c r="BA961" s="34"/>
      <c r="BB961"/>
      <c r="BC961" t="s">
        <v>782</v>
      </c>
      <c r="BD961" s="36">
        <v>440331</v>
      </c>
      <c r="BE961" s="36">
        <v>440331</v>
      </c>
      <c r="BF961">
        <v>0</v>
      </c>
      <c r="BG961" s="34">
        <v>43101</v>
      </c>
      <c r="BH961">
        <v>60</v>
      </c>
      <c r="BI961" t="s">
        <v>283</v>
      </c>
      <c r="BJ961" t="s">
        <v>928</v>
      </c>
      <c r="BK961" t="s">
        <v>234</v>
      </c>
      <c r="BL961" t="s">
        <v>194</v>
      </c>
      <c r="BM961" s="8" t="s">
        <v>192</v>
      </c>
      <c r="BN961" t="s">
        <v>189</v>
      </c>
      <c r="BO961" t="s">
        <v>190</v>
      </c>
      <c r="BP961" s="35" t="s">
        <v>780</v>
      </c>
      <c r="BQ961"/>
      <c r="BU961" s="35"/>
      <c r="BV961" s="35"/>
      <c r="BX961"/>
      <c r="CA961" s="35"/>
      <c r="CB961" s="35"/>
      <c r="CC961"/>
      <c r="CG961" s="35"/>
      <c r="CH961" s="35"/>
      <c r="CK961"/>
      <c r="CM961" s="35"/>
      <c r="CN961" s="35"/>
      <c r="CQ961"/>
      <c r="CS961" s="35"/>
      <c r="CT961" s="35"/>
      <c r="CX961"/>
      <c r="CZ961" s="35"/>
      <c r="DD961" s="34"/>
      <c r="DG961" t="s">
        <v>779</v>
      </c>
      <c r="DH961" t="s">
        <v>952</v>
      </c>
      <c r="DI961" t="s">
        <v>798</v>
      </c>
      <c r="DL961" t="s">
        <v>671</v>
      </c>
      <c r="DM961">
        <v>3</v>
      </c>
      <c r="DN961">
        <v>7</v>
      </c>
      <c r="DO961" t="s">
        <v>781</v>
      </c>
      <c r="DQ961" t="s">
        <v>927</v>
      </c>
      <c r="DR961">
        <v>14</v>
      </c>
      <c r="DS961">
        <v>0</v>
      </c>
      <c r="DU961">
        <v>14</v>
      </c>
      <c r="DV961">
        <v>0</v>
      </c>
      <c r="DX961">
        <v>14</v>
      </c>
      <c r="DY961">
        <v>0</v>
      </c>
      <c r="DZ961" t="s">
        <v>246</v>
      </c>
      <c r="EA961" t="s">
        <v>929</v>
      </c>
    </row>
    <row r="962" spans="1:131" x14ac:dyDescent="0.4">
      <c r="A962" s="34">
        <v>43067.305104166669</v>
      </c>
      <c r="B962" s="25">
        <v>42934.808333333334</v>
      </c>
      <c r="D962" s="34"/>
      <c r="E962" s="34" t="s">
        <v>193</v>
      </c>
      <c r="F962" s="34" t="s">
        <v>191</v>
      </c>
      <c r="G962" s="34" t="s">
        <v>100</v>
      </c>
      <c r="H962" t="s">
        <v>279</v>
      </c>
      <c r="I962" t="s">
        <v>243</v>
      </c>
      <c r="J962" t="s">
        <v>712</v>
      </c>
      <c r="K962" t="s">
        <v>713</v>
      </c>
      <c r="L962" t="s">
        <v>711</v>
      </c>
      <c r="M962" s="30">
        <v>4.22</v>
      </c>
      <c r="N962">
        <v>4</v>
      </c>
      <c r="P962" s="24" t="str">
        <f>IFERROR(MID(RADataTable[[#This Row],[RATemplate]],1,LEN(RADataTable[[#This Row],[RATemplate]])-8),"RA") &amp; " " &amp; RADataTable[[#This Row],[prop_id0]] &amp; " " &amp; RADataTable[[#This Row],[last0]]</f>
        <v>RA 1750076 Schroeder</v>
      </c>
      <c r="T962">
        <v>4</v>
      </c>
      <c r="U962">
        <v>4</v>
      </c>
      <c r="V962" s="34">
        <v>43031.584027777775</v>
      </c>
      <c r="W962">
        <v>1</v>
      </c>
      <c r="X962" s="15" t="str">
        <f>HYPERLINK("https://www.ejacket.nsf.gov/ej/showProposal.do?Continue=Y&amp;ID="&amp;RADataTable[[#This Row],[prop_id0]],"eJ")</f>
        <v>eJ</v>
      </c>
      <c r="Y962" s="15" t="str">
        <f>HYPERLINK("mailto:"&amp;RADataTable[[#This Row],[email]]&amp;"&amp;subject=Your NSF Proposal:  "&amp;RADataTable[[#This Row],[Div]]&amp;" "&amp;RADataTable[[#This Row],[prop_id0]], RADataTable[[#This Row],[email]])</f>
        <v>craig@ucr.edu</v>
      </c>
      <c r="Z962" s="15" t="str">
        <f>HYPERLINK("mailto:"&amp;RADataTable[[#This Row],[allPIemail]]&amp;"&amp;subject=NSF Proposal:  "&amp;RADataTable[[#This Row],[Div]]&amp;" "&amp;RADataTable[[#This Row],[prop_id0]], "PIs@")</f>
        <v>PIs@</v>
      </c>
      <c r="AA962" t="s">
        <v>245</v>
      </c>
      <c r="AB962" t="s">
        <v>671</v>
      </c>
      <c r="AC962" s="30" t="s">
        <v>776</v>
      </c>
      <c r="AD962" t="s">
        <v>777</v>
      </c>
      <c r="AE962" t="s">
        <v>778</v>
      </c>
      <c r="AF962" s="36">
        <v>440331</v>
      </c>
      <c r="AG962" s="36">
        <v>440331</v>
      </c>
      <c r="AH962" s="24"/>
      <c r="AJ962" s="34"/>
      <c r="AK962" t="s">
        <v>923</v>
      </c>
      <c r="AL962" t="s">
        <v>924</v>
      </c>
      <c r="AM962" s="34" t="s">
        <v>925</v>
      </c>
      <c r="AN962" s="34">
        <v>43032</v>
      </c>
      <c r="AO962" s="24">
        <v>22</v>
      </c>
      <c r="AP962" t="s">
        <v>951</v>
      </c>
      <c r="AR962" s="35"/>
      <c r="AS962"/>
      <c r="AT962" s="34"/>
      <c r="AV962" s="34"/>
      <c r="AX962" s="34"/>
      <c r="AY962"/>
      <c r="BA962" s="34"/>
      <c r="BB962"/>
      <c r="BC962" t="s">
        <v>782</v>
      </c>
      <c r="BD962" s="36">
        <v>440331</v>
      </c>
      <c r="BE962" s="36">
        <v>440331</v>
      </c>
      <c r="BF962">
        <v>0</v>
      </c>
      <c r="BG962" s="34">
        <v>43101</v>
      </c>
      <c r="BH962">
        <v>60</v>
      </c>
      <c r="BI962" t="s">
        <v>283</v>
      </c>
      <c r="BJ962" t="s">
        <v>928</v>
      </c>
      <c r="BK962" t="s">
        <v>234</v>
      </c>
      <c r="BL962" t="s">
        <v>194</v>
      </c>
      <c r="BM962" s="8" t="s">
        <v>192</v>
      </c>
      <c r="BN962" t="s">
        <v>189</v>
      </c>
      <c r="BO962" t="s">
        <v>190</v>
      </c>
      <c r="BP962" s="35" t="s">
        <v>780</v>
      </c>
      <c r="BQ962"/>
      <c r="BU962" s="35"/>
      <c r="BV962" s="35"/>
      <c r="BX962"/>
      <c r="CA962" s="35"/>
      <c r="CB962" s="35"/>
      <c r="CC962"/>
      <c r="CG962" s="35"/>
      <c r="CH962" s="35"/>
      <c r="CK962"/>
      <c r="CM962" s="35"/>
      <c r="CN962" s="35"/>
      <c r="CQ962"/>
      <c r="CS962" s="35"/>
      <c r="CT962" s="35"/>
      <c r="CX962"/>
      <c r="CZ962" s="35"/>
      <c r="DD962" s="34"/>
      <c r="DG962" t="s">
        <v>779</v>
      </c>
      <c r="DH962" t="s">
        <v>952</v>
      </c>
      <c r="DI962" t="s">
        <v>798</v>
      </c>
      <c r="DL962" t="s">
        <v>671</v>
      </c>
      <c r="DM962">
        <v>3</v>
      </c>
      <c r="DN962">
        <v>7</v>
      </c>
      <c r="DO962" t="s">
        <v>781</v>
      </c>
      <c r="DQ962" t="s">
        <v>927</v>
      </c>
      <c r="DR962">
        <v>14</v>
      </c>
      <c r="DS962">
        <v>0</v>
      </c>
      <c r="DU962">
        <v>14</v>
      </c>
      <c r="DV962">
        <v>0</v>
      </c>
      <c r="DX962">
        <v>14</v>
      </c>
      <c r="DY962">
        <v>0</v>
      </c>
      <c r="DZ962" t="s">
        <v>246</v>
      </c>
      <c r="EA962" t="s">
        <v>929</v>
      </c>
    </row>
    <row r="963" spans="1:131" x14ac:dyDescent="0.4">
      <c r="A963" s="34">
        <v>43067.305104166669</v>
      </c>
      <c r="B963" s="25">
        <v>42934.808333333334</v>
      </c>
      <c r="D963" s="34"/>
      <c r="E963" s="34" t="s">
        <v>193</v>
      </c>
      <c r="F963" s="34" t="s">
        <v>191</v>
      </c>
      <c r="G963" s="34" t="s">
        <v>100</v>
      </c>
      <c r="H963" t="s">
        <v>279</v>
      </c>
      <c r="I963" t="s">
        <v>243</v>
      </c>
      <c r="J963" t="s">
        <v>712</v>
      </c>
      <c r="K963" t="s">
        <v>713</v>
      </c>
      <c r="L963" t="s">
        <v>711</v>
      </c>
      <c r="M963" s="30">
        <v>4.22</v>
      </c>
      <c r="N963">
        <v>4</v>
      </c>
      <c r="P963" s="24" t="str">
        <f>IFERROR(MID(RADataTable[[#This Row],[RATemplate]],1,LEN(RADataTable[[#This Row],[RATemplate]])-8),"RA") &amp; " " &amp; RADataTable[[#This Row],[prop_id0]] &amp; " " &amp; RADataTable[[#This Row],[last0]]</f>
        <v>RA 1750076 Schroeder</v>
      </c>
      <c r="T963">
        <v>4</v>
      </c>
      <c r="U963">
        <v>4</v>
      </c>
      <c r="V963" s="34">
        <v>43031.584027777775</v>
      </c>
      <c r="W963">
        <v>1</v>
      </c>
      <c r="X963" s="15" t="str">
        <f>HYPERLINK("https://www.ejacket.nsf.gov/ej/showProposal.do?Continue=Y&amp;ID="&amp;RADataTable[[#This Row],[prop_id0]],"eJ")</f>
        <v>eJ</v>
      </c>
      <c r="Y963" s="15" t="str">
        <f>HYPERLINK("mailto:"&amp;RADataTable[[#This Row],[email]]&amp;"&amp;subject=Your NSF Proposal:  "&amp;RADataTable[[#This Row],[Div]]&amp;" "&amp;RADataTable[[#This Row],[prop_id0]], RADataTable[[#This Row],[email]])</f>
        <v>craig@ucr.edu</v>
      </c>
      <c r="Z963" s="15" t="str">
        <f>HYPERLINK("mailto:"&amp;RADataTable[[#This Row],[allPIemail]]&amp;"&amp;subject=NSF Proposal:  "&amp;RADataTable[[#This Row],[Div]]&amp;" "&amp;RADataTable[[#This Row],[prop_id0]], "PIs@")</f>
        <v>PIs@</v>
      </c>
      <c r="AA963" t="s">
        <v>245</v>
      </c>
      <c r="AB963" t="s">
        <v>671</v>
      </c>
      <c r="AC963" s="30" t="s">
        <v>776</v>
      </c>
      <c r="AD963" t="s">
        <v>777</v>
      </c>
      <c r="AE963" t="s">
        <v>778</v>
      </c>
      <c r="AF963" s="36">
        <v>440331</v>
      </c>
      <c r="AG963" s="36">
        <v>440331</v>
      </c>
      <c r="AH963" s="24"/>
      <c r="AJ963" s="34"/>
      <c r="AK963" t="s">
        <v>923</v>
      </c>
      <c r="AL963" t="s">
        <v>924</v>
      </c>
      <c r="AM963" s="34" t="s">
        <v>925</v>
      </c>
      <c r="AN963" s="34">
        <v>43032</v>
      </c>
      <c r="AO963" s="24">
        <v>22</v>
      </c>
      <c r="AP963" t="s">
        <v>951</v>
      </c>
      <c r="AR963" s="35"/>
      <c r="AS963"/>
      <c r="AT963" s="34"/>
      <c r="AV963" s="34"/>
      <c r="AX963" s="34"/>
      <c r="AY963"/>
      <c r="BA963" s="34"/>
      <c r="BB963"/>
      <c r="BC963" t="s">
        <v>782</v>
      </c>
      <c r="BD963" s="36">
        <v>440331</v>
      </c>
      <c r="BE963" s="36">
        <v>440331</v>
      </c>
      <c r="BF963">
        <v>0</v>
      </c>
      <c r="BG963" s="34">
        <v>43101</v>
      </c>
      <c r="BH963">
        <v>60</v>
      </c>
      <c r="BI963" t="s">
        <v>283</v>
      </c>
      <c r="BJ963" t="s">
        <v>928</v>
      </c>
      <c r="BK963" t="s">
        <v>234</v>
      </c>
      <c r="BL963" t="s">
        <v>194</v>
      </c>
      <c r="BM963" s="8" t="s">
        <v>192</v>
      </c>
      <c r="BN963" t="s">
        <v>189</v>
      </c>
      <c r="BO963" t="s">
        <v>190</v>
      </c>
      <c r="BP963" s="35" t="s">
        <v>780</v>
      </c>
      <c r="BQ963"/>
      <c r="BU963" s="35"/>
      <c r="BV963" s="35"/>
      <c r="BX963"/>
      <c r="CA963" s="35"/>
      <c r="CB963" s="35"/>
      <c r="CC963"/>
      <c r="CG963" s="35"/>
      <c r="CH963" s="35"/>
      <c r="CK963"/>
      <c r="CM963" s="35"/>
      <c r="CN963" s="35"/>
      <c r="CQ963"/>
      <c r="CS963" s="35"/>
      <c r="CT963" s="35"/>
      <c r="CX963"/>
      <c r="CZ963" s="35"/>
      <c r="DD963" s="34"/>
      <c r="DG963" t="s">
        <v>779</v>
      </c>
      <c r="DH963" t="s">
        <v>952</v>
      </c>
      <c r="DI963" t="s">
        <v>798</v>
      </c>
      <c r="DL963" t="s">
        <v>671</v>
      </c>
      <c r="DM963">
        <v>3</v>
      </c>
      <c r="DN963">
        <v>7</v>
      </c>
      <c r="DO963" t="s">
        <v>781</v>
      </c>
      <c r="DQ963" t="s">
        <v>927</v>
      </c>
      <c r="DR963">
        <v>14</v>
      </c>
      <c r="DS963">
        <v>0</v>
      </c>
      <c r="DU963">
        <v>14</v>
      </c>
      <c r="DV963">
        <v>0</v>
      </c>
      <c r="DX963">
        <v>14</v>
      </c>
      <c r="DY963">
        <v>0</v>
      </c>
      <c r="DZ963" t="s">
        <v>246</v>
      </c>
      <c r="EA963" t="s">
        <v>929</v>
      </c>
    </row>
  </sheetData>
  <conditionalFormatting sqref="R2:R963">
    <cfRule type="expression" dxfId="0" priority="1">
      <formula>LEFT(#REF!,1)="E"</formula>
    </cfRule>
  </conditionalFormatting>
  <dataValidations count="1">
    <dataValidation type="list" allowBlank="1" showInputMessage="1" showErrorMessage="1" sqref="O2:O963">
      <formula1>INDIRECT("AvailableTemplates[Available templates:]")</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125186</xdr:colOff>
                    <xdr:row>0</xdr:row>
                    <xdr:rowOff>174171</xdr:rowOff>
                  </from>
                  <to>
                    <xdr:col>16</xdr:col>
                    <xdr:colOff>484414</xdr:colOff>
                    <xdr:row>0</xdr:row>
                    <xdr:rowOff>402771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W2:W963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6"/>
  <sheetViews>
    <sheetView workbookViewId="0">
      <selection activeCell="B9" sqref="B9"/>
    </sheetView>
  </sheetViews>
  <sheetFormatPr defaultRowHeight="14.6" x14ac:dyDescent="0.4"/>
  <cols>
    <col min="1" max="1" width="16.765625" style="68" customWidth="1"/>
    <col min="2" max="2" width="16.61328125" style="68" customWidth="1"/>
    <col min="3" max="3" width="69.765625" style="68" customWidth="1"/>
    <col min="4" max="16384" width="9.23046875" style="68"/>
  </cols>
  <sheetData>
    <row r="1" spans="1:2" x14ac:dyDescent="0.4">
      <c r="A1" s="68" t="s">
        <v>608</v>
      </c>
    </row>
    <row r="2" spans="1:2" x14ac:dyDescent="0.4">
      <c r="A2" s="69" t="s">
        <v>609</v>
      </c>
      <c r="B2" s="68" t="s">
        <v>610</v>
      </c>
    </row>
    <row r="3" spans="1:2" x14ac:dyDescent="0.4">
      <c r="A3" s="69" t="s">
        <v>611</v>
      </c>
      <c r="B3" s="70" t="s">
        <v>643</v>
      </c>
    </row>
    <row r="4" spans="1:2" x14ac:dyDescent="0.4">
      <c r="A4" s="69" t="s">
        <v>612</v>
      </c>
      <c r="B4" s="68" t="s">
        <v>613</v>
      </c>
    </row>
    <row r="5" spans="1:2" x14ac:dyDescent="0.4">
      <c r="A5" s="69" t="s">
        <v>614</v>
      </c>
      <c r="B5" s="68" t="s">
        <v>615</v>
      </c>
    </row>
    <row r="7" spans="1:2" x14ac:dyDescent="0.4">
      <c r="A7" s="71" t="s">
        <v>593</v>
      </c>
      <c r="B7" s="72" t="s">
        <v>594</v>
      </c>
    </row>
    <row r="8" spans="1:2" x14ac:dyDescent="0.4">
      <c r="A8" s="73" t="s">
        <v>598</v>
      </c>
      <c r="B8" s="74"/>
    </row>
    <row r="9" spans="1:2" x14ac:dyDescent="0.4">
      <c r="A9" s="73" t="s">
        <v>583</v>
      </c>
      <c r="B9" s="74"/>
    </row>
    <row r="10" spans="1:2" x14ac:dyDescent="0.4">
      <c r="A10" s="73" t="s">
        <v>597</v>
      </c>
      <c r="B10" s="74"/>
    </row>
    <row r="11" spans="1:2" x14ac:dyDescent="0.4">
      <c r="A11" s="73" t="s">
        <v>596</v>
      </c>
      <c r="B11" s="74"/>
    </row>
    <row r="12" spans="1:2" x14ac:dyDescent="0.4">
      <c r="A12" s="73" t="s">
        <v>595</v>
      </c>
      <c r="B12" s="74"/>
    </row>
    <row r="13" spans="1:2" x14ac:dyDescent="0.4">
      <c r="A13" s="73" t="s">
        <v>599</v>
      </c>
      <c r="B13" s="74"/>
    </row>
    <row r="14" spans="1:2" x14ac:dyDescent="0.4">
      <c r="A14" s="73" t="s">
        <v>193</v>
      </c>
      <c r="B14" s="74"/>
    </row>
    <row r="15" spans="1:2" x14ac:dyDescent="0.4">
      <c r="A15" s="73" t="s">
        <v>600</v>
      </c>
      <c r="B15" s="74"/>
    </row>
    <row r="16" spans="1:2" x14ac:dyDescent="0.4">
      <c r="A16" s="73" t="s">
        <v>587</v>
      </c>
      <c r="B16" s="74"/>
    </row>
    <row r="17" spans="1:3" x14ac:dyDescent="0.4">
      <c r="A17" s="73" t="s">
        <v>590</v>
      </c>
      <c r="B17" s="74"/>
    </row>
    <row r="18" spans="1:3" x14ac:dyDescent="0.4">
      <c r="A18" s="75" t="s">
        <v>592</v>
      </c>
      <c r="B18" s="76"/>
    </row>
    <row r="24" spans="1:3" x14ac:dyDescent="0.4">
      <c r="A24" s="77" t="s">
        <v>207</v>
      </c>
      <c r="B24" s="78" t="s">
        <v>616</v>
      </c>
      <c r="C24" s="79" t="s">
        <v>617</v>
      </c>
    </row>
    <row r="25" spans="1:3" ht="291.45" x14ac:dyDescent="0.4">
      <c r="A25" s="82" t="s">
        <v>618</v>
      </c>
      <c r="B25" s="83">
        <v>43067.219606481478</v>
      </c>
      <c r="C25" s="81" t="s">
        <v>619</v>
      </c>
    </row>
    <row r="26" spans="1:3" ht="409.6" x14ac:dyDescent="0.4">
      <c r="A26" s="82" t="s">
        <v>620</v>
      </c>
      <c r="B26" s="83">
        <v>43067.219606481478</v>
      </c>
      <c r="C26" s="81" t="s">
        <v>621</v>
      </c>
    </row>
    <row r="27" spans="1:3" ht="364.3" x14ac:dyDescent="0.4">
      <c r="A27" s="82" t="s">
        <v>622</v>
      </c>
      <c r="B27" s="83">
        <v>43067.219606481478</v>
      </c>
      <c r="C27" s="81" t="s">
        <v>623</v>
      </c>
    </row>
    <row r="28" spans="1:3" ht="409.6" x14ac:dyDescent="0.4">
      <c r="A28" s="82" t="s">
        <v>624</v>
      </c>
      <c r="B28" s="83">
        <v>43067.219606481478</v>
      </c>
      <c r="C28" s="81" t="s">
        <v>625</v>
      </c>
    </row>
    <row r="29" spans="1:3" ht="409.6" x14ac:dyDescent="0.4">
      <c r="A29" s="82" t="s">
        <v>626</v>
      </c>
      <c r="B29" s="83">
        <v>43067.219606481478</v>
      </c>
      <c r="C29" s="81" t="s">
        <v>627</v>
      </c>
    </row>
    <row r="30" spans="1:3" ht="409.6" x14ac:dyDescent="0.4">
      <c r="A30" s="82" t="s">
        <v>628</v>
      </c>
      <c r="B30" s="83">
        <v>43067.219606481478</v>
      </c>
      <c r="C30" s="81" t="s">
        <v>629</v>
      </c>
    </row>
    <row r="31" spans="1:3" ht="409.6" x14ac:dyDescent="0.4">
      <c r="A31" s="82" t="s">
        <v>630</v>
      </c>
      <c r="B31" s="83">
        <v>43067.219606481478</v>
      </c>
      <c r="C31" s="81" t="s">
        <v>631</v>
      </c>
    </row>
    <row r="32" spans="1:3" ht="72.900000000000006" x14ac:dyDescent="0.4">
      <c r="A32" s="82" t="s">
        <v>632</v>
      </c>
      <c r="B32" s="83">
        <v>43067.219606481478</v>
      </c>
      <c r="C32" s="81" t="s">
        <v>633</v>
      </c>
    </row>
    <row r="33" spans="1:3" ht="409.6" x14ac:dyDescent="0.4">
      <c r="A33" s="82" t="s">
        <v>634</v>
      </c>
      <c r="B33" s="83">
        <v>43067.219606481478</v>
      </c>
      <c r="C33" s="81" t="s">
        <v>635</v>
      </c>
    </row>
    <row r="34" spans="1:3" ht="409.6" x14ac:dyDescent="0.4">
      <c r="A34" s="82" t="s">
        <v>636</v>
      </c>
      <c r="B34" s="83">
        <v>43067.219606481478</v>
      </c>
      <c r="C34" s="81" t="s">
        <v>637</v>
      </c>
    </row>
    <row r="35" spans="1:3" ht="409.6" x14ac:dyDescent="0.4">
      <c r="A35" s="82" t="s">
        <v>638</v>
      </c>
      <c r="B35" s="83">
        <v>43067.219606481478</v>
      </c>
      <c r="C35" s="81" t="s">
        <v>639</v>
      </c>
    </row>
    <row r="36" spans="1:3" ht="409.6" x14ac:dyDescent="0.4">
      <c r="A36" s="68" t="s">
        <v>641</v>
      </c>
      <c r="B36" s="80">
        <v>43067.258668981478</v>
      </c>
      <c r="C36" s="81" t="s">
        <v>642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RoboRA</vt:lpstr>
      <vt:lpstr>ckCoding</vt:lpstr>
      <vt:lpstr>ckAwd</vt:lpstr>
      <vt:lpstr>Budgets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pm_ibm_logn_id</vt:lpstr>
      <vt:lpstr>HiddenSettings!projText</vt:lpstr>
      <vt:lpstr>prop_atr_code</vt:lpstr>
      <vt:lpstr>prop_stts_abbr</vt:lpstr>
      <vt:lpstr>prop_titl_txt</vt:lpstr>
      <vt:lpstr>Advanced!query_params</vt:lpstr>
      <vt:lpstr>HiddenSettings!query_params</vt:lpstr>
      <vt:lpstr>HiddenSettings!RA_allRAdata</vt:lpstr>
      <vt:lpstr>HiddenSettings!RA_awdCheck</vt:lpstr>
      <vt:lpstr>HiddenSettings!RA_budgInfo</vt:lpstr>
      <vt:lpstr>HiddenSettings!RA_leads</vt:lpstr>
      <vt:lpstr>HiddenSettings!RA_panl</vt:lpstr>
      <vt:lpstr>HiddenSettings!RA_PRCglossary</vt:lpstr>
      <vt:lpstr>HiddenSettings!RA_prop</vt:lpstr>
      <vt:lpstr>HiddenSettings!RA_propCheck</vt:lpstr>
      <vt:lpstr>HiddenSettings!RA_propPRCs</vt:lpstr>
      <vt:lpstr>HiddenSettings!RA_revs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2017-10-20T22:26:00Z</cp:lastPrinted>
  <dcterms:created xsi:type="dcterms:W3CDTF">2015-12-15T02:29:55Z</dcterms:created>
  <dcterms:modified xsi:type="dcterms:W3CDTF">2017-11-28T17:07:53Z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PEND</vt:lpwstr>
  </property>
  <property fmtid="{D5CDD505-2E9C-101B-9397-08002B2CF9AE}" pid="5" name="titl_txt" linkTarget="prop_titl_txt">
    <vt:lpwstr>eg: %Medium%</vt:lpwstr>
  </property>
</Properties>
</file>